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77F46E17-184C-4CFB-BE1A-5DBE799D931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NERCA LAJUR JANUARI " sheetId="7" r:id="rId1"/>
    <sheet name="NERCA LAJUR FEBRUARI" sheetId="5" r:id="rId2"/>
    <sheet name="NERCA LAJUR MARET" sheetId="10" r:id="rId3"/>
    <sheet name="NERCA LAJUR APRIL" sheetId="11" r:id="rId4"/>
    <sheet name="NERCA LAJUR MEI" sheetId="9" r:id="rId5"/>
  </sheets>
  <externalReferences>
    <externalReference r:id="rId6"/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8" i="11" l="1"/>
  <c r="J103" i="11"/>
  <c r="I103" i="11"/>
  <c r="G102" i="11"/>
  <c r="I102" i="11" s="1"/>
  <c r="F102" i="11"/>
  <c r="H102" i="11" s="1"/>
  <c r="J102" i="11" s="1"/>
  <c r="H101" i="11"/>
  <c r="J101" i="11" s="1"/>
  <c r="F101" i="11"/>
  <c r="E101" i="11"/>
  <c r="G101" i="11" s="1"/>
  <c r="I101" i="11" s="1"/>
  <c r="J100" i="11"/>
  <c r="H100" i="11"/>
  <c r="E100" i="11"/>
  <c r="G100" i="11" s="1"/>
  <c r="I100" i="11" s="1"/>
  <c r="I99" i="11"/>
  <c r="E99" i="11"/>
  <c r="H99" i="11" s="1"/>
  <c r="J99" i="11" s="1"/>
  <c r="H98" i="11"/>
  <c r="J98" i="11" s="1"/>
  <c r="G98" i="11"/>
  <c r="I98" i="11" s="1"/>
  <c r="F98" i="11"/>
  <c r="E98" i="11"/>
  <c r="H97" i="11"/>
  <c r="J97" i="11" s="1"/>
  <c r="G97" i="11"/>
  <c r="I97" i="11" s="1"/>
  <c r="J96" i="11"/>
  <c r="I96" i="11"/>
  <c r="H96" i="11"/>
  <c r="G96" i="11"/>
  <c r="J95" i="11"/>
  <c r="I95" i="11"/>
  <c r="H95" i="11"/>
  <c r="G95" i="11"/>
  <c r="H94" i="11"/>
  <c r="J94" i="11" s="1"/>
  <c r="E94" i="11"/>
  <c r="G94" i="11" s="1"/>
  <c r="I94" i="11" s="1"/>
  <c r="J93" i="11"/>
  <c r="H93" i="11"/>
  <c r="G93" i="11"/>
  <c r="I93" i="11" s="1"/>
  <c r="J92" i="11"/>
  <c r="H92" i="11"/>
  <c r="G92" i="11"/>
  <c r="I92" i="11" s="1"/>
  <c r="H91" i="11"/>
  <c r="J91" i="11" s="1"/>
  <c r="G91" i="11"/>
  <c r="I91" i="11" s="1"/>
  <c r="J90" i="11"/>
  <c r="H90" i="11"/>
  <c r="G90" i="11"/>
  <c r="I90" i="11" s="1"/>
  <c r="J89" i="11"/>
  <c r="H89" i="11"/>
  <c r="G89" i="11"/>
  <c r="I89" i="11" s="1"/>
  <c r="H88" i="11"/>
  <c r="J88" i="11" s="1"/>
  <c r="G88" i="11"/>
  <c r="I88" i="11" s="1"/>
  <c r="J87" i="11"/>
  <c r="H87" i="11"/>
  <c r="G87" i="11"/>
  <c r="I87" i="11" s="1"/>
  <c r="J86" i="11"/>
  <c r="H86" i="11"/>
  <c r="G86" i="11"/>
  <c r="I86" i="11" s="1"/>
  <c r="H85" i="11"/>
  <c r="J85" i="11" s="1"/>
  <c r="G85" i="11"/>
  <c r="I85" i="11" s="1"/>
  <c r="J84" i="11"/>
  <c r="H84" i="11"/>
  <c r="G84" i="11"/>
  <c r="I84" i="11" s="1"/>
  <c r="F83" i="11"/>
  <c r="H83" i="11" s="1"/>
  <c r="J83" i="11" s="1"/>
  <c r="E83" i="11"/>
  <c r="G83" i="11" s="1"/>
  <c r="I83" i="11" s="1"/>
  <c r="H82" i="11"/>
  <c r="J82" i="11" s="1"/>
  <c r="F82" i="11"/>
  <c r="E82" i="11"/>
  <c r="G82" i="11" s="1"/>
  <c r="I82" i="11" s="1"/>
  <c r="F81" i="11"/>
  <c r="H81" i="11" s="1"/>
  <c r="J81" i="11" s="1"/>
  <c r="E81" i="11"/>
  <c r="G81" i="11" s="1"/>
  <c r="I81" i="11" s="1"/>
  <c r="H80" i="11"/>
  <c r="J80" i="11" s="1"/>
  <c r="E80" i="11"/>
  <c r="G80" i="11" s="1"/>
  <c r="I80" i="11" s="1"/>
  <c r="F79" i="11"/>
  <c r="H79" i="11" s="1"/>
  <c r="J79" i="11" s="1"/>
  <c r="E79" i="11"/>
  <c r="G79" i="11" s="1"/>
  <c r="I79" i="11" s="1"/>
  <c r="H78" i="11"/>
  <c r="J78" i="11" s="1"/>
  <c r="G78" i="11"/>
  <c r="I78" i="11" s="1"/>
  <c r="E78" i="11"/>
  <c r="J77" i="11"/>
  <c r="I77" i="11"/>
  <c r="H77" i="11"/>
  <c r="G77" i="11"/>
  <c r="H76" i="11"/>
  <c r="J76" i="11" s="1"/>
  <c r="E76" i="11"/>
  <c r="G76" i="11" s="1"/>
  <c r="I76" i="11" s="1"/>
  <c r="J75" i="11"/>
  <c r="H75" i="11"/>
  <c r="E75" i="11"/>
  <c r="G75" i="11" s="1"/>
  <c r="I75" i="11" s="1"/>
  <c r="H74" i="11"/>
  <c r="J74" i="11" s="1"/>
  <c r="E74" i="11"/>
  <c r="G74" i="11" s="1"/>
  <c r="I74" i="11" s="1"/>
  <c r="I73" i="11"/>
  <c r="H73" i="11"/>
  <c r="J73" i="11" s="1"/>
  <c r="J104" i="11" s="1"/>
  <c r="G73" i="11"/>
  <c r="K67" i="11"/>
  <c r="C66" i="11"/>
  <c r="H65" i="11"/>
  <c r="L65" i="11" s="1"/>
  <c r="L64" i="11"/>
  <c r="G64" i="11"/>
  <c r="K64" i="11" s="1"/>
  <c r="K63" i="11"/>
  <c r="H63" i="11"/>
  <c r="L63" i="11" s="1"/>
  <c r="F63" i="11"/>
  <c r="E63" i="11"/>
  <c r="K62" i="11"/>
  <c r="F62" i="11"/>
  <c r="E62" i="11"/>
  <c r="H62" i="11" s="1"/>
  <c r="L62" i="11" s="1"/>
  <c r="K61" i="11"/>
  <c r="H61" i="11"/>
  <c r="L61" i="11" s="1"/>
  <c r="K60" i="11"/>
  <c r="F60" i="11"/>
  <c r="E60" i="11"/>
  <c r="H60" i="11" s="1"/>
  <c r="L60" i="11" s="1"/>
  <c r="K59" i="11"/>
  <c r="F59" i="11"/>
  <c r="E59" i="11"/>
  <c r="D59" i="11"/>
  <c r="H59" i="11" s="1"/>
  <c r="L59" i="11" s="1"/>
  <c r="K58" i="11"/>
  <c r="H58" i="11"/>
  <c r="L58" i="11" s="1"/>
  <c r="K57" i="11"/>
  <c r="E57" i="11"/>
  <c r="H57" i="11" s="1"/>
  <c r="L57" i="11" s="1"/>
  <c r="K56" i="11"/>
  <c r="H56" i="11"/>
  <c r="L56" i="11" s="1"/>
  <c r="L55" i="11"/>
  <c r="K55" i="11"/>
  <c r="L53" i="11"/>
  <c r="D52" i="11"/>
  <c r="G51" i="11"/>
  <c r="L49" i="11"/>
  <c r="G49" i="11"/>
  <c r="K49" i="11" s="1"/>
  <c r="F49" i="11"/>
  <c r="E49" i="11"/>
  <c r="K48" i="11"/>
  <c r="H48" i="11"/>
  <c r="L48" i="11" s="1"/>
  <c r="E48" i="11"/>
  <c r="F47" i="11"/>
  <c r="H47" i="11" s="1"/>
  <c r="L47" i="11" s="1"/>
  <c r="E47" i="11"/>
  <c r="G47" i="11" s="1"/>
  <c r="K47" i="11" s="1"/>
  <c r="L46" i="11"/>
  <c r="K46" i="11"/>
  <c r="H46" i="11"/>
  <c r="E46" i="11"/>
  <c r="L45" i="11"/>
  <c r="K45" i="11"/>
  <c r="H45" i="11"/>
  <c r="E45" i="11"/>
  <c r="K44" i="11"/>
  <c r="H44" i="11"/>
  <c r="L44" i="11" s="1"/>
  <c r="E44" i="11"/>
  <c r="L43" i="11"/>
  <c r="K43" i="11"/>
  <c r="H43" i="11"/>
  <c r="E43" i="11"/>
  <c r="L42" i="11"/>
  <c r="K42" i="11"/>
  <c r="H42" i="11"/>
  <c r="E42" i="11"/>
  <c r="K41" i="11"/>
  <c r="H41" i="11"/>
  <c r="L41" i="11" s="1"/>
  <c r="E41" i="11"/>
  <c r="K40" i="11"/>
  <c r="H40" i="11"/>
  <c r="L40" i="11" s="1"/>
  <c r="E40" i="11"/>
  <c r="K39" i="11"/>
  <c r="H39" i="11"/>
  <c r="L39" i="11" s="1"/>
  <c r="E39" i="11"/>
  <c r="L38" i="11"/>
  <c r="G38" i="11"/>
  <c r="K38" i="11" s="1"/>
  <c r="L37" i="11"/>
  <c r="G37" i="11"/>
  <c r="K37" i="11" s="1"/>
  <c r="F37" i="11"/>
  <c r="L36" i="11"/>
  <c r="F36" i="11"/>
  <c r="E36" i="11"/>
  <c r="G36" i="11" s="1"/>
  <c r="K36" i="11" s="1"/>
  <c r="L35" i="11"/>
  <c r="G35" i="11"/>
  <c r="K35" i="11" s="1"/>
  <c r="F35" i="11"/>
  <c r="E35" i="11"/>
  <c r="L34" i="11"/>
  <c r="F34" i="11"/>
  <c r="E34" i="11"/>
  <c r="G34" i="11" s="1"/>
  <c r="K34" i="11" s="1"/>
  <c r="L33" i="11"/>
  <c r="F33" i="11"/>
  <c r="E33" i="11"/>
  <c r="G33" i="11" s="1"/>
  <c r="K33" i="11" s="1"/>
  <c r="L32" i="11"/>
  <c r="G32" i="11"/>
  <c r="K32" i="11" s="1"/>
  <c r="F32" i="11"/>
  <c r="E32" i="11"/>
  <c r="L31" i="11"/>
  <c r="F31" i="11"/>
  <c r="E31" i="11"/>
  <c r="G31" i="11" s="1"/>
  <c r="K31" i="11" s="1"/>
  <c r="L30" i="11"/>
  <c r="F30" i="11"/>
  <c r="E30" i="11"/>
  <c r="G30" i="11" s="1"/>
  <c r="K30" i="11" s="1"/>
  <c r="L29" i="11"/>
  <c r="F29" i="11"/>
  <c r="E29" i="11"/>
  <c r="G29" i="11" s="1"/>
  <c r="K29" i="11" s="1"/>
  <c r="L28" i="11"/>
  <c r="L27" i="11"/>
  <c r="G27" i="11"/>
  <c r="K27" i="11" s="1"/>
  <c r="L26" i="11"/>
  <c r="F26" i="11"/>
  <c r="E26" i="11"/>
  <c r="C26" i="11"/>
  <c r="G26" i="11" s="1"/>
  <c r="K26" i="11" s="1"/>
  <c r="L25" i="11"/>
  <c r="F25" i="11"/>
  <c r="G25" i="11" s="1"/>
  <c r="K25" i="11" s="1"/>
  <c r="E25" i="11"/>
  <c r="C25" i="11"/>
  <c r="G24" i="11"/>
  <c r="K24" i="11" s="1"/>
  <c r="L23" i="11"/>
  <c r="G23" i="11"/>
  <c r="K23" i="11" s="1"/>
  <c r="L22" i="11"/>
  <c r="E22" i="11"/>
  <c r="G22" i="11" s="1"/>
  <c r="K22" i="11" s="1"/>
  <c r="L21" i="11"/>
  <c r="E21" i="11"/>
  <c r="G21" i="11" s="1"/>
  <c r="K21" i="11" s="1"/>
  <c r="L20" i="11"/>
  <c r="E20" i="11"/>
  <c r="G20" i="11" s="1"/>
  <c r="K20" i="11" s="1"/>
  <c r="L19" i="11"/>
  <c r="E19" i="11"/>
  <c r="G19" i="11" s="1"/>
  <c r="K19" i="11" s="1"/>
  <c r="L18" i="11"/>
  <c r="G18" i="11"/>
  <c r="K18" i="11" s="1"/>
  <c r="L17" i="11"/>
  <c r="K17" i="11"/>
  <c r="K16" i="11"/>
  <c r="E16" i="11"/>
  <c r="H16" i="11" s="1"/>
  <c r="N15" i="11"/>
  <c r="M15" i="11"/>
  <c r="L15" i="11"/>
  <c r="K15" i="11"/>
  <c r="F15" i="11"/>
  <c r="E15" i="11"/>
  <c r="L14" i="11"/>
  <c r="C14" i="11"/>
  <c r="G14" i="11" s="1"/>
  <c r="K14" i="11" s="1"/>
  <c r="L13" i="11"/>
  <c r="F13" i="11"/>
  <c r="F67" i="11" s="1"/>
  <c r="E13" i="11"/>
  <c r="G13" i="11" s="1"/>
  <c r="K13" i="11" s="1"/>
  <c r="L12" i="11"/>
  <c r="G12" i="11"/>
  <c r="K12" i="11" s="1"/>
  <c r="L11" i="11"/>
  <c r="G11" i="11"/>
  <c r="K11" i="11" s="1"/>
  <c r="M11" i="11" s="1"/>
  <c r="L10" i="11"/>
  <c r="G10" i="11"/>
  <c r="K10" i="11" s="1"/>
  <c r="L9" i="11"/>
  <c r="F9" i="11"/>
  <c r="E9" i="11"/>
  <c r="G9" i="11" s="1"/>
  <c r="K9" i="11" s="1"/>
  <c r="L8" i="11"/>
  <c r="G8" i="11"/>
  <c r="G108" i="10"/>
  <c r="F104" i="10"/>
  <c r="J103" i="10"/>
  <c r="I103" i="10"/>
  <c r="G102" i="10"/>
  <c r="I102" i="10" s="1"/>
  <c r="F102" i="10"/>
  <c r="H102" i="10" s="1"/>
  <c r="J102" i="10" s="1"/>
  <c r="H101" i="10"/>
  <c r="J101" i="10" s="1"/>
  <c r="G101" i="10"/>
  <c r="I101" i="10" s="1"/>
  <c r="F101" i="10"/>
  <c r="E101" i="10"/>
  <c r="J100" i="10"/>
  <c r="H100" i="10"/>
  <c r="E100" i="10"/>
  <c r="G100" i="10" s="1"/>
  <c r="I100" i="10" s="1"/>
  <c r="I99" i="10"/>
  <c r="E99" i="10"/>
  <c r="H99" i="10" s="1"/>
  <c r="J99" i="10" s="1"/>
  <c r="J98" i="10"/>
  <c r="H98" i="10"/>
  <c r="G98" i="10"/>
  <c r="I98" i="10" s="1"/>
  <c r="F98" i="10"/>
  <c r="E98" i="10"/>
  <c r="H97" i="10"/>
  <c r="J97" i="10" s="1"/>
  <c r="G97" i="10"/>
  <c r="I97" i="10" s="1"/>
  <c r="I96" i="10"/>
  <c r="H96" i="10"/>
  <c r="J96" i="10" s="1"/>
  <c r="G96" i="10"/>
  <c r="J95" i="10"/>
  <c r="I95" i="10"/>
  <c r="H95" i="10"/>
  <c r="G95" i="10"/>
  <c r="H94" i="10"/>
  <c r="J94" i="10" s="1"/>
  <c r="E94" i="10"/>
  <c r="G94" i="10" s="1"/>
  <c r="I94" i="10" s="1"/>
  <c r="J93" i="10"/>
  <c r="I93" i="10"/>
  <c r="H93" i="10"/>
  <c r="G93" i="10"/>
  <c r="J92" i="10"/>
  <c r="I92" i="10"/>
  <c r="H92" i="10"/>
  <c r="G92" i="10"/>
  <c r="H91" i="10"/>
  <c r="J91" i="10" s="1"/>
  <c r="G91" i="10"/>
  <c r="I91" i="10" s="1"/>
  <c r="J90" i="10"/>
  <c r="I90" i="10"/>
  <c r="H90" i="10"/>
  <c r="G90" i="10"/>
  <c r="J89" i="10"/>
  <c r="I89" i="10"/>
  <c r="H89" i="10"/>
  <c r="G89" i="10"/>
  <c r="H88" i="10"/>
  <c r="J88" i="10" s="1"/>
  <c r="G88" i="10"/>
  <c r="I88" i="10" s="1"/>
  <c r="J87" i="10"/>
  <c r="I87" i="10"/>
  <c r="H87" i="10"/>
  <c r="G87" i="10"/>
  <c r="J86" i="10"/>
  <c r="I86" i="10"/>
  <c r="H86" i="10"/>
  <c r="G86" i="10"/>
  <c r="H85" i="10"/>
  <c r="J85" i="10" s="1"/>
  <c r="G85" i="10"/>
  <c r="I85" i="10" s="1"/>
  <c r="J84" i="10"/>
  <c r="I84" i="10"/>
  <c r="H84" i="10"/>
  <c r="G84" i="10"/>
  <c r="F83" i="10"/>
  <c r="H83" i="10" s="1"/>
  <c r="J83" i="10" s="1"/>
  <c r="E83" i="10"/>
  <c r="G83" i="10" s="1"/>
  <c r="I83" i="10" s="1"/>
  <c r="H82" i="10"/>
  <c r="J82" i="10" s="1"/>
  <c r="G82" i="10"/>
  <c r="I82" i="10" s="1"/>
  <c r="F82" i="10"/>
  <c r="E82" i="10"/>
  <c r="F81" i="10"/>
  <c r="H81" i="10" s="1"/>
  <c r="J81" i="10" s="1"/>
  <c r="E81" i="10"/>
  <c r="G81" i="10" s="1"/>
  <c r="I81" i="10" s="1"/>
  <c r="H80" i="10"/>
  <c r="J80" i="10" s="1"/>
  <c r="G80" i="10"/>
  <c r="I80" i="10" s="1"/>
  <c r="E80" i="10"/>
  <c r="J79" i="10"/>
  <c r="H79" i="10"/>
  <c r="F79" i="10"/>
  <c r="E79" i="10"/>
  <c r="G79" i="10" s="1"/>
  <c r="I79" i="10" s="1"/>
  <c r="H78" i="10"/>
  <c r="J78" i="10" s="1"/>
  <c r="E78" i="10"/>
  <c r="G78" i="10" s="1"/>
  <c r="I78" i="10" s="1"/>
  <c r="J77" i="10"/>
  <c r="I77" i="10"/>
  <c r="H77" i="10"/>
  <c r="G77" i="10"/>
  <c r="H76" i="10"/>
  <c r="J76" i="10" s="1"/>
  <c r="E76" i="10"/>
  <c r="G76" i="10" s="1"/>
  <c r="I76" i="10" s="1"/>
  <c r="J75" i="10"/>
  <c r="H75" i="10"/>
  <c r="E75" i="10"/>
  <c r="G75" i="10" s="1"/>
  <c r="I75" i="10" s="1"/>
  <c r="J74" i="10"/>
  <c r="H74" i="10"/>
  <c r="E74" i="10"/>
  <c r="G74" i="10" s="1"/>
  <c r="I74" i="10" s="1"/>
  <c r="H73" i="10"/>
  <c r="J73" i="10" s="1"/>
  <c r="G73" i="10"/>
  <c r="I73" i="10" s="1"/>
  <c r="K67" i="10"/>
  <c r="C66" i="10"/>
  <c r="H65" i="10"/>
  <c r="L65" i="10" s="1"/>
  <c r="L64" i="10"/>
  <c r="G64" i="10"/>
  <c r="K64" i="10" s="1"/>
  <c r="K63" i="10"/>
  <c r="F63" i="10"/>
  <c r="H63" i="10" s="1"/>
  <c r="L63" i="10" s="1"/>
  <c r="E63" i="10"/>
  <c r="K62" i="10"/>
  <c r="F62" i="10"/>
  <c r="H62" i="10" s="1"/>
  <c r="L62" i="10" s="1"/>
  <c r="E62" i="10"/>
  <c r="K61" i="10"/>
  <c r="H61" i="10"/>
  <c r="L61" i="10" s="1"/>
  <c r="K60" i="10"/>
  <c r="H60" i="10"/>
  <c r="L60" i="10" s="1"/>
  <c r="F60" i="10"/>
  <c r="E60" i="10"/>
  <c r="K59" i="10"/>
  <c r="F59" i="10"/>
  <c r="E59" i="10"/>
  <c r="D59" i="10"/>
  <c r="H59" i="10" s="1"/>
  <c r="L59" i="10" s="1"/>
  <c r="K58" i="10"/>
  <c r="H58" i="10"/>
  <c r="L58" i="10" s="1"/>
  <c r="K57" i="10"/>
  <c r="E57" i="10"/>
  <c r="H57" i="10" s="1"/>
  <c r="K56" i="10"/>
  <c r="H56" i="10"/>
  <c r="L56" i="10" s="1"/>
  <c r="L55" i="10"/>
  <c r="K55" i="10"/>
  <c r="L53" i="10"/>
  <c r="D52" i="10"/>
  <c r="G51" i="10"/>
  <c r="L49" i="10"/>
  <c r="F49" i="10"/>
  <c r="E49" i="10"/>
  <c r="G49" i="10" s="1"/>
  <c r="K49" i="10" s="1"/>
  <c r="K48" i="10"/>
  <c r="H48" i="10"/>
  <c r="L48" i="10" s="1"/>
  <c r="E48" i="10"/>
  <c r="F47" i="10"/>
  <c r="H47" i="10" s="1"/>
  <c r="L47" i="10" s="1"/>
  <c r="E47" i="10"/>
  <c r="G47" i="10" s="1"/>
  <c r="K47" i="10" s="1"/>
  <c r="L46" i="10"/>
  <c r="K46" i="10"/>
  <c r="H46" i="10"/>
  <c r="E46" i="10"/>
  <c r="L45" i="10"/>
  <c r="K45" i="10"/>
  <c r="H45" i="10"/>
  <c r="E45" i="10"/>
  <c r="K44" i="10"/>
  <c r="H44" i="10"/>
  <c r="L44" i="10" s="1"/>
  <c r="E44" i="10"/>
  <c r="L43" i="10"/>
  <c r="K43" i="10"/>
  <c r="H43" i="10"/>
  <c r="E43" i="10"/>
  <c r="L42" i="10"/>
  <c r="K42" i="10"/>
  <c r="H42" i="10"/>
  <c r="E42" i="10"/>
  <c r="K41" i="10"/>
  <c r="H41" i="10"/>
  <c r="L41" i="10" s="1"/>
  <c r="E41" i="10"/>
  <c r="L40" i="10"/>
  <c r="K40" i="10"/>
  <c r="H40" i="10"/>
  <c r="E40" i="10"/>
  <c r="K39" i="10"/>
  <c r="H39" i="10"/>
  <c r="L39" i="10" s="1"/>
  <c r="E39" i="10"/>
  <c r="L38" i="10"/>
  <c r="G38" i="10"/>
  <c r="K38" i="10" s="1"/>
  <c r="L37" i="10"/>
  <c r="G37" i="10"/>
  <c r="K37" i="10" s="1"/>
  <c r="F37" i="10"/>
  <c r="L36" i="10"/>
  <c r="F36" i="10"/>
  <c r="E36" i="10"/>
  <c r="G36" i="10" s="1"/>
  <c r="K36" i="10" s="1"/>
  <c r="L35" i="10"/>
  <c r="G35" i="10"/>
  <c r="K35" i="10" s="1"/>
  <c r="F35" i="10"/>
  <c r="E35" i="10"/>
  <c r="L34" i="10"/>
  <c r="F34" i="10"/>
  <c r="E34" i="10"/>
  <c r="G34" i="10" s="1"/>
  <c r="K34" i="10" s="1"/>
  <c r="L33" i="10"/>
  <c r="F33" i="10"/>
  <c r="E33" i="10"/>
  <c r="G33" i="10" s="1"/>
  <c r="K33" i="10" s="1"/>
  <c r="L32" i="10"/>
  <c r="G32" i="10"/>
  <c r="K32" i="10" s="1"/>
  <c r="F32" i="10"/>
  <c r="E32" i="10"/>
  <c r="L31" i="10"/>
  <c r="F31" i="10"/>
  <c r="E31" i="10"/>
  <c r="G31" i="10" s="1"/>
  <c r="K31" i="10" s="1"/>
  <c r="L30" i="10"/>
  <c r="F30" i="10"/>
  <c r="E30" i="10"/>
  <c r="G30" i="10" s="1"/>
  <c r="K30" i="10" s="1"/>
  <c r="L29" i="10"/>
  <c r="F29" i="10"/>
  <c r="E29" i="10"/>
  <c r="G29" i="10" s="1"/>
  <c r="K29" i="10" s="1"/>
  <c r="L28" i="10"/>
  <c r="L27" i="10"/>
  <c r="K27" i="10"/>
  <c r="G27" i="10"/>
  <c r="L26" i="10"/>
  <c r="F26" i="10"/>
  <c r="E26" i="10"/>
  <c r="C26" i="10"/>
  <c r="G26" i="10" s="1"/>
  <c r="K26" i="10" s="1"/>
  <c r="L25" i="10"/>
  <c r="F25" i="10"/>
  <c r="E25" i="10"/>
  <c r="G25" i="10" s="1"/>
  <c r="K25" i="10" s="1"/>
  <c r="C25" i="10"/>
  <c r="G24" i="10"/>
  <c r="K24" i="10" s="1"/>
  <c r="L23" i="10"/>
  <c r="G23" i="10"/>
  <c r="K23" i="10" s="1"/>
  <c r="L22" i="10"/>
  <c r="E22" i="10"/>
  <c r="G22" i="10" s="1"/>
  <c r="K22" i="10" s="1"/>
  <c r="L21" i="10"/>
  <c r="E21" i="10"/>
  <c r="G21" i="10" s="1"/>
  <c r="K21" i="10" s="1"/>
  <c r="L20" i="10"/>
  <c r="E20" i="10"/>
  <c r="G20" i="10" s="1"/>
  <c r="K20" i="10" s="1"/>
  <c r="L19" i="10"/>
  <c r="E19" i="10"/>
  <c r="G19" i="10" s="1"/>
  <c r="K19" i="10" s="1"/>
  <c r="L18" i="10"/>
  <c r="G18" i="10"/>
  <c r="K18" i="10" s="1"/>
  <c r="L17" i="10"/>
  <c r="K17" i="10"/>
  <c r="K16" i="10"/>
  <c r="E16" i="10"/>
  <c r="H16" i="10" s="1"/>
  <c r="N15" i="10"/>
  <c r="M15" i="10"/>
  <c r="L15" i="10"/>
  <c r="K15" i="10"/>
  <c r="F15" i="10"/>
  <c r="E15" i="10"/>
  <c r="L14" i="10"/>
  <c r="C14" i="10"/>
  <c r="G14" i="10" s="1"/>
  <c r="K14" i="10" s="1"/>
  <c r="L13" i="10"/>
  <c r="F13" i="10"/>
  <c r="F67" i="10" s="1"/>
  <c r="E13" i="10"/>
  <c r="G13" i="10" s="1"/>
  <c r="K13" i="10" s="1"/>
  <c r="L12" i="10"/>
  <c r="G12" i="10"/>
  <c r="K12" i="10" s="1"/>
  <c r="L11" i="10"/>
  <c r="G11" i="10"/>
  <c r="K11" i="10" s="1"/>
  <c r="L10" i="10"/>
  <c r="G10" i="10"/>
  <c r="K10" i="10" s="1"/>
  <c r="L9" i="10"/>
  <c r="G9" i="10"/>
  <c r="K9" i="10" s="1"/>
  <c r="F9" i="10"/>
  <c r="E9" i="10"/>
  <c r="L8" i="10"/>
  <c r="G8" i="10"/>
  <c r="G108" i="9"/>
  <c r="F104" i="9"/>
  <c r="J103" i="9"/>
  <c r="I103" i="9"/>
  <c r="G102" i="9"/>
  <c r="I102" i="9" s="1"/>
  <c r="F102" i="9"/>
  <c r="H102" i="9" s="1"/>
  <c r="J102" i="9" s="1"/>
  <c r="H101" i="9"/>
  <c r="J101" i="9" s="1"/>
  <c r="G101" i="9"/>
  <c r="I101" i="9" s="1"/>
  <c r="F101" i="9"/>
  <c r="E101" i="9"/>
  <c r="J100" i="9"/>
  <c r="H100" i="9"/>
  <c r="E100" i="9"/>
  <c r="G100" i="9" s="1"/>
  <c r="I100" i="9" s="1"/>
  <c r="I99" i="9"/>
  <c r="E99" i="9"/>
  <c r="H99" i="9" s="1"/>
  <c r="J99" i="9" s="1"/>
  <c r="J98" i="9"/>
  <c r="H98" i="9"/>
  <c r="G98" i="9"/>
  <c r="I98" i="9" s="1"/>
  <c r="F98" i="9"/>
  <c r="E98" i="9"/>
  <c r="H97" i="9"/>
  <c r="J97" i="9" s="1"/>
  <c r="G97" i="9"/>
  <c r="I97" i="9" s="1"/>
  <c r="I96" i="9"/>
  <c r="H96" i="9"/>
  <c r="J96" i="9" s="1"/>
  <c r="G96" i="9"/>
  <c r="J95" i="9"/>
  <c r="I95" i="9"/>
  <c r="H95" i="9"/>
  <c r="G95" i="9"/>
  <c r="H94" i="9"/>
  <c r="J94" i="9" s="1"/>
  <c r="E94" i="9"/>
  <c r="G94" i="9" s="1"/>
  <c r="I94" i="9" s="1"/>
  <c r="J93" i="9"/>
  <c r="I93" i="9"/>
  <c r="H93" i="9"/>
  <c r="G93" i="9"/>
  <c r="J92" i="9"/>
  <c r="I92" i="9"/>
  <c r="H92" i="9"/>
  <c r="G92" i="9"/>
  <c r="H91" i="9"/>
  <c r="J91" i="9" s="1"/>
  <c r="G91" i="9"/>
  <c r="I91" i="9" s="1"/>
  <c r="J90" i="9"/>
  <c r="I90" i="9"/>
  <c r="H90" i="9"/>
  <c r="G90" i="9"/>
  <c r="J89" i="9"/>
  <c r="I89" i="9"/>
  <c r="H89" i="9"/>
  <c r="G89" i="9"/>
  <c r="H88" i="9"/>
  <c r="J88" i="9" s="1"/>
  <c r="G88" i="9"/>
  <c r="I88" i="9" s="1"/>
  <c r="J87" i="9"/>
  <c r="I87" i="9"/>
  <c r="H87" i="9"/>
  <c r="G87" i="9"/>
  <c r="J86" i="9"/>
  <c r="I86" i="9"/>
  <c r="H86" i="9"/>
  <c r="G86" i="9"/>
  <c r="H85" i="9"/>
  <c r="J85" i="9" s="1"/>
  <c r="G85" i="9"/>
  <c r="I85" i="9" s="1"/>
  <c r="J84" i="9"/>
  <c r="I84" i="9"/>
  <c r="H84" i="9"/>
  <c r="G84" i="9"/>
  <c r="F83" i="9"/>
  <c r="H83" i="9" s="1"/>
  <c r="J83" i="9" s="1"/>
  <c r="E83" i="9"/>
  <c r="G83" i="9" s="1"/>
  <c r="I83" i="9" s="1"/>
  <c r="H82" i="9"/>
  <c r="J82" i="9" s="1"/>
  <c r="G82" i="9"/>
  <c r="I82" i="9" s="1"/>
  <c r="F82" i="9"/>
  <c r="E82" i="9"/>
  <c r="F81" i="9"/>
  <c r="H81" i="9" s="1"/>
  <c r="J81" i="9" s="1"/>
  <c r="E81" i="9"/>
  <c r="G81" i="9" s="1"/>
  <c r="I81" i="9" s="1"/>
  <c r="H80" i="9"/>
  <c r="J80" i="9" s="1"/>
  <c r="G80" i="9"/>
  <c r="I80" i="9" s="1"/>
  <c r="E80" i="9"/>
  <c r="J79" i="9"/>
  <c r="H79" i="9"/>
  <c r="F79" i="9"/>
  <c r="E79" i="9"/>
  <c r="G79" i="9" s="1"/>
  <c r="I79" i="9" s="1"/>
  <c r="H78" i="9"/>
  <c r="J78" i="9" s="1"/>
  <c r="E78" i="9"/>
  <c r="G78" i="9" s="1"/>
  <c r="I78" i="9" s="1"/>
  <c r="J77" i="9"/>
  <c r="I77" i="9"/>
  <c r="H77" i="9"/>
  <c r="G77" i="9"/>
  <c r="H76" i="9"/>
  <c r="J76" i="9" s="1"/>
  <c r="E76" i="9"/>
  <c r="G76" i="9" s="1"/>
  <c r="I76" i="9" s="1"/>
  <c r="J75" i="9"/>
  <c r="H75" i="9"/>
  <c r="E75" i="9"/>
  <c r="G75" i="9" s="1"/>
  <c r="I75" i="9" s="1"/>
  <c r="J74" i="9"/>
  <c r="H74" i="9"/>
  <c r="E74" i="9"/>
  <c r="G74" i="9" s="1"/>
  <c r="I74" i="9" s="1"/>
  <c r="H73" i="9"/>
  <c r="J73" i="9" s="1"/>
  <c r="G73" i="9"/>
  <c r="I73" i="9" s="1"/>
  <c r="K67" i="9"/>
  <c r="C66" i="9"/>
  <c r="H65" i="9"/>
  <c r="L65" i="9" s="1"/>
  <c r="L64" i="9"/>
  <c r="G64" i="9"/>
  <c r="K64" i="9" s="1"/>
  <c r="K63" i="9"/>
  <c r="F63" i="9"/>
  <c r="H63" i="9" s="1"/>
  <c r="L63" i="9" s="1"/>
  <c r="E63" i="9"/>
  <c r="K62" i="9"/>
  <c r="F62" i="9"/>
  <c r="H62" i="9" s="1"/>
  <c r="L62" i="9" s="1"/>
  <c r="E62" i="9"/>
  <c r="K61" i="9"/>
  <c r="H61" i="9"/>
  <c r="L61" i="9" s="1"/>
  <c r="K60" i="9"/>
  <c r="H60" i="9"/>
  <c r="L60" i="9" s="1"/>
  <c r="F60" i="9"/>
  <c r="E60" i="9"/>
  <c r="K59" i="9"/>
  <c r="F59" i="9"/>
  <c r="E59" i="9"/>
  <c r="D59" i="9"/>
  <c r="H59" i="9" s="1"/>
  <c r="L59" i="9" s="1"/>
  <c r="K58" i="9"/>
  <c r="H58" i="9"/>
  <c r="L58" i="9" s="1"/>
  <c r="K57" i="9"/>
  <c r="E57" i="9"/>
  <c r="H57" i="9" s="1"/>
  <c r="K56" i="9"/>
  <c r="H56" i="9"/>
  <c r="L56" i="9" s="1"/>
  <c r="L55" i="9"/>
  <c r="K55" i="9"/>
  <c r="L53" i="9"/>
  <c r="D52" i="9"/>
  <c r="G51" i="9"/>
  <c r="L49" i="9"/>
  <c r="F49" i="9"/>
  <c r="E49" i="9"/>
  <c r="G49" i="9" s="1"/>
  <c r="K49" i="9" s="1"/>
  <c r="K48" i="9"/>
  <c r="H48" i="9"/>
  <c r="L48" i="9" s="1"/>
  <c r="E48" i="9"/>
  <c r="F47" i="9"/>
  <c r="H47" i="9" s="1"/>
  <c r="L47" i="9" s="1"/>
  <c r="E47" i="9"/>
  <c r="G47" i="9" s="1"/>
  <c r="K47" i="9" s="1"/>
  <c r="L46" i="9"/>
  <c r="K46" i="9"/>
  <c r="H46" i="9"/>
  <c r="E46" i="9"/>
  <c r="L45" i="9"/>
  <c r="K45" i="9"/>
  <c r="H45" i="9"/>
  <c r="E45" i="9"/>
  <c r="K44" i="9"/>
  <c r="H44" i="9"/>
  <c r="L44" i="9" s="1"/>
  <c r="E44" i="9"/>
  <c r="L43" i="9"/>
  <c r="K43" i="9"/>
  <c r="H43" i="9"/>
  <c r="E43" i="9"/>
  <c r="L42" i="9"/>
  <c r="K42" i="9"/>
  <c r="H42" i="9"/>
  <c r="E42" i="9"/>
  <c r="K41" i="9"/>
  <c r="H41" i="9"/>
  <c r="L41" i="9" s="1"/>
  <c r="E41" i="9"/>
  <c r="L40" i="9"/>
  <c r="K40" i="9"/>
  <c r="H40" i="9"/>
  <c r="E40" i="9"/>
  <c r="K39" i="9"/>
  <c r="H39" i="9"/>
  <c r="L39" i="9" s="1"/>
  <c r="E39" i="9"/>
  <c r="L38" i="9"/>
  <c r="G38" i="9"/>
  <c r="K38" i="9" s="1"/>
  <c r="L37" i="9"/>
  <c r="G37" i="9"/>
  <c r="K37" i="9" s="1"/>
  <c r="F37" i="9"/>
  <c r="L36" i="9"/>
  <c r="F36" i="9"/>
  <c r="E36" i="9"/>
  <c r="G36" i="9" s="1"/>
  <c r="K36" i="9" s="1"/>
  <c r="L35" i="9"/>
  <c r="G35" i="9"/>
  <c r="K35" i="9" s="1"/>
  <c r="F35" i="9"/>
  <c r="E35" i="9"/>
  <c r="L34" i="9"/>
  <c r="F34" i="9"/>
  <c r="E34" i="9"/>
  <c r="G34" i="9" s="1"/>
  <c r="K34" i="9" s="1"/>
  <c r="L33" i="9"/>
  <c r="F33" i="9"/>
  <c r="E33" i="9"/>
  <c r="G33" i="9" s="1"/>
  <c r="K33" i="9" s="1"/>
  <c r="L32" i="9"/>
  <c r="G32" i="9"/>
  <c r="K32" i="9" s="1"/>
  <c r="F32" i="9"/>
  <c r="E32" i="9"/>
  <c r="L31" i="9"/>
  <c r="F31" i="9"/>
  <c r="E31" i="9"/>
  <c r="G31" i="9" s="1"/>
  <c r="K31" i="9" s="1"/>
  <c r="L30" i="9"/>
  <c r="F30" i="9"/>
  <c r="E30" i="9"/>
  <c r="G30" i="9" s="1"/>
  <c r="K30" i="9" s="1"/>
  <c r="L29" i="9"/>
  <c r="F29" i="9"/>
  <c r="E29" i="9"/>
  <c r="G29" i="9" s="1"/>
  <c r="K29" i="9" s="1"/>
  <c r="L28" i="9"/>
  <c r="L27" i="9"/>
  <c r="K27" i="9"/>
  <c r="G27" i="9"/>
  <c r="L26" i="9"/>
  <c r="F26" i="9"/>
  <c r="E26" i="9"/>
  <c r="C26" i="9"/>
  <c r="G26" i="9" s="1"/>
  <c r="K26" i="9" s="1"/>
  <c r="L25" i="9"/>
  <c r="F25" i="9"/>
  <c r="E25" i="9"/>
  <c r="G25" i="9" s="1"/>
  <c r="K25" i="9" s="1"/>
  <c r="C25" i="9"/>
  <c r="G24" i="9"/>
  <c r="K24" i="9" s="1"/>
  <c r="L23" i="9"/>
  <c r="G23" i="9"/>
  <c r="K23" i="9" s="1"/>
  <c r="L22" i="9"/>
  <c r="E22" i="9"/>
  <c r="G22" i="9" s="1"/>
  <c r="K22" i="9" s="1"/>
  <c r="L21" i="9"/>
  <c r="E21" i="9"/>
  <c r="G21" i="9" s="1"/>
  <c r="K21" i="9" s="1"/>
  <c r="L20" i="9"/>
  <c r="E20" i="9"/>
  <c r="G20" i="9" s="1"/>
  <c r="K20" i="9" s="1"/>
  <c r="L19" i="9"/>
  <c r="E19" i="9"/>
  <c r="G19" i="9" s="1"/>
  <c r="K19" i="9" s="1"/>
  <c r="L18" i="9"/>
  <c r="G18" i="9"/>
  <c r="K18" i="9" s="1"/>
  <c r="L17" i="9"/>
  <c r="K17" i="9"/>
  <c r="K16" i="9"/>
  <c r="E16" i="9"/>
  <c r="H16" i="9" s="1"/>
  <c r="N15" i="9"/>
  <c r="M15" i="9"/>
  <c r="L15" i="9"/>
  <c r="K15" i="9"/>
  <c r="F15" i="9"/>
  <c r="E15" i="9"/>
  <c r="L14" i="9"/>
  <c r="C14" i="9"/>
  <c r="G14" i="9" s="1"/>
  <c r="K14" i="9" s="1"/>
  <c r="L13" i="9"/>
  <c r="F13" i="9"/>
  <c r="F67" i="9" s="1"/>
  <c r="E13" i="9"/>
  <c r="G13" i="9" s="1"/>
  <c r="K13" i="9" s="1"/>
  <c r="L12" i="9"/>
  <c r="G12" i="9"/>
  <c r="K12" i="9" s="1"/>
  <c r="L11" i="9"/>
  <c r="G11" i="9"/>
  <c r="K11" i="9" s="1"/>
  <c r="L10" i="9"/>
  <c r="G10" i="9"/>
  <c r="K10" i="9" s="1"/>
  <c r="L9" i="9"/>
  <c r="G9" i="9"/>
  <c r="K9" i="9" s="1"/>
  <c r="F9" i="9"/>
  <c r="E9" i="9"/>
  <c r="E67" i="9" s="1"/>
  <c r="L8" i="9"/>
  <c r="G8" i="9"/>
  <c r="I104" i="11" l="1"/>
  <c r="J105" i="11" s="1"/>
  <c r="L16" i="11"/>
  <c r="H52" i="11"/>
  <c r="L52" i="11" s="1"/>
  <c r="M29" i="11"/>
  <c r="M30" i="11" s="1"/>
  <c r="G52" i="11"/>
  <c r="M77" i="11"/>
  <c r="M68" i="11"/>
  <c r="M19" i="11"/>
  <c r="M39" i="11"/>
  <c r="M40" i="11" s="1"/>
  <c r="D66" i="11"/>
  <c r="D67" i="11" s="1"/>
  <c r="E67" i="11"/>
  <c r="E104" i="11"/>
  <c r="G66" i="11"/>
  <c r="H66" i="11"/>
  <c r="F104" i="11"/>
  <c r="F105" i="11" s="1"/>
  <c r="C52" i="11"/>
  <c r="C53" i="11" s="1"/>
  <c r="K8" i="11"/>
  <c r="L16" i="10"/>
  <c r="H52" i="10"/>
  <c r="L52" i="10" s="1"/>
  <c r="M39" i="10"/>
  <c r="M40" i="10" s="1"/>
  <c r="L57" i="10"/>
  <c r="H66" i="10"/>
  <c r="M11" i="10"/>
  <c r="I104" i="10"/>
  <c r="J104" i="10"/>
  <c r="J105" i="10" s="1"/>
  <c r="G52" i="10"/>
  <c r="M29" i="10"/>
  <c r="M30" i="10" s="1"/>
  <c r="M19" i="10"/>
  <c r="M77" i="10"/>
  <c r="D66" i="10"/>
  <c r="D67" i="10" s="1"/>
  <c r="G66" i="10"/>
  <c r="E104" i="10"/>
  <c r="F105" i="10" s="1"/>
  <c r="M68" i="10" s="1"/>
  <c r="C52" i="10"/>
  <c r="C53" i="10" s="1"/>
  <c r="E67" i="10"/>
  <c r="K8" i="10"/>
  <c r="M11" i="9"/>
  <c r="I104" i="9"/>
  <c r="J104" i="9"/>
  <c r="M29" i="9"/>
  <c r="M30" i="9" s="1"/>
  <c r="M77" i="9"/>
  <c r="G52" i="9"/>
  <c r="F105" i="9"/>
  <c r="M68" i="9" s="1"/>
  <c r="L16" i="9"/>
  <c r="H52" i="9"/>
  <c r="L52" i="9" s="1"/>
  <c r="M19" i="9"/>
  <c r="M39" i="9"/>
  <c r="M40" i="9" s="1"/>
  <c r="H66" i="9"/>
  <c r="L57" i="9"/>
  <c r="D66" i="9"/>
  <c r="D67" i="9" s="1"/>
  <c r="G66" i="9"/>
  <c r="E104" i="9"/>
  <c r="C52" i="9"/>
  <c r="C53" i="9" s="1"/>
  <c r="K8" i="9"/>
  <c r="E94" i="5"/>
  <c r="F47" i="5"/>
  <c r="F49" i="5"/>
  <c r="E49" i="5"/>
  <c r="E48" i="5"/>
  <c r="E47" i="5"/>
  <c r="E46" i="5"/>
  <c r="E45" i="5"/>
  <c r="E44" i="5"/>
  <c r="E43" i="5"/>
  <c r="E42" i="5"/>
  <c r="E41" i="5"/>
  <c r="E40" i="5"/>
  <c r="E39" i="5"/>
  <c r="F37" i="7"/>
  <c r="F36" i="7"/>
  <c r="F35" i="7"/>
  <c r="F34" i="7"/>
  <c r="F33" i="7"/>
  <c r="F32" i="7"/>
  <c r="F31" i="7"/>
  <c r="F29" i="7"/>
  <c r="F30" i="7"/>
  <c r="F37" i="5"/>
  <c r="F36" i="5"/>
  <c r="F35" i="5"/>
  <c r="F34" i="5"/>
  <c r="F33" i="5"/>
  <c r="F32" i="5"/>
  <c r="F31" i="5"/>
  <c r="F30" i="5"/>
  <c r="F29" i="5"/>
  <c r="F15" i="5"/>
  <c r="E15" i="5"/>
  <c r="E13" i="5"/>
  <c r="F9" i="5"/>
  <c r="E9" i="5"/>
  <c r="H67" i="11" l="1"/>
  <c r="L66" i="11"/>
  <c r="H104" i="11"/>
  <c r="K66" i="11"/>
  <c r="G104" i="11"/>
  <c r="G53" i="11"/>
  <c r="K52" i="11"/>
  <c r="K53" i="11" s="1"/>
  <c r="G53" i="10"/>
  <c r="K52" i="10"/>
  <c r="K53" i="10" s="1"/>
  <c r="L66" i="10"/>
  <c r="H67" i="10"/>
  <c r="H104" i="10"/>
  <c r="G104" i="10"/>
  <c r="K66" i="10"/>
  <c r="K66" i="9"/>
  <c r="G104" i="9"/>
  <c r="K52" i="9"/>
  <c r="K53" i="9" s="1"/>
  <c r="G53" i="9"/>
  <c r="J105" i="9"/>
  <c r="L66" i="9"/>
  <c r="L67" i="9" s="1"/>
  <c r="H67" i="9"/>
  <c r="H104" i="9"/>
  <c r="H105" i="9" s="1"/>
  <c r="G108" i="7"/>
  <c r="J103" i="7"/>
  <c r="I103" i="7"/>
  <c r="F102" i="7"/>
  <c r="H102" i="7" s="1"/>
  <c r="J102" i="7" s="1"/>
  <c r="F101" i="7"/>
  <c r="H101" i="7" s="1"/>
  <c r="J101" i="7" s="1"/>
  <c r="E101" i="7"/>
  <c r="G101" i="7" s="1"/>
  <c r="I101" i="7" s="1"/>
  <c r="E100" i="7"/>
  <c r="G100" i="7" s="1"/>
  <c r="I100" i="7" s="1"/>
  <c r="I99" i="7"/>
  <c r="E99" i="7"/>
  <c r="F98" i="7"/>
  <c r="H98" i="7" s="1"/>
  <c r="J98" i="7" s="1"/>
  <c r="E98" i="7"/>
  <c r="G98" i="7" s="1"/>
  <c r="I98" i="7" s="1"/>
  <c r="H97" i="7"/>
  <c r="J97" i="7" s="1"/>
  <c r="G97" i="7"/>
  <c r="I97" i="7" s="1"/>
  <c r="H96" i="7"/>
  <c r="J96" i="7" s="1"/>
  <c r="G96" i="7"/>
  <c r="I96" i="7" s="1"/>
  <c r="H95" i="7"/>
  <c r="J95" i="7" s="1"/>
  <c r="H94" i="7"/>
  <c r="J94" i="7" s="1"/>
  <c r="G94" i="7"/>
  <c r="I94" i="7" s="1"/>
  <c r="J93" i="7"/>
  <c r="H93" i="7"/>
  <c r="H92" i="7"/>
  <c r="J92" i="7" s="1"/>
  <c r="H91" i="7"/>
  <c r="J91" i="7" s="1"/>
  <c r="H90" i="7"/>
  <c r="J90" i="7" s="1"/>
  <c r="H89" i="7"/>
  <c r="J89" i="7" s="1"/>
  <c r="H88" i="7"/>
  <c r="J88" i="7" s="1"/>
  <c r="H87" i="7"/>
  <c r="J87" i="7" s="1"/>
  <c r="H86" i="7"/>
  <c r="J86" i="7" s="1"/>
  <c r="H85" i="7"/>
  <c r="J85" i="7" s="1"/>
  <c r="G85" i="7"/>
  <c r="I85" i="7" s="1"/>
  <c r="H84" i="7"/>
  <c r="J84" i="7" s="1"/>
  <c r="G84" i="7"/>
  <c r="I84" i="7" s="1"/>
  <c r="F83" i="7"/>
  <c r="H83" i="7" s="1"/>
  <c r="J83" i="7" s="1"/>
  <c r="E83" i="7"/>
  <c r="G83" i="7" s="1"/>
  <c r="I83" i="7" s="1"/>
  <c r="F82" i="7"/>
  <c r="H82" i="7" s="1"/>
  <c r="J82" i="7" s="1"/>
  <c r="E82" i="7"/>
  <c r="G82" i="7" s="1"/>
  <c r="I82" i="7" s="1"/>
  <c r="F81" i="7"/>
  <c r="H81" i="7" s="1"/>
  <c r="J81" i="7" s="1"/>
  <c r="E81" i="7"/>
  <c r="G81" i="7" s="1"/>
  <c r="I81" i="7" s="1"/>
  <c r="E80" i="7"/>
  <c r="G80" i="7" s="1"/>
  <c r="I80" i="7" s="1"/>
  <c r="F79" i="7"/>
  <c r="H79" i="7" s="1"/>
  <c r="J79" i="7" s="1"/>
  <c r="E79" i="7"/>
  <c r="G79" i="7" s="1"/>
  <c r="I79" i="7" s="1"/>
  <c r="E78" i="7"/>
  <c r="G78" i="7" s="1"/>
  <c r="I78" i="7" s="1"/>
  <c r="H77" i="7"/>
  <c r="J77" i="7" s="1"/>
  <c r="G77" i="7"/>
  <c r="I77" i="7" s="1"/>
  <c r="E76" i="7"/>
  <c r="G76" i="7" s="1"/>
  <c r="I76" i="7" s="1"/>
  <c r="E75" i="7"/>
  <c r="G75" i="7" s="1"/>
  <c r="I75" i="7" s="1"/>
  <c r="E74" i="7"/>
  <c r="J73" i="7"/>
  <c r="H73" i="7"/>
  <c r="G73" i="7"/>
  <c r="I73" i="7" s="1"/>
  <c r="K67" i="7"/>
  <c r="E65" i="7"/>
  <c r="L64" i="7"/>
  <c r="K63" i="7"/>
  <c r="F63" i="7"/>
  <c r="E63" i="7"/>
  <c r="K62" i="7"/>
  <c r="F62" i="7"/>
  <c r="E62" i="7"/>
  <c r="K61" i="7"/>
  <c r="H61" i="7"/>
  <c r="L61" i="7" s="1"/>
  <c r="K60" i="7"/>
  <c r="F60" i="7"/>
  <c r="E60" i="7"/>
  <c r="K59" i="7"/>
  <c r="F59" i="7"/>
  <c r="E59" i="7"/>
  <c r="D59" i="7"/>
  <c r="K58" i="7"/>
  <c r="K57" i="7"/>
  <c r="E57" i="7"/>
  <c r="K56" i="7"/>
  <c r="L55" i="7"/>
  <c r="K55" i="7"/>
  <c r="L53" i="7"/>
  <c r="G51" i="7"/>
  <c r="L49" i="7"/>
  <c r="F49" i="7"/>
  <c r="E49" i="7"/>
  <c r="C49" i="7"/>
  <c r="K48" i="7"/>
  <c r="E48" i="7"/>
  <c r="F47" i="7"/>
  <c r="H47" i="7" s="1"/>
  <c r="L47" i="7" s="1"/>
  <c r="E47" i="7"/>
  <c r="K46" i="7"/>
  <c r="E46" i="7"/>
  <c r="K45" i="7"/>
  <c r="E45" i="7"/>
  <c r="K44" i="7"/>
  <c r="E44" i="7"/>
  <c r="K43" i="7"/>
  <c r="E43" i="7"/>
  <c r="K42" i="7"/>
  <c r="E42" i="7"/>
  <c r="K41" i="7"/>
  <c r="E41" i="7"/>
  <c r="K40" i="7"/>
  <c r="E40" i="7"/>
  <c r="K39" i="7"/>
  <c r="E39" i="7"/>
  <c r="L38" i="7"/>
  <c r="G38" i="7"/>
  <c r="K38" i="7" s="1"/>
  <c r="L37" i="7"/>
  <c r="E37" i="7"/>
  <c r="L36" i="7"/>
  <c r="E36" i="7"/>
  <c r="L35" i="7"/>
  <c r="E35" i="7"/>
  <c r="L34" i="7"/>
  <c r="E34" i="7"/>
  <c r="L33" i="7"/>
  <c r="E33" i="7"/>
  <c r="L32" i="7"/>
  <c r="E32" i="7"/>
  <c r="L31" i="7"/>
  <c r="E31" i="7"/>
  <c r="L30" i="7"/>
  <c r="E30" i="7"/>
  <c r="L29" i="7"/>
  <c r="E29" i="7"/>
  <c r="L28" i="7"/>
  <c r="L27" i="7"/>
  <c r="G27" i="7"/>
  <c r="K27" i="7" s="1"/>
  <c r="L26" i="7"/>
  <c r="F26" i="7"/>
  <c r="E26" i="7"/>
  <c r="C26" i="7"/>
  <c r="L25" i="7"/>
  <c r="F25" i="7"/>
  <c r="E25" i="7"/>
  <c r="C25" i="7"/>
  <c r="G24" i="7"/>
  <c r="K24" i="7" s="1"/>
  <c r="L23" i="7"/>
  <c r="L22" i="7"/>
  <c r="E22" i="7"/>
  <c r="L21" i="7"/>
  <c r="E21" i="7"/>
  <c r="L20" i="7"/>
  <c r="E20" i="7"/>
  <c r="L19" i="7"/>
  <c r="E19" i="7"/>
  <c r="L18" i="7"/>
  <c r="G18" i="7"/>
  <c r="K18" i="7" s="1"/>
  <c r="L17" i="7"/>
  <c r="K17" i="7"/>
  <c r="K16" i="7"/>
  <c r="E16" i="7"/>
  <c r="N15" i="7"/>
  <c r="M15" i="7"/>
  <c r="L15" i="7"/>
  <c r="K15" i="7"/>
  <c r="L14" i="7"/>
  <c r="C14" i="7"/>
  <c r="L13" i="7"/>
  <c r="F13" i="7"/>
  <c r="E13" i="7"/>
  <c r="L12" i="7"/>
  <c r="L11" i="7"/>
  <c r="L10" i="7"/>
  <c r="G10" i="7"/>
  <c r="K10" i="7" s="1"/>
  <c r="L9" i="7"/>
  <c r="F9" i="7"/>
  <c r="E9" i="7"/>
  <c r="L8" i="7"/>
  <c r="F102" i="5"/>
  <c r="F101" i="5"/>
  <c r="E101" i="5"/>
  <c r="E100" i="5"/>
  <c r="F98" i="5"/>
  <c r="E99" i="5"/>
  <c r="E98" i="5"/>
  <c r="H105" i="11" l="1"/>
  <c r="L67" i="11"/>
  <c r="M67" i="11"/>
  <c r="M72" i="11" s="1"/>
  <c r="H105" i="10"/>
  <c r="L67" i="10"/>
  <c r="M67" i="10"/>
  <c r="M72" i="10" s="1"/>
  <c r="M67" i="9"/>
  <c r="M72" i="9" s="1"/>
  <c r="G30" i="7"/>
  <c r="K30" i="7" s="1"/>
  <c r="H62" i="7"/>
  <c r="L62" i="7" s="1"/>
  <c r="G49" i="7"/>
  <c r="K49" i="7" s="1"/>
  <c r="G26" i="7"/>
  <c r="K26" i="7" s="1"/>
  <c r="G9" i="7"/>
  <c r="K9" i="7" s="1"/>
  <c r="G64" i="7"/>
  <c r="G66" i="7" s="1"/>
  <c r="H57" i="7"/>
  <c r="L57" i="7" s="1"/>
  <c r="C52" i="7"/>
  <c r="G35" i="7"/>
  <c r="K35" i="7" s="1"/>
  <c r="G47" i="7"/>
  <c r="K47" i="7" s="1"/>
  <c r="H59" i="7"/>
  <c r="L59" i="7" s="1"/>
  <c r="G25" i="7"/>
  <c r="K25" i="7" s="1"/>
  <c r="H63" i="7"/>
  <c r="L63" i="7" s="1"/>
  <c r="D52" i="7"/>
  <c r="G33" i="7"/>
  <c r="K33" i="7" s="1"/>
  <c r="G13" i="7"/>
  <c r="K13" i="7" s="1"/>
  <c r="G31" i="7"/>
  <c r="K31" i="7" s="1"/>
  <c r="G37" i="7"/>
  <c r="K37" i="7" s="1"/>
  <c r="H65" i="7"/>
  <c r="L65" i="7" s="1"/>
  <c r="G36" i="7"/>
  <c r="K36" i="7" s="1"/>
  <c r="C66" i="7"/>
  <c r="G34" i="7"/>
  <c r="K34" i="7" s="1"/>
  <c r="H60" i="7"/>
  <c r="L60" i="7" s="1"/>
  <c r="G29" i="7"/>
  <c r="K29" i="7" s="1"/>
  <c r="D66" i="7"/>
  <c r="G32" i="7"/>
  <c r="K32" i="7" s="1"/>
  <c r="H16" i="7"/>
  <c r="G74" i="7"/>
  <c r="I74" i="7" s="1"/>
  <c r="K64" i="7" l="1"/>
  <c r="M29" i="7"/>
  <c r="M30" i="7" s="1"/>
  <c r="L16" i="7"/>
  <c r="C53" i="7"/>
  <c r="D67" i="7"/>
  <c r="K66" i="7"/>
  <c r="E79" i="5" l="1"/>
  <c r="F83" i="5"/>
  <c r="E83" i="5"/>
  <c r="F82" i="5"/>
  <c r="E82" i="5"/>
  <c r="F81" i="5"/>
  <c r="E81" i="5"/>
  <c r="E80" i="5"/>
  <c r="F79" i="5"/>
  <c r="E78" i="5"/>
  <c r="E76" i="5"/>
  <c r="E75" i="5"/>
  <c r="E74" i="5"/>
  <c r="F60" i="5"/>
  <c r="E60" i="5"/>
  <c r="E57" i="5"/>
  <c r="G51" i="5"/>
  <c r="E29" i="5"/>
  <c r="E30" i="5"/>
  <c r="E31" i="5"/>
  <c r="E22" i="5"/>
  <c r="E21" i="5"/>
  <c r="E20" i="5"/>
  <c r="E19" i="5"/>
  <c r="E16" i="5"/>
  <c r="H65" i="5"/>
  <c r="H16" i="5" l="1"/>
  <c r="C26" i="5" l="1"/>
  <c r="C25" i="5"/>
  <c r="E36" i="5" l="1"/>
  <c r="E35" i="5"/>
  <c r="E34" i="5"/>
  <c r="E32" i="5" l="1"/>
  <c r="D52" i="5" l="1"/>
  <c r="H92" i="5" l="1"/>
  <c r="J92" i="5" s="1"/>
  <c r="F63" i="5" l="1"/>
  <c r="F62" i="5"/>
  <c r="F13" i="5"/>
  <c r="E63" i="5"/>
  <c r="E62" i="5"/>
  <c r="G47" i="5"/>
  <c r="D59" i="5"/>
  <c r="C14" i="5"/>
  <c r="C52" i="5" l="1"/>
  <c r="L22" i="5"/>
  <c r="G96" i="5" l="1"/>
  <c r="G97" i="5"/>
  <c r="L15" i="5" l="1"/>
  <c r="N15" i="5"/>
  <c r="M15" i="5"/>
  <c r="K60" i="5"/>
  <c r="K58" i="5"/>
  <c r="I103" i="5" l="1"/>
  <c r="J103" i="5"/>
  <c r="G73" i="5" l="1"/>
  <c r="L34" i="5" l="1"/>
  <c r="L35" i="5"/>
  <c r="L36" i="5"/>
  <c r="L37" i="5"/>
  <c r="G38" i="5"/>
  <c r="K38" i="5" s="1"/>
  <c r="L38" i="5"/>
  <c r="K43" i="5"/>
  <c r="K44" i="5"/>
  <c r="K45" i="5"/>
  <c r="K46" i="5"/>
  <c r="L14" i="5" l="1"/>
  <c r="L27" i="5" l="1"/>
  <c r="G27" i="5" l="1"/>
  <c r="K27" i="5" s="1"/>
  <c r="H89" i="5" l="1"/>
  <c r="J89" i="5" s="1"/>
  <c r="K48" i="5" l="1"/>
  <c r="L9" i="5" l="1"/>
  <c r="L28" i="5"/>
  <c r="L26" i="5" l="1"/>
  <c r="L12" i="5" l="1"/>
  <c r="L13" i="5"/>
  <c r="L17" i="5"/>
  <c r="L18" i="5"/>
  <c r="L19" i="5"/>
  <c r="L20" i="5"/>
  <c r="G77" i="5"/>
  <c r="I77" i="5" s="1"/>
  <c r="H77" i="5"/>
  <c r="J77" i="5" s="1"/>
  <c r="G84" i="5"/>
  <c r="I84" i="5" s="1"/>
  <c r="G85" i="5"/>
  <c r="I85" i="5" s="1"/>
  <c r="H85" i="5"/>
  <c r="J85" i="5" s="1"/>
  <c r="H86" i="5"/>
  <c r="J86" i="5" s="1"/>
  <c r="H87" i="5"/>
  <c r="J87" i="5" s="1"/>
  <c r="H88" i="5"/>
  <c r="J88" i="5" s="1"/>
  <c r="H90" i="5"/>
  <c r="J90" i="5" s="1"/>
  <c r="H91" i="5"/>
  <c r="J91" i="5" s="1"/>
  <c r="H93" i="5"/>
  <c r="J93" i="5" s="1"/>
  <c r="H94" i="5"/>
  <c r="J94" i="5" s="1"/>
  <c r="H95" i="5"/>
  <c r="J95" i="5" s="1"/>
  <c r="I96" i="5"/>
  <c r="H96" i="5"/>
  <c r="J96" i="5" s="1"/>
  <c r="I97" i="5"/>
  <c r="G10" i="5"/>
  <c r="G18" i="5"/>
  <c r="K18" i="5" s="1"/>
  <c r="L11" i="5"/>
  <c r="K57" i="5" l="1"/>
  <c r="H61" i="5" l="1"/>
  <c r="L61" i="5" s="1"/>
  <c r="I73" i="5"/>
  <c r="K67" i="5"/>
  <c r="L64" i="5"/>
  <c r="K63" i="5"/>
  <c r="K62" i="5"/>
  <c r="K61" i="5"/>
  <c r="K59" i="5"/>
  <c r="K56" i="5"/>
  <c r="L55" i="5"/>
  <c r="K55" i="5"/>
  <c r="L53" i="5"/>
  <c r="K42" i="5"/>
  <c r="K41" i="5"/>
  <c r="K40" i="5"/>
  <c r="K39" i="5"/>
  <c r="L33" i="5"/>
  <c r="L32" i="5"/>
  <c r="L31" i="5"/>
  <c r="L30" i="5"/>
  <c r="L29" i="5"/>
  <c r="L25" i="5"/>
  <c r="L23" i="5"/>
  <c r="L21" i="5"/>
  <c r="L10" i="5"/>
  <c r="K10" i="5"/>
  <c r="L8" i="5"/>
  <c r="K16" i="5" l="1"/>
  <c r="L49" i="5" l="1"/>
  <c r="K17" i="5" l="1"/>
  <c r="H84" i="5" l="1"/>
  <c r="J84" i="5" l="1"/>
  <c r="H97" i="5" l="1"/>
  <c r="J97" i="5" l="1"/>
  <c r="H73" i="5" l="1"/>
  <c r="J73" i="5" s="1"/>
  <c r="C53" i="5" l="1"/>
  <c r="G24" i="5" l="1"/>
  <c r="K24" i="5" s="1"/>
  <c r="H63" i="5" l="1"/>
  <c r="L63" i="5" s="1"/>
  <c r="G13" i="5" l="1"/>
  <c r="K13" i="5" s="1"/>
  <c r="H62" i="5" l="1"/>
  <c r="L62" i="5" s="1"/>
  <c r="G49" i="5" l="1"/>
  <c r="K49" i="5" s="1"/>
  <c r="H47" i="5" l="1"/>
  <c r="L47" i="5" s="1"/>
  <c r="G94" i="5" l="1"/>
  <c r="I94" i="5" s="1"/>
  <c r="I99" i="5" l="1"/>
  <c r="G9" i="5" l="1"/>
  <c r="K9" i="5" s="1"/>
  <c r="D66" i="5" l="1"/>
  <c r="G80" i="5" l="1"/>
  <c r="I80" i="5" s="1"/>
  <c r="G79" i="5"/>
  <c r="I79" i="5" s="1"/>
  <c r="H79" i="5" l="1"/>
  <c r="J79" i="5" s="1"/>
  <c r="G83" i="5" l="1"/>
  <c r="I83" i="5" s="1"/>
  <c r="H81" i="5"/>
  <c r="J81" i="5" s="1"/>
  <c r="G81" i="5"/>
  <c r="I81" i="5" s="1"/>
  <c r="G78" i="5"/>
  <c r="I78" i="5" s="1"/>
  <c r="K47" i="5" l="1"/>
  <c r="G32" i="5" l="1"/>
  <c r="K32" i="5" s="1"/>
  <c r="G36" i="5" l="1"/>
  <c r="K36" i="5" s="1"/>
  <c r="G29" i="5"/>
  <c r="K29" i="5" s="1"/>
  <c r="G31" i="5" l="1"/>
  <c r="K31" i="5" s="1"/>
  <c r="G34" i="5" l="1"/>
  <c r="K34" i="5" s="1"/>
  <c r="C66" i="5" l="1"/>
  <c r="D67" i="5" s="1"/>
  <c r="G64" i="5"/>
  <c r="K64" i="5" l="1"/>
  <c r="H82" i="5" l="1"/>
  <c r="J82" i="5" s="1"/>
  <c r="G82" i="5"/>
  <c r="I82" i="5" s="1"/>
  <c r="G75" i="5" l="1"/>
  <c r="I75" i="5" s="1"/>
  <c r="G76" i="5" l="1"/>
  <c r="I76" i="5" s="1"/>
  <c r="H83" i="5" l="1"/>
  <c r="J83" i="5" s="1"/>
  <c r="G74" i="5" l="1"/>
  <c r="I74" i="5" s="1"/>
  <c r="H102" i="5" l="1"/>
  <c r="J102" i="5" s="1"/>
  <c r="G98" i="5" l="1"/>
  <c r="I98" i="5" s="1"/>
  <c r="G100" i="5"/>
  <c r="I100" i="5" s="1"/>
  <c r="F59" i="5"/>
  <c r="E59" i="5"/>
  <c r="G35" i="5"/>
  <c r="K35" i="5" s="1"/>
  <c r="E26" i="5"/>
  <c r="E25" i="5"/>
  <c r="H59" i="5" l="1"/>
  <c r="L59" i="5" s="1"/>
  <c r="F26" i="5" l="1"/>
  <c r="G26" i="5" s="1"/>
  <c r="K26" i="5" s="1"/>
  <c r="G30" i="5" l="1"/>
  <c r="K30" i="5" s="1"/>
  <c r="F25" i="5" l="1"/>
  <c r="G25" i="5" s="1"/>
  <c r="K25" i="5" s="1"/>
  <c r="G66" i="5" l="1"/>
  <c r="K66" i="5" l="1"/>
  <c r="H98" i="5" l="1"/>
  <c r="J98" i="5" s="1"/>
  <c r="H57" i="5" l="1"/>
  <c r="L57" i="5" s="1"/>
  <c r="H60" i="5" l="1"/>
  <c r="L60" i="5" s="1"/>
  <c r="G101" i="5" l="1"/>
  <c r="I101" i="5" s="1"/>
  <c r="L16" i="5" l="1"/>
  <c r="H101" i="5" l="1"/>
  <c r="J101" i="5" s="1"/>
  <c r="L65" i="5" l="1"/>
  <c r="M77" i="5" l="1"/>
  <c r="G108" i="5" l="1"/>
  <c r="K15" i="5" l="1"/>
  <c r="E33" i="5" l="1"/>
  <c r="G33" i="5" l="1"/>
  <c r="K33" i="5" l="1"/>
  <c r="G37" i="5" l="1"/>
  <c r="K37" i="5" s="1"/>
  <c r="M29" i="5" s="1"/>
  <c r="M30" i="5" s="1"/>
  <c r="H74" i="7" l="1"/>
  <c r="H74" i="5"/>
  <c r="J74" i="7" l="1"/>
  <c r="J74" i="5"/>
  <c r="H80" i="5" l="1"/>
  <c r="J80" i="5" s="1"/>
  <c r="H80" i="7"/>
  <c r="J80" i="7" s="1"/>
  <c r="H76" i="5"/>
  <c r="J76" i="5" s="1"/>
  <c r="H76" i="7"/>
  <c r="J76" i="7" s="1"/>
  <c r="H78" i="5"/>
  <c r="J78" i="5" s="1"/>
  <c r="H78" i="7"/>
  <c r="J78" i="7" s="1"/>
  <c r="H75" i="5" l="1"/>
  <c r="H75" i="7"/>
  <c r="J75" i="7" l="1"/>
  <c r="J75" i="5"/>
  <c r="G12" i="7" l="1"/>
  <c r="K12" i="7" s="1"/>
  <c r="G12" i="5"/>
  <c r="K12" i="5" s="1"/>
  <c r="G11" i="5" l="1"/>
  <c r="K11" i="5" s="1"/>
  <c r="G11" i="7"/>
  <c r="K11" i="7" s="1"/>
  <c r="H48" i="5" l="1"/>
  <c r="H48" i="7"/>
  <c r="L48" i="7" s="1"/>
  <c r="H46" i="5"/>
  <c r="L46" i="5" s="1"/>
  <c r="H46" i="7"/>
  <c r="L46" i="7" s="1"/>
  <c r="H45" i="5"/>
  <c r="L45" i="5" s="1"/>
  <c r="H45" i="7"/>
  <c r="L45" i="7" s="1"/>
  <c r="H39" i="5"/>
  <c r="L39" i="5" s="1"/>
  <c r="H39" i="7"/>
  <c r="H100" i="7"/>
  <c r="J100" i="7" s="1"/>
  <c r="H41" i="5"/>
  <c r="L41" i="5" s="1"/>
  <c r="H41" i="7"/>
  <c r="L41" i="7" s="1"/>
  <c r="H44" i="5"/>
  <c r="L44" i="5" s="1"/>
  <c r="H44" i="7"/>
  <c r="L44" i="7" s="1"/>
  <c r="H40" i="5"/>
  <c r="L40" i="5" s="1"/>
  <c r="H40" i="7"/>
  <c r="L40" i="7" s="1"/>
  <c r="H42" i="5"/>
  <c r="L42" i="5" s="1"/>
  <c r="H42" i="7"/>
  <c r="L42" i="7" s="1"/>
  <c r="H43" i="5"/>
  <c r="L43" i="5" s="1"/>
  <c r="H43" i="7"/>
  <c r="L43" i="7" s="1"/>
  <c r="H52" i="5" l="1"/>
  <c r="L52" i="5" s="1"/>
  <c r="L48" i="5"/>
  <c r="M39" i="5" s="1"/>
  <c r="M40" i="5" s="1"/>
  <c r="L39" i="7"/>
  <c r="M39" i="7" s="1"/>
  <c r="M40" i="7" s="1"/>
  <c r="H52" i="7"/>
  <c r="L52" i="7" s="1"/>
  <c r="G102" i="5" l="1"/>
  <c r="I102" i="5" s="1"/>
  <c r="G102" i="7"/>
  <c r="I102" i="7" s="1"/>
  <c r="G86" i="5" l="1"/>
  <c r="I86" i="5" s="1"/>
  <c r="G86" i="7"/>
  <c r="I86" i="7" s="1"/>
  <c r="G93" i="7" l="1"/>
  <c r="I93" i="7" l="1"/>
  <c r="G93" i="5"/>
  <c r="I93" i="5" l="1"/>
  <c r="H100" i="5" l="1"/>
  <c r="J100" i="5" s="1"/>
  <c r="H99" i="7" l="1"/>
  <c r="F104" i="7"/>
  <c r="H99" i="5"/>
  <c r="F104" i="5"/>
  <c r="J99" i="5" l="1"/>
  <c r="J104" i="5" s="1"/>
  <c r="J99" i="7"/>
  <c r="J104" i="7" s="1"/>
  <c r="G89" i="7" l="1"/>
  <c r="I89" i="7" s="1"/>
  <c r="G14" i="7"/>
  <c r="K14" i="7" s="1"/>
  <c r="M11" i="7" s="1"/>
  <c r="G90" i="5"/>
  <c r="I90" i="5" s="1"/>
  <c r="G90" i="7"/>
  <c r="I90" i="7" s="1"/>
  <c r="G14" i="5"/>
  <c r="K14" i="5" s="1"/>
  <c r="M11" i="5" s="1"/>
  <c r="G91" i="5"/>
  <c r="I91" i="5" s="1"/>
  <c r="G91" i="7"/>
  <c r="I91" i="7" s="1"/>
  <c r="G95" i="7" l="1"/>
  <c r="I95" i="7" s="1"/>
  <c r="G89" i="5" l="1"/>
  <c r="I89" i="5" s="1"/>
  <c r="H58" i="7" l="1"/>
  <c r="L58" i="7" s="1"/>
  <c r="H58" i="5"/>
  <c r="L58" i="5" s="1"/>
  <c r="G95" i="5" l="1"/>
  <c r="I95" i="5" s="1"/>
  <c r="G19" i="7" l="1"/>
  <c r="K19" i="7" s="1"/>
  <c r="G19" i="5"/>
  <c r="K19" i="5" s="1"/>
  <c r="G22" i="7"/>
  <c r="K22" i="7" s="1"/>
  <c r="G22" i="5"/>
  <c r="K22" i="5" s="1"/>
  <c r="G21" i="5"/>
  <c r="K21" i="5" s="1"/>
  <c r="G21" i="7"/>
  <c r="K21" i="7" s="1"/>
  <c r="G92" i="5" l="1"/>
  <c r="I92" i="5" s="1"/>
  <c r="G92" i="7"/>
  <c r="I92" i="7" s="1"/>
  <c r="G23" i="7" l="1"/>
  <c r="K23" i="7" s="1"/>
  <c r="G88" i="7" l="1"/>
  <c r="I88" i="7" s="1"/>
  <c r="G88" i="5"/>
  <c r="I88" i="5" s="1"/>
  <c r="G23" i="5" l="1"/>
  <c r="K23" i="5" s="1"/>
  <c r="G20" i="7" l="1"/>
  <c r="K20" i="7" s="1"/>
  <c r="M19" i="7" s="1"/>
  <c r="G20" i="5"/>
  <c r="K20" i="5" s="1"/>
  <c r="M19" i="5" s="1"/>
  <c r="G87" i="5" l="1"/>
  <c r="E104" i="5"/>
  <c r="F105" i="5" s="1"/>
  <c r="M68" i="5" s="1"/>
  <c r="G87" i="7"/>
  <c r="E104" i="7"/>
  <c r="F105" i="7" s="1"/>
  <c r="M68" i="7" s="1"/>
  <c r="I87" i="7" l="1"/>
  <c r="I104" i="7" s="1"/>
  <c r="J105" i="7" s="1"/>
  <c r="I87" i="5"/>
  <c r="I104" i="5" s="1"/>
  <c r="J105" i="5" s="1"/>
  <c r="F67" i="7" l="1"/>
  <c r="G8" i="7"/>
  <c r="F67" i="5"/>
  <c r="G8" i="5"/>
  <c r="H56" i="7"/>
  <c r="E67" i="7"/>
  <c r="H56" i="5"/>
  <c r="E67" i="5"/>
  <c r="L56" i="5" l="1"/>
  <c r="H66" i="5"/>
  <c r="G52" i="5"/>
  <c r="K8" i="5"/>
  <c r="L56" i="7"/>
  <c r="H66" i="7"/>
  <c r="K8" i="7"/>
  <c r="G52" i="7"/>
  <c r="H67" i="7" l="1"/>
  <c r="L66" i="7"/>
  <c r="L67" i="7" s="1"/>
  <c r="H104" i="7"/>
  <c r="G53" i="7"/>
  <c r="K52" i="7"/>
  <c r="K53" i="7" s="1"/>
  <c r="G104" i="7"/>
  <c r="H67" i="5"/>
  <c r="L66" i="5"/>
  <c r="L67" i="5" s="1"/>
  <c r="H104" i="5"/>
  <c r="G53" i="5"/>
  <c r="K52" i="5"/>
  <c r="K53" i="5" s="1"/>
  <c r="G104" i="5"/>
  <c r="M67" i="7" l="1"/>
  <c r="M72" i="7" s="1"/>
  <c r="H105" i="7"/>
  <c r="M67" i="5"/>
  <c r="M72" i="5" s="1"/>
  <c r="H105" i="5"/>
</calcChain>
</file>

<file path=xl/sharedStrings.xml><?xml version="1.0" encoding="utf-8"?>
<sst xmlns="http://schemas.openxmlformats.org/spreadsheetml/2006/main" count="700" uniqueCount="105">
  <si>
    <t>NERACA LAJUR</t>
  </si>
  <si>
    <t>URAIAN</t>
  </si>
  <si>
    <t>NERACA SALDO</t>
  </si>
  <si>
    <t>D</t>
  </si>
  <si>
    <t>K</t>
  </si>
  <si>
    <t>RUGI/ LABA</t>
  </si>
  <si>
    <t>NERACA AKHIR</t>
  </si>
  <si>
    <t>Kas</t>
  </si>
  <si>
    <t xml:space="preserve">Persediaan </t>
  </si>
  <si>
    <t>Aset Tetap</t>
  </si>
  <si>
    <t>Akm. Pnys Aset Tetap</t>
  </si>
  <si>
    <t>TOTAL AKTIVA</t>
  </si>
  <si>
    <t>Utang Usaha</t>
  </si>
  <si>
    <t>Utang Pajak</t>
  </si>
  <si>
    <t>Modal Hibah</t>
  </si>
  <si>
    <t>Laba Ditahan (Akm Kerugian)</t>
  </si>
  <si>
    <t>Laba(Rugi) Tahun berjalan</t>
  </si>
  <si>
    <t>TOTAL KEWAJIBAN &amp; MODAL</t>
  </si>
  <si>
    <t>NERACA SALDO AWAL</t>
  </si>
  <si>
    <t>MUTASI</t>
  </si>
  <si>
    <t>Piutang Administrasi &amp; Dana Meter</t>
  </si>
  <si>
    <t>Bahan Kimia (Tawas)</t>
  </si>
  <si>
    <t>Bahan kimia (Kaporit)</t>
  </si>
  <si>
    <t>Bahan Kimia (Soda Ash)</t>
  </si>
  <si>
    <t>Bahan Instalasi Trandist</t>
  </si>
  <si>
    <t>Instalsi Sumber Air</t>
  </si>
  <si>
    <t>Inst. Pengolahan Air</t>
  </si>
  <si>
    <t>Inst. Pompa</t>
  </si>
  <si>
    <t>Inst. Tranmisi &amp; Distribusi</t>
  </si>
  <si>
    <t>Kewajiban</t>
  </si>
  <si>
    <t>Ekuitas</t>
  </si>
  <si>
    <t>PENDAPATAN USAHA</t>
  </si>
  <si>
    <t>Pendapatan Penjualan Air</t>
  </si>
  <si>
    <t>Pendapatan Sambungan Baru</t>
  </si>
  <si>
    <t>Pendapatan Denda</t>
  </si>
  <si>
    <t>Pendapatan Penyambungan Kembali</t>
  </si>
  <si>
    <t>Pendapatan lain-lainnya</t>
  </si>
  <si>
    <t>BIAYA USAHA</t>
  </si>
  <si>
    <t>JUMLAH</t>
  </si>
  <si>
    <t>Tanah</t>
  </si>
  <si>
    <t>Persediaan BBM (Solar)</t>
  </si>
  <si>
    <t>Sewa Dibayar Dimuka</t>
  </si>
  <si>
    <t>Pendapatan Diterima Dimuka</t>
  </si>
  <si>
    <t>Persediaan ATK</t>
  </si>
  <si>
    <t>PENDAPATAN (BEBAN) NON USAHA</t>
  </si>
  <si>
    <t>Pendapatan NON Usaha</t>
  </si>
  <si>
    <t>Beban Non Usaha</t>
  </si>
  <si>
    <t>Piutang Usaha</t>
  </si>
  <si>
    <t>Piutang Rekening Air</t>
  </si>
  <si>
    <t>Akumulasi Penysihan Piutang Usaha</t>
  </si>
  <si>
    <t>Piutang Lain-Lain</t>
  </si>
  <si>
    <t>Persediaan Suku Cadang</t>
  </si>
  <si>
    <t>Aktiva Tetap dalam Penyelesaian</t>
  </si>
  <si>
    <t>Aset Tetap Tidak Berwujud</t>
  </si>
  <si>
    <t>Akum. Amortisasi Aset Tdk berwujud</t>
  </si>
  <si>
    <t>Dibuat Oleh,</t>
  </si>
  <si>
    <t>Deposito</t>
  </si>
  <si>
    <t>Beban Sumber Air</t>
  </si>
  <si>
    <t>Beban Pengolahan Air</t>
  </si>
  <si>
    <t>Beban Transmisi dan Distribusi</t>
  </si>
  <si>
    <t>Beban Penyusutan Sumber Air</t>
  </si>
  <si>
    <t>Beban Penyusutan Pengolahan Air</t>
  </si>
  <si>
    <t>Beban Penyusutan Trandist</t>
  </si>
  <si>
    <t>Beban Umum Administrasi</t>
  </si>
  <si>
    <t>Beban Penyisihan dan Penghapusan Piutang</t>
  </si>
  <si>
    <t>Beban Penys. Dan Amortisasi Non Pabrik Air</t>
  </si>
  <si>
    <t>Bangunan/Gedung</t>
  </si>
  <si>
    <t>Peralatan/Perlengkapan</t>
  </si>
  <si>
    <t>Kendaraan/Alat Pengangkutan</t>
  </si>
  <si>
    <t>Inventaris/Perabot Kantor</t>
  </si>
  <si>
    <t>Piutang Non Air</t>
  </si>
  <si>
    <t>Piutang Kemitraan</t>
  </si>
  <si>
    <t>Kekayaan Pemda Yang Dipisahkan</t>
  </si>
  <si>
    <t>Pendapatan Penggantian Meter Rusak</t>
  </si>
  <si>
    <t>Pendapatan Penggantian Pipa Persil</t>
  </si>
  <si>
    <t>Pendapatan Non Air Lainnya</t>
  </si>
  <si>
    <t>Pendapatan Non Air</t>
  </si>
  <si>
    <t>Pendapatan Harga Air</t>
  </si>
  <si>
    <t>Pendapatan Air - Beban Tetap</t>
  </si>
  <si>
    <t>Pendapatan Air Mobil Tangki</t>
  </si>
  <si>
    <t xml:space="preserve">  - Bunga Deposito</t>
  </si>
  <si>
    <t xml:space="preserve">  - Jasa Giro</t>
  </si>
  <si>
    <t xml:space="preserve">  - Rupa-rupa lainnya</t>
  </si>
  <si>
    <t>Diketahui / Disetujui Oleh,</t>
  </si>
  <si>
    <t xml:space="preserve">  - Subsidi Tarif Air</t>
  </si>
  <si>
    <t>Beban Yang Masih Harus DiBayar</t>
  </si>
  <si>
    <t>Imbalan Pasca Kerja</t>
  </si>
  <si>
    <t>Piutang Bunga Deposito</t>
  </si>
  <si>
    <t>PERUSAHAAN UMUM DAERAH AIR MINUM TIRTA SERUYAN</t>
  </si>
  <si>
    <t>Perusahaan Umum Daerah Air Minum Tirta Seruyan</t>
  </si>
  <si>
    <t>Bahan Kimia (Magnoflog)</t>
  </si>
  <si>
    <t>Kabag. Adm Keuangan</t>
  </si>
  <si>
    <t>Pjs. Direktur</t>
  </si>
  <si>
    <t>PER 01 JANUARI 2025</t>
  </si>
  <si>
    <t>Beban Harga Pokok Sambungan Baru</t>
  </si>
  <si>
    <t>SELISIH DEBET / RUGI TAHUN 2025</t>
  </si>
  <si>
    <t>AFIRUS FEBIAN</t>
  </si>
  <si>
    <t>TRI MURTIANI</t>
  </si>
  <si>
    <t>UNTUK TAHUN YANG BERAKHIR 31 JANUARI 2026</t>
  </si>
  <si>
    <t>Aset Tidak Lancar</t>
  </si>
  <si>
    <t>Aset Pajak Tangguhan</t>
  </si>
  <si>
    <t>PER 31 JANUARI 2026</t>
  </si>
  <si>
    <t>PER 28 FEBRUARI 2026</t>
  </si>
  <si>
    <t>Mengetahui,</t>
  </si>
  <si>
    <t>UNTUK TAHUN YANG BERAKHIR 28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</si>
</sst>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b/>
      <sz val="6"/>
      <color theme="1"/>
      <name val="Arial"/>
      <family val="2"/>
    </font>
    <font>
      <sz val="6"/>
      <color theme="1"/>
      <name val="Arial"/>
      <family val="2"/>
    </font>
    <font>
      <sz val="6"/>
      <color rgb="FFFF000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3" fontId="2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8" xfId="0" applyFont="1" applyBorder="1"/>
    <xf numFmtId="0" fontId="6" fillId="0" borderId="6" xfId="0" applyFont="1" applyBorder="1"/>
    <xf numFmtId="43" fontId="6" fillId="0" borderId="3" xfId="1" applyFont="1" applyBorder="1"/>
    <xf numFmtId="43" fontId="6" fillId="0" borderId="0" xfId="1" applyFont="1"/>
    <xf numFmtId="0" fontId="6" fillId="0" borderId="9" xfId="0" applyFont="1" applyBorder="1"/>
    <xf numFmtId="0" fontId="6" fillId="0" borderId="10" xfId="0" applyFont="1" applyBorder="1"/>
    <xf numFmtId="0" fontId="5" fillId="0" borderId="9" xfId="0" applyFont="1" applyBorder="1"/>
    <xf numFmtId="0" fontId="6" fillId="0" borderId="3" xfId="0" applyFont="1" applyBorder="1"/>
    <xf numFmtId="43" fontId="6" fillId="0" borderId="0" xfId="0" applyNumberFormat="1" applyFont="1"/>
    <xf numFmtId="4" fontId="6" fillId="0" borderId="0" xfId="0" applyNumberFormat="1" applyFont="1"/>
    <xf numFmtId="41" fontId="6" fillId="0" borderId="0" xfId="2" applyFont="1"/>
    <xf numFmtId="43" fontId="5" fillId="0" borderId="1" xfId="1" applyFont="1" applyBorder="1" applyAlignment="1">
      <alignment vertical="center"/>
    </xf>
    <xf numFmtId="43" fontId="5" fillId="0" borderId="0" xfId="1" applyFont="1"/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3" fontId="5" fillId="0" borderId="3" xfId="1" applyFont="1" applyBorder="1" applyAlignment="1">
      <alignment vertical="center"/>
    </xf>
    <xf numFmtId="0" fontId="5" fillId="0" borderId="10" xfId="0" applyFont="1" applyBorder="1"/>
    <xf numFmtId="43" fontId="5" fillId="0" borderId="3" xfId="1" applyFont="1" applyBorder="1"/>
    <xf numFmtId="43" fontId="6" fillId="0" borderId="9" xfId="1" applyFont="1" applyBorder="1"/>
    <xf numFmtId="43" fontId="5" fillId="0" borderId="1" xfId="0" applyNumberFormat="1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43" fontId="5" fillId="0" borderId="14" xfId="0" applyNumberFormat="1" applyFont="1" applyBorder="1" applyAlignment="1">
      <alignment vertical="center"/>
    </xf>
    <xf numFmtId="43" fontId="5" fillId="0" borderId="14" xfId="1" applyFont="1" applyBorder="1" applyAlignment="1">
      <alignment vertical="center"/>
    </xf>
    <xf numFmtId="43" fontId="6" fillId="0" borderId="14" xfId="1" applyFont="1" applyBorder="1" applyAlignment="1">
      <alignment vertical="center"/>
    </xf>
    <xf numFmtId="39" fontId="7" fillId="2" borderId="0" xfId="1" applyNumberFormat="1" applyFont="1" applyFill="1"/>
    <xf numFmtId="0" fontId="5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43" fontId="5" fillId="0" borderId="17" xfId="0" applyNumberFormat="1" applyFont="1" applyBorder="1" applyAlignment="1">
      <alignment vertical="center"/>
    </xf>
    <xf numFmtId="43" fontId="5" fillId="0" borderId="17" xfId="1" applyFont="1" applyBorder="1" applyAlignment="1">
      <alignment vertical="center"/>
    </xf>
    <xf numFmtId="43" fontId="6" fillId="0" borderId="17" xfId="1" applyFont="1" applyBorder="1" applyAlignment="1">
      <alignment vertical="center"/>
    </xf>
    <xf numFmtId="43" fontId="5" fillId="0" borderId="19" xfId="1" applyFont="1" applyBorder="1" applyAlignment="1">
      <alignment vertical="center"/>
    </xf>
    <xf numFmtId="0" fontId="8" fillId="0" borderId="2" xfId="0" applyFont="1" applyBorder="1"/>
    <xf numFmtId="43" fontId="6" fillId="0" borderId="2" xfId="1" applyFont="1" applyBorder="1"/>
    <xf numFmtId="0" fontId="9" fillId="0" borderId="3" xfId="0" applyFont="1" applyBorder="1"/>
    <xf numFmtId="41" fontId="6" fillId="0" borderId="3" xfId="1" applyNumberFormat="1" applyFont="1" applyBorder="1"/>
    <xf numFmtId="0" fontId="9" fillId="0" borderId="9" xfId="0" applyFont="1" applyBorder="1"/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10" xfId="0" quotePrefix="1" applyFont="1" applyBorder="1" applyAlignment="1">
      <alignment horizontal="left"/>
    </xf>
    <xf numFmtId="0" fontId="5" fillId="0" borderId="14" xfId="0" applyFont="1" applyBorder="1" applyAlignment="1">
      <alignment vertical="center"/>
    </xf>
    <xf numFmtId="0" fontId="5" fillId="0" borderId="0" xfId="0" applyFont="1"/>
    <xf numFmtId="164" fontId="6" fillId="0" borderId="0" xfId="0" applyNumberFormat="1" applyFont="1"/>
    <xf numFmtId="41" fontId="6" fillId="0" borderId="0" xfId="2" applyFont="1" applyFill="1"/>
    <xf numFmtId="41" fontId="6" fillId="0" borderId="0" xfId="0" applyNumberFormat="1" applyFont="1"/>
    <xf numFmtId="41" fontId="6" fillId="0" borderId="3" xfId="2" applyFont="1" applyBorder="1"/>
    <xf numFmtId="43" fontId="2" fillId="0" borderId="0" xfId="0" applyNumberFormat="1" applyFont="1"/>
    <xf numFmtId="43" fontId="10" fillId="0" borderId="0" xfId="0" applyNumberFormat="1" applyFont="1"/>
    <xf numFmtId="43" fontId="6" fillId="0" borderId="3" xfId="1" applyFont="1" applyFill="1" applyBorder="1"/>
    <xf numFmtId="0" fontId="4" fillId="0" borderId="0" xfId="0" applyFont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3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RU\Worksheet%202026\BUKU%20BESAR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I\AKUNTANSI%202025\Worksheet%202025\BUKU%20BESAR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RU\Worksheet%202026\Neraca,%20RL,Arus%20Kas,%20ekuitas%20&amp;%20Rincia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01-12.01"/>
      <sheetName val="13.00"/>
      <sheetName val="14.00"/>
      <sheetName val="15.00-16.00"/>
      <sheetName val="31.01-31.09"/>
      <sheetName val="31.10"/>
      <sheetName val="35.00-35.01-37.00"/>
      <sheetName val="50.00"/>
      <sheetName val="70.00"/>
      <sheetName val="81.01"/>
      <sheetName val="81.02-81.03"/>
      <sheetName val="88.00"/>
      <sheetName val="91.00"/>
      <sheetName val="92.00"/>
      <sheetName val="93.00  dan 96.00"/>
      <sheetName val="97.01-97.02"/>
      <sheetName val="97.03-97.06"/>
      <sheetName val="97.07-97.09"/>
      <sheetName val="98.00"/>
    </sheetNames>
    <sheetDataSet>
      <sheetData sheetId="0">
        <row r="8">
          <cell r="F8">
            <v>2451788048</v>
          </cell>
        </row>
        <row r="47">
          <cell r="E47">
            <v>0</v>
          </cell>
        </row>
        <row r="51">
          <cell r="D51">
            <v>0</v>
          </cell>
        </row>
      </sheetData>
      <sheetData sheetId="1">
        <row r="8">
          <cell r="F8">
            <v>986644305</v>
          </cell>
        </row>
        <row r="169">
          <cell r="D169">
            <v>0</v>
          </cell>
        </row>
        <row r="185">
          <cell r="D185">
            <v>0</v>
          </cell>
        </row>
      </sheetData>
      <sheetData sheetId="2">
        <row r="17">
          <cell r="D17">
            <v>0</v>
          </cell>
        </row>
      </sheetData>
      <sheetData sheetId="3">
        <row r="8">
          <cell r="F8">
            <v>190942200</v>
          </cell>
        </row>
        <row r="205">
          <cell r="D205">
            <v>0</v>
          </cell>
        </row>
        <row r="258">
          <cell r="F258">
            <v>0</v>
          </cell>
        </row>
        <row r="304">
          <cell r="F304">
            <v>0</v>
          </cell>
        </row>
      </sheetData>
      <sheetData sheetId="4">
        <row r="9">
          <cell r="F9">
            <v>421730000</v>
          </cell>
        </row>
        <row r="13">
          <cell r="D13">
            <v>0</v>
          </cell>
          <cell r="E13">
            <v>0</v>
          </cell>
        </row>
        <row r="31">
          <cell r="D31">
            <v>0</v>
          </cell>
          <cell r="E31">
            <v>0</v>
          </cell>
        </row>
        <row r="63">
          <cell r="D63">
            <v>0</v>
          </cell>
          <cell r="E63">
            <v>0</v>
          </cell>
        </row>
        <row r="91">
          <cell r="D91">
            <v>0</v>
          </cell>
          <cell r="E91">
            <v>0</v>
          </cell>
        </row>
        <row r="117">
          <cell r="D117">
            <v>0</v>
          </cell>
          <cell r="E117">
            <v>0</v>
          </cell>
        </row>
        <row r="134">
          <cell r="D134">
            <v>0</v>
          </cell>
          <cell r="E134">
            <v>0</v>
          </cell>
        </row>
        <row r="161">
          <cell r="D161">
            <v>0</v>
          </cell>
          <cell r="E161">
            <v>0</v>
          </cell>
        </row>
        <row r="179">
          <cell r="D179">
            <v>0</v>
          </cell>
          <cell r="E179">
            <v>0</v>
          </cell>
        </row>
        <row r="206">
          <cell r="E206">
            <v>0</v>
          </cell>
        </row>
      </sheetData>
      <sheetData sheetId="5">
        <row r="8">
          <cell r="F8">
            <v>1282698522</v>
          </cell>
        </row>
        <row r="22">
          <cell r="D22">
            <v>0</v>
          </cell>
        </row>
        <row r="47">
          <cell r="D47">
            <v>0</v>
          </cell>
        </row>
        <row r="86">
          <cell r="D86">
            <v>0</v>
          </cell>
        </row>
        <row r="115">
          <cell r="D115">
            <v>0</v>
          </cell>
        </row>
        <row r="150">
          <cell r="D150">
            <v>0</v>
          </cell>
        </row>
        <row r="175">
          <cell r="D175">
            <v>0</v>
          </cell>
        </row>
        <row r="214">
          <cell r="D214">
            <v>0</v>
          </cell>
        </row>
        <row r="242">
          <cell r="D242">
            <v>0</v>
          </cell>
        </row>
      </sheetData>
      <sheetData sheetId="6">
        <row r="8">
          <cell r="F8">
            <v>155025000</v>
          </cell>
        </row>
        <row r="12">
          <cell r="D12">
            <v>0</v>
          </cell>
          <cell r="E12">
            <v>0</v>
          </cell>
        </row>
        <row r="37">
          <cell r="D37">
            <v>0</v>
          </cell>
        </row>
        <row r="57">
          <cell r="D57">
            <v>0</v>
          </cell>
          <cell r="E57">
            <v>0</v>
          </cell>
        </row>
      </sheetData>
      <sheetData sheetId="7">
        <row r="29">
          <cell r="D29">
            <v>474718339</v>
          </cell>
        </row>
        <row r="104">
          <cell r="D104">
            <v>0</v>
          </cell>
        </row>
        <row r="134">
          <cell r="D134">
            <v>0</v>
          </cell>
          <cell r="E134">
            <v>0</v>
          </cell>
        </row>
      </sheetData>
      <sheetData sheetId="8">
        <row r="8">
          <cell r="F8">
            <v>21360761833</v>
          </cell>
        </row>
      </sheetData>
      <sheetData sheetId="9">
        <row r="8">
          <cell r="E8">
            <v>624824300</v>
          </cell>
        </row>
      </sheetData>
      <sheetData sheetId="10">
        <row r="8">
          <cell r="E8">
            <v>19703300</v>
          </cell>
        </row>
        <row r="35">
          <cell r="D35">
            <v>0</v>
          </cell>
          <cell r="E35">
            <v>0</v>
          </cell>
        </row>
        <row r="48">
          <cell r="D48">
            <v>0</v>
          </cell>
        </row>
        <row r="76">
          <cell r="D76">
            <v>0</v>
          </cell>
          <cell r="E76">
            <v>0</v>
          </cell>
        </row>
        <row r="93">
          <cell r="D93">
            <v>0</v>
          </cell>
          <cell r="E93">
            <v>0</v>
          </cell>
        </row>
        <row r="116">
          <cell r="D116">
            <v>0</v>
          </cell>
          <cell r="E116">
            <v>0</v>
          </cell>
        </row>
      </sheetData>
      <sheetData sheetId="11">
        <row r="8">
          <cell r="E8">
            <v>753425</v>
          </cell>
        </row>
        <row r="73">
          <cell r="D73">
            <v>0</v>
          </cell>
        </row>
        <row r="78">
          <cell r="E78">
            <v>0</v>
          </cell>
        </row>
        <row r="103">
          <cell r="D103">
            <v>0</v>
          </cell>
          <cell r="E103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8">
          <cell r="D8">
            <v>23000</v>
          </cell>
          <cell r="E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01-12.01"/>
      <sheetName val="13.00"/>
      <sheetName val="14.00"/>
      <sheetName val="15.00-16.00"/>
      <sheetName val="31.01-31.09"/>
      <sheetName val="31.10"/>
      <sheetName val="35.00-35.01-37.00"/>
      <sheetName val="50.00"/>
      <sheetName val="70.00"/>
      <sheetName val="81.01"/>
      <sheetName val="81.02-81.03"/>
      <sheetName val="88.01"/>
      <sheetName val="91.00"/>
      <sheetName val="92.00"/>
      <sheetName val="93.00  dan 96.00"/>
      <sheetName val="97.01-97.02"/>
      <sheetName val="97.03-97.06"/>
      <sheetName val="97.07-97.09"/>
      <sheetName val="98.00"/>
    </sheetNames>
    <sheetDataSet>
      <sheetData sheetId="0" refreshError="1">
        <row r="8">
          <cell r="F8">
            <v>1312251855.8000002</v>
          </cell>
        </row>
        <row r="51">
          <cell r="D51">
            <v>0</v>
          </cell>
          <cell r="E51">
            <v>0</v>
          </cell>
        </row>
      </sheetData>
      <sheetData sheetId="1" refreshError="1">
        <row r="8">
          <cell r="F8">
            <v>1036457792</v>
          </cell>
        </row>
        <row r="127">
          <cell r="F127">
            <v>0</v>
          </cell>
        </row>
      </sheetData>
      <sheetData sheetId="2" refreshError="1">
        <row r="17">
          <cell r="D17">
            <v>0</v>
          </cell>
          <cell r="E17">
            <v>0</v>
          </cell>
        </row>
      </sheetData>
      <sheetData sheetId="3" refreshError="1">
        <row r="8">
          <cell r="F8">
            <v>92600000</v>
          </cell>
        </row>
        <row r="288">
          <cell r="D288">
            <v>0</v>
          </cell>
          <cell r="E288">
            <v>0</v>
          </cell>
        </row>
        <row r="307">
          <cell r="D307">
            <v>0</v>
          </cell>
          <cell r="E307">
            <v>0</v>
          </cell>
        </row>
      </sheetData>
      <sheetData sheetId="4" refreshError="1"/>
      <sheetData sheetId="5" refreshError="1">
        <row r="8">
          <cell r="F8">
            <v>1114292078</v>
          </cell>
        </row>
        <row r="22">
          <cell r="D22">
            <v>0</v>
          </cell>
        </row>
        <row r="47">
          <cell r="D47">
            <v>0</v>
          </cell>
        </row>
        <row r="86">
          <cell r="D86">
            <v>0</v>
          </cell>
        </row>
        <row r="115">
          <cell r="D115">
            <v>0</v>
          </cell>
        </row>
        <row r="150">
          <cell r="D150">
            <v>0</v>
          </cell>
        </row>
        <row r="175">
          <cell r="D175">
            <v>0</v>
          </cell>
        </row>
        <row r="214">
          <cell r="D214">
            <v>0</v>
          </cell>
        </row>
        <row r="242">
          <cell r="D242">
            <v>0</v>
          </cell>
        </row>
      </sheetData>
      <sheetData sheetId="6" refreshError="1">
        <row r="8">
          <cell r="F8">
            <v>155025000</v>
          </cell>
        </row>
        <row r="12">
          <cell r="D12">
            <v>0</v>
          </cell>
          <cell r="E12">
            <v>0</v>
          </cell>
        </row>
        <row r="37">
          <cell r="D37">
            <v>0</v>
          </cell>
        </row>
        <row r="48">
          <cell r="F48">
            <v>0</v>
          </cell>
        </row>
        <row r="57">
          <cell r="D57">
            <v>0</v>
          </cell>
          <cell r="E57">
            <v>0</v>
          </cell>
        </row>
      </sheetData>
      <sheetData sheetId="7" refreshError="1">
        <row r="32">
          <cell r="F32">
            <v>398194500</v>
          </cell>
        </row>
        <row r="113">
          <cell r="F113">
            <v>0</v>
          </cell>
        </row>
        <row r="117">
          <cell r="D117">
            <v>0</v>
          </cell>
          <cell r="E117">
            <v>0</v>
          </cell>
        </row>
      </sheetData>
      <sheetData sheetId="8" refreshError="1">
        <row r="8">
          <cell r="F8">
            <v>21360761833</v>
          </cell>
        </row>
        <row r="17">
          <cell r="D17">
            <v>0</v>
          </cell>
          <cell r="E17">
            <v>0</v>
          </cell>
        </row>
        <row r="37">
          <cell r="D37">
            <v>0</v>
          </cell>
          <cell r="E37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ba-ETAP "/>
      <sheetName val="Laba-OTDA"/>
      <sheetName val="Neraca "/>
      <sheetName val="ARUS KAS"/>
      <sheetName val="LAP ARUS KAS"/>
      <sheetName val="LAP ARUS KAS (2)"/>
      <sheetName val="Lap. Perputaran Uang "/>
      <sheetName val="Ekuitas"/>
      <sheetName val="NERACA KOMPARATIF"/>
      <sheetName val="RL KOMPARATIF"/>
      <sheetName val="RINCIAN B. LANGSUNG USAHA"/>
      <sheetName val="RINCIAN B. TDK LANGSUNG"/>
      <sheetName val="B. NON OPERASIONAL"/>
      <sheetName val="P-9. Beban Operasi"/>
      <sheetName val="P-10. Beban Umum &amp; Adm"/>
      <sheetName val="Sheet1"/>
      <sheetName val="P-10. Biaya Operasi"/>
      <sheetName val="P-11. Biaya UMUM &amp; ADM"/>
      <sheetName val="lama"/>
      <sheetName val="lam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2">
          <cell r="E32">
            <v>87079393</v>
          </cell>
        </row>
      </sheetData>
      <sheetData sheetId="11">
        <row r="77">
          <cell r="E77">
            <v>250902737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6E07-197B-4F8A-A234-C8A81BFA112E}">
  <dimension ref="A1:N123"/>
  <sheetViews>
    <sheetView showWhiteSpace="0" view="pageBreakPreview" topLeftCell="A118" zoomScale="110" zoomScaleNormal="120" zoomScaleSheetLayoutView="110" zoomScalePageLayoutView="120" workbookViewId="0">
      <selection activeCell="M77" sqref="M77"/>
    </sheetView>
  </sheetViews>
  <sheetFormatPr defaultColWidth="9.140625" defaultRowHeight="11.25" customHeight="1" x14ac:dyDescent="0.15"/>
  <cols>
    <col min="1" max="1" width="2.28515625" style="4" customWidth="1"/>
    <col min="2" max="2" width="17.7109375" style="4" customWidth="1"/>
    <col min="3" max="5" width="14.5703125" style="4" customWidth="1"/>
    <col min="6" max="6" width="15.42578125" style="4" customWidth="1"/>
    <col min="7" max="7" width="15.140625" style="4" customWidth="1"/>
    <col min="8" max="8" width="16.85546875" style="4" customWidth="1"/>
    <col min="9" max="9" width="13.7109375" style="4" customWidth="1"/>
    <col min="10" max="10" width="14" style="4" customWidth="1"/>
    <col min="11" max="11" width="14.7109375" style="4" customWidth="1"/>
    <col min="12" max="12" width="14.85546875" style="4" customWidth="1"/>
    <col min="13" max="13" width="14.85546875" style="4" bestFit="1" customWidth="1"/>
    <col min="14" max="14" width="14.5703125" style="4" customWidth="1"/>
    <col min="15" max="16384" width="9.140625" style="4"/>
  </cols>
  <sheetData>
    <row r="1" spans="1:14" ht="15" customHeight="1" x14ac:dyDescent="0.2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4" ht="15" customHeight="1" x14ac:dyDescent="0.2">
      <c r="A2" s="57" t="s">
        <v>88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4" ht="14.25" customHeight="1" x14ac:dyDescent="0.2">
      <c r="A3" s="57" t="s">
        <v>98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4" ht="14.25" customHeight="1" thickBo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4" ht="10.5" customHeight="1" thickTop="1" x14ac:dyDescent="0.15">
      <c r="A5" s="58" t="s">
        <v>1</v>
      </c>
      <c r="B5" s="59"/>
      <c r="C5" s="64" t="s">
        <v>18</v>
      </c>
      <c r="D5" s="64"/>
      <c r="E5" s="58" t="s">
        <v>19</v>
      </c>
      <c r="F5" s="59"/>
      <c r="G5" s="64" t="s">
        <v>2</v>
      </c>
      <c r="H5" s="64"/>
      <c r="I5" s="58" t="s">
        <v>5</v>
      </c>
      <c r="J5" s="59"/>
      <c r="K5" s="58" t="s">
        <v>6</v>
      </c>
      <c r="L5" s="59"/>
    </row>
    <row r="6" spans="1:14" ht="10.5" customHeight="1" x14ac:dyDescent="0.15">
      <c r="A6" s="60"/>
      <c r="B6" s="61"/>
      <c r="C6" s="65" t="s">
        <v>93</v>
      </c>
      <c r="D6" s="66"/>
      <c r="E6" s="62"/>
      <c r="F6" s="63"/>
      <c r="G6" s="65" t="s">
        <v>101</v>
      </c>
      <c r="H6" s="66"/>
      <c r="I6" s="65" t="s">
        <v>101</v>
      </c>
      <c r="J6" s="66"/>
      <c r="K6" s="65" t="s">
        <v>101</v>
      </c>
      <c r="L6" s="66"/>
    </row>
    <row r="7" spans="1:14" ht="10.5" customHeight="1" x14ac:dyDescent="0.15">
      <c r="A7" s="62"/>
      <c r="B7" s="63"/>
      <c r="C7" s="6" t="s">
        <v>3</v>
      </c>
      <c r="D7" s="6" t="s">
        <v>4</v>
      </c>
      <c r="E7" s="6" t="s">
        <v>3</v>
      </c>
      <c r="F7" s="6" t="s">
        <v>4</v>
      </c>
      <c r="G7" s="6" t="s">
        <v>3</v>
      </c>
      <c r="H7" s="6" t="s">
        <v>4</v>
      </c>
      <c r="I7" s="6" t="s">
        <v>3</v>
      </c>
      <c r="J7" s="6" t="s">
        <v>4</v>
      </c>
      <c r="K7" s="6" t="s">
        <v>3</v>
      </c>
      <c r="L7" s="6" t="s">
        <v>4</v>
      </c>
      <c r="M7" s="15"/>
    </row>
    <row r="8" spans="1:14" ht="10.5" customHeight="1" x14ac:dyDescent="0.15">
      <c r="A8" s="7" t="s">
        <v>7</v>
      </c>
      <c r="B8" s="8"/>
      <c r="C8" s="9">
        <v>0</v>
      </c>
      <c r="D8" s="9"/>
      <c r="E8" s="9">
        <v>0</v>
      </c>
      <c r="F8" s="9">
        <v>0</v>
      </c>
      <c r="G8" s="9">
        <f>C8+E8-F8</f>
        <v>0</v>
      </c>
      <c r="H8" s="9"/>
      <c r="I8" s="9"/>
      <c r="J8" s="9"/>
      <c r="K8" s="9">
        <f>G8</f>
        <v>0</v>
      </c>
      <c r="L8" s="9">
        <f>H8</f>
        <v>0</v>
      </c>
      <c r="M8" s="10"/>
    </row>
    <row r="9" spans="1:14" ht="10.5" customHeight="1" x14ac:dyDescent="0.15">
      <c r="A9" s="11" t="s">
        <v>56</v>
      </c>
      <c r="B9" s="12"/>
      <c r="C9" s="9">
        <v>0</v>
      </c>
      <c r="D9" s="9"/>
      <c r="E9" s="9">
        <f>'[2]11.01-12.01'!$D$51</f>
        <v>0</v>
      </c>
      <c r="F9" s="9">
        <f>'[2]11.01-12.01'!$E$51</f>
        <v>0</v>
      </c>
      <c r="G9" s="9">
        <f>C9+E9-F9</f>
        <v>0</v>
      </c>
      <c r="H9" s="9"/>
      <c r="I9" s="9"/>
      <c r="J9" s="9"/>
      <c r="K9" s="9">
        <f>G9</f>
        <v>0</v>
      </c>
      <c r="L9" s="9">
        <f>H9</f>
        <v>0</v>
      </c>
      <c r="M9" s="10"/>
    </row>
    <row r="10" spans="1:14" ht="10.5" customHeight="1" x14ac:dyDescent="0.15">
      <c r="A10" s="13" t="s">
        <v>47</v>
      </c>
      <c r="B10" s="12"/>
      <c r="C10" s="9"/>
      <c r="D10" s="9"/>
      <c r="E10" s="9"/>
      <c r="F10" s="9"/>
      <c r="G10" s="9">
        <f t="shared" ref="G10:G26" si="0">C10+E10-F10</f>
        <v>0</v>
      </c>
      <c r="H10" s="9"/>
      <c r="I10" s="9"/>
      <c r="J10" s="9"/>
      <c r="K10" s="9">
        <f t="shared" ref="K10:N67" si="1">G10</f>
        <v>0</v>
      </c>
      <c r="L10" s="9">
        <f t="shared" si="1"/>
        <v>0</v>
      </c>
      <c r="M10" s="10"/>
    </row>
    <row r="11" spans="1:14" ht="10.5" customHeight="1" x14ac:dyDescent="0.15">
      <c r="A11" s="11"/>
      <c r="B11" s="12" t="s">
        <v>48</v>
      </c>
      <c r="C11" s="9">
        <v>0</v>
      </c>
      <c r="D11" s="9"/>
      <c r="E11" s="9">
        <v>0</v>
      </c>
      <c r="F11" s="9">
        <v>0</v>
      </c>
      <c r="G11" s="9">
        <f>C11+E11-F11</f>
        <v>0</v>
      </c>
      <c r="H11" s="9"/>
      <c r="I11" s="9"/>
      <c r="J11" s="9"/>
      <c r="K11" s="9">
        <f>G11</f>
        <v>0</v>
      </c>
      <c r="L11" s="9">
        <f t="shared" si="1"/>
        <v>0</v>
      </c>
      <c r="M11" s="10">
        <f>K11+K12+K13+K14</f>
        <v>0</v>
      </c>
    </row>
    <row r="12" spans="1:14" ht="10.5" customHeight="1" x14ac:dyDescent="0.15">
      <c r="A12" s="11"/>
      <c r="B12" s="12" t="s">
        <v>20</v>
      </c>
      <c r="C12" s="9">
        <v>0</v>
      </c>
      <c r="D12" s="9"/>
      <c r="E12" s="9">
        <v>0</v>
      </c>
      <c r="F12" s="9">
        <v>0</v>
      </c>
      <c r="G12" s="9">
        <f t="shared" si="0"/>
        <v>0</v>
      </c>
      <c r="H12" s="9"/>
      <c r="I12" s="9"/>
      <c r="J12" s="9"/>
      <c r="K12" s="9">
        <f t="shared" si="1"/>
        <v>0</v>
      </c>
      <c r="L12" s="9">
        <f t="shared" si="1"/>
        <v>0</v>
      </c>
      <c r="M12" s="10"/>
    </row>
    <row r="13" spans="1:14" ht="10.5" customHeight="1" x14ac:dyDescent="0.15">
      <c r="A13" s="11"/>
      <c r="B13" s="12" t="s">
        <v>70</v>
      </c>
      <c r="C13" s="9">
        <v>0</v>
      </c>
      <c r="D13" s="9"/>
      <c r="E13" s="9">
        <f>'[2]14.00'!$D$17</f>
        <v>0</v>
      </c>
      <c r="F13" s="9">
        <f>'[2]14.00'!$E$17</f>
        <v>0</v>
      </c>
      <c r="G13" s="9">
        <f t="shared" si="0"/>
        <v>0</v>
      </c>
      <c r="H13" s="9"/>
      <c r="I13" s="9"/>
      <c r="J13" s="9"/>
      <c r="K13" s="9">
        <f t="shared" si="1"/>
        <v>0</v>
      </c>
      <c r="L13" s="9">
        <f t="shared" si="1"/>
        <v>0</v>
      </c>
      <c r="M13" s="10"/>
    </row>
    <row r="14" spans="1:14" ht="10.5" customHeight="1" x14ac:dyDescent="0.15">
      <c r="A14" s="11"/>
      <c r="B14" s="12" t="s">
        <v>71</v>
      </c>
      <c r="C14" s="9">
        <f>'[2]13.00'!$F$127</f>
        <v>0</v>
      </c>
      <c r="D14" s="9"/>
      <c r="E14" s="9">
        <v>0</v>
      </c>
      <c r="F14" s="9"/>
      <c r="G14" s="9">
        <f t="shared" si="0"/>
        <v>0</v>
      </c>
      <c r="H14" s="9"/>
      <c r="I14" s="9"/>
      <c r="J14" s="9"/>
      <c r="K14" s="9">
        <f t="shared" si="1"/>
        <v>0</v>
      </c>
      <c r="L14" s="9">
        <f t="shared" si="1"/>
        <v>0</v>
      </c>
      <c r="M14" s="10"/>
    </row>
    <row r="15" spans="1:14" ht="10.5" customHeight="1" x14ac:dyDescent="0.15">
      <c r="A15" s="11"/>
      <c r="B15" s="12" t="s">
        <v>87</v>
      </c>
      <c r="C15" s="9"/>
      <c r="D15" s="9"/>
      <c r="E15" s="9">
        <v>0</v>
      </c>
      <c r="F15" s="9">
        <v>0</v>
      </c>
      <c r="G15" s="9"/>
      <c r="H15" s="9"/>
      <c r="I15" s="9"/>
      <c r="J15" s="9"/>
      <c r="K15" s="9">
        <f t="shared" si="1"/>
        <v>0</v>
      </c>
      <c r="L15" s="9">
        <f t="shared" si="1"/>
        <v>0</v>
      </c>
      <c r="M15" s="9">
        <f t="shared" si="1"/>
        <v>0</v>
      </c>
      <c r="N15" s="9">
        <f t="shared" si="1"/>
        <v>0</v>
      </c>
    </row>
    <row r="16" spans="1:14" ht="10.5" customHeight="1" x14ac:dyDescent="0.15">
      <c r="A16" s="11" t="s">
        <v>49</v>
      </c>
      <c r="B16" s="12"/>
      <c r="C16" s="9"/>
      <c r="D16" s="9">
        <v>0</v>
      </c>
      <c r="E16" s="9">
        <f>'[1]13.00'!$D$185</f>
        <v>0</v>
      </c>
      <c r="F16" s="9"/>
      <c r="G16" s="9"/>
      <c r="H16" s="9">
        <f>D16-E16+F16</f>
        <v>0</v>
      </c>
      <c r="I16" s="9"/>
      <c r="J16" s="9"/>
      <c r="K16" s="9">
        <f t="shared" si="1"/>
        <v>0</v>
      </c>
      <c r="L16" s="9">
        <f t="shared" si="1"/>
        <v>0</v>
      </c>
      <c r="M16" s="10"/>
    </row>
    <row r="17" spans="1:13" ht="10.5" customHeight="1" x14ac:dyDescent="0.15">
      <c r="A17" s="14" t="s">
        <v>50</v>
      </c>
      <c r="B17" s="12"/>
      <c r="C17" s="9">
        <v>0</v>
      </c>
      <c r="D17" s="9"/>
      <c r="E17" s="9"/>
      <c r="F17" s="9"/>
      <c r="G17" s="9"/>
      <c r="H17" s="9"/>
      <c r="I17" s="9"/>
      <c r="J17" s="9"/>
      <c r="K17" s="9">
        <f t="shared" si="1"/>
        <v>0</v>
      </c>
      <c r="L17" s="9">
        <f t="shared" si="1"/>
        <v>0</v>
      </c>
      <c r="M17" s="10"/>
    </row>
    <row r="18" spans="1:13" ht="10.5" customHeight="1" x14ac:dyDescent="0.15">
      <c r="A18" s="13" t="s">
        <v>8</v>
      </c>
      <c r="B18" s="12"/>
      <c r="C18" s="9"/>
      <c r="D18" s="9"/>
      <c r="E18" s="9"/>
      <c r="F18" s="9"/>
      <c r="G18" s="9">
        <f t="shared" si="0"/>
        <v>0</v>
      </c>
      <c r="H18" s="9"/>
      <c r="I18" s="9"/>
      <c r="J18" s="9"/>
      <c r="K18" s="9">
        <f t="shared" si="1"/>
        <v>0</v>
      </c>
      <c r="L18" s="9">
        <f t="shared" si="1"/>
        <v>0</v>
      </c>
      <c r="M18" s="10"/>
    </row>
    <row r="19" spans="1:13" ht="10.5" customHeight="1" x14ac:dyDescent="0.15">
      <c r="A19" s="11"/>
      <c r="B19" s="12" t="s">
        <v>21</v>
      </c>
      <c r="C19" s="56">
        <v>0</v>
      </c>
      <c r="D19" s="56"/>
      <c r="E19" s="56">
        <f>'[1]15.00-16.00'!$D$11</f>
        <v>0</v>
      </c>
      <c r="F19" s="9">
        <v>0</v>
      </c>
      <c r="G19" s="9">
        <f t="shared" si="0"/>
        <v>0</v>
      </c>
      <c r="H19" s="9"/>
      <c r="I19" s="9"/>
      <c r="J19" s="9"/>
      <c r="K19" s="9">
        <f t="shared" si="1"/>
        <v>0</v>
      </c>
      <c r="L19" s="9">
        <f t="shared" si="1"/>
        <v>0</v>
      </c>
      <c r="M19" s="10">
        <f>K19+K20+K23+K21+K25+K24+K26</f>
        <v>0</v>
      </c>
    </row>
    <row r="20" spans="1:13" ht="10.5" customHeight="1" x14ac:dyDescent="0.15">
      <c r="A20" s="11"/>
      <c r="B20" s="12" t="s">
        <v>22</v>
      </c>
      <c r="C20" s="56">
        <v>0</v>
      </c>
      <c r="D20" s="56"/>
      <c r="E20" s="56">
        <f>'[1]15.00-16.00'!$D$77</f>
        <v>0</v>
      </c>
      <c r="F20" s="9">
        <v>0</v>
      </c>
      <c r="G20" s="9">
        <f t="shared" si="0"/>
        <v>0</v>
      </c>
      <c r="H20" s="9"/>
      <c r="I20" s="9"/>
      <c r="J20" s="9"/>
      <c r="K20" s="9">
        <f t="shared" si="1"/>
        <v>0</v>
      </c>
      <c r="L20" s="9">
        <f t="shared" si="1"/>
        <v>0</v>
      </c>
      <c r="M20" s="10"/>
    </row>
    <row r="21" spans="1:13" ht="10.5" customHeight="1" x14ac:dyDescent="0.15">
      <c r="A21" s="11"/>
      <c r="B21" s="12" t="s">
        <v>23</v>
      </c>
      <c r="C21" s="56">
        <v>0</v>
      </c>
      <c r="D21" s="56"/>
      <c r="E21" s="56">
        <f>'[1]15.00-16.00'!$D$144</f>
        <v>0</v>
      </c>
      <c r="F21" s="9">
        <v>0</v>
      </c>
      <c r="G21" s="9">
        <f t="shared" si="0"/>
        <v>0</v>
      </c>
      <c r="H21" s="9"/>
      <c r="I21" s="9"/>
      <c r="J21" s="9"/>
      <c r="K21" s="9">
        <f t="shared" si="1"/>
        <v>0</v>
      </c>
      <c r="L21" s="9">
        <f t="shared" si="1"/>
        <v>0</v>
      </c>
      <c r="M21" s="10"/>
    </row>
    <row r="22" spans="1:13" ht="10.5" customHeight="1" x14ac:dyDescent="0.15">
      <c r="A22" s="11"/>
      <c r="B22" s="12" t="s">
        <v>90</v>
      </c>
      <c r="C22" s="56">
        <v>0</v>
      </c>
      <c r="D22" s="56"/>
      <c r="E22" s="56">
        <f>'[1]15.00-16.00'!$D$205</f>
        <v>0</v>
      </c>
      <c r="F22" s="9">
        <v>0</v>
      </c>
      <c r="G22" s="9">
        <f t="shared" si="0"/>
        <v>0</v>
      </c>
      <c r="H22" s="9"/>
      <c r="I22" s="9"/>
      <c r="J22" s="9"/>
      <c r="K22" s="9">
        <f t="shared" si="1"/>
        <v>0</v>
      </c>
      <c r="L22" s="9">
        <f t="shared" si="1"/>
        <v>0</v>
      </c>
      <c r="M22" s="10"/>
    </row>
    <row r="23" spans="1:13" ht="10.5" customHeight="1" x14ac:dyDescent="0.15">
      <c r="A23" s="11"/>
      <c r="B23" s="12" t="s">
        <v>24</v>
      </c>
      <c r="C23" s="56">
        <v>0</v>
      </c>
      <c r="D23" s="56"/>
      <c r="E23" s="56">
        <v>0</v>
      </c>
      <c r="F23" s="9">
        <v>0</v>
      </c>
      <c r="G23" s="9">
        <f t="shared" si="0"/>
        <v>0</v>
      </c>
      <c r="H23" s="9"/>
      <c r="I23" s="9"/>
      <c r="J23" s="9"/>
      <c r="K23" s="9">
        <f t="shared" si="1"/>
        <v>0</v>
      </c>
      <c r="L23" s="9">
        <f t="shared" si="1"/>
        <v>0</v>
      </c>
      <c r="M23" s="10"/>
    </row>
    <row r="24" spans="1:13" ht="10.5" customHeight="1" x14ac:dyDescent="0.15">
      <c r="A24" s="11"/>
      <c r="B24" s="12" t="s">
        <v>51</v>
      </c>
      <c r="C24" s="56">
        <v>0</v>
      </c>
      <c r="D24" s="56"/>
      <c r="E24" s="56"/>
      <c r="F24" s="9"/>
      <c r="G24" s="9">
        <f t="shared" si="0"/>
        <v>0</v>
      </c>
      <c r="H24" s="9"/>
      <c r="I24" s="9"/>
      <c r="J24" s="9"/>
      <c r="K24" s="9">
        <f t="shared" si="1"/>
        <v>0</v>
      </c>
      <c r="L24" s="9"/>
      <c r="M24" s="10"/>
    </row>
    <row r="25" spans="1:13" ht="10.5" customHeight="1" x14ac:dyDescent="0.15">
      <c r="A25" s="11"/>
      <c r="B25" s="12" t="s">
        <v>40</v>
      </c>
      <c r="C25" s="56">
        <f>'[1]15.00-16.00'!$F$258</f>
        <v>0</v>
      </c>
      <c r="D25" s="56"/>
      <c r="E25" s="56">
        <f>'[2]15.00-16.00'!$D$288</f>
        <v>0</v>
      </c>
      <c r="F25" s="9">
        <f>'[2]15.00-16.00'!$E$288</f>
        <v>0</v>
      </c>
      <c r="G25" s="9">
        <f t="shared" si="0"/>
        <v>0</v>
      </c>
      <c r="H25" s="9"/>
      <c r="I25" s="9"/>
      <c r="J25" s="9"/>
      <c r="K25" s="9">
        <f t="shared" si="1"/>
        <v>0</v>
      </c>
      <c r="L25" s="9">
        <f t="shared" si="1"/>
        <v>0</v>
      </c>
      <c r="M25" s="10"/>
    </row>
    <row r="26" spans="1:13" ht="10.5" customHeight="1" x14ac:dyDescent="0.15">
      <c r="A26" s="11"/>
      <c r="B26" s="12" t="s">
        <v>43</v>
      </c>
      <c r="C26" s="56">
        <f>'[1]15.00-16.00'!$F$304</f>
        <v>0</v>
      </c>
      <c r="D26" s="56"/>
      <c r="E26" s="56">
        <f>'[2]15.00-16.00'!$D$307</f>
        <v>0</v>
      </c>
      <c r="F26" s="9">
        <f>'[2]15.00-16.00'!$E$307</f>
        <v>0</v>
      </c>
      <c r="G26" s="9">
        <f t="shared" si="0"/>
        <v>0</v>
      </c>
      <c r="H26" s="9"/>
      <c r="I26" s="9"/>
      <c r="J26" s="9"/>
      <c r="K26" s="9">
        <f>G26</f>
        <v>0</v>
      </c>
      <c r="L26" s="9">
        <f t="shared" si="1"/>
        <v>0</v>
      </c>
      <c r="M26" s="10"/>
    </row>
    <row r="27" spans="1:13" ht="10.5" customHeight="1" x14ac:dyDescent="0.15">
      <c r="A27" s="11" t="s">
        <v>41</v>
      </c>
      <c r="B27" s="12"/>
      <c r="C27" s="9">
        <v>0</v>
      </c>
      <c r="D27" s="9"/>
      <c r="E27" s="9"/>
      <c r="F27" s="9"/>
      <c r="G27" s="9">
        <f>C27+E27-F27</f>
        <v>0</v>
      </c>
      <c r="H27" s="9"/>
      <c r="I27" s="9"/>
      <c r="J27" s="9"/>
      <c r="K27" s="9">
        <f>G27</f>
        <v>0</v>
      </c>
      <c r="L27" s="9">
        <f>H27</f>
        <v>0</v>
      </c>
      <c r="M27" s="10"/>
    </row>
    <row r="28" spans="1:13" ht="10.5" customHeight="1" x14ac:dyDescent="0.15">
      <c r="A28" s="13" t="s">
        <v>9</v>
      </c>
      <c r="B28" s="12"/>
      <c r="C28" s="9"/>
      <c r="D28" s="9"/>
      <c r="E28" s="9"/>
      <c r="F28" s="9"/>
      <c r="G28" s="9"/>
      <c r="H28" s="9"/>
      <c r="I28" s="9"/>
      <c r="J28" s="9"/>
      <c r="K28" s="9"/>
      <c r="L28" s="9">
        <f>H28</f>
        <v>0</v>
      </c>
      <c r="M28" s="10"/>
    </row>
    <row r="29" spans="1:13" ht="10.5" customHeight="1" x14ac:dyDescent="0.15">
      <c r="A29" s="11"/>
      <c r="B29" s="12" t="s">
        <v>39</v>
      </c>
      <c r="C29" s="9">
        <v>0</v>
      </c>
      <c r="D29" s="9"/>
      <c r="E29" s="9">
        <f>'[1]31.01-31.09'!$D$13</f>
        <v>0</v>
      </c>
      <c r="F29" s="9">
        <f>'[1]31.01-31.09'!$E$13</f>
        <v>0</v>
      </c>
      <c r="G29" s="9">
        <f t="shared" ref="G29:G38" si="2">C29+E29</f>
        <v>0</v>
      </c>
      <c r="H29" s="9"/>
      <c r="I29" s="9"/>
      <c r="J29" s="9"/>
      <c r="K29" s="9">
        <f t="shared" si="1"/>
        <v>0</v>
      </c>
      <c r="L29" s="9">
        <f t="shared" si="1"/>
        <v>0</v>
      </c>
      <c r="M29" s="10">
        <f>SUM(K29:K37)</f>
        <v>0</v>
      </c>
    </row>
    <row r="30" spans="1:13" ht="10.5" customHeight="1" x14ac:dyDescent="0.15">
      <c r="A30" s="11"/>
      <c r="B30" s="12" t="s">
        <v>25</v>
      </c>
      <c r="C30" s="9">
        <v>0</v>
      </c>
      <c r="D30" s="9"/>
      <c r="E30" s="9">
        <f>'[1]31.01-31.09'!$D$31</f>
        <v>0</v>
      </c>
      <c r="F30" s="9">
        <f>'[1]31.01-31.09'!$E$31</f>
        <v>0</v>
      </c>
      <c r="G30" s="9">
        <f t="shared" si="2"/>
        <v>0</v>
      </c>
      <c r="H30" s="9"/>
      <c r="I30" s="9"/>
      <c r="J30" s="9"/>
      <c r="K30" s="9">
        <f t="shared" si="1"/>
        <v>0</v>
      </c>
      <c r="L30" s="9">
        <f t="shared" si="1"/>
        <v>0</v>
      </c>
      <c r="M30" s="10">
        <f>M29+K47</f>
        <v>0</v>
      </c>
    </row>
    <row r="31" spans="1:13" ht="10.5" customHeight="1" x14ac:dyDescent="0.15">
      <c r="A31" s="11"/>
      <c r="B31" s="12" t="s">
        <v>26</v>
      </c>
      <c r="C31" s="9">
        <v>0</v>
      </c>
      <c r="D31" s="9"/>
      <c r="E31" s="9">
        <f>'[1]31.01-31.09'!$D$91</f>
        <v>0</v>
      </c>
      <c r="F31" s="9">
        <f>'[1]31.01-31.09'!$E$91</f>
        <v>0</v>
      </c>
      <c r="G31" s="9">
        <f t="shared" si="2"/>
        <v>0</v>
      </c>
      <c r="H31" s="9"/>
      <c r="I31" s="9"/>
      <c r="J31" s="9"/>
      <c r="K31" s="9">
        <f t="shared" si="1"/>
        <v>0</v>
      </c>
      <c r="L31" s="9">
        <f t="shared" si="1"/>
        <v>0</v>
      </c>
      <c r="M31" s="10"/>
    </row>
    <row r="32" spans="1:13" ht="10.5" customHeight="1" x14ac:dyDescent="0.15">
      <c r="A32" s="11"/>
      <c r="B32" s="12" t="s">
        <v>27</v>
      </c>
      <c r="C32" s="9">
        <v>0</v>
      </c>
      <c r="D32" s="9"/>
      <c r="E32" s="9">
        <f>'[1]31.01-31.09'!$D$63</f>
        <v>0</v>
      </c>
      <c r="F32" s="9">
        <f>'[1]31.01-31.09'!$E$63</f>
        <v>0</v>
      </c>
      <c r="G32" s="9">
        <f t="shared" si="2"/>
        <v>0</v>
      </c>
      <c r="H32" s="9"/>
      <c r="I32" s="9"/>
      <c r="J32" s="9"/>
      <c r="K32" s="9">
        <f t="shared" si="1"/>
        <v>0</v>
      </c>
      <c r="L32" s="9">
        <f t="shared" si="1"/>
        <v>0</v>
      </c>
      <c r="M32" s="10"/>
    </row>
    <row r="33" spans="1:14" ht="10.5" customHeight="1" x14ac:dyDescent="0.15">
      <c r="A33" s="11"/>
      <c r="B33" s="12" t="s">
        <v>28</v>
      </c>
      <c r="C33" s="9">
        <v>0</v>
      </c>
      <c r="D33" s="9"/>
      <c r="E33" s="9">
        <f>'[1]31.01-31.09'!$D$117</f>
        <v>0</v>
      </c>
      <c r="F33" s="9">
        <f>'[1]31.01-31.09'!$E$117</f>
        <v>0</v>
      </c>
      <c r="G33" s="9">
        <f t="shared" si="2"/>
        <v>0</v>
      </c>
      <c r="H33" s="9"/>
      <c r="I33" s="9"/>
      <c r="J33" s="9"/>
      <c r="K33" s="9">
        <f t="shared" si="1"/>
        <v>0</v>
      </c>
      <c r="L33" s="9">
        <f t="shared" si="1"/>
        <v>0</v>
      </c>
      <c r="M33" s="10"/>
      <c r="N33" s="15"/>
    </row>
    <row r="34" spans="1:14" ht="10.5" customHeight="1" x14ac:dyDescent="0.15">
      <c r="A34" s="11"/>
      <c r="B34" s="12" t="s">
        <v>66</v>
      </c>
      <c r="C34" s="9">
        <v>0</v>
      </c>
      <c r="D34" s="9"/>
      <c r="E34" s="9">
        <f>'[1]31.01-31.09'!$D$134</f>
        <v>0</v>
      </c>
      <c r="F34" s="9">
        <f>'[1]31.01-31.09'!$E$134</f>
        <v>0</v>
      </c>
      <c r="G34" s="9">
        <f t="shared" si="2"/>
        <v>0</v>
      </c>
      <c r="H34" s="9"/>
      <c r="I34" s="9"/>
      <c r="J34" s="9"/>
      <c r="K34" s="9">
        <f t="shared" si="1"/>
        <v>0</v>
      </c>
      <c r="L34" s="9">
        <f t="shared" si="1"/>
        <v>0</v>
      </c>
      <c r="M34" s="10"/>
    </row>
    <row r="35" spans="1:14" ht="10.5" customHeight="1" x14ac:dyDescent="0.15">
      <c r="A35" s="11"/>
      <c r="B35" s="12" t="s">
        <v>67</v>
      </c>
      <c r="C35" s="9">
        <v>0</v>
      </c>
      <c r="D35" s="9"/>
      <c r="E35" s="9">
        <f>'[1]31.01-31.09'!$D$161</f>
        <v>0</v>
      </c>
      <c r="F35" s="9">
        <f>'[1]31.01-31.09'!$E$161</f>
        <v>0</v>
      </c>
      <c r="G35" s="9">
        <f t="shared" si="2"/>
        <v>0</v>
      </c>
      <c r="H35" s="9"/>
      <c r="I35" s="9"/>
      <c r="J35" s="9"/>
      <c r="K35" s="9">
        <f t="shared" si="1"/>
        <v>0</v>
      </c>
      <c r="L35" s="9">
        <f t="shared" si="1"/>
        <v>0</v>
      </c>
      <c r="M35" s="10"/>
    </row>
    <row r="36" spans="1:14" ht="10.5" customHeight="1" x14ac:dyDescent="0.15">
      <c r="A36" s="11"/>
      <c r="B36" s="12" t="s">
        <v>68</v>
      </c>
      <c r="C36" s="9">
        <v>0</v>
      </c>
      <c r="D36" s="9"/>
      <c r="E36" s="9">
        <f>'[1]31.01-31.09'!$D$179</f>
        <v>0</v>
      </c>
      <c r="F36" s="9">
        <f>'[1]31.01-31.09'!$E$179</f>
        <v>0</v>
      </c>
      <c r="G36" s="9">
        <f t="shared" si="2"/>
        <v>0</v>
      </c>
      <c r="H36" s="9"/>
      <c r="I36" s="9"/>
      <c r="J36" s="9"/>
      <c r="K36" s="9">
        <f t="shared" si="1"/>
        <v>0</v>
      </c>
      <c r="L36" s="9">
        <f t="shared" si="1"/>
        <v>0</v>
      </c>
      <c r="M36" s="10"/>
    </row>
    <row r="37" spans="1:14" ht="10.5" customHeight="1" x14ac:dyDescent="0.15">
      <c r="A37" s="11"/>
      <c r="B37" s="12" t="s">
        <v>69</v>
      </c>
      <c r="C37" s="9">
        <v>0</v>
      </c>
      <c r="D37" s="9"/>
      <c r="E37" s="9">
        <f>'[1]31.01-31.09'!$D$190</f>
        <v>0</v>
      </c>
      <c r="F37" s="9">
        <f>'[1]31.01-31.09'!$E$206</f>
        <v>0</v>
      </c>
      <c r="G37" s="9">
        <f t="shared" si="2"/>
        <v>0</v>
      </c>
      <c r="H37" s="9"/>
      <c r="I37" s="9"/>
      <c r="J37" s="9"/>
      <c r="K37" s="9">
        <f t="shared" si="1"/>
        <v>0</v>
      </c>
      <c r="L37" s="9">
        <f t="shared" si="1"/>
        <v>0</v>
      </c>
      <c r="M37" s="10"/>
      <c r="N37" s="15"/>
    </row>
    <row r="38" spans="1:14" ht="10.5" customHeight="1" x14ac:dyDescent="0.15">
      <c r="A38" s="13" t="s">
        <v>10</v>
      </c>
      <c r="B38" s="12"/>
      <c r="C38" s="9"/>
      <c r="D38" s="9"/>
      <c r="E38" s="9"/>
      <c r="F38" s="9"/>
      <c r="G38" s="9">
        <f t="shared" si="2"/>
        <v>0</v>
      </c>
      <c r="H38" s="9"/>
      <c r="I38" s="9"/>
      <c r="J38" s="9"/>
      <c r="K38" s="9">
        <f t="shared" si="1"/>
        <v>0</v>
      </c>
      <c r="L38" s="9">
        <f t="shared" si="1"/>
        <v>0</v>
      </c>
      <c r="M38" s="10"/>
    </row>
    <row r="39" spans="1:14" ht="10.5" customHeight="1" x14ac:dyDescent="0.15">
      <c r="A39" s="11"/>
      <c r="B39" s="12" t="s">
        <v>25</v>
      </c>
      <c r="C39" s="9"/>
      <c r="D39" s="56">
        <v>0</v>
      </c>
      <c r="E39" s="9">
        <f>'[2]31.10'!$D$22</f>
        <v>0</v>
      </c>
      <c r="F39" s="9">
        <v>0</v>
      </c>
      <c r="G39" s="9"/>
      <c r="H39" s="9">
        <f>D39+F39</f>
        <v>0</v>
      </c>
      <c r="I39" s="9"/>
      <c r="J39" s="9"/>
      <c r="K39" s="9">
        <f t="shared" si="1"/>
        <v>0</v>
      </c>
      <c r="L39" s="9">
        <f t="shared" si="1"/>
        <v>0</v>
      </c>
      <c r="M39" s="10">
        <f>SUM(L39:L46)+L48</f>
        <v>0</v>
      </c>
      <c r="N39" s="16"/>
    </row>
    <row r="40" spans="1:14" ht="10.5" customHeight="1" x14ac:dyDescent="0.15">
      <c r="A40" s="11"/>
      <c r="B40" s="12" t="s">
        <v>26</v>
      </c>
      <c r="C40" s="9"/>
      <c r="D40" s="56">
        <v>0</v>
      </c>
      <c r="E40" s="9">
        <f>'[2]31.10'!$D$86</f>
        <v>0</v>
      </c>
      <c r="F40" s="9">
        <v>0</v>
      </c>
      <c r="G40" s="9"/>
      <c r="H40" s="9">
        <f>D40+F40</f>
        <v>0</v>
      </c>
      <c r="I40" s="9"/>
      <c r="J40" s="9"/>
      <c r="K40" s="9">
        <f t="shared" si="1"/>
        <v>0</v>
      </c>
      <c r="L40" s="9">
        <f t="shared" si="1"/>
        <v>0</v>
      </c>
      <c r="M40" s="10">
        <f>M39-L48</f>
        <v>0</v>
      </c>
      <c r="N40" s="16"/>
    </row>
    <row r="41" spans="1:14" ht="10.5" customHeight="1" x14ac:dyDescent="0.15">
      <c r="A41" s="11"/>
      <c r="B41" s="12" t="s">
        <v>27</v>
      </c>
      <c r="C41" s="9"/>
      <c r="D41" s="56">
        <v>0</v>
      </c>
      <c r="E41" s="9">
        <f>'[2]31.10'!$D$47</f>
        <v>0</v>
      </c>
      <c r="F41" s="9">
        <v>0</v>
      </c>
      <c r="G41" s="9"/>
      <c r="H41" s="9">
        <f>D41+F41</f>
        <v>0</v>
      </c>
      <c r="I41" s="9"/>
      <c r="J41" s="9"/>
      <c r="K41" s="9">
        <f t="shared" si="1"/>
        <v>0</v>
      </c>
      <c r="L41" s="9">
        <f t="shared" si="1"/>
        <v>0</v>
      </c>
      <c r="M41" s="10"/>
      <c r="N41" s="16"/>
    </row>
    <row r="42" spans="1:14" ht="10.5" customHeight="1" x14ac:dyDescent="0.15">
      <c r="A42" s="11"/>
      <c r="B42" s="12" t="s">
        <v>28</v>
      </c>
      <c r="C42" s="9"/>
      <c r="D42" s="56">
        <v>0</v>
      </c>
      <c r="E42" s="9">
        <f>'[2]31.10'!$D$115</f>
        <v>0</v>
      </c>
      <c r="F42" s="9">
        <v>0</v>
      </c>
      <c r="G42" s="9"/>
      <c r="H42" s="9">
        <f>D42+F42</f>
        <v>0</v>
      </c>
      <c r="I42" s="9"/>
      <c r="J42" s="9"/>
      <c r="K42" s="9">
        <f t="shared" si="1"/>
        <v>0</v>
      </c>
      <c r="L42" s="9">
        <f t="shared" si="1"/>
        <v>0</v>
      </c>
      <c r="M42" s="10"/>
      <c r="N42" s="16"/>
    </row>
    <row r="43" spans="1:14" ht="10.5" customHeight="1" x14ac:dyDescent="0.15">
      <c r="A43" s="11"/>
      <c r="B43" s="12" t="s">
        <v>66</v>
      </c>
      <c r="C43" s="9"/>
      <c r="D43" s="56">
        <v>0</v>
      </c>
      <c r="E43" s="9">
        <f>'[2]31.10'!$D$150</f>
        <v>0</v>
      </c>
      <c r="F43" s="9">
        <v>0</v>
      </c>
      <c r="G43" s="9"/>
      <c r="H43" s="9">
        <f t="shared" ref="H43:H45" si="3">D43+F43</f>
        <v>0</v>
      </c>
      <c r="I43" s="9"/>
      <c r="J43" s="9"/>
      <c r="K43" s="9">
        <f t="shared" si="1"/>
        <v>0</v>
      </c>
      <c r="L43" s="9">
        <f t="shared" si="1"/>
        <v>0</v>
      </c>
      <c r="M43" s="10"/>
      <c r="N43" s="16"/>
    </row>
    <row r="44" spans="1:14" ht="10.5" customHeight="1" x14ac:dyDescent="0.15">
      <c r="A44" s="11"/>
      <c r="B44" s="12" t="s">
        <v>67</v>
      </c>
      <c r="C44" s="9"/>
      <c r="D44" s="56">
        <v>0</v>
      </c>
      <c r="E44" s="9">
        <f>'[2]31.10'!$D$175</f>
        <v>0</v>
      </c>
      <c r="F44" s="9">
        <v>0</v>
      </c>
      <c r="G44" s="9"/>
      <c r="H44" s="9">
        <f t="shared" si="3"/>
        <v>0</v>
      </c>
      <c r="I44" s="9"/>
      <c r="J44" s="9"/>
      <c r="K44" s="9">
        <f t="shared" si="1"/>
        <v>0</v>
      </c>
      <c r="L44" s="9">
        <f t="shared" si="1"/>
        <v>0</v>
      </c>
      <c r="M44" s="10"/>
      <c r="N44" s="16"/>
    </row>
    <row r="45" spans="1:14" ht="10.5" customHeight="1" x14ac:dyDescent="0.15">
      <c r="A45" s="11"/>
      <c r="B45" s="12" t="s">
        <v>68</v>
      </c>
      <c r="C45" s="9"/>
      <c r="D45" s="56">
        <v>0</v>
      </c>
      <c r="E45" s="9">
        <f>'[2]31.10'!$D$214</f>
        <v>0</v>
      </c>
      <c r="F45" s="9">
        <v>0</v>
      </c>
      <c r="G45" s="9"/>
      <c r="H45" s="9">
        <f t="shared" si="3"/>
        <v>0</v>
      </c>
      <c r="I45" s="9"/>
      <c r="J45" s="9"/>
      <c r="K45" s="9">
        <f t="shared" si="1"/>
        <v>0</v>
      </c>
      <c r="L45" s="9">
        <f t="shared" si="1"/>
        <v>0</v>
      </c>
      <c r="M45" s="10"/>
      <c r="N45" s="16"/>
    </row>
    <row r="46" spans="1:14" ht="10.5" customHeight="1" x14ac:dyDescent="0.15">
      <c r="A46" s="11"/>
      <c r="B46" s="12" t="s">
        <v>69</v>
      </c>
      <c r="C46" s="9"/>
      <c r="D46" s="56">
        <v>0</v>
      </c>
      <c r="E46" s="9">
        <f>'[2]31.10'!$D$242</f>
        <v>0</v>
      </c>
      <c r="F46" s="9">
        <v>0</v>
      </c>
      <c r="G46" s="9"/>
      <c r="H46" s="9">
        <f>D46+F46</f>
        <v>0</v>
      </c>
      <c r="I46" s="9"/>
      <c r="J46" s="9"/>
      <c r="K46" s="9">
        <f t="shared" si="1"/>
        <v>0</v>
      </c>
      <c r="L46" s="9">
        <f t="shared" si="1"/>
        <v>0</v>
      </c>
      <c r="M46" s="10"/>
      <c r="N46" s="16"/>
    </row>
    <row r="47" spans="1:14" ht="10.5" customHeight="1" x14ac:dyDescent="0.15">
      <c r="A47" s="11" t="s">
        <v>53</v>
      </c>
      <c r="B47" s="12"/>
      <c r="C47" s="9">
        <v>0</v>
      </c>
      <c r="D47" s="9"/>
      <c r="E47" s="53">
        <f>'[2]35.00-35.01-37.00'!$D$12</f>
        <v>0</v>
      </c>
      <c r="F47" s="17">
        <f>'[2]35.00-35.01-37.00'!$E$12</f>
        <v>0</v>
      </c>
      <c r="G47" s="9">
        <f>E47+C47</f>
        <v>0</v>
      </c>
      <c r="H47" s="9">
        <f t="shared" ref="H47" si="4">D47+F47</f>
        <v>0</v>
      </c>
      <c r="I47" s="9"/>
      <c r="J47" s="9"/>
      <c r="K47" s="9">
        <f t="shared" si="1"/>
        <v>0</v>
      </c>
      <c r="L47" s="9">
        <f t="shared" si="1"/>
        <v>0</v>
      </c>
      <c r="M47" s="10"/>
      <c r="N47" s="16"/>
    </row>
    <row r="48" spans="1:14" ht="10.5" customHeight="1" x14ac:dyDescent="0.15">
      <c r="A48" s="11"/>
      <c r="B48" s="12" t="s">
        <v>54</v>
      </c>
      <c r="C48" s="9"/>
      <c r="D48" s="9">
        <v>0</v>
      </c>
      <c r="E48" s="9">
        <f>'[2]35.00-35.01-37.00'!$D$37</f>
        <v>0</v>
      </c>
      <c r="F48" s="9">
        <v>0</v>
      </c>
      <c r="H48" s="9">
        <f>D48+F48</f>
        <v>0</v>
      </c>
      <c r="I48" s="9"/>
      <c r="J48" s="9"/>
      <c r="K48" s="9">
        <f t="shared" si="1"/>
        <v>0</v>
      </c>
      <c r="L48" s="9">
        <f t="shared" si="1"/>
        <v>0</v>
      </c>
      <c r="M48" s="10"/>
      <c r="N48" s="16"/>
    </row>
    <row r="49" spans="1:14" ht="10.5" customHeight="1" x14ac:dyDescent="0.15">
      <c r="A49" s="13" t="s">
        <v>52</v>
      </c>
      <c r="B49" s="12"/>
      <c r="C49" s="9">
        <f>'[2]35.00-35.01-37.00'!$F$48</f>
        <v>0</v>
      </c>
      <c r="D49" s="9"/>
      <c r="E49" s="9">
        <f>'[2]35.00-35.01-37.00'!$D$57</f>
        <v>0</v>
      </c>
      <c r="F49" s="9">
        <f>'[2]35.00-35.01-37.00'!$E$57</f>
        <v>0</v>
      </c>
      <c r="G49" s="9">
        <f>C49+E49-F49</f>
        <v>0</v>
      </c>
      <c r="H49" s="9"/>
      <c r="I49" s="9"/>
      <c r="J49" s="9"/>
      <c r="K49" s="9">
        <f t="shared" si="1"/>
        <v>0</v>
      </c>
      <c r="L49" s="9">
        <f t="shared" si="1"/>
        <v>0</v>
      </c>
      <c r="M49" s="10"/>
      <c r="N49" s="16"/>
    </row>
    <row r="50" spans="1:14" ht="10.5" customHeight="1" x14ac:dyDescent="0.15">
      <c r="A50" s="13" t="s">
        <v>99</v>
      </c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10"/>
      <c r="N50" s="16"/>
    </row>
    <row r="51" spans="1:14" ht="10.5" customHeight="1" x14ac:dyDescent="0.15">
      <c r="A51" s="13"/>
      <c r="B51" s="12" t="s">
        <v>100</v>
      </c>
      <c r="C51" s="9">
        <v>0</v>
      </c>
      <c r="D51" s="9"/>
      <c r="E51" s="9"/>
      <c r="F51" s="9"/>
      <c r="G51" s="9">
        <f>C51+E51-F51</f>
        <v>0</v>
      </c>
      <c r="H51" s="9"/>
      <c r="I51" s="9"/>
      <c r="J51" s="9"/>
      <c r="K51" s="9"/>
      <c r="L51" s="9"/>
      <c r="M51" s="10"/>
      <c r="N51" s="16"/>
    </row>
    <row r="52" spans="1:14" ht="10.5" customHeight="1" x14ac:dyDescent="0.15">
      <c r="A52" s="67" t="s">
        <v>11</v>
      </c>
      <c r="B52" s="68"/>
      <c r="C52" s="18">
        <f>SUM(C8:C51)</f>
        <v>0</v>
      </c>
      <c r="D52" s="18">
        <f>SUM(D8:D49)</f>
        <v>0</v>
      </c>
      <c r="E52" s="18"/>
      <c r="F52" s="18"/>
      <c r="G52" s="18">
        <f>SUM(G8:G51)</f>
        <v>0</v>
      </c>
      <c r="H52" s="18">
        <f>SUM(H8:H49)</f>
        <v>0</v>
      </c>
      <c r="I52" s="18"/>
      <c r="J52" s="18"/>
      <c r="K52" s="18">
        <f t="shared" si="1"/>
        <v>0</v>
      </c>
      <c r="L52" s="18">
        <f t="shared" si="1"/>
        <v>0</v>
      </c>
      <c r="M52" s="19"/>
      <c r="N52" s="16"/>
    </row>
    <row r="53" spans="1:14" ht="10.5" customHeight="1" x14ac:dyDescent="0.15">
      <c r="A53" s="62"/>
      <c r="B53" s="63"/>
      <c r="C53" s="18">
        <f>C52-D52</f>
        <v>0</v>
      </c>
      <c r="D53" s="18"/>
      <c r="E53" s="18"/>
      <c r="F53" s="18"/>
      <c r="G53" s="18">
        <f>G52-H52</f>
        <v>0</v>
      </c>
      <c r="H53" s="18"/>
      <c r="I53" s="18"/>
      <c r="J53" s="18"/>
      <c r="K53" s="18">
        <f>K52-L52</f>
        <v>0</v>
      </c>
      <c r="L53" s="18">
        <f t="shared" si="1"/>
        <v>0</v>
      </c>
      <c r="M53" s="19"/>
      <c r="N53" s="15"/>
    </row>
    <row r="54" spans="1:14" ht="10.5" customHeight="1" x14ac:dyDescent="0.15">
      <c r="A54" s="20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19"/>
      <c r="N54" s="15"/>
    </row>
    <row r="55" spans="1:14" ht="10.5" customHeight="1" x14ac:dyDescent="0.15">
      <c r="A55" s="13" t="s">
        <v>29</v>
      </c>
      <c r="B55" s="23"/>
      <c r="C55" s="24"/>
      <c r="D55" s="9"/>
      <c r="E55" s="9"/>
      <c r="F55" s="9"/>
      <c r="G55" s="24"/>
      <c r="H55" s="9"/>
      <c r="I55" s="9"/>
      <c r="J55" s="9"/>
      <c r="K55" s="9">
        <f t="shared" si="1"/>
        <v>0</v>
      </c>
      <c r="L55" s="9">
        <f t="shared" si="1"/>
        <v>0</v>
      </c>
      <c r="M55" s="19"/>
      <c r="N55" s="15"/>
    </row>
    <row r="56" spans="1:14" ht="10.5" customHeight="1" x14ac:dyDescent="0.15">
      <c r="A56" s="11"/>
      <c r="B56" s="4" t="s">
        <v>12</v>
      </c>
      <c r="C56" s="9"/>
      <c r="D56" s="9"/>
      <c r="E56" s="9">
        <v>0</v>
      </c>
      <c r="F56" s="9">
        <v>0</v>
      </c>
      <c r="H56" s="9">
        <f t="shared" ref="H56:H63" si="5">D56-E56+F56</f>
        <v>0</v>
      </c>
      <c r="I56" s="9"/>
      <c r="J56" s="9"/>
      <c r="K56" s="9">
        <f t="shared" si="1"/>
        <v>0</v>
      </c>
      <c r="L56" s="9">
        <f t="shared" si="1"/>
        <v>0</v>
      </c>
      <c r="M56" s="19"/>
      <c r="N56" s="15"/>
    </row>
    <row r="57" spans="1:14" ht="10.5" customHeight="1" x14ac:dyDescent="0.15">
      <c r="A57" s="11"/>
      <c r="B57" s="4" t="s">
        <v>42</v>
      </c>
      <c r="C57" s="9"/>
      <c r="D57" s="9"/>
      <c r="E57" s="9">
        <f>'[1]50.00'!$D$104</f>
        <v>0</v>
      </c>
      <c r="F57" s="9"/>
      <c r="H57" s="9">
        <f t="shared" si="5"/>
        <v>0</v>
      </c>
      <c r="I57" s="9"/>
      <c r="J57" s="9"/>
      <c r="K57" s="9">
        <f t="shared" si="1"/>
        <v>0</v>
      </c>
      <c r="L57" s="9">
        <f t="shared" si="1"/>
        <v>0</v>
      </c>
      <c r="M57" s="19"/>
    </row>
    <row r="58" spans="1:14" ht="10.5" customHeight="1" x14ac:dyDescent="0.15">
      <c r="A58" s="11"/>
      <c r="B58" s="4" t="s">
        <v>85</v>
      </c>
      <c r="C58" s="9"/>
      <c r="D58" s="9">
        <v>0</v>
      </c>
      <c r="E58" s="9">
        <v>0</v>
      </c>
      <c r="F58" s="9">
        <v>0</v>
      </c>
      <c r="H58" s="9">
        <f>D58-E58+F58</f>
        <v>0</v>
      </c>
      <c r="I58" s="9"/>
      <c r="J58" s="9"/>
      <c r="K58" s="9">
        <f t="shared" si="1"/>
        <v>0</v>
      </c>
      <c r="L58" s="9">
        <f t="shared" si="1"/>
        <v>0</v>
      </c>
      <c r="M58" s="19"/>
    </row>
    <row r="59" spans="1:14" ht="10.5" customHeight="1" x14ac:dyDescent="0.15">
      <c r="A59" s="11"/>
      <c r="B59" s="4" t="s">
        <v>13</v>
      </c>
      <c r="C59" s="9"/>
      <c r="D59" s="9">
        <f>'[2]50.00'!$F$113</f>
        <v>0</v>
      </c>
      <c r="E59" s="9">
        <f>'[2]50.00'!$D$117</f>
        <v>0</v>
      </c>
      <c r="F59" s="9">
        <f>'[2]50.00'!$E$117</f>
        <v>0</v>
      </c>
      <c r="H59" s="9">
        <f t="shared" si="5"/>
        <v>0</v>
      </c>
      <c r="I59" s="9"/>
      <c r="J59" s="9"/>
      <c r="K59" s="9">
        <f t="shared" si="1"/>
        <v>0</v>
      </c>
      <c r="L59" s="9">
        <f t="shared" si="1"/>
        <v>0</v>
      </c>
      <c r="M59" s="19"/>
    </row>
    <row r="60" spans="1:14" ht="10.5" customHeight="1" x14ac:dyDescent="0.15">
      <c r="A60" s="11"/>
      <c r="B60" s="4" t="s">
        <v>86</v>
      </c>
      <c r="C60" s="9"/>
      <c r="D60" s="9">
        <v>0</v>
      </c>
      <c r="E60" s="9">
        <f>'[1]50.00'!$D$134</f>
        <v>0</v>
      </c>
      <c r="F60" s="9">
        <f>'[1]50.00'!$E$134</f>
        <v>0</v>
      </c>
      <c r="H60" s="9">
        <f t="shared" si="5"/>
        <v>0</v>
      </c>
      <c r="I60" s="9"/>
      <c r="J60" s="9"/>
      <c r="K60" s="9">
        <f t="shared" si="1"/>
        <v>0</v>
      </c>
      <c r="L60" s="9">
        <f t="shared" si="1"/>
        <v>0</v>
      </c>
      <c r="M60" s="19"/>
    </row>
    <row r="61" spans="1:14" ht="10.5" customHeight="1" x14ac:dyDescent="0.15">
      <c r="A61" s="13" t="s">
        <v>30</v>
      </c>
      <c r="C61" s="9"/>
      <c r="D61" s="9"/>
      <c r="E61" s="9"/>
      <c r="F61" s="9"/>
      <c r="G61" s="9"/>
      <c r="H61" s="9">
        <f t="shared" si="5"/>
        <v>0</v>
      </c>
      <c r="I61" s="9"/>
      <c r="J61" s="9"/>
      <c r="K61" s="9">
        <f t="shared" si="1"/>
        <v>0</v>
      </c>
      <c r="L61" s="9">
        <f t="shared" si="1"/>
        <v>0</v>
      </c>
      <c r="M61" s="19"/>
    </row>
    <row r="62" spans="1:14" ht="10.5" customHeight="1" x14ac:dyDescent="0.15">
      <c r="A62" s="11"/>
      <c r="B62" s="4" t="s">
        <v>72</v>
      </c>
      <c r="C62" s="9"/>
      <c r="D62" s="9">
        <v>0</v>
      </c>
      <c r="E62" s="9">
        <f>'[2]70.00'!$D$17</f>
        <v>0</v>
      </c>
      <c r="F62" s="9">
        <f>'[2]70.00'!$E$17</f>
        <v>0</v>
      </c>
      <c r="G62" s="9"/>
      <c r="H62" s="9">
        <f t="shared" si="5"/>
        <v>0</v>
      </c>
      <c r="I62" s="9"/>
      <c r="J62" s="9"/>
      <c r="K62" s="9">
        <f t="shared" si="1"/>
        <v>0</v>
      </c>
      <c r="L62" s="9">
        <f t="shared" si="1"/>
        <v>0</v>
      </c>
      <c r="M62" s="19"/>
      <c r="N62" s="17"/>
    </row>
    <row r="63" spans="1:14" ht="10.5" customHeight="1" x14ac:dyDescent="0.15">
      <c r="A63" s="11"/>
      <c r="B63" s="4" t="s">
        <v>14</v>
      </c>
      <c r="C63" s="9"/>
      <c r="D63" s="9">
        <v>0</v>
      </c>
      <c r="E63" s="9">
        <f>'[2]70.00'!$D$37</f>
        <v>0</v>
      </c>
      <c r="F63" s="9">
        <f>'[2]70.00'!$E$37</f>
        <v>0</v>
      </c>
      <c r="G63" s="9"/>
      <c r="H63" s="9">
        <f t="shared" si="5"/>
        <v>0</v>
      </c>
      <c r="I63" s="9"/>
      <c r="J63" s="9"/>
      <c r="K63" s="9">
        <f t="shared" si="1"/>
        <v>0</v>
      </c>
      <c r="L63" s="9">
        <f t="shared" si="1"/>
        <v>0</v>
      </c>
      <c r="M63" s="10"/>
      <c r="N63" s="15"/>
    </row>
    <row r="64" spans="1:14" ht="10.5" customHeight="1" x14ac:dyDescent="0.15">
      <c r="A64" s="11"/>
      <c r="B64" s="4" t="s">
        <v>15</v>
      </c>
      <c r="C64" s="9">
        <v>0</v>
      </c>
      <c r="D64" s="15"/>
      <c r="E64" s="9"/>
      <c r="F64" s="9">
        <v>0</v>
      </c>
      <c r="G64" s="9">
        <f>C64+E64-F64</f>
        <v>0</v>
      </c>
      <c r="H64" s="9"/>
      <c r="I64" s="9"/>
      <c r="J64" s="9"/>
      <c r="K64" s="9">
        <f t="shared" si="1"/>
        <v>0</v>
      </c>
      <c r="L64" s="9">
        <f t="shared" si="1"/>
        <v>0</v>
      </c>
      <c r="M64" s="10"/>
    </row>
    <row r="65" spans="1:13" ht="10.5" customHeight="1" x14ac:dyDescent="0.15">
      <c r="A65" s="11"/>
      <c r="B65" s="4" t="s">
        <v>16</v>
      </c>
      <c r="C65" s="25"/>
      <c r="D65" s="25">
        <v>0</v>
      </c>
      <c r="E65" s="9">
        <f>'[1]70.00'!$D$90</f>
        <v>0</v>
      </c>
      <c r="F65" s="9">
        <v>0</v>
      </c>
      <c r="G65" s="9"/>
      <c r="H65" s="9">
        <f>F65-E65-C65</f>
        <v>0</v>
      </c>
      <c r="I65" s="9"/>
      <c r="J65" s="9"/>
      <c r="K65" s="9"/>
      <c r="L65" s="9">
        <f>H65</f>
        <v>0</v>
      </c>
      <c r="M65" s="10"/>
    </row>
    <row r="66" spans="1:13" ht="10.5" customHeight="1" x14ac:dyDescent="0.15">
      <c r="A66" s="69" t="s">
        <v>17</v>
      </c>
      <c r="B66" s="69"/>
      <c r="C66" s="26">
        <f>SUM(C55:C65)</f>
        <v>0</v>
      </c>
      <c r="D66" s="26">
        <f>SUM(D55:D65)</f>
        <v>0</v>
      </c>
      <c r="E66" s="18"/>
      <c r="F66" s="18"/>
      <c r="G66" s="18">
        <f>SUM(G56:G65)</f>
        <v>0</v>
      </c>
      <c r="H66" s="18">
        <f>SUM(H56:H65)</f>
        <v>0</v>
      </c>
      <c r="I66" s="18"/>
      <c r="J66" s="18"/>
      <c r="K66" s="18">
        <f t="shared" si="1"/>
        <v>0</v>
      </c>
      <c r="L66" s="18">
        <f t="shared" si="1"/>
        <v>0</v>
      </c>
      <c r="M66" s="19"/>
    </row>
    <row r="67" spans="1:13" ht="10.5" customHeight="1" thickBot="1" x14ac:dyDescent="0.2">
      <c r="A67" s="70"/>
      <c r="B67" s="70"/>
      <c r="C67" s="27"/>
      <c r="D67" s="28">
        <f>D66-C66</f>
        <v>0</v>
      </c>
      <c r="E67" s="29">
        <f>SUM(E8:E66)</f>
        <v>0</v>
      </c>
      <c r="F67" s="29">
        <f>SUM(F8:F66)</f>
        <v>0</v>
      </c>
      <c r="G67" s="30"/>
      <c r="H67" s="29">
        <f>H66-G66</f>
        <v>0</v>
      </c>
      <c r="I67" s="30"/>
      <c r="J67" s="30"/>
      <c r="K67" s="29">
        <f t="shared" si="1"/>
        <v>0</v>
      </c>
      <c r="L67" s="29">
        <f>L66-K66</f>
        <v>0</v>
      </c>
      <c r="M67" s="31">
        <f>K53-L67</f>
        <v>0</v>
      </c>
    </row>
    <row r="68" spans="1:13" ht="12.95" customHeight="1" thickTop="1" thickBot="1" x14ac:dyDescent="0.2">
      <c r="A68" s="20"/>
      <c r="B68" s="32"/>
      <c r="C68" s="33"/>
      <c r="D68" s="34"/>
      <c r="E68" s="35"/>
      <c r="F68" s="35"/>
      <c r="G68" s="36"/>
      <c r="H68" s="35"/>
      <c r="I68" s="36"/>
      <c r="J68" s="36"/>
      <c r="K68" s="35"/>
      <c r="L68" s="37"/>
      <c r="M68" s="31">
        <f>L65-F105</f>
        <v>0</v>
      </c>
    </row>
    <row r="69" spans="1:13" ht="10.5" customHeight="1" thickTop="1" x14ac:dyDescent="0.15">
      <c r="A69" s="58" t="s">
        <v>1</v>
      </c>
      <c r="B69" s="59"/>
      <c r="C69" s="72" t="s">
        <v>18</v>
      </c>
      <c r="D69" s="73"/>
      <c r="E69" s="58" t="s">
        <v>19</v>
      </c>
      <c r="F69" s="59"/>
      <c r="G69" s="72" t="s">
        <v>2</v>
      </c>
      <c r="H69" s="73"/>
      <c r="I69" s="74" t="s">
        <v>5</v>
      </c>
      <c r="J69" s="75"/>
      <c r="K69" s="58" t="s">
        <v>6</v>
      </c>
      <c r="L69" s="59"/>
      <c r="M69" s="10"/>
    </row>
    <row r="70" spans="1:13" ht="10.5" customHeight="1" x14ac:dyDescent="0.15">
      <c r="A70" s="60"/>
      <c r="B70" s="61"/>
      <c r="C70" s="65" t="s">
        <v>93</v>
      </c>
      <c r="D70" s="66"/>
      <c r="E70" s="62"/>
      <c r="F70" s="63"/>
      <c r="G70" s="65" t="s">
        <v>101</v>
      </c>
      <c r="H70" s="66"/>
      <c r="I70" s="65" t="s">
        <v>101</v>
      </c>
      <c r="J70" s="66"/>
      <c r="K70" s="65" t="s">
        <v>101</v>
      </c>
      <c r="L70" s="66"/>
      <c r="M70" s="10"/>
    </row>
    <row r="71" spans="1:13" ht="10.5" customHeight="1" x14ac:dyDescent="0.15">
      <c r="A71" s="62"/>
      <c r="B71" s="63"/>
      <c r="C71" s="6" t="s">
        <v>3</v>
      </c>
      <c r="D71" s="6" t="s">
        <v>4</v>
      </c>
      <c r="E71" s="6" t="s">
        <v>3</v>
      </c>
      <c r="F71" s="6" t="s">
        <v>4</v>
      </c>
      <c r="G71" s="6" t="s">
        <v>3</v>
      </c>
      <c r="H71" s="6" t="s">
        <v>4</v>
      </c>
      <c r="I71" s="6" t="s">
        <v>3</v>
      </c>
      <c r="J71" s="6" t="s">
        <v>4</v>
      </c>
      <c r="K71" s="6" t="s">
        <v>3</v>
      </c>
      <c r="L71" s="6" t="s">
        <v>4</v>
      </c>
      <c r="M71" s="10"/>
    </row>
    <row r="72" spans="1:13" ht="10.5" customHeight="1" x14ac:dyDescent="0.15">
      <c r="A72" s="38" t="s">
        <v>31</v>
      </c>
      <c r="B72" s="8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10">
        <f>M67+M68</f>
        <v>0</v>
      </c>
    </row>
    <row r="73" spans="1:13" ht="10.5" customHeight="1" x14ac:dyDescent="0.15">
      <c r="A73" s="40" t="s">
        <v>32</v>
      </c>
      <c r="B73" s="12"/>
      <c r="C73" s="9"/>
      <c r="D73" s="9"/>
      <c r="E73" s="41"/>
      <c r="F73" s="41"/>
      <c r="G73" s="9">
        <f>E73</f>
        <v>0</v>
      </c>
      <c r="H73" s="9">
        <f>F73</f>
        <v>0</v>
      </c>
      <c r="I73" s="9">
        <f>G73</f>
        <v>0</v>
      </c>
      <c r="J73" s="9">
        <f>H73</f>
        <v>0</v>
      </c>
      <c r="K73" s="9"/>
      <c r="L73" s="9"/>
      <c r="M73" s="10"/>
    </row>
    <row r="74" spans="1:13" ht="10.5" customHeight="1" x14ac:dyDescent="0.15">
      <c r="A74" s="42"/>
      <c r="B74" s="12" t="s">
        <v>77</v>
      </c>
      <c r="C74" s="9"/>
      <c r="D74" s="9"/>
      <c r="E74" s="41">
        <f>'[1]81.01'!$D$8</f>
        <v>0</v>
      </c>
      <c r="F74" s="41">
        <v>0</v>
      </c>
      <c r="G74" s="9">
        <f t="shared" ref="G74:J89" si="6">E74</f>
        <v>0</v>
      </c>
      <c r="H74" s="9">
        <f t="shared" si="6"/>
        <v>0</v>
      </c>
      <c r="I74" s="9">
        <f t="shared" si="6"/>
        <v>0</v>
      </c>
      <c r="J74" s="9">
        <f t="shared" si="6"/>
        <v>0</v>
      </c>
      <c r="K74" s="9"/>
      <c r="L74" s="9"/>
      <c r="M74" s="10"/>
    </row>
    <row r="75" spans="1:13" ht="10.5" customHeight="1" x14ac:dyDescent="0.15">
      <c r="A75" s="42"/>
      <c r="B75" s="12" t="s">
        <v>78</v>
      </c>
      <c r="C75" s="9"/>
      <c r="D75" s="9"/>
      <c r="E75" s="41">
        <f>'[1]81.01'!$D$35</f>
        <v>0</v>
      </c>
      <c r="F75" s="41">
        <v>0</v>
      </c>
      <c r="G75" s="9">
        <f t="shared" si="6"/>
        <v>0</v>
      </c>
      <c r="H75" s="9">
        <f t="shared" si="6"/>
        <v>0</v>
      </c>
      <c r="I75" s="9">
        <f t="shared" si="6"/>
        <v>0</v>
      </c>
      <c r="J75" s="9">
        <f t="shared" si="6"/>
        <v>0</v>
      </c>
      <c r="K75" s="9"/>
      <c r="L75" s="9"/>
      <c r="M75" s="9">
        <v>0</v>
      </c>
    </row>
    <row r="76" spans="1:13" ht="10.5" customHeight="1" x14ac:dyDescent="0.15">
      <c r="A76" s="42"/>
      <c r="B76" s="12" t="s">
        <v>79</v>
      </c>
      <c r="C76" s="9"/>
      <c r="D76" s="9"/>
      <c r="E76" s="41">
        <f>'[1]81.01'!$D$75</f>
        <v>0</v>
      </c>
      <c r="F76" s="41">
        <v>0</v>
      </c>
      <c r="G76" s="9">
        <f t="shared" si="6"/>
        <v>0</v>
      </c>
      <c r="H76" s="9">
        <f t="shared" si="6"/>
        <v>0</v>
      </c>
      <c r="I76" s="9">
        <f t="shared" si="6"/>
        <v>0</v>
      </c>
      <c r="J76" s="9">
        <f t="shared" si="6"/>
        <v>0</v>
      </c>
      <c r="K76" s="9"/>
      <c r="L76" s="9"/>
      <c r="M76" s="10"/>
    </row>
    <row r="77" spans="1:13" ht="10.5" customHeight="1" x14ac:dyDescent="0.15">
      <c r="A77" s="40" t="s">
        <v>76</v>
      </c>
      <c r="B77" s="12"/>
      <c r="C77" s="9"/>
      <c r="D77" s="9"/>
      <c r="E77" s="41"/>
      <c r="F77" s="41"/>
      <c r="G77" s="9">
        <f t="shared" si="6"/>
        <v>0</v>
      </c>
      <c r="H77" s="9">
        <f t="shared" si="6"/>
        <v>0</v>
      </c>
      <c r="I77" s="9">
        <f t="shared" si="6"/>
        <v>0</v>
      </c>
      <c r="J77" s="9">
        <f t="shared" si="6"/>
        <v>0</v>
      </c>
      <c r="K77" s="9"/>
      <c r="L77" s="9"/>
      <c r="M77" s="10">
        <v>0</v>
      </c>
    </row>
    <row r="78" spans="1:13" ht="10.5" customHeight="1" x14ac:dyDescent="0.15">
      <c r="A78" s="42"/>
      <c r="B78" s="4" t="s">
        <v>33</v>
      </c>
      <c r="C78" s="9"/>
      <c r="D78" s="9"/>
      <c r="E78" s="41">
        <f>'[1]81.02-81.03'!$D$8</f>
        <v>0</v>
      </c>
      <c r="F78" s="41">
        <v>0</v>
      </c>
      <c r="G78" s="9">
        <f t="shared" si="6"/>
        <v>0</v>
      </c>
      <c r="H78" s="9">
        <f t="shared" si="6"/>
        <v>0</v>
      </c>
      <c r="I78" s="9">
        <f t="shared" si="6"/>
        <v>0</v>
      </c>
      <c r="J78" s="9">
        <f t="shared" si="6"/>
        <v>0</v>
      </c>
      <c r="K78" s="9"/>
      <c r="L78" s="9"/>
      <c r="M78" s="10"/>
    </row>
    <row r="79" spans="1:13" ht="10.5" customHeight="1" x14ac:dyDescent="0.15">
      <c r="A79" s="42"/>
      <c r="B79" s="4" t="s">
        <v>35</v>
      </c>
      <c r="C79" s="9"/>
      <c r="D79" s="9"/>
      <c r="E79" s="41">
        <f>'[1]81.02-81.03'!$D$35</f>
        <v>0</v>
      </c>
      <c r="F79" s="41">
        <f>'[1]81.02-81.03'!$E$35</f>
        <v>0</v>
      </c>
      <c r="G79" s="9">
        <f t="shared" si="6"/>
        <v>0</v>
      </c>
      <c r="H79" s="9">
        <f t="shared" si="6"/>
        <v>0</v>
      </c>
      <c r="I79" s="9">
        <f t="shared" si="6"/>
        <v>0</v>
      </c>
      <c r="J79" s="9">
        <f t="shared" si="6"/>
        <v>0</v>
      </c>
      <c r="K79" s="9"/>
      <c r="L79" s="9"/>
      <c r="M79" s="10"/>
    </row>
    <row r="80" spans="1:13" ht="10.5" customHeight="1" x14ac:dyDescent="0.15">
      <c r="A80" s="42"/>
      <c r="B80" s="4" t="s">
        <v>34</v>
      </c>
      <c r="C80" s="9"/>
      <c r="D80" s="9"/>
      <c r="E80" s="41">
        <f>'[1]81.02-81.03'!$D$48</f>
        <v>0</v>
      </c>
      <c r="F80" s="41">
        <v>0</v>
      </c>
      <c r="G80" s="9">
        <f t="shared" si="6"/>
        <v>0</v>
      </c>
      <c r="H80" s="9">
        <f t="shared" si="6"/>
        <v>0</v>
      </c>
      <c r="I80" s="9">
        <f t="shared" si="6"/>
        <v>0</v>
      </c>
      <c r="J80" s="9">
        <f t="shared" si="6"/>
        <v>0</v>
      </c>
      <c r="K80" s="9"/>
      <c r="L80" s="9"/>
      <c r="M80" s="10"/>
    </row>
    <row r="81" spans="1:13" ht="10.5" customHeight="1" x14ac:dyDescent="0.15">
      <c r="A81" s="42"/>
      <c r="B81" s="4" t="s">
        <v>73</v>
      </c>
      <c r="C81" s="9"/>
      <c r="D81" s="9"/>
      <c r="E81" s="41">
        <f>'[1]81.02-81.03'!$D$76</f>
        <v>0</v>
      </c>
      <c r="F81" s="41">
        <f>'[1]81.02-81.03'!$E$76</f>
        <v>0</v>
      </c>
      <c r="G81" s="9">
        <f t="shared" si="6"/>
        <v>0</v>
      </c>
      <c r="H81" s="9">
        <f t="shared" si="6"/>
        <v>0</v>
      </c>
      <c r="I81" s="9">
        <f t="shared" si="6"/>
        <v>0</v>
      </c>
      <c r="J81" s="9">
        <f t="shared" si="6"/>
        <v>0</v>
      </c>
      <c r="K81" s="9"/>
      <c r="L81" s="9"/>
      <c r="M81" s="10"/>
    </row>
    <row r="82" spans="1:13" ht="10.5" customHeight="1" x14ac:dyDescent="0.15">
      <c r="A82" s="42"/>
      <c r="B82" s="4" t="s">
        <v>74</v>
      </c>
      <c r="C82" s="9"/>
      <c r="D82" s="9"/>
      <c r="E82" s="41">
        <f>'[1]81.02-81.03'!$D$93</f>
        <v>0</v>
      </c>
      <c r="F82" s="41">
        <f>'[1]81.02-81.03'!$E$93</f>
        <v>0</v>
      </c>
      <c r="G82" s="9">
        <f t="shared" si="6"/>
        <v>0</v>
      </c>
      <c r="H82" s="9">
        <f t="shared" si="6"/>
        <v>0</v>
      </c>
      <c r="I82" s="9">
        <f t="shared" si="6"/>
        <v>0</v>
      </c>
      <c r="J82" s="9">
        <f t="shared" si="6"/>
        <v>0</v>
      </c>
      <c r="K82" s="9"/>
      <c r="L82" s="9"/>
      <c r="M82" s="10"/>
    </row>
    <row r="83" spans="1:13" ht="10.5" customHeight="1" x14ac:dyDescent="0.15">
      <c r="A83" s="42"/>
      <c r="B83" s="4" t="s">
        <v>75</v>
      </c>
      <c r="C83" s="9"/>
      <c r="D83" s="9"/>
      <c r="E83" s="41">
        <f>'[1]81.02-81.03'!$D$116</f>
        <v>0</v>
      </c>
      <c r="F83" s="41">
        <f>'[1]81.02-81.03'!$E$116</f>
        <v>0</v>
      </c>
      <c r="G83" s="9">
        <f t="shared" si="6"/>
        <v>0</v>
      </c>
      <c r="H83" s="9">
        <f t="shared" si="6"/>
        <v>0</v>
      </c>
      <c r="I83" s="9">
        <f t="shared" si="6"/>
        <v>0</v>
      </c>
      <c r="J83" s="9">
        <f t="shared" si="6"/>
        <v>0</v>
      </c>
      <c r="K83" s="9"/>
      <c r="L83" s="9"/>
      <c r="M83" s="10"/>
    </row>
    <row r="84" spans="1:13" ht="10.5" customHeight="1" x14ac:dyDescent="0.15">
      <c r="A84" s="11" t="s">
        <v>36</v>
      </c>
      <c r="B84" s="12"/>
      <c r="C84" s="9"/>
      <c r="D84" s="9"/>
      <c r="E84" s="41"/>
      <c r="F84" s="41"/>
      <c r="G84" s="9">
        <f t="shared" si="6"/>
        <v>0</v>
      </c>
      <c r="H84" s="9">
        <f t="shared" si="6"/>
        <v>0</v>
      </c>
      <c r="I84" s="9">
        <f t="shared" si="6"/>
        <v>0</v>
      </c>
      <c r="J84" s="9">
        <f t="shared" si="6"/>
        <v>0</v>
      </c>
      <c r="K84" s="9"/>
      <c r="L84" s="9"/>
      <c r="M84" s="10"/>
    </row>
    <row r="85" spans="1:13" ht="10.5" customHeight="1" x14ac:dyDescent="0.15">
      <c r="A85" s="11" t="s">
        <v>37</v>
      </c>
      <c r="B85" s="12"/>
      <c r="C85" s="9"/>
      <c r="D85" s="9"/>
      <c r="E85" s="9"/>
      <c r="F85" s="41"/>
      <c r="G85" s="9">
        <f t="shared" si="6"/>
        <v>0</v>
      </c>
      <c r="H85" s="9">
        <f t="shared" si="6"/>
        <v>0</v>
      </c>
      <c r="I85" s="9">
        <f t="shared" si="6"/>
        <v>0</v>
      </c>
      <c r="J85" s="9">
        <f>H85</f>
        <v>0</v>
      </c>
      <c r="K85" s="9"/>
      <c r="L85" s="9"/>
      <c r="M85" s="10"/>
    </row>
    <row r="86" spans="1:13" ht="10.5" customHeight="1" x14ac:dyDescent="0.15">
      <c r="A86" s="11"/>
      <c r="B86" s="12" t="s">
        <v>57</v>
      </c>
      <c r="C86" s="14"/>
      <c r="D86" s="9"/>
      <c r="E86" s="9">
        <v>0</v>
      </c>
      <c r="F86" s="9"/>
      <c r="G86" s="9">
        <f t="shared" si="6"/>
        <v>0</v>
      </c>
      <c r="H86" s="9">
        <f t="shared" si="6"/>
        <v>0</v>
      </c>
      <c r="I86" s="9">
        <f t="shared" si="6"/>
        <v>0</v>
      </c>
      <c r="J86" s="9">
        <f t="shared" si="6"/>
        <v>0</v>
      </c>
      <c r="K86" s="9"/>
      <c r="L86" s="9"/>
      <c r="M86" s="10"/>
    </row>
    <row r="87" spans="1:13" ht="10.5" customHeight="1" x14ac:dyDescent="0.15">
      <c r="A87" s="11"/>
      <c r="B87" s="12" t="s">
        <v>58</v>
      </c>
      <c r="C87" s="14"/>
      <c r="D87" s="9"/>
      <c r="E87" s="9">
        <v>0</v>
      </c>
      <c r="F87" s="9"/>
      <c r="G87" s="9">
        <f t="shared" si="6"/>
        <v>0</v>
      </c>
      <c r="H87" s="9">
        <f t="shared" si="6"/>
        <v>0</v>
      </c>
      <c r="I87" s="9">
        <f t="shared" si="6"/>
        <v>0</v>
      </c>
      <c r="J87" s="9">
        <f t="shared" si="6"/>
        <v>0</v>
      </c>
      <c r="K87" s="9"/>
      <c r="L87" s="9"/>
      <c r="M87" s="10"/>
    </row>
    <row r="88" spans="1:13" ht="10.5" customHeight="1" x14ac:dyDescent="0.15">
      <c r="A88" s="11"/>
      <c r="B88" s="12" t="s">
        <v>59</v>
      </c>
      <c r="C88" s="14"/>
      <c r="D88" s="9"/>
      <c r="E88" s="9">
        <v>0</v>
      </c>
      <c r="F88" s="9"/>
      <c r="G88" s="9">
        <f t="shared" si="6"/>
        <v>0</v>
      </c>
      <c r="H88" s="9">
        <f t="shared" si="6"/>
        <v>0</v>
      </c>
      <c r="I88" s="9">
        <f t="shared" si="6"/>
        <v>0</v>
      </c>
      <c r="J88" s="9">
        <f t="shared" si="6"/>
        <v>0</v>
      </c>
      <c r="K88" s="9"/>
      <c r="L88" s="9"/>
      <c r="M88" s="10"/>
    </row>
    <row r="89" spans="1:13" ht="10.5" customHeight="1" x14ac:dyDescent="0.15">
      <c r="A89" s="11"/>
      <c r="B89" s="12" t="s">
        <v>60</v>
      </c>
      <c r="C89" s="14"/>
      <c r="D89" s="9"/>
      <c r="E89" s="9">
        <v>0</v>
      </c>
      <c r="F89" s="9"/>
      <c r="G89" s="9">
        <f t="shared" si="6"/>
        <v>0</v>
      </c>
      <c r="H89" s="9">
        <f t="shared" si="6"/>
        <v>0</v>
      </c>
      <c r="I89" s="9">
        <f t="shared" si="6"/>
        <v>0</v>
      </c>
      <c r="J89" s="9">
        <f t="shared" si="6"/>
        <v>0</v>
      </c>
      <c r="K89" s="9"/>
      <c r="L89" s="9"/>
      <c r="M89" s="10"/>
    </row>
    <row r="90" spans="1:13" ht="10.5" customHeight="1" x14ac:dyDescent="0.15">
      <c r="A90" s="11"/>
      <c r="B90" s="12" t="s">
        <v>61</v>
      </c>
      <c r="C90" s="14"/>
      <c r="D90" s="9"/>
      <c r="E90" s="9">
        <v>0</v>
      </c>
      <c r="F90" s="9"/>
      <c r="G90" s="9">
        <f t="shared" ref="G90:J103" si="7">E90</f>
        <v>0</v>
      </c>
      <c r="H90" s="9">
        <f t="shared" si="7"/>
        <v>0</v>
      </c>
      <c r="I90" s="9">
        <f t="shared" si="7"/>
        <v>0</v>
      </c>
      <c r="J90" s="9">
        <f t="shared" si="7"/>
        <v>0</v>
      </c>
      <c r="K90" s="9"/>
      <c r="L90" s="9"/>
      <c r="M90" s="10"/>
    </row>
    <row r="91" spans="1:13" ht="10.5" customHeight="1" x14ac:dyDescent="0.15">
      <c r="A91" s="11"/>
      <c r="B91" s="12" t="s">
        <v>62</v>
      </c>
      <c r="C91" s="14"/>
      <c r="D91" s="9"/>
      <c r="E91" s="9">
        <v>0</v>
      </c>
      <c r="F91" s="9"/>
      <c r="G91" s="9">
        <f t="shared" si="7"/>
        <v>0</v>
      </c>
      <c r="H91" s="9">
        <f t="shared" si="7"/>
        <v>0</v>
      </c>
      <c r="I91" s="9">
        <f t="shared" si="7"/>
        <v>0</v>
      </c>
      <c r="J91" s="9">
        <f t="shared" si="7"/>
        <v>0</v>
      </c>
      <c r="K91" s="9"/>
      <c r="L91" s="9"/>
      <c r="M91" s="10"/>
    </row>
    <row r="92" spans="1:13" ht="10.5" customHeight="1" x14ac:dyDescent="0.15">
      <c r="A92" s="11"/>
      <c r="B92" s="12" t="s">
        <v>94</v>
      </c>
      <c r="C92" s="14"/>
      <c r="D92" s="9"/>
      <c r="E92" s="9">
        <v>0</v>
      </c>
      <c r="F92" s="9"/>
      <c r="G92" s="9">
        <f t="shared" si="7"/>
        <v>0</v>
      </c>
      <c r="H92" s="9">
        <f t="shared" si="7"/>
        <v>0</v>
      </c>
      <c r="I92" s="9">
        <f t="shared" si="7"/>
        <v>0</v>
      </c>
      <c r="J92" s="9">
        <f t="shared" si="7"/>
        <v>0</v>
      </c>
      <c r="K92" s="9"/>
      <c r="L92" s="9"/>
      <c r="M92" s="10"/>
    </row>
    <row r="93" spans="1:13" ht="10.5" customHeight="1" x14ac:dyDescent="0.15">
      <c r="A93" s="11"/>
      <c r="B93" s="12" t="s">
        <v>63</v>
      </c>
      <c r="C93" s="14"/>
      <c r="D93" s="9"/>
      <c r="E93" s="9">
        <v>0</v>
      </c>
      <c r="F93" s="9"/>
      <c r="G93" s="9">
        <f t="shared" si="7"/>
        <v>0</v>
      </c>
      <c r="H93" s="9">
        <f t="shared" si="7"/>
        <v>0</v>
      </c>
      <c r="I93" s="9">
        <f t="shared" si="7"/>
        <v>0</v>
      </c>
      <c r="J93" s="9">
        <f t="shared" si="7"/>
        <v>0</v>
      </c>
      <c r="K93" s="9"/>
      <c r="L93" s="9"/>
      <c r="M93" s="10"/>
    </row>
    <row r="94" spans="1:13" ht="10.5" customHeight="1" x14ac:dyDescent="0.15">
      <c r="A94" s="11"/>
      <c r="B94" s="12" t="s">
        <v>64</v>
      </c>
      <c r="C94" s="14"/>
      <c r="D94" s="9"/>
      <c r="E94" s="9">
        <v>0</v>
      </c>
      <c r="F94" s="9"/>
      <c r="G94" s="9">
        <f t="shared" si="7"/>
        <v>0</v>
      </c>
      <c r="H94" s="9">
        <f t="shared" si="7"/>
        <v>0</v>
      </c>
      <c r="I94" s="9">
        <f t="shared" si="7"/>
        <v>0</v>
      </c>
      <c r="J94" s="9">
        <f t="shared" si="7"/>
        <v>0</v>
      </c>
      <c r="K94" s="9"/>
      <c r="L94" s="9"/>
      <c r="M94" s="10"/>
    </row>
    <row r="95" spans="1:13" ht="10.5" customHeight="1" x14ac:dyDescent="0.15">
      <c r="A95" s="11"/>
      <c r="B95" s="12" t="s">
        <v>65</v>
      </c>
      <c r="C95" s="14"/>
      <c r="D95" s="9"/>
      <c r="E95" s="9">
        <v>0</v>
      </c>
      <c r="F95" s="9"/>
      <c r="G95" s="9">
        <f t="shared" si="7"/>
        <v>0</v>
      </c>
      <c r="H95" s="9">
        <f t="shared" si="7"/>
        <v>0</v>
      </c>
      <c r="I95" s="9">
        <f t="shared" si="7"/>
        <v>0</v>
      </c>
      <c r="J95" s="9">
        <f t="shared" si="7"/>
        <v>0</v>
      </c>
      <c r="K95" s="9"/>
      <c r="L95" s="9"/>
      <c r="M95" s="10"/>
    </row>
    <row r="96" spans="1:13" ht="10.5" customHeight="1" x14ac:dyDescent="0.15">
      <c r="A96" s="43" t="s">
        <v>44</v>
      </c>
      <c r="B96" s="44"/>
      <c r="C96" s="24"/>
      <c r="D96" s="24"/>
      <c r="E96" s="24"/>
      <c r="F96" s="24"/>
      <c r="G96" s="9">
        <f t="shared" si="7"/>
        <v>0</v>
      </c>
      <c r="H96" s="9">
        <f t="shared" si="7"/>
        <v>0</v>
      </c>
      <c r="I96" s="9">
        <f t="shared" si="7"/>
        <v>0</v>
      </c>
      <c r="J96" s="9">
        <f t="shared" si="7"/>
        <v>0</v>
      </c>
      <c r="K96" s="9"/>
      <c r="L96" s="9"/>
      <c r="M96" s="10"/>
    </row>
    <row r="97" spans="1:13" ht="10.5" customHeight="1" x14ac:dyDescent="0.15">
      <c r="A97" s="45"/>
      <c r="B97" s="46" t="s">
        <v>45</v>
      </c>
      <c r="C97" s="24"/>
      <c r="D97" s="24"/>
      <c r="E97" s="24"/>
      <c r="F97" s="24"/>
      <c r="G97" s="9">
        <f>E97</f>
        <v>0</v>
      </c>
      <c r="H97" s="9">
        <f t="shared" si="7"/>
        <v>0</v>
      </c>
      <c r="I97" s="9">
        <f t="shared" si="7"/>
        <v>0</v>
      </c>
      <c r="J97" s="9">
        <f t="shared" si="7"/>
        <v>0</v>
      </c>
      <c r="K97" s="9"/>
      <c r="L97" s="9"/>
      <c r="M97" s="10"/>
    </row>
    <row r="98" spans="1:13" ht="10.5" customHeight="1" x14ac:dyDescent="0.15">
      <c r="A98" s="45"/>
      <c r="B98" s="47" t="s">
        <v>84</v>
      </c>
      <c r="C98" s="24"/>
      <c r="D98" s="24"/>
      <c r="E98" s="24">
        <f>'[1]88.00'!$D$73</f>
        <v>0</v>
      </c>
      <c r="F98" s="9">
        <f>'[1]88.00'!$E$78</f>
        <v>0</v>
      </c>
      <c r="G98" s="9">
        <f t="shared" ref="G98" si="8">E98</f>
        <v>0</v>
      </c>
      <c r="H98" s="9">
        <f t="shared" si="7"/>
        <v>0</v>
      </c>
      <c r="I98" s="9">
        <f t="shared" si="7"/>
        <v>0</v>
      </c>
      <c r="J98" s="9">
        <f t="shared" si="7"/>
        <v>0</v>
      </c>
      <c r="K98" s="9"/>
      <c r="L98" s="9"/>
      <c r="M98" s="10"/>
    </row>
    <row r="99" spans="1:13" ht="10.5" customHeight="1" x14ac:dyDescent="0.15">
      <c r="A99" s="45"/>
      <c r="B99" s="47" t="s">
        <v>80</v>
      </c>
      <c r="C99" s="24"/>
      <c r="D99" s="24"/>
      <c r="E99" s="9">
        <f>'[1]88.00'!$D$8</f>
        <v>0</v>
      </c>
      <c r="F99" s="9">
        <v>0</v>
      </c>
      <c r="G99" s="9"/>
      <c r="H99" s="9">
        <f>F99-E99</f>
        <v>0</v>
      </c>
      <c r="I99" s="9">
        <f t="shared" si="7"/>
        <v>0</v>
      </c>
      <c r="J99" s="9">
        <f t="shared" si="7"/>
        <v>0</v>
      </c>
      <c r="K99" s="9"/>
      <c r="L99" s="9"/>
      <c r="M99" s="10"/>
    </row>
    <row r="100" spans="1:13" ht="10.5" customHeight="1" x14ac:dyDescent="0.15">
      <c r="A100" s="45"/>
      <c r="B100" s="47" t="s">
        <v>81</v>
      </c>
      <c r="C100" s="24"/>
      <c r="D100" s="24"/>
      <c r="E100" s="24">
        <f>'[1]88.00'!$D$35</f>
        <v>0</v>
      </c>
      <c r="F100" s="9">
        <v>0</v>
      </c>
      <c r="G100" s="9">
        <f t="shared" ref="G100:H102" si="9">E100</f>
        <v>0</v>
      </c>
      <c r="H100" s="9">
        <f t="shared" si="9"/>
        <v>0</v>
      </c>
      <c r="I100" s="9">
        <f t="shared" si="7"/>
        <v>0</v>
      </c>
      <c r="J100" s="9">
        <f t="shared" si="7"/>
        <v>0</v>
      </c>
      <c r="K100" s="9"/>
      <c r="L100" s="9"/>
      <c r="M100" s="10"/>
    </row>
    <row r="101" spans="1:13" ht="10.5" customHeight="1" x14ac:dyDescent="0.15">
      <c r="A101" s="45"/>
      <c r="B101" s="47" t="s">
        <v>82</v>
      </c>
      <c r="C101" s="24"/>
      <c r="D101" s="24"/>
      <c r="E101" s="24">
        <f>'[1]88.00'!$D$103</f>
        <v>0</v>
      </c>
      <c r="F101" s="9">
        <f>'[1]88.00'!$E$103</f>
        <v>0</v>
      </c>
      <c r="G101" s="9">
        <f t="shared" si="9"/>
        <v>0</v>
      </c>
      <c r="H101" s="9">
        <f t="shared" si="9"/>
        <v>0</v>
      </c>
      <c r="I101" s="9">
        <f t="shared" si="7"/>
        <v>0</v>
      </c>
      <c r="J101" s="9">
        <f t="shared" si="7"/>
        <v>0</v>
      </c>
      <c r="K101" s="9"/>
      <c r="L101" s="9"/>
      <c r="M101" s="10"/>
    </row>
    <row r="102" spans="1:13" ht="10.5" customHeight="1" x14ac:dyDescent="0.15">
      <c r="A102" s="45"/>
      <c r="B102" s="46" t="s">
        <v>46</v>
      </c>
      <c r="C102" s="24"/>
      <c r="D102" s="24"/>
      <c r="E102" s="9">
        <v>0</v>
      </c>
      <c r="F102" s="9">
        <f>'[1]98.00'!$E$8</f>
        <v>0</v>
      </c>
      <c r="G102" s="9">
        <f t="shared" si="9"/>
        <v>0</v>
      </c>
      <c r="H102" s="9">
        <f t="shared" si="9"/>
        <v>0</v>
      </c>
      <c r="I102" s="9">
        <f t="shared" si="7"/>
        <v>0</v>
      </c>
      <c r="J102" s="9">
        <f t="shared" si="7"/>
        <v>0</v>
      </c>
      <c r="K102" s="9"/>
      <c r="L102" s="9"/>
      <c r="M102" s="10"/>
    </row>
    <row r="103" spans="1:13" ht="10.5" customHeight="1" x14ac:dyDescent="0.15">
      <c r="A103" s="45"/>
      <c r="B103" s="44"/>
      <c r="C103" s="24"/>
      <c r="D103" s="24"/>
      <c r="E103" s="24"/>
      <c r="F103" s="24"/>
      <c r="G103" s="9"/>
      <c r="H103" s="9"/>
      <c r="I103" s="24">
        <f t="shared" si="7"/>
        <v>0</v>
      </c>
      <c r="J103" s="24">
        <f t="shared" si="7"/>
        <v>0</v>
      </c>
      <c r="K103" s="24"/>
      <c r="L103" s="24"/>
      <c r="M103" s="10"/>
    </row>
    <row r="104" spans="1:13" ht="10.5" customHeight="1" x14ac:dyDescent="0.15">
      <c r="A104" s="69" t="s">
        <v>38</v>
      </c>
      <c r="B104" s="69"/>
      <c r="C104" s="18"/>
      <c r="D104" s="18"/>
      <c r="E104" s="18">
        <f>SUM(E72:E103)</f>
        <v>0</v>
      </c>
      <c r="F104" s="18">
        <f>SUM(F72:F103)</f>
        <v>0</v>
      </c>
      <c r="G104" s="18">
        <f>SUM(G72:G103)+G66+G52</f>
        <v>0</v>
      </c>
      <c r="H104" s="18">
        <f>SUM(H72:H103)+H66+H52</f>
        <v>0</v>
      </c>
      <c r="I104" s="18">
        <f>SUM(I72:I103)+I66+I52</f>
        <v>0</v>
      </c>
      <c r="J104" s="18">
        <f>SUM(J72:J103)+J66+J52</f>
        <v>0</v>
      </c>
      <c r="K104" s="18"/>
      <c r="L104" s="18"/>
      <c r="M104" s="10"/>
    </row>
    <row r="105" spans="1:13" ht="10.5" customHeight="1" thickBot="1" x14ac:dyDescent="0.2">
      <c r="A105" s="70" t="s">
        <v>95</v>
      </c>
      <c r="B105" s="70"/>
      <c r="C105" s="48"/>
      <c r="D105" s="48"/>
      <c r="E105" s="28"/>
      <c r="F105" s="28">
        <f>F104-E104</f>
        <v>0</v>
      </c>
      <c r="G105" s="29"/>
      <c r="H105" s="29">
        <f>H104-G104</f>
        <v>0</v>
      </c>
      <c r="I105" s="29"/>
      <c r="J105" s="29">
        <f>J104-I104</f>
        <v>0</v>
      </c>
      <c r="K105" s="29"/>
      <c r="L105" s="29"/>
      <c r="M105" s="10"/>
    </row>
    <row r="106" spans="1:13" ht="12.75" customHeight="1" thickTop="1" x14ac:dyDescent="0.15">
      <c r="F106" s="52"/>
      <c r="H106" s="15"/>
    </row>
    <row r="107" spans="1:13" ht="11.25" customHeight="1" x14ac:dyDescent="0.2">
      <c r="B107" s="71" t="s">
        <v>83</v>
      </c>
      <c r="C107" s="71"/>
      <c r="D107" s="71"/>
      <c r="E107" s="54"/>
      <c r="F107" s="54"/>
      <c r="G107" s="54"/>
      <c r="H107" s="54"/>
      <c r="I107" s="1"/>
      <c r="J107" s="71"/>
      <c r="K107" s="71"/>
      <c r="L107" s="71"/>
    </row>
    <row r="108" spans="1:13" ht="11.25" customHeight="1" x14ac:dyDescent="0.2">
      <c r="B108" s="71" t="s">
        <v>89</v>
      </c>
      <c r="C108" s="71"/>
      <c r="D108" s="71"/>
      <c r="E108" s="54"/>
      <c r="F108" s="54"/>
      <c r="G108" s="55">
        <f>E105-G105</f>
        <v>0</v>
      </c>
      <c r="H108" s="55"/>
      <c r="I108" s="71" t="s">
        <v>103</v>
      </c>
      <c r="J108" s="71"/>
      <c r="K108" s="71"/>
      <c r="L108" s="71"/>
    </row>
    <row r="109" spans="1:13" ht="11.25" customHeight="1" x14ac:dyDescent="0.2">
      <c r="B109" s="71" t="s">
        <v>92</v>
      </c>
      <c r="C109" s="71"/>
      <c r="D109" s="71"/>
      <c r="E109" s="54"/>
      <c r="F109" s="54"/>
      <c r="G109" s="54"/>
      <c r="H109" s="54"/>
      <c r="I109" s="71" t="s">
        <v>91</v>
      </c>
      <c r="J109" s="71"/>
      <c r="K109" s="71"/>
      <c r="L109" s="71"/>
    </row>
    <row r="110" spans="1:13" ht="11.25" customHeight="1" x14ac:dyDescent="0.2">
      <c r="B110" s="71"/>
      <c r="C110" s="71"/>
      <c r="D110" s="1"/>
      <c r="E110" s="1"/>
      <c r="F110" s="54"/>
      <c r="G110" s="54"/>
      <c r="H110" s="76"/>
      <c r="I110" s="76"/>
      <c r="J110" s="71"/>
      <c r="K110" s="71"/>
      <c r="L110" s="71"/>
    </row>
    <row r="111" spans="1:13" ht="11.25" customHeight="1" x14ac:dyDescent="0.2">
      <c r="B111" s="2"/>
      <c r="C111" s="2"/>
      <c r="D111" s="1"/>
      <c r="E111" s="1"/>
      <c r="F111" s="3"/>
      <c r="G111" s="3"/>
      <c r="H111" s="3"/>
      <c r="I111" s="3"/>
      <c r="J111" s="2"/>
      <c r="K111" s="2"/>
      <c r="L111" s="2"/>
    </row>
    <row r="112" spans="1:13" ht="11.25" customHeight="1" x14ac:dyDescent="0.2">
      <c r="B112" s="71"/>
      <c r="C112" s="71"/>
      <c r="D112" s="1"/>
      <c r="E112" s="1"/>
      <c r="F112" s="76"/>
      <c r="G112" s="76"/>
      <c r="H112" s="76"/>
      <c r="I112" s="76"/>
      <c r="J112" s="71"/>
      <c r="K112" s="71"/>
      <c r="L112" s="71"/>
    </row>
    <row r="113" spans="2:12" ht="11.25" customHeight="1" x14ac:dyDescent="0.2">
      <c r="B113" s="78" t="s">
        <v>96</v>
      </c>
      <c r="C113" s="78"/>
      <c r="D113" s="78"/>
      <c r="E113" s="78"/>
      <c r="F113" s="78"/>
      <c r="G113" s="78"/>
      <c r="H113" s="78"/>
      <c r="I113" s="78" t="s">
        <v>97</v>
      </c>
      <c r="J113" s="78"/>
      <c r="K113" s="78"/>
      <c r="L113" s="78"/>
    </row>
    <row r="114" spans="2:12" ht="11.25" customHeight="1" x14ac:dyDescent="0.15">
      <c r="B114" s="77"/>
      <c r="C114" s="77"/>
      <c r="D114" s="49"/>
      <c r="E114" s="77"/>
      <c r="F114" s="77"/>
      <c r="G114" s="77"/>
      <c r="H114" s="77"/>
      <c r="I114" s="49"/>
      <c r="J114" s="77"/>
      <c r="K114" s="77"/>
      <c r="L114" s="77"/>
    </row>
    <row r="116" spans="2:12" ht="11.25" customHeight="1" x14ac:dyDescent="0.15">
      <c r="E116" s="17"/>
    </row>
    <row r="117" spans="2:12" ht="11.25" customHeight="1" x14ac:dyDescent="0.15">
      <c r="E117" s="17"/>
    </row>
    <row r="118" spans="2:12" ht="11.25" customHeight="1" x14ac:dyDescent="0.15">
      <c r="E118" s="17"/>
    </row>
    <row r="119" spans="2:12" ht="11.25" customHeight="1" x14ac:dyDescent="0.15">
      <c r="E119" s="17"/>
    </row>
    <row r="120" spans="2:12" ht="11.25" customHeight="1" x14ac:dyDescent="0.15">
      <c r="E120" s="17"/>
    </row>
    <row r="121" spans="2:12" ht="11.25" customHeight="1" x14ac:dyDescent="0.15">
      <c r="E121" s="17"/>
    </row>
    <row r="122" spans="2:12" ht="11.25" customHeight="1" x14ac:dyDescent="0.15">
      <c r="E122" s="51"/>
    </row>
    <row r="123" spans="2:12" ht="11.25" customHeight="1" x14ac:dyDescent="0.15">
      <c r="E123" s="50"/>
    </row>
  </sheetData>
  <mergeCells count="46">
    <mergeCell ref="B114:C114"/>
    <mergeCell ref="E114:H114"/>
    <mergeCell ref="J114:L114"/>
    <mergeCell ref="B112:C112"/>
    <mergeCell ref="F112:G112"/>
    <mergeCell ref="H112:I112"/>
    <mergeCell ref="J112:L112"/>
    <mergeCell ref="B113:D113"/>
    <mergeCell ref="E113:H113"/>
    <mergeCell ref="I113:L113"/>
    <mergeCell ref="B107:D107"/>
    <mergeCell ref="J107:L107"/>
    <mergeCell ref="B108:D108"/>
    <mergeCell ref="I108:L108"/>
    <mergeCell ref="B110:C110"/>
    <mergeCell ref="H110:I110"/>
    <mergeCell ref="J110:L110"/>
    <mergeCell ref="A52:B53"/>
    <mergeCell ref="A66:B67"/>
    <mergeCell ref="B109:D109"/>
    <mergeCell ref="I109:L109"/>
    <mergeCell ref="K69:L69"/>
    <mergeCell ref="C70:D70"/>
    <mergeCell ref="G70:H70"/>
    <mergeCell ref="I70:J70"/>
    <mergeCell ref="K70:L70"/>
    <mergeCell ref="A104:B104"/>
    <mergeCell ref="A69:B71"/>
    <mergeCell ref="C69:D69"/>
    <mergeCell ref="E69:F70"/>
    <mergeCell ref="G69:H69"/>
    <mergeCell ref="I69:J69"/>
    <mergeCell ref="A105:B105"/>
    <mergeCell ref="A1:L1"/>
    <mergeCell ref="A2:L2"/>
    <mergeCell ref="A3:L3"/>
    <mergeCell ref="A5:B7"/>
    <mergeCell ref="C5:D5"/>
    <mergeCell ref="E5:F6"/>
    <mergeCell ref="G5:H5"/>
    <mergeCell ref="I5:J5"/>
    <mergeCell ref="K5:L5"/>
    <mergeCell ref="C6:D6"/>
    <mergeCell ref="G6:H6"/>
    <mergeCell ref="I6:J6"/>
    <mergeCell ref="K6:L6"/>
  </mergeCells>
  <pageMargins left="0.31496062992126" right="0.31496062992126" top="0.73" bottom="0.35433070866141703" header="0.31496062992126" footer="0.31496062992126"/>
  <pageSetup paperSize="5" scale="85" orientation="landscape" horizontalDpi="360" verticalDpi="360" r:id="rId1"/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3"/>
  <sheetViews>
    <sheetView showWhiteSpace="0" view="pageBreakPreview" topLeftCell="A94" zoomScale="120" zoomScaleNormal="120" zoomScaleSheetLayoutView="120" zoomScalePageLayoutView="120" workbookViewId="0">
      <selection activeCell="E103" sqref="E103"/>
    </sheetView>
  </sheetViews>
  <sheetFormatPr defaultColWidth="9.140625" defaultRowHeight="11.25" customHeight="1" x14ac:dyDescent="0.15"/>
  <cols>
    <col min="1" max="1" width="2.28515625" style="4" customWidth="1"/>
    <col min="2" max="2" width="17.7109375" style="4" customWidth="1"/>
    <col min="3" max="5" width="14.5703125" style="4" customWidth="1"/>
    <col min="6" max="6" width="15.42578125" style="4" customWidth="1"/>
    <col min="7" max="7" width="15.140625" style="4" customWidth="1"/>
    <col min="8" max="8" width="16.85546875" style="4" customWidth="1"/>
    <col min="9" max="9" width="13.7109375" style="4" customWidth="1"/>
    <col min="10" max="10" width="14" style="4" customWidth="1"/>
    <col min="11" max="11" width="14.7109375" style="4" customWidth="1"/>
    <col min="12" max="12" width="14.85546875" style="4" customWidth="1"/>
    <col min="13" max="13" width="14.85546875" style="4" bestFit="1" customWidth="1"/>
    <col min="14" max="14" width="14.5703125" style="4" customWidth="1"/>
    <col min="15" max="16384" width="9.140625" style="4"/>
  </cols>
  <sheetData>
    <row r="1" spans="1:14" ht="15" customHeight="1" x14ac:dyDescent="0.2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4" ht="15" customHeight="1" x14ac:dyDescent="0.2">
      <c r="A2" s="57" t="s">
        <v>88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4" ht="14.25" customHeight="1" x14ac:dyDescent="0.2">
      <c r="A3" s="57" t="s">
        <v>104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4" ht="14.25" customHeight="1" thickBo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4" ht="10.5" customHeight="1" thickTop="1" x14ac:dyDescent="0.15">
      <c r="A5" s="58" t="s">
        <v>1</v>
      </c>
      <c r="B5" s="59"/>
      <c r="C5" s="64" t="s">
        <v>18</v>
      </c>
      <c r="D5" s="64"/>
      <c r="E5" s="58" t="s">
        <v>19</v>
      </c>
      <c r="F5" s="59"/>
      <c r="G5" s="64" t="s">
        <v>2</v>
      </c>
      <c r="H5" s="64"/>
      <c r="I5" s="58" t="s">
        <v>5</v>
      </c>
      <c r="J5" s="59"/>
      <c r="K5" s="58" t="s">
        <v>6</v>
      </c>
      <c r="L5" s="59"/>
    </row>
    <row r="6" spans="1:14" ht="10.5" customHeight="1" x14ac:dyDescent="0.15">
      <c r="A6" s="60"/>
      <c r="B6" s="61"/>
      <c r="C6" s="65" t="s">
        <v>93</v>
      </c>
      <c r="D6" s="66"/>
      <c r="E6" s="62"/>
      <c r="F6" s="63"/>
      <c r="G6" s="65" t="s">
        <v>102</v>
      </c>
      <c r="H6" s="66"/>
      <c r="I6" s="65" t="s">
        <v>102</v>
      </c>
      <c r="J6" s="66"/>
      <c r="K6" s="65" t="s">
        <v>102</v>
      </c>
      <c r="L6" s="66"/>
    </row>
    <row r="7" spans="1:14" ht="10.5" customHeight="1" x14ac:dyDescent="0.15">
      <c r="A7" s="62"/>
      <c r="B7" s="63"/>
      <c r="C7" s="6" t="s">
        <v>3</v>
      </c>
      <c r="D7" s="6" t="s">
        <v>4</v>
      </c>
      <c r="E7" s="6" t="s">
        <v>3</v>
      </c>
      <c r="F7" s="6" t="s">
        <v>4</v>
      </c>
      <c r="G7" s="6" t="s">
        <v>3</v>
      </c>
      <c r="H7" s="6" t="s">
        <v>4</v>
      </c>
      <c r="I7" s="6" t="s">
        <v>3</v>
      </c>
      <c r="J7" s="6" t="s">
        <v>4</v>
      </c>
      <c r="K7" s="6" t="s">
        <v>3</v>
      </c>
      <c r="L7" s="6" t="s">
        <v>4</v>
      </c>
      <c r="M7" s="15"/>
    </row>
    <row r="8" spans="1:14" ht="10.5" customHeight="1" x14ac:dyDescent="0.15">
      <c r="A8" s="7" t="s">
        <v>7</v>
      </c>
      <c r="B8" s="8"/>
      <c r="C8" s="9">
        <v>0</v>
      </c>
      <c r="D8" s="9"/>
      <c r="E8" s="9">
        <v>0</v>
      </c>
      <c r="F8" s="9">
        <v>0</v>
      </c>
      <c r="G8" s="9">
        <f>C8+E8-F8</f>
        <v>0</v>
      </c>
      <c r="H8" s="9"/>
      <c r="I8" s="9"/>
      <c r="J8" s="9"/>
      <c r="K8" s="9">
        <f>G8</f>
        <v>0</v>
      </c>
      <c r="L8" s="9">
        <f>H8</f>
        <v>0</v>
      </c>
      <c r="M8" s="10"/>
    </row>
    <row r="9" spans="1:14" ht="10.5" customHeight="1" x14ac:dyDescent="0.15">
      <c r="A9" s="11" t="s">
        <v>56</v>
      </c>
      <c r="B9" s="12"/>
      <c r="C9" s="9">
        <v>0</v>
      </c>
      <c r="D9" s="9"/>
      <c r="E9" s="9">
        <f>'[1]11.01-12.01'!$D$51</f>
        <v>0</v>
      </c>
      <c r="F9" s="9">
        <f>'[1]11.01-12.01'!$E$47</f>
        <v>0</v>
      </c>
      <c r="G9" s="9">
        <f>C9+E9-F9</f>
        <v>0</v>
      </c>
      <c r="H9" s="9"/>
      <c r="I9" s="9"/>
      <c r="J9" s="9"/>
      <c r="K9" s="9">
        <f>G9</f>
        <v>0</v>
      </c>
      <c r="L9" s="9">
        <f>H9</f>
        <v>0</v>
      </c>
      <c r="M9" s="10"/>
    </row>
    <row r="10" spans="1:14" ht="10.5" customHeight="1" x14ac:dyDescent="0.15">
      <c r="A10" s="13" t="s">
        <v>47</v>
      </c>
      <c r="B10" s="12"/>
      <c r="C10" s="9"/>
      <c r="D10" s="9"/>
      <c r="E10" s="9"/>
      <c r="F10" s="9"/>
      <c r="G10" s="9">
        <f t="shared" ref="G10:G26" si="0">C10+E10-F10</f>
        <v>0</v>
      </c>
      <c r="H10" s="9"/>
      <c r="I10" s="9"/>
      <c r="J10" s="9"/>
      <c r="K10" s="9">
        <f t="shared" ref="K10:L67" si="1">G10</f>
        <v>0</v>
      </c>
      <c r="L10" s="9">
        <f t="shared" si="1"/>
        <v>0</v>
      </c>
      <c r="M10" s="10"/>
    </row>
    <row r="11" spans="1:14" ht="10.5" customHeight="1" x14ac:dyDescent="0.15">
      <c r="A11" s="11"/>
      <c r="B11" s="12" t="s">
        <v>48</v>
      </c>
      <c r="C11" s="9">
        <v>0</v>
      </c>
      <c r="D11" s="9"/>
      <c r="E11" s="9">
        <v>0</v>
      </c>
      <c r="F11" s="9">
        <v>0</v>
      </c>
      <c r="G11" s="9">
        <f>C11+E11-F11</f>
        <v>0</v>
      </c>
      <c r="H11" s="9"/>
      <c r="I11" s="9"/>
      <c r="J11" s="9"/>
      <c r="K11" s="9">
        <f>G11</f>
        <v>0</v>
      </c>
      <c r="L11" s="9">
        <f t="shared" ref="L11:L20" si="2">H11</f>
        <v>0</v>
      </c>
      <c r="M11" s="10">
        <f>K11+K12+K13+K14</f>
        <v>0</v>
      </c>
    </row>
    <row r="12" spans="1:14" ht="10.5" customHeight="1" x14ac:dyDescent="0.15">
      <c r="A12" s="11"/>
      <c r="B12" s="12" t="s">
        <v>20</v>
      </c>
      <c r="C12" s="9">
        <v>0</v>
      </c>
      <c r="D12" s="9"/>
      <c r="E12" s="9">
        <v>0</v>
      </c>
      <c r="F12" s="9">
        <v>0</v>
      </c>
      <c r="G12" s="9">
        <f t="shared" si="0"/>
        <v>0</v>
      </c>
      <c r="H12" s="9"/>
      <c r="I12" s="9"/>
      <c r="J12" s="9"/>
      <c r="K12" s="9">
        <f t="shared" si="1"/>
        <v>0</v>
      </c>
      <c r="L12" s="9">
        <f t="shared" si="2"/>
        <v>0</v>
      </c>
      <c r="M12" s="10"/>
    </row>
    <row r="13" spans="1:14" ht="10.5" customHeight="1" x14ac:dyDescent="0.15">
      <c r="A13" s="11"/>
      <c r="B13" s="12" t="s">
        <v>70</v>
      </c>
      <c r="C13" s="9">
        <v>0</v>
      </c>
      <c r="D13" s="9"/>
      <c r="E13" s="9">
        <f>'[1]14.00'!$D$17</f>
        <v>0</v>
      </c>
      <c r="F13" s="9">
        <f>'[2]14.00'!$E$17</f>
        <v>0</v>
      </c>
      <c r="G13" s="9">
        <f t="shared" si="0"/>
        <v>0</v>
      </c>
      <c r="H13" s="9"/>
      <c r="I13" s="9"/>
      <c r="J13" s="9"/>
      <c r="K13" s="9">
        <f t="shared" ref="K13:K19" si="3">G13</f>
        <v>0</v>
      </c>
      <c r="L13" s="9">
        <f t="shared" si="2"/>
        <v>0</v>
      </c>
      <c r="M13" s="10"/>
    </row>
    <row r="14" spans="1:14" ht="10.5" customHeight="1" x14ac:dyDescent="0.15">
      <c r="A14" s="11"/>
      <c r="B14" s="12" t="s">
        <v>71</v>
      </c>
      <c r="C14" s="9">
        <f>'[2]13.00'!$F$127</f>
        <v>0</v>
      </c>
      <c r="D14" s="9"/>
      <c r="E14" s="9">
        <v>0</v>
      </c>
      <c r="F14" s="9">
        <v>0</v>
      </c>
      <c r="G14" s="9">
        <f t="shared" si="0"/>
        <v>0</v>
      </c>
      <c r="H14" s="9"/>
      <c r="I14" s="9"/>
      <c r="J14" s="9"/>
      <c r="K14" s="9">
        <f t="shared" si="3"/>
        <v>0</v>
      </c>
      <c r="L14" s="9">
        <f t="shared" ref="L14" si="4">H14</f>
        <v>0</v>
      </c>
      <c r="M14" s="10"/>
    </row>
    <row r="15" spans="1:14" ht="10.5" customHeight="1" x14ac:dyDescent="0.15">
      <c r="A15" s="11"/>
      <c r="B15" s="12" t="s">
        <v>87</v>
      </c>
      <c r="C15" s="9"/>
      <c r="D15" s="9"/>
      <c r="E15" s="9">
        <f>'[1]13.00'!$D$169</f>
        <v>0</v>
      </c>
      <c r="F15" s="9">
        <f>'[1]13.00'!$E$167</f>
        <v>0</v>
      </c>
      <c r="G15" s="9"/>
      <c r="H15" s="9"/>
      <c r="I15" s="9"/>
      <c r="J15" s="9"/>
      <c r="K15" s="9">
        <f t="shared" ref="K15" si="5">G15</f>
        <v>0</v>
      </c>
      <c r="L15" s="9">
        <f t="shared" ref="L15" si="6">H15</f>
        <v>0</v>
      </c>
      <c r="M15" s="9">
        <f t="shared" ref="M15" si="7">I15</f>
        <v>0</v>
      </c>
      <c r="N15" s="9">
        <f t="shared" ref="N15" si="8">J15</f>
        <v>0</v>
      </c>
    </row>
    <row r="16" spans="1:14" ht="10.5" customHeight="1" x14ac:dyDescent="0.15">
      <c r="A16" s="11" t="s">
        <v>49</v>
      </c>
      <c r="B16" s="12"/>
      <c r="C16" s="9"/>
      <c r="D16" s="9">
        <v>0</v>
      </c>
      <c r="E16" s="9">
        <f>'[1]13.00'!$D$185</f>
        <v>0</v>
      </c>
      <c r="F16" s="9"/>
      <c r="G16" s="9"/>
      <c r="H16" s="9">
        <f>D16-E16+F16</f>
        <v>0</v>
      </c>
      <c r="I16" s="9"/>
      <c r="J16" s="9"/>
      <c r="K16" s="9">
        <f t="shared" si="3"/>
        <v>0</v>
      </c>
      <c r="L16" s="9">
        <f t="shared" si="2"/>
        <v>0</v>
      </c>
      <c r="M16" s="10"/>
    </row>
    <row r="17" spans="1:13" ht="10.5" customHeight="1" x14ac:dyDescent="0.15">
      <c r="A17" s="14" t="s">
        <v>50</v>
      </c>
      <c r="B17" s="12"/>
      <c r="C17" s="9">
        <v>0</v>
      </c>
      <c r="D17" s="9"/>
      <c r="E17" s="9"/>
      <c r="F17" s="9"/>
      <c r="G17" s="9"/>
      <c r="H17" s="9"/>
      <c r="I17" s="9"/>
      <c r="J17" s="9"/>
      <c r="K17" s="9">
        <f t="shared" si="3"/>
        <v>0</v>
      </c>
      <c r="L17" s="9">
        <f t="shared" si="2"/>
        <v>0</v>
      </c>
      <c r="M17" s="10"/>
    </row>
    <row r="18" spans="1:13" ht="10.5" customHeight="1" x14ac:dyDescent="0.15">
      <c r="A18" s="13" t="s">
        <v>8</v>
      </c>
      <c r="B18" s="12"/>
      <c r="C18" s="9"/>
      <c r="D18" s="9"/>
      <c r="E18" s="9"/>
      <c r="F18" s="9"/>
      <c r="G18" s="9">
        <f t="shared" si="0"/>
        <v>0</v>
      </c>
      <c r="H18" s="9"/>
      <c r="I18" s="9"/>
      <c r="J18" s="9"/>
      <c r="K18" s="9">
        <f t="shared" si="3"/>
        <v>0</v>
      </c>
      <c r="L18" s="9">
        <f t="shared" si="2"/>
        <v>0</v>
      </c>
      <c r="M18" s="10"/>
    </row>
    <row r="19" spans="1:13" ht="10.5" customHeight="1" x14ac:dyDescent="0.15">
      <c r="A19" s="11"/>
      <c r="B19" s="12" t="s">
        <v>21</v>
      </c>
      <c r="C19" s="56">
        <v>0</v>
      </c>
      <c r="D19" s="9"/>
      <c r="E19" s="56">
        <f>'[1]15.00-16.00'!$D$11</f>
        <v>0</v>
      </c>
      <c r="F19" s="9">
        <v>0</v>
      </c>
      <c r="G19" s="9">
        <f t="shared" si="0"/>
        <v>0</v>
      </c>
      <c r="H19" s="9"/>
      <c r="I19" s="9"/>
      <c r="J19" s="9"/>
      <c r="K19" s="9">
        <f t="shared" si="3"/>
        <v>0</v>
      </c>
      <c r="L19" s="9">
        <f t="shared" si="2"/>
        <v>0</v>
      </c>
      <c r="M19" s="10">
        <f>K19+K20+K23+K21+K25+K24+K26</f>
        <v>0</v>
      </c>
    </row>
    <row r="20" spans="1:13" ht="10.5" customHeight="1" x14ac:dyDescent="0.15">
      <c r="A20" s="11"/>
      <c r="B20" s="12" t="s">
        <v>22</v>
      </c>
      <c r="C20" s="56">
        <v>0</v>
      </c>
      <c r="D20" s="9"/>
      <c r="E20" s="56">
        <f>'[1]15.00-16.00'!$D$77</f>
        <v>0</v>
      </c>
      <c r="F20" s="9">
        <v>0</v>
      </c>
      <c r="G20" s="9">
        <f t="shared" si="0"/>
        <v>0</v>
      </c>
      <c r="H20" s="9"/>
      <c r="I20" s="9"/>
      <c r="J20" s="9"/>
      <c r="K20" s="9">
        <f t="shared" si="1"/>
        <v>0</v>
      </c>
      <c r="L20" s="9">
        <f t="shared" si="2"/>
        <v>0</v>
      </c>
      <c r="M20" s="10"/>
    </row>
    <row r="21" spans="1:13" ht="10.5" customHeight="1" x14ac:dyDescent="0.15">
      <c r="A21" s="11"/>
      <c r="B21" s="12" t="s">
        <v>23</v>
      </c>
      <c r="C21" s="56">
        <v>0</v>
      </c>
      <c r="D21" s="9"/>
      <c r="E21" s="56">
        <f>'[1]15.00-16.00'!$D$144</f>
        <v>0</v>
      </c>
      <c r="F21" s="9">
        <v>0</v>
      </c>
      <c r="G21" s="9">
        <f t="shared" si="0"/>
        <v>0</v>
      </c>
      <c r="H21" s="9"/>
      <c r="I21" s="9"/>
      <c r="J21" s="9"/>
      <c r="K21" s="9">
        <f t="shared" si="1"/>
        <v>0</v>
      </c>
      <c r="L21" s="9">
        <f t="shared" si="1"/>
        <v>0</v>
      </c>
      <c r="M21" s="10"/>
    </row>
    <row r="22" spans="1:13" ht="10.5" customHeight="1" x14ac:dyDescent="0.15">
      <c r="A22" s="11"/>
      <c r="B22" s="12" t="s">
        <v>90</v>
      </c>
      <c r="C22" s="56">
        <v>0</v>
      </c>
      <c r="D22" s="9"/>
      <c r="E22" s="56">
        <f>'[1]15.00-16.00'!$D$205</f>
        <v>0</v>
      </c>
      <c r="F22" s="9">
        <v>0</v>
      </c>
      <c r="G22" s="9">
        <f t="shared" ref="G22" si="9">C22+E22-F22</f>
        <v>0</v>
      </c>
      <c r="H22" s="9"/>
      <c r="I22" s="9"/>
      <c r="J22" s="9"/>
      <c r="K22" s="9">
        <f t="shared" ref="K22" si="10">G22</f>
        <v>0</v>
      </c>
      <c r="L22" s="9">
        <f t="shared" ref="L22" si="11">H22</f>
        <v>0</v>
      </c>
      <c r="M22" s="10"/>
    </row>
    <row r="23" spans="1:13" ht="10.5" customHeight="1" x14ac:dyDescent="0.15">
      <c r="A23" s="11"/>
      <c r="B23" s="12" t="s">
        <v>24</v>
      </c>
      <c r="C23" s="56">
        <v>0</v>
      </c>
      <c r="D23" s="9"/>
      <c r="E23" s="56">
        <v>0</v>
      </c>
      <c r="F23" s="9">
        <v>0</v>
      </c>
      <c r="G23" s="9">
        <f t="shared" si="0"/>
        <v>0</v>
      </c>
      <c r="H23" s="9"/>
      <c r="I23" s="9"/>
      <c r="J23" s="9"/>
      <c r="K23" s="9">
        <f t="shared" si="1"/>
        <v>0</v>
      </c>
      <c r="L23" s="9">
        <f t="shared" si="1"/>
        <v>0</v>
      </c>
      <c r="M23" s="10"/>
    </row>
    <row r="24" spans="1:13" ht="10.5" customHeight="1" x14ac:dyDescent="0.15">
      <c r="A24" s="11"/>
      <c r="B24" s="12" t="s">
        <v>51</v>
      </c>
      <c r="C24" s="56">
        <v>0</v>
      </c>
      <c r="D24" s="9"/>
      <c r="E24" s="56"/>
      <c r="F24" s="9"/>
      <c r="G24" s="9">
        <f t="shared" si="0"/>
        <v>0</v>
      </c>
      <c r="H24" s="9"/>
      <c r="I24" s="9"/>
      <c r="J24" s="9"/>
      <c r="K24" s="9">
        <f t="shared" si="1"/>
        <v>0</v>
      </c>
      <c r="L24" s="9"/>
      <c r="M24" s="10"/>
    </row>
    <row r="25" spans="1:13" ht="10.5" customHeight="1" x14ac:dyDescent="0.15">
      <c r="A25" s="11"/>
      <c r="B25" s="12" t="s">
        <v>40</v>
      </c>
      <c r="C25" s="56">
        <f>'[1]15.00-16.00'!$F$258</f>
        <v>0</v>
      </c>
      <c r="D25" s="9"/>
      <c r="E25" s="56">
        <f>'[2]15.00-16.00'!$D$288</f>
        <v>0</v>
      </c>
      <c r="F25" s="9">
        <f>'[2]15.00-16.00'!$E$288</f>
        <v>0</v>
      </c>
      <c r="G25" s="9">
        <f t="shared" si="0"/>
        <v>0</v>
      </c>
      <c r="H25" s="9"/>
      <c r="I25" s="9"/>
      <c r="J25" s="9"/>
      <c r="K25" s="9">
        <f t="shared" si="1"/>
        <v>0</v>
      </c>
      <c r="L25" s="9">
        <f t="shared" si="1"/>
        <v>0</v>
      </c>
      <c r="M25" s="10"/>
    </row>
    <row r="26" spans="1:13" ht="10.5" customHeight="1" x14ac:dyDescent="0.15">
      <c r="A26" s="11"/>
      <c r="B26" s="12" t="s">
        <v>43</v>
      </c>
      <c r="C26" s="56">
        <f>'[1]15.00-16.00'!$F$304</f>
        <v>0</v>
      </c>
      <c r="D26" s="9"/>
      <c r="E26" s="56">
        <f>'[2]15.00-16.00'!$D$307</f>
        <v>0</v>
      </c>
      <c r="F26" s="9">
        <f>'[2]15.00-16.00'!$E$307</f>
        <v>0</v>
      </c>
      <c r="G26" s="9">
        <f t="shared" si="0"/>
        <v>0</v>
      </c>
      <c r="H26" s="9"/>
      <c r="I26" s="9"/>
      <c r="J26" s="9"/>
      <c r="K26" s="9">
        <f>G26</f>
        <v>0</v>
      </c>
      <c r="L26" s="9">
        <f t="shared" si="1"/>
        <v>0</v>
      </c>
      <c r="M26" s="10"/>
    </row>
    <row r="27" spans="1:13" ht="10.5" customHeight="1" x14ac:dyDescent="0.15">
      <c r="A27" s="11" t="s">
        <v>41</v>
      </c>
      <c r="B27" s="12"/>
      <c r="C27" s="9">
        <v>0</v>
      </c>
      <c r="D27" s="9"/>
      <c r="E27" s="9"/>
      <c r="F27" s="9"/>
      <c r="G27" s="9">
        <f>C27+E27-F27</f>
        <v>0</v>
      </c>
      <c r="H27" s="9"/>
      <c r="I27" s="9"/>
      <c r="J27" s="9"/>
      <c r="K27" s="9">
        <f>G27</f>
        <v>0</v>
      </c>
      <c r="L27" s="9">
        <f>H27</f>
        <v>0</v>
      </c>
      <c r="M27" s="10"/>
    </row>
    <row r="28" spans="1:13" ht="10.5" customHeight="1" x14ac:dyDescent="0.15">
      <c r="A28" s="13" t="s">
        <v>9</v>
      </c>
      <c r="B28" s="12"/>
      <c r="C28" s="9"/>
      <c r="D28" s="9"/>
      <c r="E28" s="9"/>
      <c r="F28" s="9"/>
      <c r="G28" s="9"/>
      <c r="H28" s="9"/>
      <c r="I28" s="9"/>
      <c r="J28" s="9"/>
      <c r="K28" s="9"/>
      <c r="L28" s="9">
        <f>H28</f>
        <v>0</v>
      </c>
      <c r="M28" s="10"/>
    </row>
    <row r="29" spans="1:13" ht="10.5" customHeight="1" x14ac:dyDescent="0.15">
      <c r="A29" s="11"/>
      <c r="B29" s="12" t="s">
        <v>39</v>
      </c>
      <c r="C29" s="9">
        <v>0</v>
      </c>
      <c r="D29" s="9"/>
      <c r="E29" s="9">
        <f>'[1]31.01-31.09'!$D$13</f>
        <v>0</v>
      </c>
      <c r="F29" s="9">
        <f>'[1]31.01-31.09'!$E$13</f>
        <v>0</v>
      </c>
      <c r="G29" s="9">
        <f t="shared" ref="G29:G33" si="12">C29+E29</f>
        <v>0</v>
      </c>
      <c r="H29" s="9"/>
      <c r="I29" s="9"/>
      <c r="J29" s="9"/>
      <c r="K29" s="9">
        <f t="shared" si="1"/>
        <v>0</v>
      </c>
      <c r="L29" s="9">
        <f t="shared" si="1"/>
        <v>0</v>
      </c>
      <c r="M29" s="10">
        <f>SUM(K29:K37)</f>
        <v>0</v>
      </c>
    </row>
    <row r="30" spans="1:13" ht="10.5" customHeight="1" x14ac:dyDescent="0.15">
      <c r="A30" s="11"/>
      <c r="B30" s="12" t="s">
        <v>25</v>
      </c>
      <c r="C30" s="9">
        <v>0</v>
      </c>
      <c r="D30" s="9"/>
      <c r="E30" s="9">
        <f>'[1]31.01-31.09'!$D$31</f>
        <v>0</v>
      </c>
      <c r="F30" s="9">
        <f>'[1]31.01-31.09'!$E$31</f>
        <v>0</v>
      </c>
      <c r="G30" s="9">
        <f t="shared" si="12"/>
        <v>0</v>
      </c>
      <c r="H30" s="9"/>
      <c r="I30" s="9"/>
      <c r="J30" s="9"/>
      <c r="K30" s="9">
        <f t="shared" si="1"/>
        <v>0</v>
      </c>
      <c r="L30" s="9">
        <f t="shared" si="1"/>
        <v>0</v>
      </c>
      <c r="M30" s="10">
        <f>M29+K47</f>
        <v>0</v>
      </c>
    </row>
    <row r="31" spans="1:13" ht="10.5" customHeight="1" x14ac:dyDescent="0.15">
      <c r="A31" s="11"/>
      <c r="B31" s="12" t="s">
        <v>26</v>
      </c>
      <c r="C31" s="9">
        <v>0</v>
      </c>
      <c r="D31" s="9"/>
      <c r="E31" s="9">
        <f>'[1]31.01-31.09'!$D$91</f>
        <v>0</v>
      </c>
      <c r="F31" s="9">
        <f>'[1]31.01-31.09'!$E$91</f>
        <v>0</v>
      </c>
      <c r="G31" s="9">
        <f t="shared" si="12"/>
        <v>0</v>
      </c>
      <c r="H31" s="9"/>
      <c r="I31" s="9"/>
      <c r="J31" s="9"/>
      <c r="K31" s="9">
        <f t="shared" si="1"/>
        <v>0</v>
      </c>
      <c r="L31" s="9">
        <f t="shared" si="1"/>
        <v>0</v>
      </c>
      <c r="M31" s="10"/>
    </row>
    <row r="32" spans="1:13" ht="10.5" customHeight="1" x14ac:dyDescent="0.15">
      <c r="A32" s="11"/>
      <c r="B32" s="12" t="s">
        <v>27</v>
      </c>
      <c r="C32" s="9">
        <v>0</v>
      </c>
      <c r="D32" s="9"/>
      <c r="E32" s="9">
        <f>'[1]31.01-31.09'!$D$63</f>
        <v>0</v>
      </c>
      <c r="F32" s="9">
        <f>'[1]31.01-31.09'!$E$63</f>
        <v>0</v>
      </c>
      <c r="G32" s="9">
        <f t="shared" si="12"/>
        <v>0</v>
      </c>
      <c r="H32" s="9"/>
      <c r="I32" s="9"/>
      <c r="J32" s="9"/>
      <c r="K32" s="9">
        <f t="shared" si="1"/>
        <v>0</v>
      </c>
      <c r="L32" s="9">
        <f t="shared" si="1"/>
        <v>0</v>
      </c>
      <c r="M32" s="10"/>
    </row>
    <row r="33" spans="1:14" ht="10.5" customHeight="1" x14ac:dyDescent="0.15">
      <c r="A33" s="11"/>
      <c r="B33" s="12" t="s">
        <v>28</v>
      </c>
      <c r="C33" s="9">
        <v>0</v>
      </c>
      <c r="D33" s="9"/>
      <c r="E33" s="9">
        <f>'[1]31.01-31.09'!$D$117</f>
        <v>0</v>
      </c>
      <c r="F33" s="9">
        <f>'[1]31.01-31.09'!$E$117</f>
        <v>0</v>
      </c>
      <c r="G33" s="9">
        <f t="shared" si="12"/>
        <v>0</v>
      </c>
      <c r="H33" s="9"/>
      <c r="I33" s="9"/>
      <c r="J33" s="9"/>
      <c r="K33" s="9">
        <f t="shared" si="1"/>
        <v>0</v>
      </c>
      <c r="L33" s="9">
        <f t="shared" si="1"/>
        <v>0</v>
      </c>
      <c r="M33" s="10"/>
      <c r="N33" s="15"/>
    </row>
    <row r="34" spans="1:14" ht="10.5" customHeight="1" x14ac:dyDescent="0.15">
      <c r="A34" s="11"/>
      <c r="B34" s="12" t="s">
        <v>66</v>
      </c>
      <c r="C34" s="9">
        <v>0</v>
      </c>
      <c r="D34" s="9"/>
      <c r="E34" s="9">
        <f>'[1]31.01-31.09'!$D$134</f>
        <v>0</v>
      </c>
      <c r="F34" s="9">
        <f>'[1]31.01-31.09'!$E$134</f>
        <v>0</v>
      </c>
      <c r="G34" s="9">
        <f t="shared" ref="G34:G38" si="13">C34+E34</f>
        <v>0</v>
      </c>
      <c r="H34" s="9"/>
      <c r="I34" s="9"/>
      <c r="J34" s="9"/>
      <c r="K34" s="9">
        <f t="shared" ref="K34:K38" si="14">G34</f>
        <v>0</v>
      </c>
      <c r="L34" s="9">
        <f t="shared" ref="L34:L38" si="15">H34</f>
        <v>0</v>
      </c>
      <c r="M34" s="10"/>
    </row>
    <row r="35" spans="1:14" ht="10.5" customHeight="1" x14ac:dyDescent="0.15">
      <c r="A35" s="11"/>
      <c r="B35" s="12" t="s">
        <v>67</v>
      </c>
      <c r="C35" s="9">
        <v>0</v>
      </c>
      <c r="D35" s="9"/>
      <c r="E35" s="9">
        <f>'[1]31.01-31.09'!$D$161</f>
        <v>0</v>
      </c>
      <c r="F35" s="9">
        <f>'[1]31.01-31.09'!$E$161</f>
        <v>0</v>
      </c>
      <c r="G35" s="9">
        <f t="shared" si="13"/>
        <v>0</v>
      </c>
      <c r="H35" s="9"/>
      <c r="I35" s="9"/>
      <c r="J35" s="9"/>
      <c r="K35" s="9">
        <f t="shared" si="14"/>
        <v>0</v>
      </c>
      <c r="L35" s="9">
        <f t="shared" si="15"/>
        <v>0</v>
      </c>
      <c r="M35" s="10"/>
    </row>
    <row r="36" spans="1:14" ht="10.5" customHeight="1" x14ac:dyDescent="0.15">
      <c r="A36" s="11"/>
      <c r="B36" s="12" t="s">
        <v>68</v>
      </c>
      <c r="C36" s="9">
        <v>0</v>
      </c>
      <c r="D36" s="9"/>
      <c r="E36" s="9">
        <f>'[1]31.01-31.09'!$D$179</f>
        <v>0</v>
      </c>
      <c r="F36" s="9">
        <f>'[1]31.01-31.09'!$E$179</f>
        <v>0</v>
      </c>
      <c r="G36" s="9">
        <f t="shared" si="13"/>
        <v>0</v>
      </c>
      <c r="H36" s="9"/>
      <c r="I36" s="9"/>
      <c r="J36" s="9"/>
      <c r="K36" s="9">
        <f t="shared" si="14"/>
        <v>0</v>
      </c>
      <c r="L36" s="9">
        <f t="shared" si="15"/>
        <v>0</v>
      </c>
      <c r="M36" s="10"/>
    </row>
    <row r="37" spans="1:14" ht="10.5" customHeight="1" x14ac:dyDescent="0.15">
      <c r="A37" s="11"/>
      <c r="B37" s="12" t="s">
        <v>69</v>
      </c>
      <c r="C37" s="9">
        <v>0</v>
      </c>
      <c r="D37" s="9"/>
      <c r="E37" s="9">
        <v>0</v>
      </c>
      <c r="F37" s="9">
        <f>'[1]31.01-31.09'!$E$206</f>
        <v>0</v>
      </c>
      <c r="G37" s="9">
        <f t="shared" si="13"/>
        <v>0</v>
      </c>
      <c r="H37" s="9"/>
      <c r="I37" s="9"/>
      <c r="J37" s="9"/>
      <c r="K37" s="9">
        <f t="shared" si="14"/>
        <v>0</v>
      </c>
      <c r="L37" s="9">
        <f t="shared" si="15"/>
        <v>0</v>
      </c>
      <c r="M37" s="10"/>
      <c r="N37" s="15"/>
    </row>
    <row r="38" spans="1:14" ht="10.5" customHeight="1" x14ac:dyDescent="0.15">
      <c r="A38" s="13" t="s">
        <v>10</v>
      </c>
      <c r="B38" s="12"/>
      <c r="C38" s="9">
        <v>0</v>
      </c>
      <c r="D38" s="9"/>
      <c r="E38" s="9"/>
      <c r="F38" s="9"/>
      <c r="G38" s="9">
        <f t="shared" si="13"/>
        <v>0</v>
      </c>
      <c r="H38" s="9"/>
      <c r="I38" s="9"/>
      <c r="J38" s="9"/>
      <c r="K38" s="9">
        <f t="shared" si="14"/>
        <v>0</v>
      </c>
      <c r="L38" s="9">
        <f t="shared" si="15"/>
        <v>0</v>
      </c>
      <c r="M38" s="10"/>
    </row>
    <row r="39" spans="1:14" ht="10.5" customHeight="1" x14ac:dyDescent="0.15">
      <c r="A39" s="11"/>
      <c r="B39" s="12" t="s">
        <v>25</v>
      </c>
      <c r="C39" s="9"/>
      <c r="D39" s="56">
        <v>0</v>
      </c>
      <c r="E39" s="9">
        <f>'[1]31.10'!$D$22</f>
        <v>0</v>
      </c>
      <c r="F39" s="9">
        <v>0</v>
      </c>
      <c r="G39" s="9"/>
      <c r="H39" s="9">
        <f>D39+F39</f>
        <v>0</v>
      </c>
      <c r="I39" s="9"/>
      <c r="J39" s="9"/>
      <c r="K39" s="9">
        <f t="shared" si="1"/>
        <v>0</v>
      </c>
      <c r="L39" s="9">
        <f t="shared" si="1"/>
        <v>0</v>
      </c>
      <c r="M39" s="10">
        <f>SUM(L39:L46)+L48</f>
        <v>0</v>
      </c>
      <c r="N39" s="16"/>
    </row>
    <row r="40" spans="1:14" ht="10.5" customHeight="1" x14ac:dyDescent="0.15">
      <c r="A40" s="11"/>
      <c r="B40" s="12" t="s">
        <v>26</v>
      </c>
      <c r="C40" s="9"/>
      <c r="D40" s="56">
        <v>0</v>
      </c>
      <c r="E40" s="9">
        <f>'[1]31.10'!$D$86</f>
        <v>0</v>
      </c>
      <c r="F40" s="9">
        <v>0</v>
      </c>
      <c r="G40" s="9"/>
      <c r="H40" s="9">
        <f>D40+F40</f>
        <v>0</v>
      </c>
      <c r="I40" s="9"/>
      <c r="J40" s="9"/>
      <c r="K40" s="9">
        <f t="shared" si="1"/>
        <v>0</v>
      </c>
      <c r="L40" s="9">
        <f t="shared" si="1"/>
        <v>0</v>
      </c>
      <c r="M40" s="10">
        <f>M39-L48</f>
        <v>0</v>
      </c>
      <c r="N40" s="16"/>
    </row>
    <row r="41" spans="1:14" ht="10.5" customHeight="1" x14ac:dyDescent="0.15">
      <c r="A41" s="11"/>
      <c r="B41" s="12" t="s">
        <v>27</v>
      </c>
      <c r="C41" s="9"/>
      <c r="D41" s="56">
        <v>0</v>
      </c>
      <c r="E41" s="9">
        <f>'[1]31.10'!$D$47</f>
        <v>0</v>
      </c>
      <c r="F41" s="9">
        <v>0</v>
      </c>
      <c r="G41" s="9"/>
      <c r="H41" s="9">
        <f>D41+F41</f>
        <v>0</v>
      </c>
      <c r="I41" s="9"/>
      <c r="J41" s="9"/>
      <c r="K41" s="9">
        <f t="shared" si="1"/>
        <v>0</v>
      </c>
      <c r="L41" s="9">
        <f t="shared" si="1"/>
        <v>0</v>
      </c>
      <c r="M41" s="10"/>
      <c r="N41" s="16"/>
    </row>
    <row r="42" spans="1:14" ht="10.5" customHeight="1" x14ac:dyDescent="0.15">
      <c r="A42" s="11"/>
      <c r="B42" s="12" t="s">
        <v>28</v>
      </c>
      <c r="C42" s="9"/>
      <c r="D42" s="56">
        <v>0</v>
      </c>
      <c r="E42" s="9">
        <f>'[1]31.10'!$D$115</f>
        <v>0</v>
      </c>
      <c r="F42" s="9">
        <v>0</v>
      </c>
      <c r="G42" s="9"/>
      <c r="H42" s="9">
        <f>D42+F42</f>
        <v>0</v>
      </c>
      <c r="I42" s="9"/>
      <c r="J42" s="9"/>
      <c r="K42" s="9">
        <f t="shared" si="1"/>
        <v>0</v>
      </c>
      <c r="L42" s="9">
        <f t="shared" si="1"/>
        <v>0</v>
      </c>
      <c r="M42" s="10"/>
      <c r="N42" s="16"/>
    </row>
    <row r="43" spans="1:14" ht="10.5" customHeight="1" x14ac:dyDescent="0.15">
      <c r="A43" s="11"/>
      <c r="B43" s="12" t="s">
        <v>66</v>
      </c>
      <c r="C43" s="9"/>
      <c r="D43" s="56">
        <v>0</v>
      </c>
      <c r="E43" s="9">
        <f>'[1]31.10'!$D$150</f>
        <v>0</v>
      </c>
      <c r="F43" s="9">
        <v>0</v>
      </c>
      <c r="G43" s="9"/>
      <c r="H43" s="9">
        <f t="shared" ref="H43:H45" si="16">D43+F43</f>
        <v>0</v>
      </c>
      <c r="I43" s="9"/>
      <c r="J43" s="9"/>
      <c r="K43" s="9">
        <f t="shared" ref="K43:K46" si="17">G43</f>
        <v>0</v>
      </c>
      <c r="L43" s="9">
        <f t="shared" ref="L43:L46" si="18">H43</f>
        <v>0</v>
      </c>
      <c r="M43" s="10"/>
      <c r="N43" s="16"/>
    </row>
    <row r="44" spans="1:14" ht="10.5" customHeight="1" x14ac:dyDescent="0.15">
      <c r="A44" s="11"/>
      <c r="B44" s="12" t="s">
        <v>67</v>
      </c>
      <c r="C44" s="9"/>
      <c r="D44" s="56">
        <v>0</v>
      </c>
      <c r="E44" s="9">
        <f>'[1]31.10'!$D$175</f>
        <v>0</v>
      </c>
      <c r="F44" s="9">
        <v>0</v>
      </c>
      <c r="G44" s="9"/>
      <c r="H44" s="9">
        <f t="shared" si="16"/>
        <v>0</v>
      </c>
      <c r="I44" s="9"/>
      <c r="J44" s="9"/>
      <c r="K44" s="9">
        <f t="shared" si="17"/>
        <v>0</v>
      </c>
      <c r="L44" s="9">
        <f t="shared" si="18"/>
        <v>0</v>
      </c>
      <c r="M44" s="10"/>
      <c r="N44" s="16"/>
    </row>
    <row r="45" spans="1:14" ht="10.5" customHeight="1" x14ac:dyDescent="0.15">
      <c r="A45" s="11"/>
      <c r="B45" s="12" t="s">
        <v>68</v>
      </c>
      <c r="C45" s="9"/>
      <c r="D45" s="56">
        <v>0</v>
      </c>
      <c r="E45" s="9">
        <f>'[1]31.10'!$D$214</f>
        <v>0</v>
      </c>
      <c r="F45" s="9">
        <v>0</v>
      </c>
      <c r="G45" s="9"/>
      <c r="H45" s="9">
        <f t="shared" si="16"/>
        <v>0</v>
      </c>
      <c r="I45" s="9"/>
      <c r="J45" s="9"/>
      <c r="K45" s="9">
        <f t="shared" si="17"/>
        <v>0</v>
      </c>
      <c r="L45" s="9">
        <f t="shared" si="18"/>
        <v>0</v>
      </c>
      <c r="M45" s="10"/>
      <c r="N45" s="16"/>
    </row>
    <row r="46" spans="1:14" ht="10.5" customHeight="1" x14ac:dyDescent="0.15">
      <c r="A46" s="11"/>
      <c r="B46" s="12" t="s">
        <v>69</v>
      </c>
      <c r="C46" s="9"/>
      <c r="D46" s="56">
        <v>0</v>
      </c>
      <c r="E46" s="9">
        <f>'[1]31.10'!$D$242</f>
        <v>0</v>
      </c>
      <c r="F46" s="9">
        <v>0</v>
      </c>
      <c r="G46" s="9"/>
      <c r="H46" s="9">
        <f>D46+F46</f>
        <v>0</v>
      </c>
      <c r="I46" s="9"/>
      <c r="J46" s="9"/>
      <c r="K46" s="9">
        <f t="shared" si="17"/>
        <v>0</v>
      </c>
      <c r="L46" s="9">
        <f t="shared" si="18"/>
        <v>0</v>
      </c>
      <c r="M46" s="10"/>
      <c r="N46" s="16"/>
    </row>
    <row r="47" spans="1:14" ht="10.5" customHeight="1" x14ac:dyDescent="0.15">
      <c r="A47" s="11" t="s">
        <v>53</v>
      </c>
      <c r="B47" s="12"/>
      <c r="C47" s="9">
        <v>0</v>
      </c>
      <c r="D47" s="9"/>
      <c r="E47" s="53">
        <f>'[1]35.00-35.01-37.00'!$D$12</f>
        <v>0</v>
      </c>
      <c r="F47" s="17">
        <f>'[1]35.00-35.01-37.00'!$E$12</f>
        <v>0</v>
      </c>
      <c r="G47" s="9">
        <f>E47+C47</f>
        <v>0</v>
      </c>
      <c r="H47" s="9">
        <f t="shared" ref="H47" si="19">D47+F47</f>
        <v>0</v>
      </c>
      <c r="I47" s="9"/>
      <c r="J47" s="9"/>
      <c r="K47" s="9">
        <f t="shared" ref="K47:K49" si="20">G47</f>
        <v>0</v>
      </c>
      <c r="L47" s="9">
        <f t="shared" ref="L47:L49" si="21">H47</f>
        <v>0</v>
      </c>
      <c r="M47" s="10"/>
      <c r="N47" s="16"/>
    </row>
    <row r="48" spans="1:14" ht="10.5" customHeight="1" x14ac:dyDescent="0.15">
      <c r="A48" s="11"/>
      <c r="B48" s="12" t="s">
        <v>54</v>
      </c>
      <c r="C48" s="9"/>
      <c r="D48" s="9">
        <v>0</v>
      </c>
      <c r="E48" s="9">
        <f>'[1]35.00-35.01-37.00'!$D$37</f>
        <v>0</v>
      </c>
      <c r="F48" s="9">
        <v>0</v>
      </c>
      <c r="H48" s="9">
        <f>D48+F48</f>
        <v>0</v>
      </c>
      <c r="I48" s="9"/>
      <c r="J48" s="9"/>
      <c r="K48" s="9">
        <f t="shared" si="20"/>
        <v>0</v>
      </c>
      <c r="L48" s="9">
        <f t="shared" si="21"/>
        <v>0</v>
      </c>
      <c r="M48" s="10"/>
      <c r="N48" s="16"/>
    </row>
    <row r="49" spans="1:14" ht="10.5" customHeight="1" x14ac:dyDescent="0.15">
      <c r="A49" s="13" t="s">
        <v>52</v>
      </c>
      <c r="B49" s="12"/>
      <c r="C49" s="9">
        <v>0</v>
      </c>
      <c r="D49" s="9"/>
      <c r="E49" s="9">
        <f>'[1]35.00-35.01-37.00'!$D$57</f>
        <v>0</v>
      </c>
      <c r="F49" s="9">
        <f>'[1]35.00-35.01-37.00'!$E$57</f>
        <v>0</v>
      </c>
      <c r="G49" s="9">
        <f>C49+E49-F49</f>
        <v>0</v>
      </c>
      <c r="H49" s="9"/>
      <c r="I49" s="9"/>
      <c r="J49" s="9"/>
      <c r="K49" s="9">
        <f t="shared" si="20"/>
        <v>0</v>
      </c>
      <c r="L49" s="9">
        <f t="shared" si="21"/>
        <v>0</v>
      </c>
      <c r="M49" s="10">
        <v>-73332036</v>
      </c>
      <c r="N49" s="16"/>
    </row>
    <row r="50" spans="1:14" ht="10.5" customHeight="1" x14ac:dyDescent="0.15">
      <c r="A50" s="13" t="s">
        <v>99</v>
      </c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10"/>
      <c r="N50" s="16"/>
    </row>
    <row r="51" spans="1:14" ht="10.5" customHeight="1" x14ac:dyDescent="0.15">
      <c r="A51" s="13"/>
      <c r="B51" s="12" t="s">
        <v>100</v>
      </c>
      <c r="C51" s="9">
        <v>0</v>
      </c>
      <c r="D51" s="9"/>
      <c r="E51" s="9"/>
      <c r="F51" s="9"/>
      <c r="G51" s="9">
        <f>C51+E51-F51</f>
        <v>0</v>
      </c>
      <c r="H51" s="9"/>
      <c r="I51" s="9"/>
      <c r="J51" s="9"/>
      <c r="K51" s="9"/>
      <c r="L51" s="9"/>
      <c r="M51" s="10"/>
      <c r="N51" s="16"/>
    </row>
    <row r="52" spans="1:14" ht="10.5" customHeight="1" x14ac:dyDescent="0.15">
      <c r="A52" s="67" t="s">
        <v>11</v>
      </c>
      <c r="B52" s="68"/>
      <c r="C52" s="18">
        <f>SUM(C8:C51)</f>
        <v>0</v>
      </c>
      <c r="D52" s="18">
        <f>SUM(D8:D49)</f>
        <v>0</v>
      </c>
      <c r="E52" s="18"/>
      <c r="F52" s="18"/>
      <c r="G52" s="18">
        <f>SUM(G8:G51)</f>
        <v>0</v>
      </c>
      <c r="H52" s="18">
        <f>SUM(H8:H49)</f>
        <v>0</v>
      </c>
      <c r="I52" s="18"/>
      <c r="J52" s="18"/>
      <c r="K52" s="18">
        <f t="shared" si="1"/>
        <v>0</v>
      </c>
      <c r="L52" s="18">
        <f t="shared" si="1"/>
        <v>0</v>
      </c>
      <c r="M52" s="19"/>
      <c r="N52" s="16"/>
    </row>
    <row r="53" spans="1:14" ht="10.5" customHeight="1" x14ac:dyDescent="0.15">
      <c r="A53" s="62"/>
      <c r="B53" s="63"/>
      <c r="C53" s="18">
        <f>C52-D52</f>
        <v>0</v>
      </c>
      <c r="D53" s="18"/>
      <c r="E53" s="18"/>
      <c r="F53" s="18"/>
      <c r="G53" s="18">
        <f>G52-H52</f>
        <v>0</v>
      </c>
      <c r="H53" s="18"/>
      <c r="I53" s="18"/>
      <c r="J53" s="18"/>
      <c r="K53" s="18">
        <f>K52-L52</f>
        <v>0</v>
      </c>
      <c r="L53" s="18">
        <f t="shared" si="1"/>
        <v>0</v>
      </c>
      <c r="M53" s="19"/>
      <c r="N53" s="15"/>
    </row>
    <row r="54" spans="1:14" ht="10.5" customHeight="1" x14ac:dyDescent="0.15">
      <c r="A54" s="20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19"/>
      <c r="N54" s="15"/>
    </row>
    <row r="55" spans="1:14" ht="10.5" customHeight="1" x14ac:dyDescent="0.15">
      <c r="A55" s="13" t="s">
        <v>29</v>
      </c>
      <c r="B55" s="23"/>
      <c r="C55" s="24"/>
      <c r="D55" s="9"/>
      <c r="E55" s="9"/>
      <c r="F55" s="9"/>
      <c r="G55" s="24"/>
      <c r="H55" s="9"/>
      <c r="I55" s="9"/>
      <c r="J55" s="9"/>
      <c r="K55" s="9">
        <f t="shared" si="1"/>
        <v>0</v>
      </c>
      <c r="L55" s="9">
        <f t="shared" si="1"/>
        <v>0</v>
      </c>
      <c r="M55" s="19"/>
      <c r="N55" s="15"/>
    </row>
    <row r="56" spans="1:14" ht="10.5" customHeight="1" x14ac:dyDescent="0.15">
      <c r="A56" s="11"/>
      <c r="B56" s="4" t="s">
        <v>12</v>
      </c>
      <c r="C56" s="9"/>
      <c r="D56" s="9"/>
      <c r="E56" s="9">
        <v>0</v>
      </c>
      <c r="F56" s="9">
        <v>0</v>
      </c>
      <c r="H56" s="9">
        <f t="shared" ref="H56:H63" si="22">D56-E56+F56</f>
        <v>0</v>
      </c>
      <c r="I56" s="9"/>
      <c r="J56" s="9"/>
      <c r="K56" s="9">
        <f t="shared" si="1"/>
        <v>0</v>
      </c>
      <c r="L56" s="9">
        <f t="shared" si="1"/>
        <v>0</v>
      </c>
      <c r="M56" s="19"/>
      <c r="N56" s="15"/>
    </row>
    <row r="57" spans="1:14" ht="10.5" customHeight="1" x14ac:dyDescent="0.15">
      <c r="A57" s="11"/>
      <c r="B57" s="4" t="s">
        <v>42</v>
      </c>
      <c r="C57" s="9"/>
      <c r="D57" s="9"/>
      <c r="E57" s="9">
        <f>'[1]50.00'!$D$104</f>
        <v>0</v>
      </c>
      <c r="F57" s="9"/>
      <c r="H57" s="9">
        <f t="shared" si="22"/>
        <v>0</v>
      </c>
      <c r="I57" s="9"/>
      <c r="J57" s="9"/>
      <c r="K57" s="9">
        <f t="shared" si="1"/>
        <v>0</v>
      </c>
      <c r="L57" s="9">
        <f t="shared" si="1"/>
        <v>0</v>
      </c>
      <c r="M57" s="19"/>
    </row>
    <row r="58" spans="1:14" ht="10.5" customHeight="1" x14ac:dyDescent="0.15">
      <c r="A58" s="11"/>
      <c r="B58" s="4" t="s">
        <v>85</v>
      </c>
      <c r="C58" s="9"/>
      <c r="D58" s="9">
        <v>0</v>
      </c>
      <c r="E58" s="9">
        <v>0</v>
      </c>
      <c r="F58" s="9">
        <v>0</v>
      </c>
      <c r="H58" s="9">
        <f>D58-E58+F58</f>
        <v>0</v>
      </c>
      <c r="I58" s="9"/>
      <c r="J58" s="9"/>
      <c r="K58" s="9">
        <f t="shared" ref="K58" si="23">G58</f>
        <v>0</v>
      </c>
      <c r="L58" s="9">
        <f t="shared" ref="L58" si="24">H58</f>
        <v>0</v>
      </c>
      <c r="M58" s="19"/>
    </row>
    <row r="59" spans="1:14" ht="10.5" customHeight="1" x14ac:dyDescent="0.15">
      <c r="A59" s="11"/>
      <c r="B59" s="4" t="s">
        <v>13</v>
      </c>
      <c r="C59" s="9"/>
      <c r="D59" s="9">
        <f>'[2]50.00'!$F$113</f>
        <v>0</v>
      </c>
      <c r="E59" s="9">
        <f>'[2]50.00'!$D$117</f>
        <v>0</v>
      </c>
      <c r="F59" s="9">
        <f>'[2]50.00'!$E$117</f>
        <v>0</v>
      </c>
      <c r="H59" s="9">
        <f t="shared" si="22"/>
        <v>0</v>
      </c>
      <c r="I59" s="9"/>
      <c r="J59" s="9"/>
      <c r="K59" s="9">
        <f t="shared" si="1"/>
        <v>0</v>
      </c>
      <c r="L59" s="9">
        <f t="shared" si="1"/>
        <v>0</v>
      </c>
      <c r="M59" s="19"/>
    </row>
    <row r="60" spans="1:14" ht="10.5" customHeight="1" x14ac:dyDescent="0.15">
      <c r="A60" s="11"/>
      <c r="B60" s="4" t="s">
        <v>86</v>
      </c>
      <c r="C60" s="9"/>
      <c r="D60" s="9">
        <v>0</v>
      </c>
      <c r="E60" s="9">
        <f>'[1]50.00'!$D$134</f>
        <v>0</v>
      </c>
      <c r="F60" s="9">
        <f>'[1]50.00'!$E$134</f>
        <v>0</v>
      </c>
      <c r="H60" s="9">
        <f t="shared" ref="H60" si="25">D60-E60+F60</f>
        <v>0</v>
      </c>
      <c r="I60" s="9"/>
      <c r="J60" s="9"/>
      <c r="K60" s="9">
        <f t="shared" ref="K60" si="26">G60</f>
        <v>0</v>
      </c>
      <c r="L60" s="9">
        <f t="shared" ref="L60" si="27">H60</f>
        <v>0</v>
      </c>
      <c r="M60" s="19"/>
    </row>
    <row r="61" spans="1:14" ht="10.5" customHeight="1" x14ac:dyDescent="0.15">
      <c r="A61" s="13" t="s">
        <v>30</v>
      </c>
      <c r="C61" s="9"/>
      <c r="D61" s="9"/>
      <c r="E61" s="9"/>
      <c r="F61" s="9"/>
      <c r="G61" s="9"/>
      <c r="H61" s="9">
        <f t="shared" si="22"/>
        <v>0</v>
      </c>
      <c r="I61" s="9"/>
      <c r="J61" s="9"/>
      <c r="K61" s="9">
        <f t="shared" si="1"/>
        <v>0</v>
      </c>
      <c r="L61" s="9">
        <f t="shared" si="1"/>
        <v>0</v>
      </c>
      <c r="M61" s="19"/>
    </row>
    <row r="62" spans="1:14" ht="10.5" customHeight="1" x14ac:dyDescent="0.15">
      <c r="A62" s="11"/>
      <c r="B62" s="4" t="s">
        <v>72</v>
      </c>
      <c r="C62" s="9"/>
      <c r="D62" s="9">
        <v>0</v>
      </c>
      <c r="E62" s="9">
        <f>'[2]70.00'!$D$17</f>
        <v>0</v>
      </c>
      <c r="F62" s="9">
        <f>'[2]70.00'!$E$17</f>
        <v>0</v>
      </c>
      <c r="G62" s="9"/>
      <c r="H62" s="9">
        <f t="shared" si="22"/>
        <v>0</v>
      </c>
      <c r="I62" s="9"/>
      <c r="J62" s="9"/>
      <c r="K62" s="9">
        <f t="shared" si="1"/>
        <v>0</v>
      </c>
      <c r="L62" s="9">
        <f t="shared" si="1"/>
        <v>0</v>
      </c>
      <c r="M62" s="19"/>
      <c r="N62" s="17"/>
    </row>
    <row r="63" spans="1:14" ht="10.5" customHeight="1" x14ac:dyDescent="0.15">
      <c r="A63" s="11"/>
      <c r="B63" s="4" t="s">
        <v>14</v>
      </c>
      <c r="C63" s="9"/>
      <c r="D63" s="9">
        <v>0</v>
      </c>
      <c r="E63" s="9">
        <f>'[2]70.00'!$D$37</f>
        <v>0</v>
      </c>
      <c r="F63" s="9">
        <f>'[2]70.00'!$E$37</f>
        <v>0</v>
      </c>
      <c r="G63" s="9"/>
      <c r="H63" s="9">
        <f t="shared" si="22"/>
        <v>0</v>
      </c>
      <c r="I63" s="9"/>
      <c r="J63" s="9"/>
      <c r="K63" s="9">
        <f t="shared" si="1"/>
        <v>0</v>
      </c>
      <c r="L63" s="9">
        <f t="shared" si="1"/>
        <v>0</v>
      </c>
      <c r="M63" s="10"/>
      <c r="N63" s="15"/>
    </row>
    <row r="64" spans="1:14" ht="10.5" customHeight="1" x14ac:dyDescent="0.15">
      <c r="A64" s="11"/>
      <c r="B64" s="4" t="s">
        <v>15</v>
      </c>
      <c r="C64" s="9">
        <v>0</v>
      </c>
      <c r="D64" s="15"/>
      <c r="E64" s="9"/>
      <c r="F64" s="9">
        <v>0</v>
      </c>
      <c r="G64" s="9">
        <f>C64+E64-F64</f>
        <v>0</v>
      </c>
      <c r="H64" s="9"/>
      <c r="I64" s="9"/>
      <c r="J64" s="9"/>
      <c r="K64" s="9">
        <f t="shared" si="1"/>
        <v>0</v>
      </c>
      <c r="L64" s="9">
        <f t="shared" si="1"/>
        <v>0</v>
      </c>
      <c r="M64" s="10"/>
    </row>
    <row r="65" spans="1:13" ht="10.5" customHeight="1" x14ac:dyDescent="0.15">
      <c r="A65" s="11"/>
      <c r="B65" s="4" t="s">
        <v>16</v>
      </c>
      <c r="C65" s="25"/>
      <c r="D65" s="25">
        <v>0</v>
      </c>
      <c r="E65" s="9">
        <v>0</v>
      </c>
      <c r="F65" s="9">
        <v>0</v>
      </c>
      <c r="G65" s="9"/>
      <c r="H65" s="9">
        <f>D65-E65+F65</f>
        <v>0</v>
      </c>
      <c r="I65" s="9"/>
      <c r="J65" s="9"/>
      <c r="K65" s="9"/>
      <c r="L65" s="9">
        <f>H65</f>
        <v>0</v>
      </c>
      <c r="M65" s="10"/>
    </row>
    <row r="66" spans="1:13" ht="10.5" customHeight="1" x14ac:dyDescent="0.15">
      <c r="A66" s="69" t="s">
        <v>17</v>
      </c>
      <c r="B66" s="69"/>
      <c r="C66" s="26">
        <f>SUM(C55:C65)</f>
        <v>0</v>
      </c>
      <c r="D66" s="26">
        <f>SUM(D55:D65)</f>
        <v>0</v>
      </c>
      <c r="E66" s="18"/>
      <c r="F66" s="18"/>
      <c r="G66" s="18">
        <f>SUM(G56:G65)</f>
        <v>0</v>
      </c>
      <c r="H66" s="18">
        <f>SUM(H56:H65)</f>
        <v>0</v>
      </c>
      <c r="I66" s="18"/>
      <c r="J66" s="18"/>
      <c r="K66" s="18">
        <f t="shared" si="1"/>
        <v>0</v>
      </c>
      <c r="L66" s="18">
        <f t="shared" si="1"/>
        <v>0</v>
      </c>
      <c r="M66" s="19"/>
    </row>
    <row r="67" spans="1:13" ht="10.5" customHeight="1" thickBot="1" x14ac:dyDescent="0.2">
      <c r="A67" s="70"/>
      <c r="B67" s="70"/>
      <c r="C67" s="27"/>
      <c r="D67" s="28">
        <f>D66-C66</f>
        <v>0</v>
      </c>
      <c r="E67" s="29">
        <f>SUM(E8:E66)</f>
        <v>0</v>
      </c>
      <c r="F67" s="29">
        <f>SUM(F8:F66)</f>
        <v>0</v>
      </c>
      <c r="G67" s="30"/>
      <c r="H67" s="29">
        <f>H66-G66</f>
        <v>0</v>
      </c>
      <c r="I67" s="30"/>
      <c r="J67" s="30"/>
      <c r="K67" s="29">
        <f t="shared" si="1"/>
        <v>0</v>
      </c>
      <c r="L67" s="29">
        <f>L66-K66</f>
        <v>0</v>
      </c>
      <c r="M67" s="31">
        <f>K53-L67</f>
        <v>0</v>
      </c>
    </row>
    <row r="68" spans="1:13" ht="18.75" customHeight="1" thickTop="1" thickBot="1" x14ac:dyDescent="0.2">
      <c r="A68" s="20"/>
      <c r="B68" s="32"/>
      <c r="C68" s="33"/>
      <c r="D68" s="34"/>
      <c r="E68" s="35"/>
      <c r="F68" s="35"/>
      <c r="G68" s="36"/>
      <c r="H68" s="35"/>
      <c r="I68" s="36"/>
      <c r="J68" s="36"/>
      <c r="K68" s="35"/>
      <c r="L68" s="37"/>
      <c r="M68" s="31">
        <f>L65-F105</f>
        <v>0</v>
      </c>
    </row>
    <row r="69" spans="1:13" ht="10.5" customHeight="1" thickTop="1" x14ac:dyDescent="0.15">
      <c r="A69" s="58" t="s">
        <v>1</v>
      </c>
      <c r="B69" s="59"/>
      <c r="C69" s="72" t="s">
        <v>18</v>
      </c>
      <c r="D69" s="73"/>
      <c r="E69" s="58" t="s">
        <v>19</v>
      </c>
      <c r="F69" s="59"/>
      <c r="G69" s="72" t="s">
        <v>2</v>
      </c>
      <c r="H69" s="73"/>
      <c r="I69" s="74" t="s">
        <v>5</v>
      </c>
      <c r="J69" s="75"/>
      <c r="K69" s="58" t="s">
        <v>6</v>
      </c>
      <c r="L69" s="59"/>
      <c r="M69" s="10"/>
    </row>
    <row r="70" spans="1:13" ht="10.5" customHeight="1" x14ac:dyDescent="0.15">
      <c r="A70" s="60"/>
      <c r="B70" s="61"/>
      <c r="C70" s="65" t="s">
        <v>93</v>
      </c>
      <c r="D70" s="66"/>
      <c r="E70" s="62"/>
      <c r="F70" s="63"/>
      <c r="G70" s="65" t="s">
        <v>102</v>
      </c>
      <c r="H70" s="66"/>
      <c r="I70" s="65" t="s">
        <v>102</v>
      </c>
      <c r="J70" s="66"/>
      <c r="K70" s="65" t="s">
        <v>102</v>
      </c>
      <c r="L70" s="66"/>
      <c r="M70" s="10"/>
    </row>
    <row r="71" spans="1:13" ht="10.5" customHeight="1" x14ac:dyDescent="0.15">
      <c r="A71" s="62"/>
      <c r="B71" s="63"/>
      <c r="C71" s="6" t="s">
        <v>3</v>
      </c>
      <c r="D71" s="6" t="s">
        <v>4</v>
      </c>
      <c r="E71" s="6" t="s">
        <v>3</v>
      </c>
      <c r="F71" s="6" t="s">
        <v>4</v>
      </c>
      <c r="G71" s="6" t="s">
        <v>3</v>
      </c>
      <c r="H71" s="6" t="s">
        <v>4</v>
      </c>
      <c r="I71" s="6" t="s">
        <v>3</v>
      </c>
      <c r="J71" s="6" t="s">
        <v>4</v>
      </c>
      <c r="K71" s="6" t="s">
        <v>3</v>
      </c>
      <c r="L71" s="6" t="s">
        <v>4</v>
      </c>
      <c r="M71" s="10"/>
    </row>
    <row r="72" spans="1:13" ht="10.5" customHeight="1" x14ac:dyDescent="0.15">
      <c r="A72" s="38" t="s">
        <v>31</v>
      </c>
      <c r="B72" s="8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10">
        <f>M67+M68</f>
        <v>0</v>
      </c>
    </row>
    <row r="73" spans="1:13" ht="10.5" customHeight="1" x14ac:dyDescent="0.15">
      <c r="A73" s="40" t="s">
        <v>32</v>
      </c>
      <c r="B73" s="12"/>
      <c r="C73" s="9"/>
      <c r="D73" s="9"/>
      <c r="E73" s="41"/>
      <c r="F73" s="41"/>
      <c r="G73" s="9">
        <f>E73</f>
        <v>0</v>
      </c>
      <c r="H73" s="9">
        <f>F73</f>
        <v>0</v>
      </c>
      <c r="I73" s="9">
        <f>G73</f>
        <v>0</v>
      </c>
      <c r="J73" s="9">
        <f>H73</f>
        <v>0</v>
      </c>
      <c r="K73" s="9"/>
      <c r="L73" s="9"/>
      <c r="M73" s="10"/>
    </row>
    <row r="74" spans="1:13" ht="10.5" customHeight="1" x14ac:dyDescent="0.15">
      <c r="A74" s="42"/>
      <c r="B74" s="12" t="s">
        <v>77</v>
      </c>
      <c r="C74" s="9"/>
      <c r="D74" s="9"/>
      <c r="E74" s="41">
        <f>'[1]81.01'!$D$8</f>
        <v>0</v>
      </c>
      <c r="F74" s="41">
        <v>0</v>
      </c>
      <c r="G74" s="9">
        <f t="shared" ref="G74:G76" si="28">E74</f>
        <v>0</v>
      </c>
      <c r="H74" s="9">
        <f t="shared" ref="H74:H76" si="29">F74</f>
        <v>0</v>
      </c>
      <c r="I74" s="9">
        <f t="shared" ref="I74:I76" si="30">G74</f>
        <v>0</v>
      </c>
      <c r="J74" s="9">
        <f t="shared" ref="J74:J76" si="31">H74</f>
        <v>0</v>
      </c>
      <c r="K74" s="9"/>
      <c r="L74" s="9"/>
      <c r="M74" s="10"/>
    </row>
    <row r="75" spans="1:13" ht="10.5" customHeight="1" x14ac:dyDescent="0.15">
      <c r="A75" s="42"/>
      <c r="B75" s="12" t="s">
        <v>78</v>
      </c>
      <c r="C75" s="9"/>
      <c r="D75" s="9"/>
      <c r="E75" s="41">
        <f>'[1]81.01'!$D$35</f>
        <v>0</v>
      </c>
      <c r="F75" s="41">
        <v>0</v>
      </c>
      <c r="G75" s="9">
        <f t="shared" si="28"/>
        <v>0</v>
      </c>
      <c r="H75" s="9">
        <f t="shared" si="29"/>
        <v>0</v>
      </c>
      <c r="I75" s="9">
        <f t="shared" si="30"/>
        <v>0</v>
      </c>
      <c r="J75" s="9">
        <f t="shared" si="31"/>
        <v>0</v>
      </c>
      <c r="K75" s="9"/>
      <c r="L75" s="9"/>
      <c r="M75" s="9">
        <v>-373724391</v>
      </c>
    </row>
    <row r="76" spans="1:13" ht="10.5" customHeight="1" x14ac:dyDescent="0.15">
      <c r="A76" s="42"/>
      <c r="B76" s="12" t="s">
        <v>79</v>
      </c>
      <c r="C76" s="9"/>
      <c r="D76" s="9"/>
      <c r="E76" s="41">
        <f>'[1]81.01'!$D$75</f>
        <v>0</v>
      </c>
      <c r="F76" s="41">
        <v>0</v>
      </c>
      <c r="G76" s="9">
        <f t="shared" si="28"/>
        <v>0</v>
      </c>
      <c r="H76" s="9">
        <f t="shared" si="29"/>
        <v>0</v>
      </c>
      <c r="I76" s="9">
        <f t="shared" si="30"/>
        <v>0</v>
      </c>
      <c r="J76" s="9">
        <f t="shared" si="31"/>
        <v>0</v>
      </c>
      <c r="K76" s="9"/>
      <c r="L76" s="9"/>
      <c r="M76" s="10"/>
    </row>
    <row r="77" spans="1:13" ht="10.5" customHeight="1" x14ac:dyDescent="0.15">
      <c r="A77" s="40" t="s">
        <v>76</v>
      </c>
      <c r="B77" s="12"/>
      <c r="C77" s="9"/>
      <c r="D77" s="9"/>
      <c r="E77" s="41"/>
      <c r="F77" s="41"/>
      <c r="G77" s="9">
        <f t="shared" ref="G77:G96" si="32">E77</f>
        <v>0</v>
      </c>
      <c r="H77" s="9">
        <f t="shared" ref="H77:H97" si="33">F77</f>
        <v>0</v>
      </c>
      <c r="I77" s="9">
        <f t="shared" ref="I77:I97" si="34">G77</f>
        <v>0</v>
      </c>
      <c r="J77" s="9">
        <f t="shared" ref="J77:J97" si="35">H77</f>
        <v>0</v>
      </c>
      <c r="K77" s="9"/>
      <c r="L77" s="9"/>
      <c r="M77" s="10">
        <f>L65+M75</f>
        <v>-373724391</v>
      </c>
    </row>
    <row r="78" spans="1:13" ht="10.5" customHeight="1" x14ac:dyDescent="0.15">
      <c r="A78" s="42"/>
      <c r="B78" s="4" t="s">
        <v>33</v>
      </c>
      <c r="C78" s="9"/>
      <c r="D78" s="9"/>
      <c r="E78" s="41">
        <f>'[1]81.02-81.03'!$D$8</f>
        <v>0</v>
      </c>
      <c r="F78" s="41">
        <v>0</v>
      </c>
      <c r="G78" s="9">
        <f t="shared" si="32"/>
        <v>0</v>
      </c>
      <c r="H78" s="9">
        <f t="shared" si="33"/>
        <v>0</v>
      </c>
      <c r="I78" s="9">
        <f t="shared" si="34"/>
        <v>0</v>
      </c>
      <c r="J78" s="9">
        <f t="shared" si="35"/>
        <v>0</v>
      </c>
      <c r="K78" s="9"/>
      <c r="L78" s="9"/>
      <c r="M78" s="10"/>
    </row>
    <row r="79" spans="1:13" ht="10.5" customHeight="1" x14ac:dyDescent="0.15">
      <c r="A79" s="42"/>
      <c r="B79" s="4" t="s">
        <v>35</v>
      </c>
      <c r="C79" s="9"/>
      <c r="D79" s="9"/>
      <c r="E79" s="41">
        <f>'[1]81.02-81.03'!$D$35</f>
        <v>0</v>
      </c>
      <c r="F79" s="41">
        <f>'[1]81.02-81.03'!$E$35</f>
        <v>0</v>
      </c>
      <c r="G79" s="9">
        <f t="shared" ref="G79" si="36">E79</f>
        <v>0</v>
      </c>
      <c r="H79" s="9">
        <f t="shared" ref="H79" si="37">F79</f>
        <v>0</v>
      </c>
      <c r="I79" s="9">
        <f t="shared" ref="I79" si="38">G79</f>
        <v>0</v>
      </c>
      <c r="J79" s="9">
        <f t="shared" ref="J79" si="39">H79</f>
        <v>0</v>
      </c>
      <c r="K79" s="9"/>
      <c r="L79" s="9"/>
      <c r="M79" s="10"/>
    </row>
    <row r="80" spans="1:13" ht="10.5" customHeight="1" x14ac:dyDescent="0.15">
      <c r="A80" s="42"/>
      <c r="B80" s="4" t="s">
        <v>34</v>
      </c>
      <c r="C80" s="9"/>
      <c r="D80" s="9"/>
      <c r="E80" s="41">
        <f>'[1]81.02-81.03'!$D$48</f>
        <v>0</v>
      </c>
      <c r="F80" s="41">
        <v>0</v>
      </c>
      <c r="G80" s="9">
        <f t="shared" si="32"/>
        <v>0</v>
      </c>
      <c r="H80" s="9">
        <f t="shared" si="33"/>
        <v>0</v>
      </c>
      <c r="I80" s="9">
        <f t="shared" si="34"/>
        <v>0</v>
      </c>
      <c r="J80" s="9">
        <f t="shared" si="35"/>
        <v>0</v>
      </c>
      <c r="K80" s="9"/>
      <c r="L80" s="9"/>
      <c r="M80" s="10"/>
    </row>
    <row r="81" spans="1:13" ht="10.5" customHeight="1" x14ac:dyDescent="0.15">
      <c r="A81" s="42"/>
      <c r="B81" s="4" t="s">
        <v>73</v>
      </c>
      <c r="C81" s="9"/>
      <c r="D81" s="9"/>
      <c r="E81" s="41">
        <f>'[1]81.02-81.03'!$D$76</f>
        <v>0</v>
      </c>
      <c r="F81" s="41">
        <f>'[1]81.02-81.03'!$E$76</f>
        <v>0</v>
      </c>
      <c r="G81" s="9">
        <f t="shared" si="32"/>
        <v>0</v>
      </c>
      <c r="H81" s="9">
        <f t="shared" si="33"/>
        <v>0</v>
      </c>
      <c r="I81" s="9">
        <f t="shared" si="34"/>
        <v>0</v>
      </c>
      <c r="J81" s="9">
        <f t="shared" si="35"/>
        <v>0</v>
      </c>
      <c r="K81" s="9"/>
      <c r="L81" s="9"/>
      <c r="M81" s="10"/>
    </row>
    <row r="82" spans="1:13" ht="10.5" customHeight="1" x14ac:dyDescent="0.15">
      <c r="A82" s="42"/>
      <c r="B82" s="4" t="s">
        <v>74</v>
      </c>
      <c r="C82" s="9"/>
      <c r="D82" s="9"/>
      <c r="E82" s="41">
        <f>'[1]81.02-81.03'!$D$93</f>
        <v>0</v>
      </c>
      <c r="F82" s="41">
        <f>'[1]81.02-81.03'!$E$93</f>
        <v>0</v>
      </c>
      <c r="G82" s="9">
        <f t="shared" si="32"/>
        <v>0</v>
      </c>
      <c r="H82" s="9">
        <f t="shared" si="33"/>
        <v>0</v>
      </c>
      <c r="I82" s="9">
        <f t="shared" si="34"/>
        <v>0</v>
      </c>
      <c r="J82" s="9">
        <f t="shared" si="35"/>
        <v>0</v>
      </c>
      <c r="K82" s="9"/>
      <c r="L82" s="9"/>
      <c r="M82" s="10"/>
    </row>
    <row r="83" spans="1:13" ht="10.5" customHeight="1" x14ac:dyDescent="0.15">
      <c r="A83" s="42"/>
      <c r="B83" s="4" t="s">
        <v>75</v>
      </c>
      <c r="C83" s="9"/>
      <c r="D83" s="9"/>
      <c r="E83" s="41">
        <f>'[1]81.02-81.03'!$D$116</f>
        <v>0</v>
      </c>
      <c r="F83" s="41">
        <f>'[1]81.02-81.03'!$E$116</f>
        <v>0</v>
      </c>
      <c r="G83" s="9">
        <f t="shared" si="32"/>
        <v>0</v>
      </c>
      <c r="H83" s="9">
        <f t="shared" si="33"/>
        <v>0</v>
      </c>
      <c r="I83" s="9">
        <f t="shared" si="34"/>
        <v>0</v>
      </c>
      <c r="J83" s="9">
        <f t="shared" si="35"/>
        <v>0</v>
      </c>
      <c r="K83" s="9"/>
      <c r="L83" s="9"/>
      <c r="M83" s="10"/>
    </row>
    <row r="84" spans="1:13" ht="10.5" customHeight="1" x14ac:dyDescent="0.15">
      <c r="A84" s="11" t="s">
        <v>36</v>
      </c>
      <c r="B84" s="12"/>
      <c r="C84" s="9"/>
      <c r="D84" s="9"/>
      <c r="E84" s="41"/>
      <c r="F84" s="41"/>
      <c r="G84" s="9">
        <f t="shared" si="32"/>
        <v>0</v>
      </c>
      <c r="H84" s="9">
        <f t="shared" si="33"/>
        <v>0</v>
      </c>
      <c r="I84" s="9">
        <f t="shared" si="34"/>
        <v>0</v>
      </c>
      <c r="J84" s="9">
        <f t="shared" si="35"/>
        <v>0</v>
      </c>
      <c r="K84" s="9"/>
      <c r="L84" s="9"/>
      <c r="M84" s="10"/>
    </row>
    <row r="85" spans="1:13" ht="10.5" customHeight="1" x14ac:dyDescent="0.15">
      <c r="A85" s="11" t="s">
        <v>37</v>
      </c>
      <c r="B85" s="12"/>
      <c r="C85" s="9"/>
      <c r="D85" s="9"/>
      <c r="E85" s="9"/>
      <c r="F85" s="41"/>
      <c r="G85" s="9">
        <f t="shared" si="32"/>
        <v>0</v>
      </c>
      <c r="H85" s="9">
        <f t="shared" si="33"/>
        <v>0</v>
      </c>
      <c r="I85" s="9">
        <f t="shared" si="34"/>
        <v>0</v>
      </c>
      <c r="J85" s="9">
        <f>H85</f>
        <v>0</v>
      </c>
      <c r="K85" s="9"/>
      <c r="L85" s="9"/>
      <c r="M85" s="10"/>
    </row>
    <row r="86" spans="1:13" ht="10.5" customHeight="1" x14ac:dyDescent="0.15">
      <c r="A86" s="11"/>
      <c r="B86" s="12" t="s">
        <v>57</v>
      </c>
      <c r="C86" s="14"/>
      <c r="D86" s="9"/>
      <c r="E86" s="9">
        <v>0</v>
      </c>
      <c r="F86" s="9"/>
      <c r="G86" s="9">
        <f t="shared" si="32"/>
        <v>0</v>
      </c>
      <c r="H86" s="9">
        <f t="shared" si="33"/>
        <v>0</v>
      </c>
      <c r="I86" s="9">
        <f t="shared" si="34"/>
        <v>0</v>
      </c>
      <c r="J86" s="9">
        <f t="shared" si="35"/>
        <v>0</v>
      </c>
      <c r="K86" s="9"/>
      <c r="L86" s="9"/>
      <c r="M86" s="10"/>
    </row>
    <row r="87" spans="1:13" ht="10.5" customHeight="1" x14ac:dyDescent="0.15">
      <c r="A87" s="11"/>
      <c r="B87" s="12" t="s">
        <v>58</v>
      </c>
      <c r="C87" s="14"/>
      <c r="D87" s="9"/>
      <c r="E87" s="9">
        <v>0</v>
      </c>
      <c r="F87" s="9"/>
      <c r="G87" s="9">
        <f t="shared" si="32"/>
        <v>0</v>
      </c>
      <c r="H87" s="9">
        <f t="shared" si="33"/>
        <v>0</v>
      </c>
      <c r="I87" s="9">
        <f t="shared" si="34"/>
        <v>0</v>
      </c>
      <c r="J87" s="9">
        <f t="shared" si="35"/>
        <v>0</v>
      </c>
      <c r="K87" s="9"/>
      <c r="L87" s="9"/>
      <c r="M87" s="10"/>
    </row>
    <row r="88" spans="1:13" ht="10.5" customHeight="1" x14ac:dyDescent="0.15">
      <c r="A88" s="11"/>
      <c r="B88" s="12" t="s">
        <v>59</v>
      </c>
      <c r="C88" s="14"/>
      <c r="D88" s="9"/>
      <c r="E88" s="9">
        <v>0</v>
      </c>
      <c r="F88" s="9"/>
      <c r="G88" s="9">
        <f t="shared" si="32"/>
        <v>0</v>
      </c>
      <c r="H88" s="9">
        <f t="shared" si="33"/>
        <v>0</v>
      </c>
      <c r="I88" s="9">
        <f t="shared" si="34"/>
        <v>0</v>
      </c>
      <c r="J88" s="9">
        <f t="shared" si="35"/>
        <v>0</v>
      </c>
      <c r="K88" s="9"/>
      <c r="L88" s="9"/>
      <c r="M88" s="10"/>
    </row>
    <row r="89" spans="1:13" ht="10.5" customHeight="1" x14ac:dyDescent="0.15">
      <c r="A89" s="11"/>
      <c r="B89" s="12" t="s">
        <v>60</v>
      </c>
      <c r="C89" s="14"/>
      <c r="D89" s="9"/>
      <c r="E89" s="9">
        <v>0</v>
      </c>
      <c r="F89" s="9"/>
      <c r="G89" s="9">
        <f t="shared" ref="G89" si="40">E89</f>
        <v>0</v>
      </c>
      <c r="H89" s="9">
        <f t="shared" ref="H89" si="41">F89</f>
        <v>0</v>
      </c>
      <c r="I89" s="9">
        <f t="shared" ref="I89" si="42">G89</f>
        <v>0</v>
      </c>
      <c r="J89" s="9">
        <f t="shared" ref="J89" si="43">H89</f>
        <v>0</v>
      </c>
      <c r="K89" s="9"/>
      <c r="L89" s="9"/>
      <c r="M89" s="10"/>
    </row>
    <row r="90" spans="1:13" ht="10.5" customHeight="1" x14ac:dyDescent="0.15">
      <c r="A90" s="11"/>
      <c r="B90" s="12" t="s">
        <v>61</v>
      </c>
      <c r="C90" s="14"/>
      <c r="D90" s="9"/>
      <c r="E90" s="9">
        <v>0</v>
      </c>
      <c r="F90" s="9"/>
      <c r="G90" s="9">
        <f t="shared" si="32"/>
        <v>0</v>
      </c>
      <c r="H90" s="9">
        <f t="shared" si="33"/>
        <v>0</v>
      </c>
      <c r="I90" s="9">
        <f t="shared" si="34"/>
        <v>0</v>
      </c>
      <c r="J90" s="9">
        <f t="shared" si="35"/>
        <v>0</v>
      </c>
      <c r="K90" s="9"/>
      <c r="L90" s="9"/>
      <c r="M90" s="10"/>
    </row>
    <row r="91" spans="1:13" ht="10.5" customHeight="1" x14ac:dyDescent="0.15">
      <c r="A91" s="11"/>
      <c r="B91" s="12" t="s">
        <v>62</v>
      </c>
      <c r="C91" s="14"/>
      <c r="D91" s="9"/>
      <c r="E91" s="9">
        <v>0</v>
      </c>
      <c r="F91" s="9"/>
      <c r="G91" s="9">
        <f t="shared" si="32"/>
        <v>0</v>
      </c>
      <c r="H91" s="9">
        <f t="shared" si="33"/>
        <v>0</v>
      </c>
      <c r="I91" s="9">
        <f t="shared" si="34"/>
        <v>0</v>
      </c>
      <c r="J91" s="9">
        <f t="shared" si="35"/>
        <v>0</v>
      </c>
      <c r="K91" s="9"/>
      <c r="L91" s="9"/>
      <c r="M91" s="10"/>
    </row>
    <row r="92" spans="1:13" ht="10.5" customHeight="1" x14ac:dyDescent="0.15">
      <c r="A92" s="11"/>
      <c r="B92" s="12" t="s">
        <v>94</v>
      </c>
      <c r="C92" s="14"/>
      <c r="D92" s="9"/>
      <c r="E92" s="9">
        <v>0</v>
      </c>
      <c r="F92" s="9"/>
      <c r="G92" s="9">
        <f t="shared" ref="G92" si="44">E92</f>
        <v>0</v>
      </c>
      <c r="H92" s="9">
        <f t="shared" ref="H92" si="45">F92</f>
        <v>0</v>
      </c>
      <c r="I92" s="9">
        <f t="shared" ref="I92" si="46">G92</f>
        <v>0</v>
      </c>
      <c r="J92" s="9">
        <f t="shared" ref="J92" si="47">H92</f>
        <v>0</v>
      </c>
      <c r="K92" s="9"/>
      <c r="L92" s="9"/>
      <c r="M92" s="10"/>
    </row>
    <row r="93" spans="1:13" ht="10.5" customHeight="1" x14ac:dyDescent="0.15">
      <c r="A93" s="11"/>
      <c r="B93" s="12" t="s">
        <v>63</v>
      </c>
      <c r="C93" s="14"/>
      <c r="D93" s="9"/>
      <c r="E93" s="9">
        <v>0</v>
      </c>
      <c r="F93" s="9"/>
      <c r="G93" s="9">
        <f t="shared" si="32"/>
        <v>0</v>
      </c>
      <c r="H93" s="9">
        <f t="shared" si="33"/>
        <v>0</v>
      </c>
      <c r="I93" s="9">
        <f t="shared" si="34"/>
        <v>0</v>
      </c>
      <c r="J93" s="9">
        <f t="shared" si="35"/>
        <v>0</v>
      </c>
      <c r="K93" s="9"/>
      <c r="L93" s="9"/>
      <c r="M93" s="10"/>
    </row>
    <row r="94" spans="1:13" ht="10.5" customHeight="1" x14ac:dyDescent="0.15">
      <c r="A94" s="11"/>
      <c r="B94" s="12" t="s">
        <v>64</v>
      </c>
      <c r="C94" s="14"/>
      <c r="D94" s="9"/>
      <c r="E94" s="9">
        <f>SUM('[3]RINCIAN B. TDK LANGSUNG'!$E$62:$F$62)</f>
        <v>0</v>
      </c>
      <c r="F94" s="9"/>
      <c r="G94" s="9">
        <f t="shared" si="32"/>
        <v>0</v>
      </c>
      <c r="H94" s="9">
        <f t="shared" si="33"/>
        <v>0</v>
      </c>
      <c r="I94" s="9">
        <f t="shared" si="34"/>
        <v>0</v>
      </c>
      <c r="J94" s="9">
        <f t="shared" si="35"/>
        <v>0</v>
      </c>
      <c r="K94" s="9"/>
      <c r="L94" s="9"/>
      <c r="M94" s="10"/>
    </row>
    <row r="95" spans="1:13" ht="10.5" customHeight="1" x14ac:dyDescent="0.15">
      <c r="A95" s="11"/>
      <c r="B95" s="12" t="s">
        <v>65</v>
      </c>
      <c r="C95" s="14"/>
      <c r="D95" s="9"/>
      <c r="E95" s="9">
        <v>0</v>
      </c>
      <c r="F95" s="9"/>
      <c r="G95" s="9">
        <f t="shared" si="32"/>
        <v>0</v>
      </c>
      <c r="H95" s="9">
        <f t="shared" si="33"/>
        <v>0</v>
      </c>
      <c r="I95" s="9">
        <f t="shared" si="34"/>
        <v>0</v>
      </c>
      <c r="J95" s="9">
        <f t="shared" si="35"/>
        <v>0</v>
      </c>
      <c r="K95" s="9"/>
      <c r="L95" s="9"/>
      <c r="M95" s="10"/>
    </row>
    <row r="96" spans="1:13" ht="10.5" customHeight="1" x14ac:dyDescent="0.15">
      <c r="A96" s="43" t="s">
        <v>44</v>
      </c>
      <c r="B96" s="44"/>
      <c r="C96" s="24"/>
      <c r="D96" s="24"/>
      <c r="E96" s="24"/>
      <c r="F96" s="24"/>
      <c r="G96" s="9">
        <f t="shared" si="32"/>
        <v>0</v>
      </c>
      <c r="H96" s="9">
        <f t="shared" si="33"/>
        <v>0</v>
      </c>
      <c r="I96" s="9">
        <f t="shared" si="34"/>
        <v>0</v>
      </c>
      <c r="J96" s="9">
        <f t="shared" si="35"/>
        <v>0</v>
      </c>
      <c r="K96" s="9"/>
      <c r="L96" s="9"/>
      <c r="M96" s="10"/>
    </row>
    <row r="97" spans="1:13" ht="10.5" customHeight="1" x14ac:dyDescent="0.15">
      <c r="A97" s="45"/>
      <c r="B97" s="46" t="s">
        <v>45</v>
      </c>
      <c r="C97" s="24"/>
      <c r="D97" s="24"/>
      <c r="E97" s="24"/>
      <c r="F97" s="24"/>
      <c r="G97" s="9">
        <f>E97</f>
        <v>0</v>
      </c>
      <c r="H97" s="9">
        <f t="shared" si="33"/>
        <v>0</v>
      </c>
      <c r="I97" s="9">
        <f t="shared" si="34"/>
        <v>0</v>
      </c>
      <c r="J97" s="9">
        <f t="shared" si="35"/>
        <v>0</v>
      </c>
      <c r="K97" s="9"/>
      <c r="L97" s="9"/>
      <c r="M97" s="10"/>
    </row>
    <row r="98" spans="1:13" ht="10.5" customHeight="1" x14ac:dyDescent="0.15">
      <c r="A98" s="45"/>
      <c r="B98" s="47" t="s">
        <v>84</v>
      </c>
      <c r="C98" s="24"/>
      <c r="D98" s="24"/>
      <c r="E98" s="24">
        <f>'[1]88.00'!$D$73</f>
        <v>0</v>
      </c>
      <c r="F98" s="9">
        <f>'[1]88.00'!$E$78</f>
        <v>0</v>
      </c>
      <c r="G98" s="9">
        <f t="shared" ref="G98" si="48">E98</f>
        <v>0</v>
      </c>
      <c r="H98" s="9">
        <f t="shared" ref="H98" si="49">F98</f>
        <v>0</v>
      </c>
      <c r="I98" s="9">
        <f t="shared" ref="I98" si="50">G98</f>
        <v>0</v>
      </c>
      <c r="J98" s="9">
        <f t="shared" ref="J98" si="51">H98</f>
        <v>0</v>
      </c>
      <c r="K98" s="9"/>
      <c r="L98" s="9"/>
      <c r="M98" s="10"/>
    </row>
    <row r="99" spans="1:13" ht="10.5" customHeight="1" x14ac:dyDescent="0.15">
      <c r="A99" s="45"/>
      <c r="B99" s="47" t="s">
        <v>80</v>
      </c>
      <c r="C99" s="24"/>
      <c r="D99" s="24"/>
      <c r="E99" s="9">
        <f>'[1]88.00'!$D$8</f>
        <v>0</v>
      </c>
      <c r="F99" s="9">
        <v>0</v>
      </c>
      <c r="G99" s="9"/>
      <c r="H99" s="9">
        <f>F99-E99</f>
        <v>0</v>
      </c>
      <c r="I99" s="9">
        <f t="shared" ref="I99:I103" si="52">G99</f>
        <v>0</v>
      </c>
      <c r="J99" s="9">
        <f t="shared" ref="J99:J103" si="53">H99</f>
        <v>0</v>
      </c>
      <c r="K99" s="9"/>
      <c r="L99" s="9"/>
      <c r="M99" s="10"/>
    </row>
    <row r="100" spans="1:13" ht="10.5" customHeight="1" x14ac:dyDescent="0.15">
      <c r="A100" s="45"/>
      <c r="B100" s="47" t="s">
        <v>81</v>
      </c>
      <c r="C100" s="24"/>
      <c r="D100" s="24"/>
      <c r="E100" s="24">
        <f>'[1]88.00'!$D$35</f>
        <v>0</v>
      </c>
      <c r="F100" s="9">
        <v>0</v>
      </c>
      <c r="G100" s="9">
        <f t="shared" ref="G100:G102" si="54">E100</f>
        <v>0</v>
      </c>
      <c r="H100" s="9">
        <f t="shared" ref="H100:H102" si="55">F100</f>
        <v>0</v>
      </c>
      <c r="I100" s="9">
        <f t="shared" si="52"/>
        <v>0</v>
      </c>
      <c r="J100" s="9">
        <f t="shared" si="53"/>
        <v>0</v>
      </c>
      <c r="K100" s="9"/>
      <c r="L100" s="9"/>
      <c r="M100" s="10"/>
    </row>
    <row r="101" spans="1:13" ht="10.5" customHeight="1" x14ac:dyDescent="0.15">
      <c r="A101" s="45"/>
      <c r="B101" s="47" t="s">
        <v>82</v>
      </c>
      <c r="C101" s="24"/>
      <c r="D101" s="24"/>
      <c r="E101" s="24">
        <f>'[1]88.00'!$D$103</f>
        <v>0</v>
      </c>
      <c r="F101" s="9">
        <f>'[1]88.00'!$E$103</f>
        <v>0</v>
      </c>
      <c r="G101" s="9">
        <f t="shared" si="54"/>
        <v>0</v>
      </c>
      <c r="H101" s="9">
        <f t="shared" si="55"/>
        <v>0</v>
      </c>
      <c r="I101" s="9">
        <f t="shared" si="52"/>
        <v>0</v>
      </c>
      <c r="J101" s="9">
        <f t="shared" si="53"/>
        <v>0</v>
      </c>
      <c r="K101" s="9"/>
      <c r="L101" s="9"/>
      <c r="M101" s="10"/>
    </row>
    <row r="102" spans="1:13" ht="10.5" customHeight="1" x14ac:dyDescent="0.15">
      <c r="A102" s="45"/>
      <c r="B102" s="46" t="s">
        <v>46</v>
      </c>
      <c r="C102" s="24"/>
      <c r="D102" s="24"/>
      <c r="E102" s="9">
        <v>0</v>
      </c>
      <c r="F102" s="9">
        <f>'[1]98.00'!$E$8</f>
        <v>0</v>
      </c>
      <c r="G102" s="9">
        <f t="shared" si="54"/>
        <v>0</v>
      </c>
      <c r="H102" s="9">
        <f t="shared" si="55"/>
        <v>0</v>
      </c>
      <c r="I102" s="9">
        <f t="shared" si="52"/>
        <v>0</v>
      </c>
      <c r="J102" s="9">
        <f t="shared" si="53"/>
        <v>0</v>
      </c>
      <c r="K102" s="9"/>
      <c r="L102" s="9"/>
      <c r="M102" s="10"/>
    </row>
    <row r="103" spans="1:13" ht="10.5" customHeight="1" x14ac:dyDescent="0.15">
      <c r="A103" s="45"/>
      <c r="B103" s="44"/>
      <c r="C103" s="24"/>
      <c r="D103" s="24"/>
      <c r="E103" s="24"/>
      <c r="F103" s="24"/>
      <c r="G103" s="9"/>
      <c r="H103" s="9"/>
      <c r="I103" s="24">
        <f t="shared" si="52"/>
        <v>0</v>
      </c>
      <c r="J103" s="24">
        <f t="shared" si="53"/>
        <v>0</v>
      </c>
      <c r="K103" s="24"/>
      <c r="L103" s="24"/>
      <c r="M103" s="10"/>
    </row>
    <row r="104" spans="1:13" ht="10.5" customHeight="1" x14ac:dyDescent="0.15">
      <c r="A104" s="69" t="s">
        <v>38</v>
      </c>
      <c r="B104" s="69"/>
      <c r="C104" s="18"/>
      <c r="D104" s="18"/>
      <c r="E104" s="18">
        <f>SUM(E72:E103)</f>
        <v>0</v>
      </c>
      <c r="F104" s="18">
        <f>SUM(F72:F103)</f>
        <v>0</v>
      </c>
      <c r="G104" s="18">
        <f>SUM(G72:G103)+G66+G52</f>
        <v>0</v>
      </c>
      <c r="H104" s="18">
        <f>SUM(H72:H103)+H66+H52</f>
        <v>0</v>
      </c>
      <c r="I104" s="18">
        <f>SUM(I72:I103)+I66+I52</f>
        <v>0</v>
      </c>
      <c r="J104" s="18">
        <f>SUM(J72:J103)+J66+J52</f>
        <v>0</v>
      </c>
      <c r="K104" s="18"/>
      <c r="L104" s="18"/>
      <c r="M104" s="10"/>
    </row>
    <row r="105" spans="1:13" ht="10.5" customHeight="1" thickBot="1" x14ac:dyDescent="0.2">
      <c r="A105" s="70" t="s">
        <v>95</v>
      </c>
      <c r="B105" s="70"/>
      <c r="C105" s="48"/>
      <c r="D105" s="48"/>
      <c r="E105" s="28"/>
      <c r="F105" s="28">
        <f>F104-E104</f>
        <v>0</v>
      </c>
      <c r="G105" s="29"/>
      <c r="H105" s="29">
        <f>H104-G104</f>
        <v>0</v>
      </c>
      <c r="I105" s="29"/>
      <c r="J105" s="29">
        <f>J104-I104</f>
        <v>0</v>
      </c>
      <c r="K105" s="29"/>
      <c r="L105" s="29"/>
      <c r="M105" s="10"/>
    </row>
    <row r="106" spans="1:13" ht="12.75" customHeight="1" thickTop="1" x14ac:dyDescent="0.15">
      <c r="F106" s="52"/>
      <c r="H106" s="15"/>
    </row>
    <row r="107" spans="1:13" ht="11.25" customHeight="1" x14ac:dyDescent="0.2">
      <c r="B107" s="71" t="s">
        <v>83</v>
      </c>
      <c r="C107" s="71"/>
      <c r="D107" s="71"/>
      <c r="E107" s="54"/>
      <c r="F107" s="54"/>
      <c r="G107" s="54"/>
      <c r="H107" s="54"/>
      <c r="I107" s="1"/>
      <c r="J107" s="71"/>
      <c r="K107" s="71"/>
      <c r="L107" s="71"/>
    </row>
    <row r="108" spans="1:13" ht="11.25" customHeight="1" x14ac:dyDescent="0.2">
      <c r="B108" s="71" t="s">
        <v>89</v>
      </c>
      <c r="C108" s="71"/>
      <c r="D108" s="71"/>
      <c r="E108" s="54"/>
      <c r="F108" s="54"/>
      <c r="G108" s="55">
        <f>E105-G105</f>
        <v>0</v>
      </c>
      <c r="H108" s="55"/>
      <c r="I108" s="71" t="s">
        <v>55</v>
      </c>
      <c r="J108" s="71"/>
      <c r="K108" s="71"/>
      <c r="L108" s="71"/>
    </row>
    <row r="109" spans="1:13" ht="11.25" customHeight="1" x14ac:dyDescent="0.2">
      <c r="B109" s="71" t="s">
        <v>92</v>
      </c>
      <c r="C109" s="71"/>
      <c r="D109" s="71"/>
      <c r="E109" s="54"/>
      <c r="F109" s="54"/>
      <c r="G109" s="54"/>
      <c r="H109" s="54"/>
      <c r="I109" s="71" t="s">
        <v>91</v>
      </c>
      <c r="J109" s="71"/>
      <c r="K109" s="71"/>
      <c r="L109" s="71"/>
    </row>
    <row r="110" spans="1:13" ht="11.25" customHeight="1" x14ac:dyDescent="0.2">
      <c r="B110" s="71"/>
      <c r="C110" s="71"/>
      <c r="D110" s="1"/>
      <c r="E110" s="1"/>
      <c r="F110" s="54"/>
      <c r="G110" s="54"/>
      <c r="H110" s="76"/>
      <c r="I110" s="76"/>
      <c r="J110" s="71"/>
      <c r="K110" s="71"/>
      <c r="L110" s="71"/>
    </row>
    <row r="111" spans="1:13" ht="11.25" customHeight="1" x14ac:dyDescent="0.2">
      <c r="B111" s="2"/>
      <c r="C111" s="2"/>
      <c r="D111" s="1"/>
      <c r="E111" s="1"/>
      <c r="F111" s="3"/>
      <c r="G111" s="3"/>
      <c r="H111" s="3"/>
      <c r="I111" s="3"/>
      <c r="J111" s="2"/>
      <c r="K111" s="2"/>
      <c r="L111" s="2"/>
    </row>
    <row r="112" spans="1:13" ht="11.25" customHeight="1" x14ac:dyDescent="0.2">
      <c r="B112" s="71"/>
      <c r="C112" s="71"/>
      <c r="D112" s="1"/>
      <c r="E112" s="1"/>
      <c r="F112" s="76"/>
      <c r="G112" s="76"/>
      <c r="H112" s="76"/>
      <c r="I112" s="76"/>
      <c r="J112" s="71"/>
      <c r="K112" s="71"/>
      <c r="L112" s="71"/>
    </row>
    <row r="113" spans="2:12" ht="11.25" customHeight="1" x14ac:dyDescent="0.2">
      <c r="B113" s="78" t="s">
        <v>96</v>
      </c>
      <c r="C113" s="78"/>
      <c r="D113" s="78"/>
      <c r="E113" s="78"/>
      <c r="F113" s="78"/>
      <c r="G113" s="78"/>
      <c r="H113" s="78"/>
      <c r="I113" s="78" t="s">
        <v>97</v>
      </c>
      <c r="J113" s="78"/>
      <c r="K113" s="78"/>
      <c r="L113" s="78"/>
    </row>
    <row r="114" spans="2:12" ht="11.25" customHeight="1" x14ac:dyDescent="0.15">
      <c r="B114" s="77"/>
      <c r="C114" s="77"/>
      <c r="D114" s="49"/>
      <c r="E114" s="77"/>
      <c r="F114" s="77"/>
      <c r="G114" s="77"/>
      <c r="H114" s="77"/>
      <c r="I114" s="49"/>
      <c r="J114" s="77"/>
      <c r="K114" s="77"/>
      <c r="L114" s="77"/>
    </row>
    <row r="116" spans="2:12" ht="11.25" customHeight="1" x14ac:dyDescent="0.15">
      <c r="E116" s="17"/>
    </row>
    <row r="117" spans="2:12" ht="11.25" customHeight="1" x14ac:dyDescent="0.15">
      <c r="E117" s="17"/>
    </row>
    <row r="118" spans="2:12" ht="11.25" customHeight="1" x14ac:dyDescent="0.15">
      <c r="E118" s="17"/>
    </row>
    <row r="119" spans="2:12" ht="11.25" customHeight="1" x14ac:dyDescent="0.15">
      <c r="E119" s="17"/>
    </row>
    <row r="120" spans="2:12" ht="11.25" customHeight="1" x14ac:dyDescent="0.15">
      <c r="E120" s="17"/>
    </row>
    <row r="121" spans="2:12" ht="11.25" customHeight="1" x14ac:dyDescent="0.15">
      <c r="E121" s="17"/>
    </row>
    <row r="122" spans="2:12" ht="11.25" customHeight="1" x14ac:dyDescent="0.15">
      <c r="E122" s="51"/>
    </row>
    <row r="123" spans="2:12" ht="11.25" customHeight="1" x14ac:dyDescent="0.15">
      <c r="E123" s="50"/>
    </row>
  </sheetData>
  <mergeCells count="46">
    <mergeCell ref="A52:B53"/>
    <mergeCell ref="A66:B67"/>
    <mergeCell ref="A105:B105"/>
    <mergeCell ref="A104:B104"/>
    <mergeCell ref="A69:B71"/>
    <mergeCell ref="A1:L1"/>
    <mergeCell ref="A2:L2"/>
    <mergeCell ref="A3:L3"/>
    <mergeCell ref="A5:B7"/>
    <mergeCell ref="C5:D5"/>
    <mergeCell ref="E5:F6"/>
    <mergeCell ref="G5:H5"/>
    <mergeCell ref="I5:J5"/>
    <mergeCell ref="K5:L5"/>
    <mergeCell ref="C6:D6"/>
    <mergeCell ref="G6:H6"/>
    <mergeCell ref="I6:J6"/>
    <mergeCell ref="K6:L6"/>
    <mergeCell ref="J114:L114"/>
    <mergeCell ref="E113:H113"/>
    <mergeCell ref="I108:L108"/>
    <mergeCell ref="I109:L109"/>
    <mergeCell ref="I113:L113"/>
    <mergeCell ref="F112:G112"/>
    <mergeCell ref="J110:L110"/>
    <mergeCell ref="J112:L112"/>
    <mergeCell ref="H110:I110"/>
    <mergeCell ref="H112:I112"/>
    <mergeCell ref="E114:H114"/>
    <mergeCell ref="B110:C110"/>
    <mergeCell ref="B112:C112"/>
    <mergeCell ref="B114:C114"/>
    <mergeCell ref="B108:D108"/>
    <mergeCell ref="B109:D109"/>
    <mergeCell ref="B113:D113"/>
    <mergeCell ref="C70:D70"/>
    <mergeCell ref="G69:H69"/>
    <mergeCell ref="E69:F70"/>
    <mergeCell ref="C69:D69"/>
    <mergeCell ref="J107:L107"/>
    <mergeCell ref="B107:D107"/>
    <mergeCell ref="I69:J69"/>
    <mergeCell ref="I70:J70"/>
    <mergeCell ref="K69:L69"/>
    <mergeCell ref="K70:L70"/>
    <mergeCell ref="G70:H70"/>
  </mergeCells>
  <pageMargins left="0.31496062992126" right="0.31496062992126" top="0.68" bottom="0.35433070866141703" header="0.31496062992126" footer="0.31496062992126"/>
  <pageSetup paperSize="5" scale="85" orientation="landscape" horizontalDpi="360" verticalDpi="360" r:id="rId1"/>
  <rowBreaks count="1" manualBreakCount="1">
    <brk id="60" max="13" man="1"/>
  </rowBreaks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D3D7C-10BA-4B34-8A1D-AA0BEC9EA44D}">
  <dimension ref="A1:N123"/>
  <sheetViews>
    <sheetView showWhiteSpace="0" view="pageBreakPreview" topLeftCell="A94" zoomScale="120" zoomScaleNormal="120" zoomScaleSheetLayoutView="120" zoomScalePageLayoutView="120" workbookViewId="0">
      <selection activeCell="E103" sqref="E103"/>
    </sheetView>
  </sheetViews>
  <sheetFormatPr defaultColWidth="9.140625" defaultRowHeight="11.25" customHeight="1" x14ac:dyDescent="0.15"/>
  <cols>
    <col min="1" max="1" width="2.28515625" style="4" customWidth="1"/>
    <col min="2" max="2" width="17.7109375" style="4" customWidth="1"/>
    <col min="3" max="5" width="14.5703125" style="4" customWidth="1"/>
    <col min="6" max="6" width="15.42578125" style="4" customWidth="1"/>
    <col min="7" max="7" width="15.140625" style="4" customWidth="1"/>
    <col min="8" max="8" width="16.85546875" style="4" customWidth="1"/>
    <col min="9" max="9" width="13.7109375" style="4" customWidth="1"/>
    <col min="10" max="10" width="14" style="4" customWidth="1"/>
    <col min="11" max="11" width="14.7109375" style="4" customWidth="1"/>
    <col min="12" max="12" width="14.85546875" style="4" customWidth="1"/>
    <col min="13" max="13" width="14.85546875" style="4" bestFit="1" customWidth="1"/>
    <col min="14" max="14" width="14.5703125" style="4" customWidth="1"/>
    <col min="15" max="16384" width="9.140625" style="4"/>
  </cols>
  <sheetData>
    <row r="1" spans="1:14" ht="15" customHeight="1" x14ac:dyDescent="0.2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4" ht="15" customHeight="1" x14ac:dyDescent="0.2">
      <c r="A2" s="57" t="s">
        <v>88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4" ht="14.25" customHeight="1" x14ac:dyDescent="0.2">
      <c r="A3" s="57" t="s">
        <v>104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4" ht="14.25" customHeight="1" thickBo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4" ht="10.5" customHeight="1" thickTop="1" x14ac:dyDescent="0.15">
      <c r="A5" s="58" t="s">
        <v>1</v>
      </c>
      <c r="B5" s="59"/>
      <c r="C5" s="64" t="s">
        <v>18</v>
      </c>
      <c r="D5" s="64"/>
      <c r="E5" s="58" t="s">
        <v>19</v>
      </c>
      <c r="F5" s="59"/>
      <c r="G5" s="64" t="s">
        <v>2</v>
      </c>
      <c r="H5" s="64"/>
      <c r="I5" s="58" t="s">
        <v>5</v>
      </c>
      <c r="J5" s="59"/>
      <c r="K5" s="58" t="s">
        <v>6</v>
      </c>
      <c r="L5" s="59"/>
    </row>
    <row r="6" spans="1:14" ht="10.5" customHeight="1" x14ac:dyDescent="0.15">
      <c r="A6" s="60"/>
      <c r="B6" s="61"/>
      <c r="C6" s="65" t="s">
        <v>93</v>
      </c>
      <c r="D6" s="66"/>
      <c r="E6" s="62"/>
      <c r="F6" s="63"/>
      <c r="G6" s="65" t="s">
        <v>102</v>
      </c>
      <c r="H6" s="66"/>
      <c r="I6" s="65" t="s">
        <v>102</v>
      </c>
      <c r="J6" s="66"/>
      <c r="K6" s="65" t="s">
        <v>102</v>
      </c>
      <c r="L6" s="66"/>
    </row>
    <row r="7" spans="1:14" ht="10.5" customHeight="1" x14ac:dyDescent="0.15">
      <c r="A7" s="62"/>
      <c r="B7" s="63"/>
      <c r="C7" s="6" t="s">
        <v>3</v>
      </c>
      <c r="D7" s="6" t="s">
        <v>4</v>
      </c>
      <c r="E7" s="6" t="s">
        <v>3</v>
      </c>
      <c r="F7" s="6" t="s">
        <v>4</v>
      </c>
      <c r="G7" s="6" t="s">
        <v>3</v>
      </c>
      <c r="H7" s="6" t="s">
        <v>4</v>
      </c>
      <c r="I7" s="6" t="s">
        <v>3</v>
      </c>
      <c r="J7" s="6" t="s">
        <v>4</v>
      </c>
      <c r="K7" s="6" t="s">
        <v>3</v>
      </c>
      <c r="L7" s="6" t="s">
        <v>4</v>
      </c>
      <c r="M7" s="15"/>
    </row>
    <row r="8" spans="1:14" ht="10.5" customHeight="1" x14ac:dyDescent="0.15">
      <c r="A8" s="7" t="s">
        <v>7</v>
      </c>
      <c r="B8" s="8"/>
      <c r="C8" s="9">
        <v>0</v>
      </c>
      <c r="D8" s="9"/>
      <c r="E8" s="9">
        <v>0</v>
      </c>
      <c r="F8" s="9">
        <v>0</v>
      </c>
      <c r="G8" s="9">
        <f>C8+E8-F8</f>
        <v>0</v>
      </c>
      <c r="H8" s="9"/>
      <c r="I8" s="9"/>
      <c r="J8" s="9"/>
      <c r="K8" s="9">
        <f>G8</f>
        <v>0</v>
      </c>
      <c r="L8" s="9">
        <f>H8</f>
        <v>0</v>
      </c>
      <c r="M8" s="10"/>
    </row>
    <row r="9" spans="1:14" ht="10.5" customHeight="1" x14ac:dyDescent="0.15">
      <c r="A9" s="11" t="s">
        <v>56</v>
      </c>
      <c r="B9" s="12"/>
      <c r="C9" s="9">
        <v>0</v>
      </c>
      <c r="D9" s="9"/>
      <c r="E9" s="9">
        <f>'[1]11.01-12.01'!$D$51</f>
        <v>0</v>
      </c>
      <c r="F9" s="9">
        <f>'[1]11.01-12.01'!$E$47</f>
        <v>0</v>
      </c>
      <c r="G9" s="9">
        <f>C9+E9-F9</f>
        <v>0</v>
      </c>
      <c r="H9" s="9"/>
      <c r="I9" s="9"/>
      <c r="J9" s="9"/>
      <c r="K9" s="9">
        <f>G9</f>
        <v>0</v>
      </c>
      <c r="L9" s="9">
        <f>H9</f>
        <v>0</v>
      </c>
      <c r="M9" s="10"/>
    </row>
    <row r="10" spans="1:14" ht="10.5" customHeight="1" x14ac:dyDescent="0.15">
      <c r="A10" s="13" t="s">
        <v>47</v>
      </c>
      <c r="B10" s="12"/>
      <c r="C10" s="9"/>
      <c r="D10" s="9"/>
      <c r="E10" s="9"/>
      <c r="F10" s="9"/>
      <c r="G10" s="9">
        <f t="shared" ref="G10:G26" si="0">C10+E10-F10</f>
        <v>0</v>
      </c>
      <c r="H10" s="9"/>
      <c r="I10" s="9"/>
      <c r="J10" s="9"/>
      <c r="K10" s="9">
        <f t="shared" ref="K10:N67" si="1">G10</f>
        <v>0</v>
      </c>
      <c r="L10" s="9">
        <f t="shared" si="1"/>
        <v>0</v>
      </c>
      <c r="M10" s="10"/>
    </row>
    <row r="11" spans="1:14" ht="10.5" customHeight="1" x14ac:dyDescent="0.15">
      <c r="A11" s="11"/>
      <c r="B11" s="12" t="s">
        <v>48</v>
      </c>
      <c r="C11" s="9">
        <v>0</v>
      </c>
      <c r="D11" s="9"/>
      <c r="E11" s="9">
        <v>0</v>
      </c>
      <c r="F11" s="9">
        <v>0</v>
      </c>
      <c r="G11" s="9">
        <f>C11+E11-F11</f>
        <v>0</v>
      </c>
      <c r="H11" s="9"/>
      <c r="I11" s="9"/>
      <c r="J11" s="9"/>
      <c r="K11" s="9">
        <f>G11</f>
        <v>0</v>
      </c>
      <c r="L11" s="9">
        <f t="shared" si="1"/>
        <v>0</v>
      </c>
      <c r="M11" s="10">
        <f>K11+K12+K13+K14</f>
        <v>0</v>
      </c>
    </row>
    <row r="12" spans="1:14" ht="10.5" customHeight="1" x14ac:dyDescent="0.15">
      <c r="A12" s="11"/>
      <c r="B12" s="12" t="s">
        <v>20</v>
      </c>
      <c r="C12" s="9">
        <v>0</v>
      </c>
      <c r="D12" s="9"/>
      <c r="E12" s="9">
        <v>0</v>
      </c>
      <c r="F12" s="9">
        <v>0</v>
      </c>
      <c r="G12" s="9">
        <f t="shared" si="0"/>
        <v>0</v>
      </c>
      <c r="H12" s="9"/>
      <c r="I12" s="9"/>
      <c r="J12" s="9"/>
      <c r="K12" s="9">
        <f t="shared" si="1"/>
        <v>0</v>
      </c>
      <c r="L12" s="9">
        <f t="shared" si="1"/>
        <v>0</v>
      </c>
      <c r="M12" s="10"/>
    </row>
    <row r="13" spans="1:14" ht="10.5" customHeight="1" x14ac:dyDescent="0.15">
      <c r="A13" s="11"/>
      <c r="B13" s="12" t="s">
        <v>70</v>
      </c>
      <c r="C13" s="9">
        <v>0</v>
      </c>
      <c r="D13" s="9"/>
      <c r="E13" s="9">
        <f>'[1]14.00'!$D$17</f>
        <v>0</v>
      </c>
      <c r="F13" s="9">
        <f>'[2]14.00'!$E$17</f>
        <v>0</v>
      </c>
      <c r="G13" s="9">
        <f t="shared" si="0"/>
        <v>0</v>
      </c>
      <c r="H13" s="9"/>
      <c r="I13" s="9"/>
      <c r="J13" s="9"/>
      <c r="K13" s="9">
        <f t="shared" si="1"/>
        <v>0</v>
      </c>
      <c r="L13" s="9">
        <f t="shared" si="1"/>
        <v>0</v>
      </c>
      <c r="M13" s="10"/>
    </row>
    <row r="14" spans="1:14" ht="10.5" customHeight="1" x14ac:dyDescent="0.15">
      <c r="A14" s="11"/>
      <c r="B14" s="12" t="s">
        <v>71</v>
      </c>
      <c r="C14" s="9">
        <f>'[2]13.00'!$F$127</f>
        <v>0</v>
      </c>
      <c r="D14" s="9"/>
      <c r="E14" s="9">
        <v>0</v>
      </c>
      <c r="F14" s="9">
        <v>0</v>
      </c>
      <c r="G14" s="9">
        <f t="shared" si="0"/>
        <v>0</v>
      </c>
      <c r="H14" s="9"/>
      <c r="I14" s="9"/>
      <c r="J14" s="9"/>
      <c r="K14" s="9">
        <f t="shared" si="1"/>
        <v>0</v>
      </c>
      <c r="L14" s="9">
        <f t="shared" si="1"/>
        <v>0</v>
      </c>
      <c r="M14" s="10"/>
    </row>
    <row r="15" spans="1:14" ht="10.5" customHeight="1" x14ac:dyDescent="0.15">
      <c r="A15" s="11"/>
      <c r="B15" s="12" t="s">
        <v>87</v>
      </c>
      <c r="C15" s="9"/>
      <c r="D15" s="9"/>
      <c r="E15" s="9">
        <f>'[1]13.00'!$D$169</f>
        <v>0</v>
      </c>
      <c r="F15" s="9">
        <f>'[1]13.00'!$E$167</f>
        <v>0</v>
      </c>
      <c r="G15" s="9"/>
      <c r="H15" s="9"/>
      <c r="I15" s="9"/>
      <c r="J15" s="9"/>
      <c r="K15" s="9">
        <f t="shared" si="1"/>
        <v>0</v>
      </c>
      <c r="L15" s="9">
        <f t="shared" si="1"/>
        <v>0</v>
      </c>
      <c r="M15" s="9">
        <f t="shared" si="1"/>
        <v>0</v>
      </c>
      <c r="N15" s="9">
        <f t="shared" si="1"/>
        <v>0</v>
      </c>
    </row>
    <row r="16" spans="1:14" ht="10.5" customHeight="1" x14ac:dyDescent="0.15">
      <c r="A16" s="11" t="s">
        <v>49</v>
      </c>
      <c r="B16" s="12"/>
      <c r="C16" s="9"/>
      <c r="D16" s="9">
        <v>0</v>
      </c>
      <c r="E16" s="9">
        <f>'[1]13.00'!$D$185</f>
        <v>0</v>
      </c>
      <c r="F16" s="9"/>
      <c r="G16" s="9"/>
      <c r="H16" s="9">
        <f>D16-E16+F16</f>
        <v>0</v>
      </c>
      <c r="I16" s="9"/>
      <c r="J16" s="9"/>
      <c r="K16" s="9">
        <f t="shared" si="1"/>
        <v>0</v>
      </c>
      <c r="L16" s="9">
        <f t="shared" si="1"/>
        <v>0</v>
      </c>
      <c r="M16" s="10"/>
    </row>
    <row r="17" spans="1:13" ht="10.5" customHeight="1" x14ac:dyDescent="0.15">
      <c r="A17" s="14" t="s">
        <v>50</v>
      </c>
      <c r="B17" s="12"/>
      <c r="C17" s="9">
        <v>0</v>
      </c>
      <c r="D17" s="9"/>
      <c r="E17" s="9"/>
      <c r="F17" s="9"/>
      <c r="G17" s="9"/>
      <c r="H17" s="9"/>
      <c r="I17" s="9"/>
      <c r="J17" s="9"/>
      <c r="K17" s="9">
        <f t="shared" si="1"/>
        <v>0</v>
      </c>
      <c r="L17" s="9">
        <f t="shared" si="1"/>
        <v>0</v>
      </c>
      <c r="M17" s="10"/>
    </row>
    <row r="18" spans="1:13" ht="10.5" customHeight="1" x14ac:dyDescent="0.15">
      <c r="A18" s="13" t="s">
        <v>8</v>
      </c>
      <c r="B18" s="12"/>
      <c r="C18" s="9"/>
      <c r="D18" s="9"/>
      <c r="E18" s="9"/>
      <c r="F18" s="9"/>
      <c r="G18" s="9">
        <f t="shared" si="0"/>
        <v>0</v>
      </c>
      <c r="H18" s="9"/>
      <c r="I18" s="9"/>
      <c r="J18" s="9"/>
      <c r="K18" s="9">
        <f t="shared" si="1"/>
        <v>0</v>
      </c>
      <c r="L18" s="9">
        <f t="shared" si="1"/>
        <v>0</v>
      </c>
      <c r="M18" s="10"/>
    </row>
    <row r="19" spans="1:13" ht="10.5" customHeight="1" x14ac:dyDescent="0.15">
      <c r="A19" s="11"/>
      <c r="B19" s="12" t="s">
        <v>21</v>
      </c>
      <c r="C19" s="56">
        <v>0</v>
      </c>
      <c r="D19" s="9"/>
      <c r="E19" s="56">
        <f>'[1]15.00-16.00'!$D$11</f>
        <v>0</v>
      </c>
      <c r="F19" s="9">
        <v>0</v>
      </c>
      <c r="G19" s="9">
        <f t="shared" si="0"/>
        <v>0</v>
      </c>
      <c r="H19" s="9"/>
      <c r="I19" s="9"/>
      <c r="J19" s="9"/>
      <c r="K19" s="9">
        <f t="shared" si="1"/>
        <v>0</v>
      </c>
      <c r="L19" s="9">
        <f t="shared" si="1"/>
        <v>0</v>
      </c>
      <c r="M19" s="10">
        <f>K19+K20+K23+K21+K25+K24+K26</f>
        <v>0</v>
      </c>
    </row>
    <row r="20" spans="1:13" ht="10.5" customHeight="1" x14ac:dyDescent="0.15">
      <c r="A20" s="11"/>
      <c r="B20" s="12" t="s">
        <v>22</v>
      </c>
      <c r="C20" s="56">
        <v>0</v>
      </c>
      <c r="D20" s="9"/>
      <c r="E20" s="56">
        <f>'[1]15.00-16.00'!$D$77</f>
        <v>0</v>
      </c>
      <c r="F20" s="9">
        <v>0</v>
      </c>
      <c r="G20" s="9">
        <f t="shared" si="0"/>
        <v>0</v>
      </c>
      <c r="H20" s="9"/>
      <c r="I20" s="9"/>
      <c r="J20" s="9"/>
      <c r="K20" s="9">
        <f t="shared" si="1"/>
        <v>0</v>
      </c>
      <c r="L20" s="9">
        <f t="shared" si="1"/>
        <v>0</v>
      </c>
      <c r="M20" s="10"/>
    </row>
    <row r="21" spans="1:13" ht="10.5" customHeight="1" x14ac:dyDescent="0.15">
      <c r="A21" s="11"/>
      <c r="B21" s="12" t="s">
        <v>23</v>
      </c>
      <c r="C21" s="56">
        <v>0</v>
      </c>
      <c r="D21" s="9"/>
      <c r="E21" s="56">
        <f>'[1]15.00-16.00'!$D$144</f>
        <v>0</v>
      </c>
      <c r="F21" s="9">
        <v>0</v>
      </c>
      <c r="G21" s="9">
        <f t="shared" si="0"/>
        <v>0</v>
      </c>
      <c r="H21" s="9"/>
      <c r="I21" s="9"/>
      <c r="J21" s="9"/>
      <c r="K21" s="9">
        <f t="shared" si="1"/>
        <v>0</v>
      </c>
      <c r="L21" s="9">
        <f t="shared" si="1"/>
        <v>0</v>
      </c>
      <c r="M21" s="10"/>
    </row>
    <row r="22" spans="1:13" ht="10.5" customHeight="1" x14ac:dyDescent="0.15">
      <c r="A22" s="11"/>
      <c r="B22" s="12" t="s">
        <v>90</v>
      </c>
      <c r="C22" s="56">
        <v>0</v>
      </c>
      <c r="D22" s="9"/>
      <c r="E22" s="56">
        <f>'[1]15.00-16.00'!$D$205</f>
        <v>0</v>
      </c>
      <c r="F22" s="9">
        <v>0</v>
      </c>
      <c r="G22" s="9">
        <f t="shared" si="0"/>
        <v>0</v>
      </c>
      <c r="H22" s="9"/>
      <c r="I22" s="9"/>
      <c r="J22" s="9"/>
      <c r="K22" s="9">
        <f t="shared" si="1"/>
        <v>0</v>
      </c>
      <c r="L22" s="9">
        <f t="shared" si="1"/>
        <v>0</v>
      </c>
      <c r="M22" s="10"/>
    </row>
    <row r="23" spans="1:13" ht="10.5" customHeight="1" x14ac:dyDescent="0.15">
      <c r="A23" s="11"/>
      <c r="B23" s="12" t="s">
        <v>24</v>
      </c>
      <c r="C23" s="56">
        <v>0</v>
      </c>
      <c r="D23" s="9"/>
      <c r="E23" s="56">
        <v>0</v>
      </c>
      <c r="F23" s="9">
        <v>0</v>
      </c>
      <c r="G23" s="9">
        <f t="shared" si="0"/>
        <v>0</v>
      </c>
      <c r="H23" s="9"/>
      <c r="I23" s="9"/>
      <c r="J23" s="9"/>
      <c r="K23" s="9">
        <f t="shared" si="1"/>
        <v>0</v>
      </c>
      <c r="L23" s="9">
        <f t="shared" si="1"/>
        <v>0</v>
      </c>
      <c r="M23" s="10"/>
    </row>
    <row r="24" spans="1:13" ht="10.5" customHeight="1" x14ac:dyDescent="0.15">
      <c r="A24" s="11"/>
      <c r="B24" s="12" t="s">
        <v>51</v>
      </c>
      <c r="C24" s="56">
        <v>0</v>
      </c>
      <c r="D24" s="9"/>
      <c r="E24" s="56"/>
      <c r="F24" s="9"/>
      <c r="G24" s="9">
        <f t="shared" si="0"/>
        <v>0</v>
      </c>
      <c r="H24" s="9"/>
      <c r="I24" s="9"/>
      <c r="J24" s="9"/>
      <c r="K24" s="9">
        <f t="shared" si="1"/>
        <v>0</v>
      </c>
      <c r="L24" s="9"/>
      <c r="M24" s="10"/>
    </row>
    <row r="25" spans="1:13" ht="10.5" customHeight="1" x14ac:dyDescent="0.15">
      <c r="A25" s="11"/>
      <c r="B25" s="12" t="s">
        <v>40</v>
      </c>
      <c r="C25" s="56">
        <f>'[1]15.00-16.00'!$F$258</f>
        <v>0</v>
      </c>
      <c r="D25" s="9"/>
      <c r="E25" s="56">
        <f>'[2]15.00-16.00'!$D$288</f>
        <v>0</v>
      </c>
      <c r="F25" s="9">
        <f>'[2]15.00-16.00'!$E$288</f>
        <v>0</v>
      </c>
      <c r="G25" s="9">
        <f t="shared" si="0"/>
        <v>0</v>
      </c>
      <c r="H25" s="9"/>
      <c r="I25" s="9"/>
      <c r="J25" s="9"/>
      <c r="K25" s="9">
        <f t="shared" si="1"/>
        <v>0</v>
      </c>
      <c r="L25" s="9">
        <f t="shared" si="1"/>
        <v>0</v>
      </c>
      <c r="M25" s="10"/>
    </row>
    <row r="26" spans="1:13" ht="10.5" customHeight="1" x14ac:dyDescent="0.15">
      <c r="A26" s="11"/>
      <c r="B26" s="12" t="s">
        <v>43</v>
      </c>
      <c r="C26" s="56">
        <f>'[1]15.00-16.00'!$F$304</f>
        <v>0</v>
      </c>
      <c r="D26" s="9"/>
      <c r="E26" s="56">
        <f>'[2]15.00-16.00'!$D$307</f>
        <v>0</v>
      </c>
      <c r="F26" s="9">
        <f>'[2]15.00-16.00'!$E$307</f>
        <v>0</v>
      </c>
      <c r="G26" s="9">
        <f t="shared" si="0"/>
        <v>0</v>
      </c>
      <c r="H26" s="9"/>
      <c r="I26" s="9"/>
      <c r="J26" s="9"/>
      <c r="K26" s="9">
        <f>G26</f>
        <v>0</v>
      </c>
      <c r="L26" s="9">
        <f t="shared" si="1"/>
        <v>0</v>
      </c>
      <c r="M26" s="10"/>
    </row>
    <row r="27" spans="1:13" ht="10.5" customHeight="1" x14ac:dyDescent="0.15">
      <c r="A27" s="11" t="s">
        <v>41</v>
      </c>
      <c r="B27" s="12"/>
      <c r="C27" s="9">
        <v>0</v>
      </c>
      <c r="D27" s="9"/>
      <c r="E27" s="9"/>
      <c r="F27" s="9"/>
      <c r="G27" s="9">
        <f>C27+E27-F27</f>
        <v>0</v>
      </c>
      <c r="H27" s="9"/>
      <c r="I27" s="9"/>
      <c r="J27" s="9"/>
      <c r="K27" s="9">
        <f>G27</f>
        <v>0</v>
      </c>
      <c r="L27" s="9">
        <f>H27</f>
        <v>0</v>
      </c>
      <c r="M27" s="10"/>
    </row>
    <row r="28" spans="1:13" ht="10.5" customHeight="1" x14ac:dyDescent="0.15">
      <c r="A28" s="13" t="s">
        <v>9</v>
      </c>
      <c r="B28" s="12"/>
      <c r="C28" s="9"/>
      <c r="D28" s="9"/>
      <c r="E28" s="9"/>
      <c r="F28" s="9"/>
      <c r="G28" s="9"/>
      <c r="H28" s="9"/>
      <c r="I28" s="9"/>
      <c r="J28" s="9"/>
      <c r="K28" s="9"/>
      <c r="L28" s="9">
        <f>H28</f>
        <v>0</v>
      </c>
      <c r="M28" s="10"/>
    </row>
    <row r="29" spans="1:13" ht="10.5" customHeight="1" x14ac:dyDescent="0.15">
      <c r="A29" s="11"/>
      <c r="B29" s="12" t="s">
        <v>39</v>
      </c>
      <c r="C29" s="9">
        <v>0</v>
      </c>
      <c r="D29" s="9"/>
      <c r="E29" s="9">
        <f>'[1]31.01-31.09'!$D$13</f>
        <v>0</v>
      </c>
      <c r="F29" s="9">
        <f>'[1]31.01-31.09'!$E$13</f>
        <v>0</v>
      </c>
      <c r="G29" s="9">
        <f t="shared" ref="G29:G38" si="2">C29+E29</f>
        <v>0</v>
      </c>
      <c r="H29" s="9"/>
      <c r="I29" s="9"/>
      <c r="J29" s="9"/>
      <c r="K29" s="9">
        <f t="shared" si="1"/>
        <v>0</v>
      </c>
      <c r="L29" s="9">
        <f t="shared" si="1"/>
        <v>0</v>
      </c>
      <c r="M29" s="10">
        <f>SUM(K29:K37)</f>
        <v>0</v>
      </c>
    </row>
    <row r="30" spans="1:13" ht="10.5" customHeight="1" x14ac:dyDescent="0.15">
      <c r="A30" s="11"/>
      <c r="B30" s="12" t="s">
        <v>25</v>
      </c>
      <c r="C30" s="9">
        <v>0</v>
      </c>
      <c r="D30" s="9"/>
      <c r="E30" s="9">
        <f>'[1]31.01-31.09'!$D$31</f>
        <v>0</v>
      </c>
      <c r="F30" s="9">
        <f>'[1]31.01-31.09'!$E$31</f>
        <v>0</v>
      </c>
      <c r="G30" s="9">
        <f t="shared" si="2"/>
        <v>0</v>
      </c>
      <c r="H30" s="9"/>
      <c r="I30" s="9"/>
      <c r="J30" s="9"/>
      <c r="K30" s="9">
        <f t="shared" si="1"/>
        <v>0</v>
      </c>
      <c r="L30" s="9">
        <f t="shared" si="1"/>
        <v>0</v>
      </c>
      <c r="M30" s="10">
        <f>M29+K47</f>
        <v>0</v>
      </c>
    </row>
    <row r="31" spans="1:13" ht="10.5" customHeight="1" x14ac:dyDescent="0.15">
      <c r="A31" s="11"/>
      <c r="B31" s="12" t="s">
        <v>26</v>
      </c>
      <c r="C31" s="9">
        <v>0</v>
      </c>
      <c r="D31" s="9"/>
      <c r="E31" s="9">
        <f>'[1]31.01-31.09'!$D$91</f>
        <v>0</v>
      </c>
      <c r="F31" s="9">
        <f>'[1]31.01-31.09'!$E$91</f>
        <v>0</v>
      </c>
      <c r="G31" s="9">
        <f t="shared" si="2"/>
        <v>0</v>
      </c>
      <c r="H31" s="9"/>
      <c r="I31" s="9"/>
      <c r="J31" s="9"/>
      <c r="K31" s="9">
        <f t="shared" si="1"/>
        <v>0</v>
      </c>
      <c r="L31" s="9">
        <f t="shared" si="1"/>
        <v>0</v>
      </c>
      <c r="M31" s="10"/>
    </row>
    <row r="32" spans="1:13" ht="10.5" customHeight="1" x14ac:dyDescent="0.15">
      <c r="A32" s="11"/>
      <c r="B32" s="12" t="s">
        <v>27</v>
      </c>
      <c r="C32" s="9">
        <v>0</v>
      </c>
      <c r="D32" s="9"/>
      <c r="E32" s="9">
        <f>'[1]31.01-31.09'!$D$63</f>
        <v>0</v>
      </c>
      <c r="F32" s="9">
        <f>'[1]31.01-31.09'!$E$63</f>
        <v>0</v>
      </c>
      <c r="G32" s="9">
        <f t="shared" si="2"/>
        <v>0</v>
      </c>
      <c r="H32" s="9"/>
      <c r="I32" s="9"/>
      <c r="J32" s="9"/>
      <c r="K32" s="9">
        <f t="shared" si="1"/>
        <v>0</v>
      </c>
      <c r="L32" s="9">
        <f t="shared" si="1"/>
        <v>0</v>
      </c>
      <c r="M32" s="10"/>
    </row>
    <row r="33" spans="1:14" ht="10.5" customHeight="1" x14ac:dyDescent="0.15">
      <c r="A33" s="11"/>
      <c r="B33" s="12" t="s">
        <v>28</v>
      </c>
      <c r="C33" s="9">
        <v>0</v>
      </c>
      <c r="D33" s="9"/>
      <c r="E33" s="9">
        <f>'[1]31.01-31.09'!$D$117</f>
        <v>0</v>
      </c>
      <c r="F33" s="9">
        <f>'[1]31.01-31.09'!$E$117</f>
        <v>0</v>
      </c>
      <c r="G33" s="9">
        <f t="shared" si="2"/>
        <v>0</v>
      </c>
      <c r="H33" s="9"/>
      <c r="I33" s="9"/>
      <c r="J33" s="9"/>
      <c r="K33" s="9">
        <f t="shared" si="1"/>
        <v>0</v>
      </c>
      <c r="L33" s="9">
        <f t="shared" si="1"/>
        <v>0</v>
      </c>
      <c r="M33" s="10"/>
      <c r="N33" s="15"/>
    </row>
    <row r="34" spans="1:14" ht="10.5" customHeight="1" x14ac:dyDescent="0.15">
      <c r="A34" s="11"/>
      <c r="B34" s="12" t="s">
        <v>66</v>
      </c>
      <c r="C34" s="9">
        <v>0</v>
      </c>
      <c r="D34" s="9"/>
      <c r="E34" s="9">
        <f>'[1]31.01-31.09'!$D$134</f>
        <v>0</v>
      </c>
      <c r="F34" s="9">
        <f>'[1]31.01-31.09'!$E$134</f>
        <v>0</v>
      </c>
      <c r="G34" s="9">
        <f t="shared" si="2"/>
        <v>0</v>
      </c>
      <c r="H34" s="9"/>
      <c r="I34" s="9"/>
      <c r="J34" s="9"/>
      <c r="K34" s="9">
        <f t="shared" si="1"/>
        <v>0</v>
      </c>
      <c r="L34" s="9">
        <f t="shared" si="1"/>
        <v>0</v>
      </c>
      <c r="M34" s="10"/>
    </row>
    <row r="35" spans="1:14" ht="10.5" customHeight="1" x14ac:dyDescent="0.15">
      <c r="A35" s="11"/>
      <c r="B35" s="12" t="s">
        <v>67</v>
      </c>
      <c r="C35" s="9">
        <v>0</v>
      </c>
      <c r="D35" s="9"/>
      <c r="E35" s="9">
        <f>'[1]31.01-31.09'!$D$161</f>
        <v>0</v>
      </c>
      <c r="F35" s="9">
        <f>'[1]31.01-31.09'!$E$161</f>
        <v>0</v>
      </c>
      <c r="G35" s="9">
        <f t="shared" si="2"/>
        <v>0</v>
      </c>
      <c r="H35" s="9"/>
      <c r="I35" s="9"/>
      <c r="J35" s="9"/>
      <c r="K35" s="9">
        <f t="shared" si="1"/>
        <v>0</v>
      </c>
      <c r="L35" s="9">
        <f t="shared" si="1"/>
        <v>0</v>
      </c>
      <c r="M35" s="10"/>
    </row>
    <row r="36" spans="1:14" ht="10.5" customHeight="1" x14ac:dyDescent="0.15">
      <c r="A36" s="11"/>
      <c r="B36" s="12" t="s">
        <v>68</v>
      </c>
      <c r="C36" s="9">
        <v>0</v>
      </c>
      <c r="D36" s="9"/>
      <c r="E36" s="9">
        <f>'[1]31.01-31.09'!$D$179</f>
        <v>0</v>
      </c>
      <c r="F36" s="9">
        <f>'[1]31.01-31.09'!$E$179</f>
        <v>0</v>
      </c>
      <c r="G36" s="9">
        <f t="shared" si="2"/>
        <v>0</v>
      </c>
      <c r="H36" s="9"/>
      <c r="I36" s="9"/>
      <c r="J36" s="9"/>
      <c r="K36" s="9">
        <f t="shared" si="1"/>
        <v>0</v>
      </c>
      <c r="L36" s="9">
        <f t="shared" si="1"/>
        <v>0</v>
      </c>
      <c r="M36" s="10"/>
    </row>
    <row r="37" spans="1:14" ht="10.5" customHeight="1" x14ac:dyDescent="0.15">
      <c r="A37" s="11"/>
      <c r="B37" s="12" t="s">
        <v>69</v>
      </c>
      <c r="C37" s="9">
        <v>0</v>
      </c>
      <c r="D37" s="9"/>
      <c r="E37" s="9">
        <v>0</v>
      </c>
      <c r="F37" s="9">
        <f>'[1]31.01-31.09'!$E$206</f>
        <v>0</v>
      </c>
      <c r="G37" s="9">
        <f t="shared" si="2"/>
        <v>0</v>
      </c>
      <c r="H37" s="9"/>
      <c r="I37" s="9"/>
      <c r="J37" s="9"/>
      <c r="K37" s="9">
        <f t="shared" si="1"/>
        <v>0</v>
      </c>
      <c r="L37" s="9">
        <f t="shared" si="1"/>
        <v>0</v>
      </c>
      <c r="M37" s="10"/>
      <c r="N37" s="15"/>
    </row>
    <row r="38" spans="1:14" ht="10.5" customHeight="1" x14ac:dyDescent="0.15">
      <c r="A38" s="13" t="s">
        <v>10</v>
      </c>
      <c r="B38" s="12"/>
      <c r="C38" s="9">
        <v>0</v>
      </c>
      <c r="D38" s="9"/>
      <c r="E38" s="9"/>
      <c r="F38" s="9"/>
      <c r="G38" s="9">
        <f t="shared" si="2"/>
        <v>0</v>
      </c>
      <c r="H38" s="9"/>
      <c r="I38" s="9"/>
      <c r="J38" s="9"/>
      <c r="K38" s="9">
        <f t="shared" si="1"/>
        <v>0</v>
      </c>
      <c r="L38" s="9">
        <f t="shared" si="1"/>
        <v>0</v>
      </c>
      <c r="M38" s="10"/>
    </row>
    <row r="39" spans="1:14" ht="10.5" customHeight="1" x14ac:dyDescent="0.15">
      <c r="A39" s="11"/>
      <c r="B39" s="12" t="s">
        <v>25</v>
      </c>
      <c r="C39" s="9"/>
      <c r="D39" s="56">
        <v>0</v>
      </c>
      <c r="E39" s="9">
        <f>'[1]31.10'!$D$22</f>
        <v>0</v>
      </c>
      <c r="F39" s="9">
        <v>0</v>
      </c>
      <c r="G39" s="9"/>
      <c r="H39" s="9">
        <f>D39+F39</f>
        <v>0</v>
      </c>
      <c r="I39" s="9"/>
      <c r="J39" s="9"/>
      <c r="K39" s="9">
        <f t="shared" si="1"/>
        <v>0</v>
      </c>
      <c r="L39" s="9">
        <f t="shared" si="1"/>
        <v>0</v>
      </c>
      <c r="M39" s="10">
        <f>SUM(L39:L46)+L48</f>
        <v>0</v>
      </c>
      <c r="N39" s="16"/>
    </row>
    <row r="40" spans="1:14" ht="10.5" customHeight="1" x14ac:dyDescent="0.15">
      <c r="A40" s="11"/>
      <c r="B40" s="12" t="s">
        <v>26</v>
      </c>
      <c r="C40" s="9"/>
      <c r="D40" s="56">
        <v>0</v>
      </c>
      <c r="E40" s="9">
        <f>'[1]31.10'!$D$86</f>
        <v>0</v>
      </c>
      <c r="F40" s="9">
        <v>0</v>
      </c>
      <c r="G40" s="9"/>
      <c r="H40" s="9">
        <f>D40+F40</f>
        <v>0</v>
      </c>
      <c r="I40" s="9"/>
      <c r="J40" s="9"/>
      <c r="K40" s="9">
        <f t="shared" si="1"/>
        <v>0</v>
      </c>
      <c r="L40" s="9">
        <f t="shared" si="1"/>
        <v>0</v>
      </c>
      <c r="M40" s="10">
        <f>M39-L48</f>
        <v>0</v>
      </c>
      <c r="N40" s="16"/>
    </row>
    <row r="41" spans="1:14" ht="10.5" customHeight="1" x14ac:dyDescent="0.15">
      <c r="A41" s="11"/>
      <c r="B41" s="12" t="s">
        <v>27</v>
      </c>
      <c r="C41" s="9"/>
      <c r="D41" s="56">
        <v>0</v>
      </c>
      <c r="E41" s="9">
        <f>'[1]31.10'!$D$47</f>
        <v>0</v>
      </c>
      <c r="F41" s="9">
        <v>0</v>
      </c>
      <c r="G41" s="9"/>
      <c r="H41" s="9">
        <f>D41+F41</f>
        <v>0</v>
      </c>
      <c r="I41" s="9"/>
      <c r="J41" s="9"/>
      <c r="K41" s="9">
        <f t="shared" si="1"/>
        <v>0</v>
      </c>
      <c r="L41" s="9">
        <f t="shared" si="1"/>
        <v>0</v>
      </c>
      <c r="M41" s="10"/>
      <c r="N41" s="16"/>
    </row>
    <row r="42" spans="1:14" ht="10.5" customHeight="1" x14ac:dyDescent="0.15">
      <c r="A42" s="11"/>
      <c r="B42" s="12" t="s">
        <v>28</v>
      </c>
      <c r="C42" s="9"/>
      <c r="D42" s="56">
        <v>0</v>
      </c>
      <c r="E42" s="9">
        <f>'[1]31.10'!$D$115</f>
        <v>0</v>
      </c>
      <c r="F42" s="9">
        <v>0</v>
      </c>
      <c r="G42" s="9"/>
      <c r="H42" s="9">
        <f>D42+F42</f>
        <v>0</v>
      </c>
      <c r="I42" s="9"/>
      <c r="J42" s="9"/>
      <c r="K42" s="9">
        <f t="shared" si="1"/>
        <v>0</v>
      </c>
      <c r="L42" s="9">
        <f t="shared" si="1"/>
        <v>0</v>
      </c>
      <c r="M42" s="10"/>
      <c r="N42" s="16"/>
    </row>
    <row r="43" spans="1:14" ht="10.5" customHeight="1" x14ac:dyDescent="0.15">
      <c r="A43" s="11"/>
      <c r="B43" s="12" t="s">
        <v>66</v>
      </c>
      <c r="C43" s="9"/>
      <c r="D43" s="56">
        <v>0</v>
      </c>
      <c r="E43" s="9">
        <f>'[1]31.10'!$D$150</f>
        <v>0</v>
      </c>
      <c r="F43" s="9">
        <v>0</v>
      </c>
      <c r="G43" s="9"/>
      <c r="H43" s="9">
        <f t="shared" ref="H43:H45" si="3">D43+F43</f>
        <v>0</v>
      </c>
      <c r="I43" s="9"/>
      <c r="J43" s="9"/>
      <c r="K43" s="9">
        <f t="shared" si="1"/>
        <v>0</v>
      </c>
      <c r="L43" s="9">
        <f t="shared" si="1"/>
        <v>0</v>
      </c>
      <c r="M43" s="10"/>
      <c r="N43" s="16"/>
    </row>
    <row r="44" spans="1:14" ht="10.5" customHeight="1" x14ac:dyDescent="0.15">
      <c r="A44" s="11"/>
      <c r="B44" s="12" t="s">
        <v>67</v>
      </c>
      <c r="C44" s="9"/>
      <c r="D44" s="56">
        <v>0</v>
      </c>
      <c r="E44" s="9">
        <f>'[1]31.10'!$D$175</f>
        <v>0</v>
      </c>
      <c r="F44" s="9">
        <v>0</v>
      </c>
      <c r="G44" s="9"/>
      <c r="H44" s="9">
        <f t="shared" si="3"/>
        <v>0</v>
      </c>
      <c r="I44" s="9"/>
      <c r="J44" s="9"/>
      <c r="K44" s="9">
        <f t="shared" si="1"/>
        <v>0</v>
      </c>
      <c r="L44" s="9">
        <f t="shared" si="1"/>
        <v>0</v>
      </c>
      <c r="M44" s="10"/>
      <c r="N44" s="16"/>
    </row>
    <row r="45" spans="1:14" ht="10.5" customHeight="1" x14ac:dyDescent="0.15">
      <c r="A45" s="11"/>
      <c r="B45" s="12" t="s">
        <v>68</v>
      </c>
      <c r="C45" s="9"/>
      <c r="D45" s="56">
        <v>0</v>
      </c>
      <c r="E45" s="9">
        <f>'[1]31.10'!$D$214</f>
        <v>0</v>
      </c>
      <c r="F45" s="9">
        <v>0</v>
      </c>
      <c r="G45" s="9"/>
      <c r="H45" s="9">
        <f t="shared" si="3"/>
        <v>0</v>
      </c>
      <c r="I45" s="9"/>
      <c r="J45" s="9"/>
      <c r="K45" s="9">
        <f t="shared" si="1"/>
        <v>0</v>
      </c>
      <c r="L45" s="9">
        <f t="shared" si="1"/>
        <v>0</v>
      </c>
      <c r="M45" s="10"/>
      <c r="N45" s="16"/>
    </row>
    <row r="46" spans="1:14" ht="10.5" customHeight="1" x14ac:dyDescent="0.15">
      <c r="A46" s="11"/>
      <c r="B46" s="12" t="s">
        <v>69</v>
      </c>
      <c r="C46" s="9"/>
      <c r="D46" s="56">
        <v>0</v>
      </c>
      <c r="E46" s="9">
        <f>'[1]31.10'!$D$242</f>
        <v>0</v>
      </c>
      <c r="F46" s="9">
        <v>0</v>
      </c>
      <c r="G46" s="9"/>
      <c r="H46" s="9">
        <f>D46+F46</f>
        <v>0</v>
      </c>
      <c r="I46" s="9"/>
      <c r="J46" s="9"/>
      <c r="K46" s="9">
        <f t="shared" si="1"/>
        <v>0</v>
      </c>
      <c r="L46" s="9">
        <f t="shared" si="1"/>
        <v>0</v>
      </c>
      <c r="M46" s="10"/>
      <c r="N46" s="16"/>
    </row>
    <row r="47" spans="1:14" ht="10.5" customHeight="1" x14ac:dyDescent="0.15">
      <c r="A47" s="11" t="s">
        <v>53</v>
      </c>
      <c r="B47" s="12"/>
      <c r="C47" s="9">
        <v>0</v>
      </c>
      <c r="D47" s="9"/>
      <c r="E47" s="53">
        <f>'[1]35.00-35.01-37.00'!$D$12</f>
        <v>0</v>
      </c>
      <c r="F47" s="17">
        <f>'[1]35.00-35.01-37.00'!$E$12</f>
        <v>0</v>
      </c>
      <c r="G47" s="9">
        <f>E47+C47</f>
        <v>0</v>
      </c>
      <c r="H47" s="9">
        <f t="shared" ref="H47" si="4">D47+F47</f>
        <v>0</v>
      </c>
      <c r="I47" s="9"/>
      <c r="J47" s="9"/>
      <c r="K47" s="9">
        <f t="shared" si="1"/>
        <v>0</v>
      </c>
      <c r="L47" s="9">
        <f t="shared" si="1"/>
        <v>0</v>
      </c>
      <c r="M47" s="10"/>
      <c r="N47" s="16"/>
    </row>
    <row r="48" spans="1:14" ht="10.5" customHeight="1" x14ac:dyDescent="0.15">
      <c r="A48" s="11"/>
      <c r="B48" s="12" t="s">
        <v>54</v>
      </c>
      <c r="C48" s="9"/>
      <c r="D48" s="9">
        <v>0</v>
      </c>
      <c r="E48" s="9">
        <f>'[1]35.00-35.01-37.00'!$D$37</f>
        <v>0</v>
      </c>
      <c r="F48" s="9">
        <v>0</v>
      </c>
      <c r="H48" s="9">
        <f>D48+F48</f>
        <v>0</v>
      </c>
      <c r="I48" s="9"/>
      <c r="J48" s="9"/>
      <c r="K48" s="9">
        <f t="shared" si="1"/>
        <v>0</v>
      </c>
      <c r="L48" s="9">
        <f t="shared" si="1"/>
        <v>0</v>
      </c>
      <c r="M48" s="10"/>
      <c r="N48" s="16"/>
    </row>
    <row r="49" spans="1:14" ht="10.5" customHeight="1" x14ac:dyDescent="0.15">
      <c r="A49" s="13" t="s">
        <v>52</v>
      </c>
      <c r="B49" s="12"/>
      <c r="C49" s="9">
        <v>0</v>
      </c>
      <c r="D49" s="9"/>
      <c r="E49" s="9">
        <f>'[1]35.00-35.01-37.00'!$D$57</f>
        <v>0</v>
      </c>
      <c r="F49" s="9">
        <f>'[1]35.00-35.01-37.00'!$E$57</f>
        <v>0</v>
      </c>
      <c r="G49" s="9">
        <f>C49+E49-F49</f>
        <v>0</v>
      </c>
      <c r="H49" s="9"/>
      <c r="I49" s="9"/>
      <c r="J49" s="9"/>
      <c r="K49" s="9">
        <f t="shared" si="1"/>
        <v>0</v>
      </c>
      <c r="L49" s="9">
        <f t="shared" si="1"/>
        <v>0</v>
      </c>
      <c r="M49" s="10">
        <v>-73332036</v>
      </c>
      <c r="N49" s="16"/>
    </row>
    <row r="50" spans="1:14" ht="10.5" customHeight="1" x14ac:dyDescent="0.15">
      <c r="A50" s="13" t="s">
        <v>99</v>
      </c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10"/>
      <c r="N50" s="16"/>
    </row>
    <row r="51" spans="1:14" ht="10.5" customHeight="1" x14ac:dyDescent="0.15">
      <c r="A51" s="13"/>
      <c r="B51" s="12" t="s">
        <v>100</v>
      </c>
      <c r="C51" s="9">
        <v>0</v>
      </c>
      <c r="D51" s="9"/>
      <c r="E51" s="9"/>
      <c r="F51" s="9"/>
      <c r="G51" s="9">
        <f>C51+E51-F51</f>
        <v>0</v>
      </c>
      <c r="H51" s="9"/>
      <c r="I51" s="9"/>
      <c r="J51" s="9"/>
      <c r="K51" s="9"/>
      <c r="L51" s="9"/>
      <c r="M51" s="10"/>
      <c r="N51" s="16"/>
    </row>
    <row r="52" spans="1:14" ht="10.5" customHeight="1" x14ac:dyDescent="0.15">
      <c r="A52" s="67" t="s">
        <v>11</v>
      </c>
      <c r="B52" s="68"/>
      <c r="C52" s="18">
        <f>SUM(C8:C51)</f>
        <v>0</v>
      </c>
      <c r="D52" s="18">
        <f>SUM(D8:D49)</f>
        <v>0</v>
      </c>
      <c r="E52" s="18"/>
      <c r="F52" s="18"/>
      <c r="G52" s="18">
        <f>SUM(G8:G51)</f>
        <v>0</v>
      </c>
      <c r="H52" s="18">
        <f>SUM(H8:H49)</f>
        <v>0</v>
      </c>
      <c r="I52" s="18"/>
      <c r="J52" s="18"/>
      <c r="K52" s="18">
        <f t="shared" si="1"/>
        <v>0</v>
      </c>
      <c r="L52" s="18">
        <f t="shared" si="1"/>
        <v>0</v>
      </c>
      <c r="M52" s="19"/>
      <c r="N52" s="16"/>
    </row>
    <row r="53" spans="1:14" ht="10.5" customHeight="1" x14ac:dyDescent="0.15">
      <c r="A53" s="62"/>
      <c r="B53" s="63"/>
      <c r="C53" s="18">
        <f>C52-D52</f>
        <v>0</v>
      </c>
      <c r="D53" s="18"/>
      <c r="E53" s="18"/>
      <c r="F53" s="18"/>
      <c r="G53" s="18">
        <f>G52-H52</f>
        <v>0</v>
      </c>
      <c r="H53" s="18"/>
      <c r="I53" s="18"/>
      <c r="J53" s="18"/>
      <c r="K53" s="18">
        <f>K52-L52</f>
        <v>0</v>
      </c>
      <c r="L53" s="18">
        <f t="shared" si="1"/>
        <v>0</v>
      </c>
      <c r="M53" s="19"/>
      <c r="N53" s="15"/>
    </row>
    <row r="54" spans="1:14" ht="10.5" customHeight="1" x14ac:dyDescent="0.15">
      <c r="A54" s="20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19"/>
      <c r="N54" s="15"/>
    </row>
    <row r="55" spans="1:14" ht="10.5" customHeight="1" x14ac:dyDescent="0.15">
      <c r="A55" s="13" t="s">
        <v>29</v>
      </c>
      <c r="B55" s="23"/>
      <c r="C55" s="24"/>
      <c r="D55" s="9"/>
      <c r="E55" s="9"/>
      <c r="F55" s="9"/>
      <c r="G55" s="24"/>
      <c r="H55" s="9"/>
      <c r="I55" s="9"/>
      <c r="J55" s="9"/>
      <c r="K55" s="9">
        <f t="shared" si="1"/>
        <v>0</v>
      </c>
      <c r="L55" s="9">
        <f t="shared" si="1"/>
        <v>0</v>
      </c>
      <c r="M55" s="19"/>
      <c r="N55" s="15"/>
    </row>
    <row r="56" spans="1:14" ht="10.5" customHeight="1" x14ac:dyDescent="0.15">
      <c r="A56" s="11"/>
      <c r="B56" s="4" t="s">
        <v>12</v>
      </c>
      <c r="C56" s="9"/>
      <c r="D56" s="9"/>
      <c r="E56" s="9">
        <v>0</v>
      </c>
      <c r="F56" s="9">
        <v>0</v>
      </c>
      <c r="H56" s="9">
        <f t="shared" ref="H56:H63" si="5">D56-E56+F56</f>
        <v>0</v>
      </c>
      <c r="I56" s="9"/>
      <c r="J56" s="9"/>
      <c r="K56" s="9">
        <f t="shared" si="1"/>
        <v>0</v>
      </c>
      <c r="L56" s="9">
        <f t="shared" si="1"/>
        <v>0</v>
      </c>
      <c r="M56" s="19"/>
      <c r="N56" s="15"/>
    </row>
    <row r="57" spans="1:14" ht="10.5" customHeight="1" x14ac:dyDescent="0.15">
      <c r="A57" s="11"/>
      <c r="B57" s="4" t="s">
        <v>42</v>
      </c>
      <c r="C57" s="9"/>
      <c r="D57" s="9"/>
      <c r="E57" s="9">
        <f>'[1]50.00'!$D$104</f>
        <v>0</v>
      </c>
      <c r="F57" s="9"/>
      <c r="H57" s="9">
        <f t="shared" si="5"/>
        <v>0</v>
      </c>
      <c r="I57" s="9"/>
      <c r="J57" s="9"/>
      <c r="K57" s="9">
        <f t="shared" si="1"/>
        <v>0</v>
      </c>
      <c r="L57" s="9">
        <f t="shared" si="1"/>
        <v>0</v>
      </c>
      <c r="M57" s="19"/>
    </row>
    <row r="58" spans="1:14" ht="10.5" customHeight="1" x14ac:dyDescent="0.15">
      <c r="A58" s="11"/>
      <c r="B58" s="4" t="s">
        <v>85</v>
      </c>
      <c r="C58" s="9"/>
      <c r="D58" s="9">
        <v>0</v>
      </c>
      <c r="E58" s="9">
        <v>0</v>
      </c>
      <c r="F58" s="9">
        <v>0</v>
      </c>
      <c r="H58" s="9">
        <f>D58-E58+F58</f>
        <v>0</v>
      </c>
      <c r="I58" s="9"/>
      <c r="J58" s="9"/>
      <c r="K58" s="9">
        <f t="shared" si="1"/>
        <v>0</v>
      </c>
      <c r="L58" s="9">
        <f t="shared" si="1"/>
        <v>0</v>
      </c>
      <c r="M58" s="19"/>
    </row>
    <row r="59" spans="1:14" ht="10.5" customHeight="1" x14ac:dyDescent="0.15">
      <c r="A59" s="11"/>
      <c r="B59" s="4" t="s">
        <v>13</v>
      </c>
      <c r="C59" s="9"/>
      <c r="D59" s="9">
        <f>'[2]50.00'!$F$113</f>
        <v>0</v>
      </c>
      <c r="E59" s="9">
        <f>'[2]50.00'!$D$117</f>
        <v>0</v>
      </c>
      <c r="F59" s="9">
        <f>'[2]50.00'!$E$117</f>
        <v>0</v>
      </c>
      <c r="H59" s="9">
        <f t="shared" si="5"/>
        <v>0</v>
      </c>
      <c r="I59" s="9"/>
      <c r="J59" s="9"/>
      <c r="K59" s="9">
        <f t="shared" si="1"/>
        <v>0</v>
      </c>
      <c r="L59" s="9">
        <f t="shared" si="1"/>
        <v>0</v>
      </c>
      <c r="M59" s="19"/>
    </row>
    <row r="60" spans="1:14" ht="10.5" customHeight="1" x14ac:dyDescent="0.15">
      <c r="A60" s="11"/>
      <c r="B60" s="4" t="s">
        <v>86</v>
      </c>
      <c r="C60" s="9"/>
      <c r="D60" s="9">
        <v>0</v>
      </c>
      <c r="E60" s="9">
        <f>'[1]50.00'!$D$134</f>
        <v>0</v>
      </c>
      <c r="F60" s="9">
        <f>'[1]50.00'!$E$134</f>
        <v>0</v>
      </c>
      <c r="H60" s="9">
        <f t="shared" si="5"/>
        <v>0</v>
      </c>
      <c r="I60" s="9"/>
      <c r="J60" s="9"/>
      <c r="K60" s="9">
        <f t="shared" si="1"/>
        <v>0</v>
      </c>
      <c r="L60" s="9">
        <f t="shared" si="1"/>
        <v>0</v>
      </c>
      <c r="M60" s="19"/>
    </row>
    <row r="61" spans="1:14" ht="10.5" customHeight="1" x14ac:dyDescent="0.15">
      <c r="A61" s="13" t="s">
        <v>30</v>
      </c>
      <c r="C61" s="9"/>
      <c r="D61" s="9"/>
      <c r="E61" s="9"/>
      <c r="F61" s="9"/>
      <c r="G61" s="9"/>
      <c r="H61" s="9">
        <f t="shared" si="5"/>
        <v>0</v>
      </c>
      <c r="I61" s="9"/>
      <c r="J61" s="9"/>
      <c r="K61" s="9">
        <f t="shared" si="1"/>
        <v>0</v>
      </c>
      <c r="L61" s="9">
        <f t="shared" si="1"/>
        <v>0</v>
      </c>
      <c r="M61" s="19"/>
    </row>
    <row r="62" spans="1:14" ht="10.5" customHeight="1" x14ac:dyDescent="0.15">
      <c r="A62" s="11"/>
      <c r="B62" s="4" t="s">
        <v>72</v>
      </c>
      <c r="C62" s="9"/>
      <c r="D62" s="9">
        <v>0</v>
      </c>
      <c r="E62" s="9">
        <f>'[2]70.00'!$D$17</f>
        <v>0</v>
      </c>
      <c r="F62" s="9">
        <f>'[2]70.00'!$E$17</f>
        <v>0</v>
      </c>
      <c r="G62" s="9"/>
      <c r="H62" s="9">
        <f t="shared" si="5"/>
        <v>0</v>
      </c>
      <c r="I62" s="9"/>
      <c r="J62" s="9"/>
      <c r="K62" s="9">
        <f t="shared" si="1"/>
        <v>0</v>
      </c>
      <c r="L62" s="9">
        <f t="shared" si="1"/>
        <v>0</v>
      </c>
      <c r="M62" s="19"/>
      <c r="N62" s="17"/>
    </row>
    <row r="63" spans="1:14" ht="10.5" customHeight="1" x14ac:dyDescent="0.15">
      <c r="A63" s="11"/>
      <c r="B63" s="4" t="s">
        <v>14</v>
      </c>
      <c r="C63" s="9"/>
      <c r="D63" s="9">
        <v>0</v>
      </c>
      <c r="E63" s="9">
        <f>'[2]70.00'!$D$37</f>
        <v>0</v>
      </c>
      <c r="F63" s="9">
        <f>'[2]70.00'!$E$37</f>
        <v>0</v>
      </c>
      <c r="G63" s="9"/>
      <c r="H63" s="9">
        <f t="shared" si="5"/>
        <v>0</v>
      </c>
      <c r="I63" s="9"/>
      <c r="J63" s="9"/>
      <c r="K63" s="9">
        <f t="shared" si="1"/>
        <v>0</v>
      </c>
      <c r="L63" s="9">
        <f t="shared" si="1"/>
        <v>0</v>
      </c>
      <c r="M63" s="10"/>
      <c r="N63" s="15"/>
    </row>
    <row r="64" spans="1:14" ht="10.5" customHeight="1" x14ac:dyDescent="0.15">
      <c r="A64" s="11"/>
      <c r="B64" s="4" t="s">
        <v>15</v>
      </c>
      <c r="C64" s="9">
        <v>0</v>
      </c>
      <c r="D64" s="15"/>
      <c r="E64" s="9"/>
      <c r="F64" s="9">
        <v>0</v>
      </c>
      <c r="G64" s="9">
        <f>C64+E64-F64</f>
        <v>0</v>
      </c>
      <c r="H64" s="9"/>
      <c r="I64" s="9"/>
      <c r="J64" s="9"/>
      <c r="K64" s="9">
        <f t="shared" si="1"/>
        <v>0</v>
      </c>
      <c r="L64" s="9">
        <f t="shared" si="1"/>
        <v>0</v>
      </c>
      <c r="M64" s="10"/>
    </row>
    <row r="65" spans="1:13" ht="10.5" customHeight="1" x14ac:dyDescent="0.15">
      <c r="A65" s="11"/>
      <c r="B65" s="4" t="s">
        <v>16</v>
      </c>
      <c r="C65" s="25"/>
      <c r="D65" s="25">
        <v>0</v>
      </c>
      <c r="E65" s="9">
        <v>0</v>
      </c>
      <c r="F65" s="9">
        <v>0</v>
      </c>
      <c r="G65" s="9"/>
      <c r="H65" s="9">
        <f>D65-E65+F65</f>
        <v>0</v>
      </c>
      <c r="I65" s="9"/>
      <c r="J65" s="9"/>
      <c r="K65" s="9"/>
      <c r="L65" s="9">
        <f>H65</f>
        <v>0</v>
      </c>
      <c r="M65" s="10"/>
    </row>
    <row r="66" spans="1:13" ht="10.5" customHeight="1" x14ac:dyDescent="0.15">
      <c r="A66" s="69" t="s">
        <v>17</v>
      </c>
      <c r="B66" s="69"/>
      <c r="C66" s="26">
        <f>SUM(C55:C65)</f>
        <v>0</v>
      </c>
      <c r="D66" s="26">
        <f>SUM(D55:D65)</f>
        <v>0</v>
      </c>
      <c r="E66" s="18"/>
      <c r="F66" s="18"/>
      <c r="G66" s="18">
        <f>SUM(G56:G65)</f>
        <v>0</v>
      </c>
      <c r="H66" s="18">
        <f>SUM(H56:H65)</f>
        <v>0</v>
      </c>
      <c r="I66" s="18"/>
      <c r="J66" s="18"/>
      <c r="K66" s="18">
        <f t="shared" si="1"/>
        <v>0</v>
      </c>
      <c r="L66" s="18">
        <f t="shared" si="1"/>
        <v>0</v>
      </c>
      <c r="M66" s="19"/>
    </row>
    <row r="67" spans="1:13" ht="10.5" customHeight="1" thickBot="1" x14ac:dyDescent="0.2">
      <c r="A67" s="70"/>
      <c r="B67" s="70"/>
      <c r="C67" s="27"/>
      <c r="D67" s="28">
        <f>D66-C66</f>
        <v>0</v>
      </c>
      <c r="E67" s="29">
        <f>SUM(E8:E66)</f>
        <v>0</v>
      </c>
      <c r="F67" s="29">
        <f>SUM(F8:F66)</f>
        <v>0</v>
      </c>
      <c r="G67" s="30"/>
      <c r="H67" s="29">
        <f>H66-G66</f>
        <v>0</v>
      </c>
      <c r="I67" s="30"/>
      <c r="J67" s="30"/>
      <c r="K67" s="29">
        <f t="shared" si="1"/>
        <v>0</v>
      </c>
      <c r="L67" s="29">
        <f>L66-K66</f>
        <v>0</v>
      </c>
      <c r="M67" s="31">
        <f>K53-L67</f>
        <v>0</v>
      </c>
    </row>
    <row r="68" spans="1:13" ht="18.75" customHeight="1" thickTop="1" thickBot="1" x14ac:dyDescent="0.2">
      <c r="A68" s="20"/>
      <c r="B68" s="32"/>
      <c r="C68" s="33"/>
      <c r="D68" s="34"/>
      <c r="E68" s="35"/>
      <c r="F68" s="35"/>
      <c r="G68" s="36"/>
      <c r="H68" s="35"/>
      <c r="I68" s="36"/>
      <c r="J68" s="36"/>
      <c r="K68" s="35"/>
      <c r="L68" s="37"/>
      <c r="M68" s="31">
        <f>L65-F105</f>
        <v>0</v>
      </c>
    </row>
    <row r="69" spans="1:13" ht="10.5" customHeight="1" thickTop="1" x14ac:dyDescent="0.15">
      <c r="A69" s="58" t="s">
        <v>1</v>
      </c>
      <c r="B69" s="59"/>
      <c r="C69" s="72" t="s">
        <v>18</v>
      </c>
      <c r="D69" s="73"/>
      <c r="E69" s="58" t="s">
        <v>19</v>
      </c>
      <c r="F69" s="59"/>
      <c r="G69" s="72" t="s">
        <v>2</v>
      </c>
      <c r="H69" s="73"/>
      <c r="I69" s="74" t="s">
        <v>5</v>
      </c>
      <c r="J69" s="75"/>
      <c r="K69" s="58" t="s">
        <v>6</v>
      </c>
      <c r="L69" s="59"/>
      <c r="M69" s="10"/>
    </row>
    <row r="70" spans="1:13" ht="10.5" customHeight="1" x14ac:dyDescent="0.15">
      <c r="A70" s="60"/>
      <c r="B70" s="61"/>
      <c r="C70" s="65" t="s">
        <v>93</v>
      </c>
      <c r="D70" s="66"/>
      <c r="E70" s="62"/>
      <c r="F70" s="63"/>
      <c r="G70" s="65" t="s">
        <v>102</v>
      </c>
      <c r="H70" s="66"/>
      <c r="I70" s="65" t="s">
        <v>102</v>
      </c>
      <c r="J70" s="66"/>
      <c r="K70" s="65" t="s">
        <v>102</v>
      </c>
      <c r="L70" s="66"/>
      <c r="M70" s="10"/>
    </row>
    <row r="71" spans="1:13" ht="10.5" customHeight="1" x14ac:dyDescent="0.15">
      <c r="A71" s="62"/>
      <c r="B71" s="63"/>
      <c r="C71" s="6" t="s">
        <v>3</v>
      </c>
      <c r="D71" s="6" t="s">
        <v>4</v>
      </c>
      <c r="E71" s="6" t="s">
        <v>3</v>
      </c>
      <c r="F71" s="6" t="s">
        <v>4</v>
      </c>
      <c r="G71" s="6" t="s">
        <v>3</v>
      </c>
      <c r="H71" s="6" t="s">
        <v>4</v>
      </c>
      <c r="I71" s="6" t="s">
        <v>3</v>
      </c>
      <c r="J71" s="6" t="s">
        <v>4</v>
      </c>
      <c r="K71" s="6" t="s">
        <v>3</v>
      </c>
      <c r="L71" s="6" t="s">
        <v>4</v>
      </c>
      <c r="M71" s="10"/>
    </row>
    <row r="72" spans="1:13" ht="10.5" customHeight="1" x14ac:dyDescent="0.15">
      <c r="A72" s="38" t="s">
        <v>31</v>
      </c>
      <c r="B72" s="8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10">
        <f>M67+M68</f>
        <v>0</v>
      </c>
    </row>
    <row r="73" spans="1:13" ht="10.5" customHeight="1" x14ac:dyDescent="0.15">
      <c r="A73" s="40" t="s">
        <v>32</v>
      </c>
      <c r="B73" s="12"/>
      <c r="C73" s="9"/>
      <c r="D73" s="9"/>
      <c r="E73" s="41"/>
      <c r="F73" s="41"/>
      <c r="G73" s="9">
        <f>E73</f>
        <v>0</v>
      </c>
      <c r="H73" s="9">
        <f>F73</f>
        <v>0</v>
      </c>
      <c r="I73" s="9">
        <f>G73</f>
        <v>0</v>
      </c>
      <c r="J73" s="9">
        <f>H73</f>
        <v>0</v>
      </c>
      <c r="K73" s="9"/>
      <c r="L73" s="9"/>
      <c r="M73" s="10"/>
    </row>
    <row r="74" spans="1:13" ht="10.5" customHeight="1" x14ac:dyDescent="0.15">
      <c r="A74" s="42"/>
      <c r="B74" s="12" t="s">
        <v>77</v>
      </c>
      <c r="C74" s="9"/>
      <c r="D74" s="9"/>
      <c r="E74" s="41">
        <f>'[1]81.01'!$D$8</f>
        <v>0</v>
      </c>
      <c r="F74" s="41">
        <v>0</v>
      </c>
      <c r="G74" s="9">
        <f t="shared" ref="G74:J89" si="6">E74</f>
        <v>0</v>
      </c>
      <c r="H74" s="9">
        <f t="shared" si="6"/>
        <v>0</v>
      </c>
      <c r="I74" s="9">
        <f t="shared" si="6"/>
        <v>0</v>
      </c>
      <c r="J74" s="9">
        <f t="shared" si="6"/>
        <v>0</v>
      </c>
      <c r="K74" s="9"/>
      <c r="L74" s="9"/>
      <c r="M74" s="10"/>
    </row>
    <row r="75" spans="1:13" ht="10.5" customHeight="1" x14ac:dyDescent="0.15">
      <c r="A75" s="42"/>
      <c r="B75" s="12" t="s">
        <v>78</v>
      </c>
      <c r="C75" s="9"/>
      <c r="D75" s="9"/>
      <c r="E75" s="41">
        <f>'[1]81.01'!$D$35</f>
        <v>0</v>
      </c>
      <c r="F75" s="41">
        <v>0</v>
      </c>
      <c r="G75" s="9">
        <f t="shared" si="6"/>
        <v>0</v>
      </c>
      <c r="H75" s="9">
        <f t="shared" si="6"/>
        <v>0</v>
      </c>
      <c r="I75" s="9">
        <f t="shared" si="6"/>
        <v>0</v>
      </c>
      <c r="J75" s="9">
        <f t="shared" si="6"/>
        <v>0</v>
      </c>
      <c r="K75" s="9"/>
      <c r="L75" s="9"/>
      <c r="M75" s="9">
        <v>-373724391</v>
      </c>
    </row>
    <row r="76" spans="1:13" ht="10.5" customHeight="1" x14ac:dyDescent="0.15">
      <c r="A76" s="42"/>
      <c r="B76" s="12" t="s">
        <v>79</v>
      </c>
      <c r="C76" s="9"/>
      <c r="D76" s="9"/>
      <c r="E76" s="41">
        <f>'[1]81.01'!$D$75</f>
        <v>0</v>
      </c>
      <c r="F76" s="41">
        <v>0</v>
      </c>
      <c r="G76" s="9">
        <f t="shared" si="6"/>
        <v>0</v>
      </c>
      <c r="H76" s="9">
        <f t="shared" si="6"/>
        <v>0</v>
      </c>
      <c r="I76" s="9">
        <f t="shared" si="6"/>
        <v>0</v>
      </c>
      <c r="J76" s="9">
        <f t="shared" si="6"/>
        <v>0</v>
      </c>
      <c r="K76" s="9"/>
      <c r="L76" s="9"/>
      <c r="M76" s="10"/>
    </row>
    <row r="77" spans="1:13" ht="10.5" customHeight="1" x14ac:dyDescent="0.15">
      <c r="A77" s="40" t="s">
        <v>76</v>
      </c>
      <c r="B77" s="12"/>
      <c r="C77" s="9"/>
      <c r="D77" s="9"/>
      <c r="E77" s="41"/>
      <c r="F77" s="41"/>
      <c r="G77" s="9">
        <f t="shared" si="6"/>
        <v>0</v>
      </c>
      <c r="H77" s="9">
        <f t="shared" si="6"/>
        <v>0</v>
      </c>
      <c r="I77" s="9">
        <f t="shared" si="6"/>
        <v>0</v>
      </c>
      <c r="J77" s="9">
        <f t="shared" si="6"/>
        <v>0</v>
      </c>
      <c r="K77" s="9"/>
      <c r="L77" s="9"/>
      <c r="M77" s="10">
        <f>L65+M75</f>
        <v>-373724391</v>
      </c>
    </row>
    <row r="78" spans="1:13" ht="10.5" customHeight="1" x14ac:dyDescent="0.15">
      <c r="A78" s="42"/>
      <c r="B78" s="4" t="s">
        <v>33</v>
      </c>
      <c r="C78" s="9"/>
      <c r="D78" s="9"/>
      <c r="E78" s="41">
        <f>'[1]81.02-81.03'!$D$8</f>
        <v>0</v>
      </c>
      <c r="F78" s="41">
        <v>0</v>
      </c>
      <c r="G78" s="9">
        <f t="shared" si="6"/>
        <v>0</v>
      </c>
      <c r="H78" s="9">
        <f t="shared" si="6"/>
        <v>0</v>
      </c>
      <c r="I78" s="9">
        <f t="shared" si="6"/>
        <v>0</v>
      </c>
      <c r="J78" s="9">
        <f t="shared" si="6"/>
        <v>0</v>
      </c>
      <c r="K78" s="9"/>
      <c r="L78" s="9"/>
      <c r="M78" s="10"/>
    </row>
    <row r="79" spans="1:13" ht="10.5" customHeight="1" x14ac:dyDescent="0.15">
      <c r="A79" s="42"/>
      <c r="B79" s="4" t="s">
        <v>35</v>
      </c>
      <c r="C79" s="9"/>
      <c r="D79" s="9"/>
      <c r="E79" s="41">
        <f>'[1]81.02-81.03'!$D$35</f>
        <v>0</v>
      </c>
      <c r="F79" s="41">
        <f>'[1]81.02-81.03'!$E$35</f>
        <v>0</v>
      </c>
      <c r="G79" s="9">
        <f t="shared" si="6"/>
        <v>0</v>
      </c>
      <c r="H79" s="9">
        <f t="shared" si="6"/>
        <v>0</v>
      </c>
      <c r="I79" s="9">
        <f t="shared" si="6"/>
        <v>0</v>
      </c>
      <c r="J79" s="9">
        <f t="shared" si="6"/>
        <v>0</v>
      </c>
      <c r="K79" s="9"/>
      <c r="L79" s="9"/>
      <c r="M79" s="10"/>
    </row>
    <row r="80" spans="1:13" ht="10.5" customHeight="1" x14ac:dyDescent="0.15">
      <c r="A80" s="42"/>
      <c r="B80" s="4" t="s">
        <v>34</v>
      </c>
      <c r="C80" s="9"/>
      <c r="D80" s="9"/>
      <c r="E80" s="41">
        <f>'[1]81.02-81.03'!$D$48</f>
        <v>0</v>
      </c>
      <c r="F80" s="41">
        <v>0</v>
      </c>
      <c r="G80" s="9">
        <f t="shared" si="6"/>
        <v>0</v>
      </c>
      <c r="H80" s="9">
        <f t="shared" si="6"/>
        <v>0</v>
      </c>
      <c r="I80" s="9">
        <f t="shared" si="6"/>
        <v>0</v>
      </c>
      <c r="J80" s="9">
        <f t="shared" si="6"/>
        <v>0</v>
      </c>
      <c r="K80" s="9"/>
      <c r="L80" s="9"/>
      <c r="M80" s="10"/>
    </row>
    <row r="81" spans="1:13" ht="10.5" customHeight="1" x14ac:dyDescent="0.15">
      <c r="A81" s="42"/>
      <c r="B81" s="4" t="s">
        <v>73</v>
      </c>
      <c r="C81" s="9"/>
      <c r="D81" s="9"/>
      <c r="E81" s="41">
        <f>'[1]81.02-81.03'!$D$76</f>
        <v>0</v>
      </c>
      <c r="F81" s="41">
        <f>'[1]81.02-81.03'!$E$76</f>
        <v>0</v>
      </c>
      <c r="G81" s="9">
        <f t="shared" si="6"/>
        <v>0</v>
      </c>
      <c r="H81" s="9">
        <f t="shared" si="6"/>
        <v>0</v>
      </c>
      <c r="I81" s="9">
        <f t="shared" si="6"/>
        <v>0</v>
      </c>
      <c r="J81" s="9">
        <f t="shared" si="6"/>
        <v>0</v>
      </c>
      <c r="K81" s="9"/>
      <c r="L81" s="9"/>
      <c r="M81" s="10"/>
    </row>
    <row r="82" spans="1:13" ht="10.5" customHeight="1" x14ac:dyDescent="0.15">
      <c r="A82" s="42"/>
      <c r="B82" s="4" t="s">
        <v>74</v>
      </c>
      <c r="C82" s="9"/>
      <c r="D82" s="9"/>
      <c r="E82" s="41">
        <f>'[1]81.02-81.03'!$D$93</f>
        <v>0</v>
      </c>
      <c r="F82" s="41">
        <f>'[1]81.02-81.03'!$E$93</f>
        <v>0</v>
      </c>
      <c r="G82" s="9">
        <f t="shared" si="6"/>
        <v>0</v>
      </c>
      <c r="H82" s="9">
        <f t="shared" si="6"/>
        <v>0</v>
      </c>
      <c r="I82" s="9">
        <f t="shared" si="6"/>
        <v>0</v>
      </c>
      <c r="J82" s="9">
        <f t="shared" si="6"/>
        <v>0</v>
      </c>
      <c r="K82" s="9"/>
      <c r="L82" s="9"/>
      <c r="M82" s="10"/>
    </row>
    <row r="83" spans="1:13" ht="10.5" customHeight="1" x14ac:dyDescent="0.15">
      <c r="A83" s="42"/>
      <c r="B83" s="4" t="s">
        <v>75</v>
      </c>
      <c r="C83" s="9"/>
      <c r="D83" s="9"/>
      <c r="E83" s="41">
        <f>'[1]81.02-81.03'!$D$116</f>
        <v>0</v>
      </c>
      <c r="F83" s="41">
        <f>'[1]81.02-81.03'!$E$116</f>
        <v>0</v>
      </c>
      <c r="G83" s="9">
        <f t="shared" si="6"/>
        <v>0</v>
      </c>
      <c r="H83" s="9">
        <f t="shared" si="6"/>
        <v>0</v>
      </c>
      <c r="I83" s="9">
        <f t="shared" si="6"/>
        <v>0</v>
      </c>
      <c r="J83" s="9">
        <f t="shared" si="6"/>
        <v>0</v>
      </c>
      <c r="K83" s="9"/>
      <c r="L83" s="9"/>
      <c r="M83" s="10"/>
    </row>
    <row r="84" spans="1:13" ht="10.5" customHeight="1" x14ac:dyDescent="0.15">
      <c r="A84" s="11" t="s">
        <v>36</v>
      </c>
      <c r="B84" s="12"/>
      <c r="C84" s="9"/>
      <c r="D84" s="9"/>
      <c r="E84" s="41"/>
      <c r="F84" s="41"/>
      <c r="G84" s="9">
        <f t="shared" si="6"/>
        <v>0</v>
      </c>
      <c r="H84" s="9">
        <f t="shared" si="6"/>
        <v>0</v>
      </c>
      <c r="I84" s="9">
        <f t="shared" si="6"/>
        <v>0</v>
      </c>
      <c r="J84" s="9">
        <f t="shared" si="6"/>
        <v>0</v>
      </c>
      <c r="K84" s="9"/>
      <c r="L84" s="9"/>
      <c r="M84" s="10"/>
    </row>
    <row r="85" spans="1:13" ht="10.5" customHeight="1" x14ac:dyDescent="0.15">
      <c r="A85" s="11" t="s">
        <v>37</v>
      </c>
      <c r="B85" s="12"/>
      <c r="C85" s="9"/>
      <c r="D85" s="9"/>
      <c r="E85" s="9"/>
      <c r="F85" s="41"/>
      <c r="G85" s="9">
        <f t="shared" si="6"/>
        <v>0</v>
      </c>
      <c r="H85" s="9">
        <f t="shared" si="6"/>
        <v>0</v>
      </c>
      <c r="I85" s="9">
        <f t="shared" si="6"/>
        <v>0</v>
      </c>
      <c r="J85" s="9">
        <f>H85</f>
        <v>0</v>
      </c>
      <c r="K85" s="9"/>
      <c r="L85" s="9"/>
      <c r="M85" s="10"/>
    </row>
    <row r="86" spans="1:13" ht="10.5" customHeight="1" x14ac:dyDescent="0.15">
      <c r="A86" s="11"/>
      <c r="B86" s="12" t="s">
        <v>57</v>
      </c>
      <c r="C86" s="14"/>
      <c r="D86" s="9"/>
      <c r="E86" s="9">
        <v>0</v>
      </c>
      <c r="F86" s="9"/>
      <c r="G86" s="9">
        <f t="shared" si="6"/>
        <v>0</v>
      </c>
      <c r="H86" s="9">
        <f t="shared" si="6"/>
        <v>0</v>
      </c>
      <c r="I86" s="9">
        <f t="shared" si="6"/>
        <v>0</v>
      </c>
      <c r="J86" s="9">
        <f t="shared" si="6"/>
        <v>0</v>
      </c>
      <c r="K86" s="9"/>
      <c r="L86" s="9"/>
      <c r="M86" s="10"/>
    </row>
    <row r="87" spans="1:13" ht="10.5" customHeight="1" x14ac:dyDescent="0.15">
      <c r="A87" s="11"/>
      <c r="B87" s="12" t="s">
        <v>58</v>
      </c>
      <c r="C87" s="14"/>
      <c r="D87" s="9"/>
      <c r="E87" s="9">
        <v>0</v>
      </c>
      <c r="F87" s="9"/>
      <c r="G87" s="9">
        <f t="shared" si="6"/>
        <v>0</v>
      </c>
      <c r="H87" s="9">
        <f t="shared" si="6"/>
        <v>0</v>
      </c>
      <c r="I87" s="9">
        <f t="shared" si="6"/>
        <v>0</v>
      </c>
      <c r="J87" s="9">
        <f t="shared" si="6"/>
        <v>0</v>
      </c>
      <c r="K87" s="9"/>
      <c r="L87" s="9"/>
      <c r="M87" s="10"/>
    </row>
    <row r="88" spans="1:13" ht="10.5" customHeight="1" x14ac:dyDescent="0.15">
      <c r="A88" s="11"/>
      <c r="B88" s="12" t="s">
        <v>59</v>
      </c>
      <c r="C88" s="14"/>
      <c r="D88" s="9"/>
      <c r="E88" s="9">
        <v>0</v>
      </c>
      <c r="F88" s="9"/>
      <c r="G88" s="9">
        <f t="shared" si="6"/>
        <v>0</v>
      </c>
      <c r="H88" s="9">
        <f t="shared" si="6"/>
        <v>0</v>
      </c>
      <c r="I88" s="9">
        <f t="shared" si="6"/>
        <v>0</v>
      </c>
      <c r="J88" s="9">
        <f t="shared" si="6"/>
        <v>0</v>
      </c>
      <c r="K88" s="9"/>
      <c r="L88" s="9"/>
      <c r="M88" s="10"/>
    </row>
    <row r="89" spans="1:13" ht="10.5" customHeight="1" x14ac:dyDescent="0.15">
      <c r="A89" s="11"/>
      <c r="B89" s="12" t="s">
        <v>60</v>
      </c>
      <c r="C89" s="14"/>
      <c r="D89" s="9"/>
      <c r="E89" s="9">
        <v>0</v>
      </c>
      <c r="F89" s="9"/>
      <c r="G89" s="9">
        <f t="shared" si="6"/>
        <v>0</v>
      </c>
      <c r="H89" s="9">
        <f t="shared" si="6"/>
        <v>0</v>
      </c>
      <c r="I89" s="9">
        <f t="shared" si="6"/>
        <v>0</v>
      </c>
      <c r="J89" s="9">
        <f t="shared" si="6"/>
        <v>0</v>
      </c>
      <c r="K89" s="9"/>
      <c r="L89" s="9"/>
      <c r="M89" s="10"/>
    </row>
    <row r="90" spans="1:13" ht="10.5" customHeight="1" x14ac:dyDescent="0.15">
      <c r="A90" s="11"/>
      <c r="B90" s="12" t="s">
        <v>61</v>
      </c>
      <c r="C90" s="14"/>
      <c r="D90" s="9"/>
      <c r="E90" s="9">
        <v>0</v>
      </c>
      <c r="F90" s="9"/>
      <c r="G90" s="9">
        <f t="shared" ref="G90:J109" si="7">E90</f>
        <v>0</v>
      </c>
      <c r="H90" s="9">
        <f t="shared" si="7"/>
        <v>0</v>
      </c>
      <c r="I90" s="9">
        <f t="shared" si="7"/>
        <v>0</v>
      </c>
      <c r="J90" s="9">
        <f t="shared" si="7"/>
        <v>0</v>
      </c>
      <c r="K90" s="9"/>
      <c r="L90" s="9"/>
      <c r="M90" s="10"/>
    </row>
    <row r="91" spans="1:13" ht="10.5" customHeight="1" x14ac:dyDescent="0.15">
      <c r="A91" s="11"/>
      <c r="B91" s="12" t="s">
        <v>62</v>
      </c>
      <c r="C91" s="14"/>
      <c r="D91" s="9"/>
      <c r="E91" s="9">
        <v>0</v>
      </c>
      <c r="F91" s="9"/>
      <c r="G91" s="9">
        <f t="shared" si="7"/>
        <v>0</v>
      </c>
      <c r="H91" s="9">
        <f t="shared" si="7"/>
        <v>0</v>
      </c>
      <c r="I91" s="9">
        <f t="shared" si="7"/>
        <v>0</v>
      </c>
      <c r="J91" s="9">
        <f t="shared" si="7"/>
        <v>0</v>
      </c>
      <c r="K91" s="9"/>
      <c r="L91" s="9"/>
      <c r="M91" s="10"/>
    </row>
    <row r="92" spans="1:13" ht="10.5" customHeight="1" x14ac:dyDescent="0.15">
      <c r="A92" s="11"/>
      <c r="B92" s="12" t="s">
        <v>94</v>
      </c>
      <c r="C92" s="14"/>
      <c r="D92" s="9"/>
      <c r="E92" s="9">
        <v>0</v>
      </c>
      <c r="F92" s="9"/>
      <c r="G92" s="9">
        <f t="shared" si="7"/>
        <v>0</v>
      </c>
      <c r="H92" s="9">
        <f t="shared" si="7"/>
        <v>0</v>
      </c>
      <c r="I92" s="9">
        <f t="shared" si="7"/>
        <v>0</v>
      </c>
      <c r="J92" s="9">
        <f t="shared" si="7"/>
        <v>0</v>
      </c>
      <c r="K92" s="9"/>
      <c r="L92" s="9"/>
      <c r="M92" s="10"/>
    </row>
    <row r="93" spans="1:13" ht="10.5" customHeight="1" x14ac:dyDescent="0.15">
      <c r="A93" s="11"/>
      <c r="B93" s="12" t="s">
        <v>63</v>
      </c>
      <c r="C93" s="14"/>
      <c r="D93" s="9"/>
      <c r="E93" s="9">
        <v>0</v>
      </c>
      <c r="F93" s="9"/>
      <c r="G93" s="9">
        <f t="shared" si="7"/>
        <v>0</v>
      </c>
      <c r="H93" s="9">
        <f t="shared" si="7"/>
        <v>0</v>
      </c>
      <c r="I93" s="9">
        <f t="shared" si="7"/>
        <v>0</v>
      </c>
      <c r="J93" s="9">
        <f t="shared" si="7"/>
        <v>0</v>
      </c>
      <c r="K93" s="9"/>
      <c r="L93" s="9"/>
      <c r="M93" s="10"/>
    </row>
    <row r="94" spans="1:13" ht="10.5" customHeight="1" x14ac:dyDescent="0.15">
      <c r="A94" s="11"/>
      <c r="B94" s="12" t="s">
        <v>64</v>
      </c>
      <c r="C94" s="14"/>
      <c r="D94" s="9"/>
      <c r="E94" s="9">
        <f>SUM('[3]RINCIAN B. TDK LANGSUNG'!$E$62:$F$62)</f>
        <v>0</v>
      </c>
      <c r="F94" s="9"/>
      <c r="G94" s="9">
        <f t="shared" si="7"/>
        <v>0</v>
      </c>
      <c r="H94" s="9">
        <f t="shared" si="7"/>
        <v>0</v>
      </c>
      <c r="I94" s="9">
        <f t="shared" si="7"/>
        <v>0</v>
      </c>
      <c r="J94" s="9">
        <f t="shared" si="7"/>
        <v>0</v>
      </c>
      <c r="K94" s="9"/>
      <c r="L94" s="9"/>
      <c r="M94" s="10"/>
    </row>
    <row r="95" spans="1:13" ht="10.5" customHeight="1" x14ac:dyDescent="0.15">
      <c r="A95" s="11"/>
      <c r="B95" s="12" t="s">
        <v>65</v>
      </c>
      <c r="C95" s="14"/>
      <c r="D95" s="9"/>
      <c r="E95" s="9">
        <v>0</v>
      </c>
      <c r="F95" s="9"/>
      <c r="G95" s="9">
        <f t="shared" si="7"/>
        <v>0</v>
      </c>
      <c r="H95" s="9">
        <f t="shared" si="7"/>
        <v>0</v>
      </c>
      <c r="I95" s="9">
        <f t="shared" si="7"/>
        <v>0</v>
      </c>
      <c r="J95" s="9">
        <f t="shared" si="7"/>
        <v>0</v>
      </c>
      <c r="K95" s="9"/>
      <c r="L95" s="9"/>
      <c r="M95" s="10"/>
    </row>
    <row r="96" spans="1:13" ht="10.5" customHeight="1" x14ac:dyDescent="0.15">
      <c r="A96" s="43" t="s">
        <v>44</v>
      </c>
      <c r="B96" s="44"/>
      <c r="C96" s="24"/>
      <c r="D96" s="24"/>
      <c r="E96" s="24"/>
      <c r="F96" s="24"/>
      <c r="G96" s="9">
        <f t="shared" si="7"/>
        <v>0</v>
      </c>
      <c r="H96" s="9">
        <f t="shared" si="7"/>
        <v>0</v>
      </c>
      <c r="I96" s="9">
        <f t="shared" si="7"/>
        <v>0</v>
      </c>
      <c r="J96" s="9">
        <f t="shared" si="7"/>
        <v>0</v>
      </c>
      <c r="K96" s="9"/>
      <c r="L96" s="9"/>
      <c r="M96" s="10"/>
    </row>
    <row r="97" spans="1:13" ht="10.5" customHeight="1" x14ac:dyDescent="0.15">
      <c r="A97" s="45"/>
      <c r="B97" s="46" t="s">
        <v>45</v>
      </c>
      <c r="C97" s="24"/>
      <c r="D97" s="24"/>
      <c r="E97" s="24"/>
      <c r="F97" s="24"/>
      <c r="G97" s="9">
        <f>E97</f>
        <v>0</v>
      </c>
      <c r="H97" s="9">
        <f t="shared" si="7"/>
        <v>0</v>
      </c>
      <c r="I97" s="9">
        <f t="shared" si="7"/>
        <v>0</v>
      </c>
      <c r="J97" s="9">
        <f t="shared" si="7"/>
        <v>0</v>
      </c>
      <c r="K97" s="9"/>
      <c r="L97" s="9"/>
      <c r="M97" s="10"/>
    </row>
    <row r="98" spans="1:13" ht="10.5" customHeight="1" x14ac:dyDescent="0.15">
      <c r="A98" s="45"/>
      <c r="B98" s="47" t="s">
        <v>84</v>
      </c>
      <c r="C98" s="24"/>
      <c r="D98" s="24"/>
      <c r="E98" s="24">
        <f>'[1]88.00'!$D$73</f>
        <v>0</v>
      </c>
      <c r="F98" s="9">
        <f>'[1]88.00'!$E$78</f>
        <v>0</v>
      </c>
      <c r="G98" s="9">
        <f t="shared" ref="G98" si="8">E98</f>
        <v>0</v>
      </c>
      <c r="H98" s="9">
        <f t="shared" si="7"/>
        <v>0</v>
      </c>
      <c r="I98" s="9">
        <f t="shared" si="7"/>
        <v>0</v>
      </c>
      <c r="J98" s="9">
        <f t="shared" si="7"/>
        <v>0</v>
      </c>
      <c r="K98" s="9"/>
      <c r="L98" s="9"/>
      <c r="M98" s="10"/>
    </row>
    <row r="99" spans="1:13" ht="10.5" customHeight="1" x14ac:dyDescent="0.15">
      <c r="A99" s="45"/>
      <c r="B99" s="47" t="s">
        <v>80</v>
      </c>
      <c r="C99" s="24"/>
      <c r="D99" s="24"/>
      <c r="E99" s="9">
        <f>'[1]88.00'!$D$8</f>
        <v>0</v>
      </c>
      <c r="F99" s="9">
        <v>0</v>
      </c>
      <c r="G99" s="9"/>
      <c r="H99" s="9">
        <f>F99-E99</f>
        <v>0</v>
      </c>
      <c r="I99" s="9">
        <f t="shared" si="7"/>
        <v>0</v>
      </c>
      <c r="J99" s="9">
        <f t="shared" si="7"/>
        <v>0</v>
      </c>
      <c r="K99" s="9"/>
      <c r="L99" s="9"/>
      <c r="M99" s="10"/>
    </row>
    <row r="100" spans="1:13" ht="10.5" customHeight="1" x14ac:dyDescent="0.15">
      <c r="A100" s="45"/>
      <c r="B100" s="47" t="s">
        <v>81</v>
      </c>
      <c r="C100" s="24"/>
      <c r="D100" s="24"/>
      <c r="E100" s="24">
        <f>'[1]88.00'!$D$35</f>
        <v>0</v>
      </c>
      <c r="F100" s="9">
        <v>0</v>
      </c>
      <c r="G100" s="9">
        <f t="shared" ref="G100:H102" si="9">E100</f>
        <v>0</v>
      </c>
      <c r="H100" s="9">
        <f t="shared" si="9"/>
        <v>0</v>
      </c>
      <c r="I100" s="9">
        <f t="shared" si="7"/>
        <v>0</v>
      </c>
      <c r="J100" s="9">
        <f t="shared" si="7"/>
        <v>0</v>
      </c>
      <c r="K100" s="9"/>
      <c r="L100" s="9"/>
      <c r="M100" s="10"/>
    </row>
    <row r="101" spans="1:13" ht="10.5" customHeight="1" x14ac:dyDescent="0.15">
      <c r="A101" s="45"/>
      <c r="B101" s="47" t="s">
        <v>82</v>
      </c>
      <c r="C101" s="24"/>
      <c r="D101" s="24"/>
      <c r="E101" s="24">
        <f>'[1]88.00'!$D$103</f>
        <v>0</v>
      </c>
      <c r="F101" s="9">
        <f>'[1]88.00'!$E$103</f>
        <v>0</v>
      </c>
      <c r="G101" s="9">
        <f t="shared" si="9"/>
        <v>0</v>
      </c>
      <c r="H101" s="9">
        <f t="shared" si="9"/>
        <v>0</v>
      </c>
      <c r="I101" s="9">
        <f t="shared" si="7"/>
        <v>0</v>
      </c>
      <c r="J101" s="9">
        <f t="shared" si="7"/>
        <v>0</v>
      </c>
      <c r="K101" s="9"/>
      <c r="L101" s="9"/>
      <c r="M101" s="10"/>
    </row>
    <row r="102" spans="1:13" ht="10.5" customHeight="1" x14ac:dyDescent="0.15">
      <c r="A102" s="45"/>
      <c r="B102" s="46" t="s">
        <v>46</v>
      </c>
      <c r="C102" s="24"/>
      <c r="D102" s="24"/>
      <c r="E102" s="9">
        <v>0</v>
      </c>
      <c r="F102" s="9">
        <f>'[1]98.00'!$E$8</f>
        <v>0</v>
      </c>
      <c r="G102" s="9">
        <f t="shared" si="9"/>
        <v>0</v>
      </c>
      <c r="H102" s="9">
        <f t="shared" si="9"/>
        <v>0</v>
      </c>
      <c r="I102" s="9">
        <f t="shared" si="7"/>
        <v>0</v>
      </c>
      <c r="J102" s="9">
        <f t="shared" si="7"/>
        <v>0</v>
      </c>
      <c r="K102" s="9"/>
      <c r="L102" s="9"/>
      <c r="M102" s="10"/>
    </row>
    <row r="103" spans="1:13" ht="10.5" customHeight="1" x14ac:dyDescent="0.15">
      <c r="A103" s="45"/>
      <c r="B103" s="44"/>
      <c r="C103" s="24"/>
      <c r="D103" s="24"/>
      <c r="E103" s="24"/>
      <c r="F103" s="24"/>
      <c r="G103" s="9"/>
      <c r="H103" s="9"/>
      <c r="I103" s="24">
        <f t="shared" si="7"/>
        <v>0</v>
      </c>
      <c r="J103" s="24">
        <f t="shared" si="7"/>
        <v>0</v>
      </c>
      <c r="K103" s="24"/>
      <c r="L103" s="24"/>
      <c r="M103" s="10"/>
    </row>
    <row r="104" spans="1:13" ht="10.5" customHeight="1" x14ac:dyDescent="0.15">
      <c r="A104" s="69" t="s">
        <v>38</v>
      </c>
      <c r="B104" s="69"/>
      <c r="C104" s="18"/>
      <c r="D104" s="18"/>
      <c r="E104" s="18">
        <f>SUM(E72:E103)</f>
        <v>0</v>
      </c>
      <c r="F104" s="18">
        <f>SUM(F72:F103)</f>
        <v>0</v>
      </c>
      <c r="G104" s="18">
        <f>SUM(G72:G103)+G66+G52</f>
        <v>0</v>
      </c>
      <c r="H104" s="18">
        <f>SUM(H72:H103)+H66+H52</f>
        <v>0</v>
      </c>
      <c r="I104" s="18">
        <f>SUM(I72:I103)+I66+I52</f>
        <v>0</v>
      </c>
      <c r="J104" s="18">
        <f>SUM(J72:J103)+J66+J52</f>
        <v>0</v>
      </c>
      <c r="K104" s="18"/>
      <c r="L104" s="18"/>
      <c r="M104" s="10"/>
    </row>
    <row r="105" spans="1:13" ht="10.5" customHeight="1" thickBot="1" x14ac:dyDescent="0.2">
      <c r="A105" s="70" t="s">
        <v>95</v>
      </c>
      <c r="B105" s="70"/>
      <c r="C105" s="48"/>
      <c r="D105" s="48"/>
      <c r="E105" s="28"/>
      <c r="F105" s="28">
        <f>F104-E104</f>
        <v>0</v>
      </c>
      <c r="G105" s="29"/>
      <c r="H105" s="29">
        <f>H104-G104</f>
        <v>0</v>
      </c>
      <c r="I105" s="29"/>
      <c r="J105" s="29">
        <f>J104-I104</f>
        <v>0</v>
      </c>
      <c r="K105" s="29"/>
      <c r="L105" s="29"/>
      <c r="M105" s="10"/>
    </row>
    <row r="106" spans="1:13" ht="12.75" customHeight="1" thickTop="1" x14ac:dyDescent="0.15">
      <c r="F106" s="52"/>
      <c r="H106" s="15"/>
    </row>
    <row r="107" spans="1:13" ht="11.25" customHeight="1" x14ac:dyDescent="0.2">
      <c r="B107" s="71" t="s">
        <v>83</v>
      </c>
      <c r="C107" s="71"/>
      <c r="D107" s="71"/>
      <c r="E107" s="54"/>
      <c r="F107" s="54"/>
      <c r="G107" s="54"/>
      <c r="H107" s="54"/>
      <c r="I107" s="1"/>
      <c r="J107" s="71"/>
      <c r="K107" s="71"/>
      <c r="L107" s="71"/>
    </row>
    <row r="108" spans="1:13" ht="11.25" customHeight="1" x14ac:dyDescent="0.2">
      <c r="B108" s="71" t="s">
        <v>89</v>
      </c>
      <c r="C108" s="71"/>
      <c r="D108" s="71"/>
      <c r="E108" s="54"/>
      <c r="F108" s="54"/>
      <c r="G108" s="55">
        <f>E105-G105</f>
        <v>0</v>
      </c>
      <c r="H108" s="55"/>
      <c r="I108" s="71" t="s">
        <v>55</v>
      </c>
      <c r="J108" s="71"/>
      <c r="K108" s="71"/>
      <c r="L108" s="71"/>
    </row>
    <row r="109" spans="1:13" ht="11.25" customHeight="1" x14ac:dyDescent="0.2">
      <c r="B109" s="71" t="s">
        <v>92</v>
      </c>
      <c r="C109" s="71"/>
      <c r="D109" s="71"/>
      <c r="E109" s="54"/>
      <c r="F109" s="54"/>
      <c r="G109" s="54"/>
      <c r="H109" s="54"/>
      <c r="I109" s="71" t="s">
        <v>91</v>
      </c>
      <c r="J109" s="71"/>
      <c r="K109" s="71"/>
      <c r="L109" s="71"/>
    </row>
    <row r="110" spans="1:13" ht="11.25" customHeight="1" x14ac:dyDescent="0.2">
      <c r="B110" s="71"/>
      <c r="C110" s="71"/>
      <c r="D110" s="1"/>
      <c r="E110" s="1"/>
      <c r="F110" s="54"/>
      <c r="G110" s="54"/>
      <c r="H110" s="76"/>
      <c r="I110" s="76"/>
      <c r="J110" s="71"/>
      <c r="K110" s="71"/>
      <c r="L110" s="71"/>
    </row>
    <row r="111" spans="1:13" ht="11.25" customHeight="1" x14ac:dyDescent="0.2">
      <c r="B111" s="2"/>
      <c r="C111" s="2"/>
      <c r="D111" s="1"/>
      <c r="E111" s="1"/>
      <c r="F111" s="3"/>
      <c r="G111" s="3"/>
      <c r="H111" s="3"/>
      <c r="I111" s="3"/>
      <c r="J111" s="2"/>
      <c r="K111" s="2"/>
      <c r="L111" s="2"/>
    </row>
    <row r="112" spans="1:13" ht="11.25" customHeight="1" x14ac:dyDescent="0.2">
      <c r="B112" s="71"/>
      <c r="C112" s="71"/>
      <c r="D112" s="1"/>
      <c r="E112" s="1"/>
      <c r="F112" s="76"/>
      <c r="G112" s="76"/>
      <c r="H112" s="76"/>
      <c r="I112" s="76"/>
      <c r="J112" s="71"/>
      <c r="K112" s="71"/>
      <c r="L112" s="71"/>
    </row>
    <row r="113" spans="2:12" ht="11.25" customHeight="1" x14ac:dyDescent="0.2">
      <c r="B113" s="78" t="s">
        <v>96</v>
      </c>
      <c r="C113" s="78"/>
      <c r="D113" s="78"/>
      <c r="E113" s="78"/>
      <c r="F113" s="78"/>
      <c r="G113" s="78"/>
      <c r="H113" s="78"/>
      <c r="I113" s="78" t="s">
        <v>97</v>
      </c>
      <c r="J113" s="78"/>
      <c r="K113" s="78"/>
      <c r="L113" s="78"/>
    </row>
    <row r="114" spans="2:12" ht="11.25" customHeight="1" x14ac:dyDescent="0.15">
      <c r="B114" s="77"/>
      <c r="C114" s="77"/>
      <c r="D114" s="49"/>
      <c r="E114" s="77"/>
      <c r="F114" s="77"/>
      <c r="G114" s="77"/>
      <c r="H114" s="77"/>
      <c r="I114" s="49"/>
      <c r="J114" s="77"/>
      <c r="K114" s="77"/>
      <c r="L114" s="77"/>
    </row>
    <row r="116" spans="2:12" ht="11.25" customHeight="1" x14ac:dyDescent="0.15">
      <c r="E116" s="17"/>
    </row>
    <row r="117" spans="2:12" ht="11.25" customHeight="1" x14ac:dyDescent="0.15">
      <c r="E117" s="17"/>
    </row>
    <row r="118" spans="2:12" ht="11.25" customHeight="1" x14ac:dyDescent="0.15">
      <c r="E118" s="17"/>
    </row>
    <row r="119" spans="2:12" ht="11.25" customHeight="1" x14ac:dyDescent="0.15">
      <c r="E119" s="17"/>
    </row>
    <row r="120" spans="2:12" ht="11.25" customHeight="1" x14ac:dyDescent="0.15">
      <c r="E120" s="17"/>
    </row>
    <row r="121" spans="2:12" ht="11.25" customHeight="1" x14ac:dyDescent="0.15">
      <c r="E121" s="17"/>
    </row>
    <row r="122" spans="2:12" ht="11.25" customHeight="1" x14ac:dyDescent="0.15">
      <c r="E122" s="51"/>
    </row>
    <row r="123" spans="2:12" ht="11.25" customHeight="1" x14ac:dyDescent="0.15">
      <c r="E123" s="50"/>
    </row>
  </sheetData>
  <mergeCells count="46">
    <mergeCell ref="B113:D113"/>
    <mergeCell ref="E113:H113"/>
    <mergeCell ref="I113:L113"/>
    <mergeCell ref="B114:C114"/>
    <mergeCell ref="E114:H114"/>
    <mergeCell ref="J114:L114"/>
    <mergeCell ref="B110:C110"/>
    <mergeCell ref="H110:I110"/>
    <mergeCell ref="J110:L110"/>
    <mergeCell ref="B112:C112"/>
    <mergeCell ref="F112:G112"/>
    <mergeCell ref="H112:I112"/>
    <mergeCell ref="J112:L112"/>
    <mergeCell ref="A105:B105"/>
    <mergeCell ref="B107:D107"/>
    <mergeCell ref="J107:L107"/>
    <mergeCell ref="B108:D108"/>
    <mergeCell ref="I108:L108"/>
    <mergeCell ref="B109:D109"/>
    <mergeCell ref="I109:L109"/>
    <mergeCell ref="K69:L69"/>
    <mergeCell ref="C70:D70"/>
    <mergeCell ref="G70:H70"/>
    <mergeCell ref="I70:J70"/>
    <mergeCell ref="K70:L70"/>
    <mergeCell ref="A104:B104"/>
    <mergeCell ref="G6:H6"/>
    <mergeCell ref="I6:J6"/>
    <mergeCell ref="K6:L6"/>
    <mergeCell ref="A52:B53"/>
    <mergeCell ref="A66:B67"/>
    <mergeCell ref="A69:B71"/>
    <mergeCell ref="C69:D69"/>
    <mergeCell ref="E69:F70"/>
    <mergeCell ref="G69:H69"/>
    <mergeCell ref="I69:J69"/>
    <mergeCell ref="A1:L1"/>
    <mergeCell ref="A2:L2"/>
    <mergeCell ref="A3:L3"/>
    <mergeCell ref="A5:B7"/>
    <mergeCell ref="C5:D5"/>
    <mergeCell ref="E5:F6"/>
    <mergeCell ref="G5:H5"/>
    <mergeCell ref="I5:J5"/>
    <mergeCell ref="K5:L5"/>
    <mergeCell ref="C6:D6"/>
  </mergeCells>
  <pageMargins left="0.31496062992126" right="0.31496062992126" top="0.68" bottom="0.35433070866141703" header="0.31496062992126" footer="0.31496062992126"/>
  <pageSetup paperSize="5" scale="85" orientation="landscape" horizontalDpi="360" verticalDpi="360" r:id="rId1"/>
  <rowBreaks count="1" manualBreakCount="1">
    <brk id="60" max="13" man="1"/>
  </rowBreaks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CA01-D215-4990-BE23-10E0555FE76E}">
  <dimension ref="A1:N123"/>
  <sheetViews>
    <sheetView showWhiteSpace="0" view="pageBreakPreview" topLeftCell="A94" zoomScale="120" zoomScaleNormal="120" zoomScaleSheetLayoutView="120" zoomScalePageLayoutView="120" workbookViewId="0">
      <selection activeCell="E103" sqref="E103"/>
    </sheetView>
  </sheetViews>
  <sheetFormatPr defaultColWidth="9.140625" defaultRowHeight="11.25" customHeight="1" x14ac:dyDescent="0.15"/>
  <cols>
    <col min="1" max="1" width="2.28515625" style="4" customWidth="1"/>
    <col min="2" max="2" width="17.7109375" style="4" customWidth="1"/>
    <col min="3" max="5" width="14.5703125" style="4" customWidth="1"/>
    <col min="6" max="6" width="15.42578125" style="4" customWidth="1"/>
    <col min="7" max="7" width="15.140625" style="4" customWidth="1"/>
    <col min="8" max="8" width="16.85546875" style="4" customWidth="1"/>
    <col min="9" max="9" width="13.7109375" style="4" customWidth="1"/>
    <col min="10" max="10" width="14" style="4" customWidth="1"/>
    <col min="11" max="11" width="14.7109375" style="4" customWidth="1"/>
    <col min="12" max="12" width="14.85546875" style="4" customWidth="1"/>
    <col min="13" max="13" width="14.85546875" style="4" bestFit="1" customWidth="1"/>
    <col min="14" max="14" width="14.5703125" style="4" customWidth="1"/>
    <col min="15" max="16384" width="9.140625" style="4"/>
  </cols>
  <sheetData>
    <row r="1" spans="1:14" ht="15" customHeight="1" x14ac:dyDescent="0.2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4" ht="15" customHeight="1" x14ac:dyDescent="0.2">
      <c r="A2" s="57" t="s">
        <v>88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4" ht="14.25" customHeight="1" x14ac:dyDescent="0.2">
      <c r="A3" s="57" t="s">
        <v>104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4" ht="14.25" customHeight="1" thickBo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4" ht="10.5" customHeight="1" thickTop="1" x14ac:dyDescent="0.15">
      <c r="A5" s="58" t="s">
        <v>1</v>
      </c>
      <c r="B5" s="59"/>
      <c r="C5" s="64" t="s">
        <v>18</v>
      </c>
      <c r="D5" s="64"/>
      <c r="E5" s="58" t="s">
        <v>19</v>
      </c>
      <c r="F5" s="59"/>
      <c r="G5" s="64" t="s">
        <v>2</v>
      </c>
      <c r="H5" s="64"/>
      <c r="I5" s="58" t="s">
        <v>5</v>
      </c>
      <c r="J5" s="59"/>
      <c r="K5" s="58" t="s">
        <v>6</v>
      </c>
      <c r="L5" s="59"/>
    </row>
    <row r="6" spans="1:14" ht="10.5" customHeight="1" x14ac:dyDescent="0.15">
      <c r="A6" s="60"/>
      <c r="B6" s="61"/>
      <c r="C6" s="65" t="s">
        <v>93</v>
      </c>
      <c r="D6" s="66"/>
      <c r="E6" s="62"/>
      <c r="F6" s="63"/>
      <c r="G6" s="65" t="s">
        <v>102</v>
      </c>
      <c r="H6" s="66"/>
      <c r="I6" s="65" t="s">
        <v>102</v>
      </c>
      <c r="J6" s="66"/>
      <c r="K6" s="65" t="s">
        <v>102</v>
      </c>
      <c r="L6" s="66"/>
    </row>
    <row r="7" spans="1:14" ht="10.5" customHeight="1" x14ac:dyDescent="0.15">
      <c r="A7" s="62"/>
      <c r="B7" s="63"/>
      <c r="C7" s="6" t="s">
        <v>3</v>
      </c>
      <c r="D7" s="6" t="s">
        <v>4</v>
      </c>
      <c r="E7" s="6" t="s">
        <v>3</v>
      </c>
      <c r="F7" s="6" t="s">
        <v>4</v>
      </c>
      <c r="G7" s="6" t="s">
        <v>3</v>
      </c>
      <c r="H7" s="6" t="s">
        <v>4</v>
      </c>
      <c r="I7" s="6" t="s">
        <v>3</v>
      </c>
      <c r="J7" s="6" t="s">
        <v>4</v>
      </c>
      <c r="K7" s="6" t="s">
        <v>3</v>
      </c>
      <c r="L7" s="6" t="s">
        <v>4</v>
      </c>
      <c r="M7" s="15"/>
    </row>
    <row r="8" spans="1:14" ht="10.5" customHeight="1" x14ac:dyDescent="0.15">
      <c r="A8" s="7" t="s">
        <v>7</v>
      </c>
      <c r="B8" s="8"/>
      <c r="C8" s="9">
        <v>0</v>
      </c>
      <c r="D8" s="9"/>
      <c r="E8" s="9">
        <v>0</v>
      </c>
      <c r="F8" s="9">
        <v>0</v>
      </c>
      <c r="G8" s="9">
        <f>C8+E8-F8</f>
        <v>0</v>
      </c>
      <c r="H8" s="9"/>
      <c r="I8" s="9"/>
      <c r="J8" s="9"/>
      <c r="K8" s="9">
        <f>G8</f>
        <v>0</v>
      </c>
      <c r="L8" s="9">
        <f>H8</f>
        <v>0</v>
      </c>
      <c r="M8" s="10"/>
    </row>
    <row r="9" spans="1:14" ht="10.5" customHeight="1" x14ac:dyDescent="0.15">
      <c r="A9" s="11" t="s">
        <v>56</v>
      </c>
      <c r="B9" s="12"/>
      <c r="C9" s="9">
        <v>0</v>
      </c>
      <c r="D9" s="9"/>
      <c r="E9" s="9">
        <f>'[1]11.01-12.01'!$D$51</f>
        <v>0</v>
      </c>
      <c r="F9" s="9">
        <f>'[1]11.01-12.01'!$E$47</f>
        <v>0</v>
      </c>
      <c r="G9" s="9">
        <f>C9+E9-F9</f>
        <v>0</v>
      </c>
      <c r="H9" s="9"/>
      <c r="I9" s="9"/>
      <c r="J9" s="9"/>
      <c r="K9" s="9">
        <f>G9</f>
        <v>0</v>
      </c>
      <c r="L9" s="9">
        <f>H9</f>
        <v>0</v>
      </c>
      <c r="M9" s="10"/>
    </row>
    <row r="10" spans="1:14" ht="10.5" customHeight="1" x14ac:dyDescent="0.15">
      <c r="A10" s="13" t="s">
        <v>47</v>
      </c>
      <c r="B10" s="12"/>
      <c r="C10" s="9"/>
      <c r="D10" s="9"/>
      <c r="E10" s="9"/>
      <c r="F10" s="9"/>
      <c r="G10" s="9">
        <f t="shared" ref="G10:G26" si="0">C10+E10-F10</f>
        <v>0</v>
      </c>
      <c r="H10" s="9"/>
      <c r="I10" s="9"/>
      <c r="J10" s="9"/>
      <c r="K10" s="9">
        <f t="shared" ref="K10:N67" si="1">G10</f>
        <v>0</v>
      </c>
      <c r="L10" s="9">
        <f t="shared" si="1"/>
        <v>0</v>
      </c>
      <c r="M10" s="10"/>
    </row>
    <row r="11" spans="1:14" ht="10.5" customHeight="1" x14ac:dyDescent="0.15">
      <c r="A11" s="11"/>
      <c r="B11" s="12" t="s">
        <v>48</v>
      </c>
      <c r="C11" s="9">
        <v>0</v>
      </c>
      <c r="D11" s="9"/>
      <c r="E11" s="9">
        <v>0</v>
      </c>
      <c r="F11" s="9">
        <v>0</v>
      </c>
      <c r="G11" s="9">
        <f>C11+E11-F11</f>
        <v>0</v>
      </c>
      <c r="H11" s="9"/>
      <c r="I11" s="9"/>
      <c r="J11" s="9"/>
      <c r="K11" s="9">
        <f>G11</f>
        <v>0</v>
      </c>
      <c r="L11" s="9">
        <f t="shared" si="1"/>
        <v>0</v>
      </c>
      <c r="M11" s="10">
        <f>K11+K12+K13+K14</f>
        <v>0</v>
      </c>
    </row>
    <row r="12" spans="1:14" ht="10.5" customHeight="1" x14ac:dyDescent="0.15">
      <c r="A12" s="11"/>
      <c r="B12" s="12" t="s">
        <v>20</v>
      </c>
      <c r="C12" s="9">
        <v>0</v>
      </c>
      <c r="D12" s="9"/>
      <c r="E12" s="9">
        <v>0</v>
      </c>
      <c r="F12" s="9">
        <v>0</v>
      </c>
      <c r="G12" s="9">
        <f t="shared" si="0"/>
        <v>0</v>
      </c>
      <c r="H12" s="9"/>
      <c r="I12" s="9"/>
      <c r="J12" s="9"/>
      <c r="K12" s="9">
        <f t="shared" si="1"/>
        <v>0</v>
      </c>
      <c r="L12" s="9">
        <f t="shared" si="1"/>
        <v>0</v>
      </c>
      <c r="M12" s="10"/>
    </row>
    <row r="13" spans="1:14" ht="10.5" customHeight="1" x14ac:dyDescent="0.15">
      <c r="A13" s="11"/>
      <c r="B13" s="12" t="s">
        <v>70</v>
      </c>
      <c r="C13" s="9">
        <v>0</v>
      </c>
      <c r="D13" s="9"/>
      <c r="E13" s="9">
        <f>'[1]14.00'!$D$17</f>
        <v>0</v>
      </c>
      <c r="F13" s="9">
        <f>'[2]14.00'!$E$17</f>
        <v>0</v>
      </c>
      <c r="G13" s="9">
        <f t="shared" si="0"/>
        <v>0</v>
      </c>
      <c r="H13" s="9"/>
      <c r="I13" s="9"/>
      <c r="J13" s="9"/>
      <c r="K13" s="9">
        <f t="shared" si="1"/>
        <v>0</v>
      </c>
      <c r="L13" s="9">
        <f t="shared" si="1"/>
        <v>0</v>
      </c>
      <c r="M13" s="10"/>
    </row>
    <row r="14" spans="1:14" ht="10.5" customHeight="1" x14ac:dyDescent="0.15">
      <c r="A14" s="11"/>
      <c r="B14" s="12" t="s">
        <v>71</v>
      </c>
      <c r="C14" s="9">
        <f>'[2]13.00'!$F$127</f>
        <v>0</v>
      </c>
      <c r="D14" s="9"/>
      <c r="E14" s="9">
        <v>0</v>
      </c>
      <c r="F14" s="9">
        <v>0</v>
      </c>
      <c r="G14" s="9">
        <f t="shared" si="0"/>
        <v>0</v>
      </c>
      <c r="H14" s="9"/>
      <c r="I14" s="9"/>
      <c r="J14" s="9"/>
      <c r="K14" s="9">
        <f t="shared" si="1"/>
        <v>0</v>
      </c>
      <c r="L14" s="9">
        <f t="shared" si="1"/>
        <v>0</v>
      </c>
      <c r="M14" s="10"/>
    </row>
    <row r="15" spans="1:14" ht="10.5" customHeight="1" x14ac:dyDescent="0.15">
      <c r="A15" s="11"/>
      <c r="B15" s="12" t="s">
        <v>87</v>
      </c>
      <c r="C15" s="9"/>
      <c r="D15" s="9"/>
      <c r="E15" s="9">
        <f>'[1]13.00'!$D$169</f>
        <v>0</v>
      </c>
      <c r="F15" s="9">
        <f>'[1]13.00'!$E$167</f>
        <v>0</v>
      </c>
      <c r="G15" s="9"/>
      <c r="H15" s="9"/>
      <c r="I15" s="9"/>
      <c r="J15" s="9"/>
      <c r="K15" s="9">
        <f t="shared" si="1"/>
        <v>0</v>
      </c>
      <c r="L15" s="9">
        <f t="shared" si="1"/>
        <v>0</v>
      </c>
      <c r="M15" s="9">
        <f t="shared" si="1"/>
        <v>0</v>
      </c>
      <c r="N15" s="9">
        <f t="shared" si="1"/>
        <v>0</v>
      </c>
    </row>
    <row r="16" spans="1:14" ht="10.5" customHeight="1" x14ac:dyDescent="0.15">
      <c r="A16" s="11" t="s">
        <v>49</v>
      </c>
      <c r="B16" s="12"/>
      <c r="C16" s="9"/>
      <c r="D16" s="9">
        <v>0</v>
      </c>
      <c r="E16" s="9">
        <f>'[1]13.00'!$D$185</f>
        <v>0</v>
      </c>
      <c r="F16" s="9"/>
      <c r="G16" s="9"/>
      <c r="H16" s="9">
        <f>D16-E16+F16</f>
        <v>0</v>
      </c>
      <c r="I16" s="9"/>
      <c r="J16" s="9"/>
      <c r="K16" s="9">
        <f t="shared" si="1"/>
        <v>0</v>
      </c>
      <c r="L16" s="9">
        <f t="shared" si="1"/>
        <v>0</v>
      </c>
      <c r="M16" s="10"/>
    </row>
    <row r="17" spans="1:13" ht="10.5" customHeight="1" x14ac:dyDescent="0.15">
      <c r="A17" s="14" t="s">
        <v>50</v>
      </c>
      <c r="B17" s="12"/>
      <c r="C17" s="9">
        <v>0</v>
      </c>
      <c r="D17" s="9"/>
      <c r="E17" s="9"/>
      <c r="F17" s="9"/>
      <c r="G17" s="9"/>
      <c r="H17" s="9"/>
      <c r="I17" s="9"/>
      <c r="J17" s="9"/>
      <c r="K17" s="9">
        <f t="shared" si="1"/>
        <v>0</v>
      </c>
      <c r="L17" s="9">
        <f t="shared" si="1"/>
        <v>0</v>
      </c>
      <c r="M17" s="10"/>
    </row>
    <row r="18" spans="1:13" ht="10.5" customHeight="1" x14ac:dyDescent="0.15">
      <c r="A18" s="13" t="s">
        <v>8</v>
      </c>
      <c r="B18" s="12"/>
      <c r="C18" s="9"/>
      <c r="D18" s="9"/>
      <c r="E18" s="9"/>
      <c r="F18" s="9"/>
      <c r="G18" s="9">
        <f t="shared" si="0"/>
        <v>0</v>
      </c>
      <c r="H18" s="9"/>
      <c r="I18" s="9"/>
      <c r="J18" s="9"/>
      <c r="K18" s="9">
        <f t="shared" si="1"/>
        <v>0</v>
      </c>
      <c r="L18" s="9">
        <f t="shared" si="1"/>
        <v>0</v>
      </c>
      <c r="M18" s="10"/>
    </row>
    <row r="19" spans="1:13" ht="10.5" customHeight="1" x14ac:dyDescent="0.15">
      <c r="A19" s="11"/>
      <c r="B19" s="12" t="s">
        <v>21</v>
      </c>
      <c r="C19" s="56">
        <v>0</v>
      </c>
      <c r="D19" s="9"/>
      <c r="E19" s="56">
        <f>'[1]15.00-16.00'!$D$11</f>
        <v>0</v>
      </c>
      <c r="F19" s="9">
        <v>0</v>
      </c>
      <c r="G19" s="9">
        <f t="shared" si="0"/>
        <v>0</v>
      </c>
      <c r="H19" s="9"/>
      <c r="I19" s="9"/>
      <c r="J19" s="9"/>
      <c r="K19" s="9">
        <f t="shared" si="1"/>
        <v>0</v>
      </c>
      <c r="L19" s="9">
        <f t="shared" si="1"/>
        <v>0</v>
      </c>
      <c r="M19" s="10">
        <f>K19+K20+K23+K21+K25+K24+K26</f>
        <v>0</v>
      </c>
    </row>
    <row r="20" spans="1:13" ht="10.5" customHeight="1" x14ac:dyDescent="0.15">
      <c r="A20" s="11"/>
      <c r="B20" s="12" t="s">
        <v>22</v>
      </c>
      <c r="C20" s="56">
        <v>0</v>
      </c>
      <c r="D20" s="9"/>
      <c r="E20" s="56">
        <f>'[1]15.00-16.00'!$D$77</f>
        <v>0</v>
      </c>
      <c r="F20" s="9">
        <v>0</v>
      </c>
      <c r="G20" s="9">
        <f t="shared" si="0"/>
        <v>0</v>
      </c>
      <c r="H20" s="9"/>
      <c r="I20" s="9"/>
      <c r="J20" s="9"/>
      <c r="K20" s="9">
        <f t="shared" si="1"/>
        <v>0</v>
      </c>
      <c r="L20" s="9">
        <f t="shared" si="1"/>
        <v>0</v>
      </c>
      <c r="M20" s="10"/>
    </row>
    <row r="21" spans="1:13" ht="10.5" customHeight="1" x14ac:dyDescent="0.15">
      <c r="A21" s="11"/>
      <c r="B21" s="12" t="s">
        <v>23</v>
      </c>
      <c r="C21" s="56">
        <v>0</v>
      </c>
      <c r="D21" s="9"/>
      <c r="E21" s="56">
        <f>'[1]15.00-16.00'!$D$144</f>
        <v>0</v>
      </c>
      <c r="F21" s="9">
        <v>0</v>
      </c>
      <c r="G21" s="9">
        <f t="shared" si="0"/>
        <v>0</v>
      </c>
      <c r="H21" s="9"/>
      <c r="I21" s="9"/>
      <c r="J21" s="9"/>
      <c r="K21" s="9">
        <f t="shared" si="1"/>
        <v>0</v>
      </c>
      <c r="L21" s="9">
        <f t="shared" si="1"/>
        <v>0</v>
      </c>
      <c r="M21" s="10"/>
    </row>
    <row r="22" spans="1:13" ht="10.5" customHeight="1" x14ac:dyDescent="0.15">
      <c r="A22" s="11"/>
      <c r="B22" s="12" t="s">
        <v>90</v>
      </c>
      <c r="C22" s="56">
        <v>0</v>
      </c>
      <c r="D22" s="9"/>
      <c r="E22" s="56">
        <f>'[1]15.00-16.00'!$D$205</f>
        <v>0</v>
      </c>
      <c r="F22" s="9">
        <v>0</v>
      </c>
      <c r="G22" s="9">
        <f t="shared" si="0"/>
        <v>0</v>
      </c>
      <c r="H22" s="9"/>
      <c r="I22" s="9"/>
      <c r="J22" s="9"/>
      <c r="K22" s="9">
        <f t="shared" si="1"/>
        <v>0</v>
      </c>
      <c r="L22" s="9">
        <f t="shared" si="1"/>
        <v>0</v>
      </c>
      <c r="M22" s="10"/>
    </row>
    <row r="23" spans="1:13" ht="10.5" customHeight="1" x14ac:dyDescent="0.15">
      <c r="A23" s="11"/>
      <c r="B23" s="12" t="s">
        <v>24</v>
      </c>
      <c r="C23" s="56">
        <v>0</v>
      </c>
      <c r="D23" s="9"/>
      <c r="E23" s="56">
        <v>0</v>
      </c>
      <c r="F23" s="9">
        <v>0</v>
      </c>
      <c r="G23" s="9">
        <f t="shared" si="0"/>
        <v>0</v>
      </c>
      <c r="H23" s="9"/>
      <c r="I23" s="9"/>
      <c r="J23" s="9"/>
      <c r="K23" s="9">
        <f t="shared" si="1"/>
        <v>0</v>
      </c>
      <c r="L23" s="9">
        <f t="shared" si="1"/>
        <v>0</v>
      </c>
      <c r="M23" s="10"/>
    </row>
    <row r="24" spans="1:13" ht="10.5" customHeight="1" x14ac:dyDescent="0.15">
      <c r="A24" s="11"/>
      <c r="B24" s="12" t="s">
        <v>51</v>
      </c>
      <c r="C24" s="56">
        <v>0</v>
      </c>
      <c r="D24" s="9"/>
      <c r="E24" s="56"/>
      <c r="F24" s="9"/>
      <c r="G24" s="9">
        <f t="shared" si="0"/>
        <v>0</v>
      </c>
      <c r="H24" s="9"/>
      <c r="I24" s="9"/>
      <c r="J24" s="9"/>
      <c r="K24" s="9">
        <f t="shared" si="1"/>
        <v>0</v>
      </c>
      <c r="L24" s="9"/>
      <c r="M24" s="10"/>
    </row>
    <row r="25" spans="1:13" ht="10.5" customHeight="1" x14ac:dyDescent="0.15">
      <c r="A25" s="11"/>
      <c r="B25" s="12" t="s">
        <v>40</v>
      </c>
      <c r="C25" s="56">
        <f>'[1]15.00-16.00'!$F$258</f>
        <v>0</v>
      </c>
      <c r="D25" s="9"/>
      <c r="E25" s="56">
        <f>'[2]15.00-16.00'!$D$288</f>
        <v>0</v>
      </c>
      <c r="F25" s="9">
        <f>'[2]15.00-16.00'!$E$288</f>
        <v>0</v>
      </c>
      <c r="G25" s="9">
        <f t="shared" si="0"/>
        <v>0</v>
      </c>
      <c r="H25" s="9"/>
      <c r="I25" s="9"/>
      <c r="J25" s="9"/>
      <c r="K25" s="9">
        <f t="shared" si="1"/>
        <v>0</v>
      </c>
      <c r="L25" s="9">
        <f t="shared" si="1"/>
        <v>0</v>
      </c>
      <c r="M25" s="10"/>
    </row>
    <row r="26" spans="1:13" ht="10.5" customHeight="1" x14ac:dyDescent="0.15">
      <c r="A26" s="11"/>
      <c r="B26" s="12" t="s">
        <v>43</v>
      </c>
      <c r="C26" s="56">
        <f>'[1]15.00-16.00'!$F$304</f>
        <v>0</v>
      </c>
      <c r="D26" s="9"/>
      <c r="E26" s="56">
        <f>'[2]15.00-16.00'!$D$307</f>
        <v>0</v>
      </c>
      <c r="F26" s="9">
        <f>'[2]15.00-16.00'!$E$307</f>
        <v>0</v>
      </c>
      <c r="G26" s="9">
        <f t="shared" si="0"/>
        <v>0</v>
      </c>
      <c r="H26" s="9"/>
      <c r="I26" s="9"/>
      <c r="J26" s="9"/>
      <c r="K26" s="9">
        <f>G26</f>
        <v>0</v>
      </c>
      <c r="L26" s="9">
        <f t="shared" si="1"/>
        <v>0</v>
      </c>
      <c r="M26" s="10"/>
    </row>
    <row r="27" spans="1:13" ht="10.5" customHeight="1" x14ac:dyDescent="0.15">
      <c r="A27" s="11" t="s">
        <v>41</v>
      </c>
      <c r="B27" s="12"/>
      <c r="C27" s="9">
        <v>0</v>
      </c>
      <c r="D27" s="9"/>
      <c r="E27" s="9"/>
      <c r="F27" s="9"/>
      <c r="G27" s="9">
        <f>C27+E27-F27</f>
        <v>0</v>
      </c>
      <c r="H27" s="9"/>
      <c r="I27" s="9"/>
      <c r="J27" s="9"/>
      <c r="K27" s="9">
        <f>G27</f>
        <v>0</v>
      </c>
      <c r="L27" s="9">
        <f>H27</f>
        <v>0</v>
      </c>
      <c r="M27" s="10"/>
    </row>
    <row r="28" spans="1:13" ht="10.5" customHeight="1" x14ac:dyDescent="0.15">
      <c r="A28" s="13" t="s">
        <v>9</v>
      </c>
      <c r="B28" s="12"/>
      <c r="C28" s="9"/>
      <c r="D28" s="9"/>
      <c r="E28" s="9"/>
      <c r="F28" s="9"/>
      <c r="G28" s="9"/>
      <c r="H28" s="9"/>
      <c r="I28" s="9"/>
      <c r="J28" s="9"/>
      <c r="K28" s="9"/>
      <c r="L28" s="9">
        <f>H28</f>
        <v>0</v>
      </c>
      <c r="M28" s="10"/>
    </row>
    <row r="29" spans="1:13" ht="10.5" customHeight="1" x14ac:dyDescent="0.15">
      <c r="A29" s="11"/>
      <c r="B29" s="12" t="s">
        <v>39</v>
      </c>
      <c r="C29" s="9">
        <v>0</v>
      </c>
      <c r="D29" s="9"/>
      <c r="E29" s="9">
        <f>'[1]31.01-31.09'!$D$13</f>
        <v>0</v>
      </c>
      <c r="F29" s="9">
        <f>'[1]31.01-31.09'!$E$13</f>
        <v>0</v>
      </c>
      <c r="G29" s="9">
        <f t="shared" ref="G29:G38" si="2">C29+E29</f>
        <v>0</v>
      </c>
      <c r="H29" s="9"/>
      <c r="I29" s="9"/>
      <c r="J29" s="9"/>
      <c r="K29" s="9">
        <f t="shared" si="1"/>
        <v>0</v>
      </c>
      <c r="L29" s="9">
        <f t="shared" si="1"/>
        <v>0</v>
      </c>
      <c r="M29" s="10">
        <f>SUM(K29:K37)</f>
        <v>0</v>
      </c>
    </row>
    <row r="30" spans="1:13" ht="10.5" customHeight="1" x14ac:dyDescent="0.15">
      <c r="A30" s="11"/>
      <c r="B30" s="12" t="s">
        <v>25</v>
      </c>
      <c r="C30" s="9">
        <v>0</v>
      </c>
      <c r="D30" s="9"/>
      <c r="E30" s="9">
        <f>'[1]31.01-31.09'!$D$31</f>
        <v>0</v>
      </c>
      <c r="F30" s="9">
        <f>'[1]31.01-31.09'!$E$31</f>
        <v>0</v>
      </c>
      <c r="G30" s="9">
        <f t="shared" si="2"/>
        <v>0</v>
      </c>
      <c r="H30" s="9"/>
      <c r="I30" s="9"/>
      <c r="J30" s="9"/>
      <c r="K30" s="9">
        <f t="shared" si="1"/>
        <v>0</v>
      </c>
      <c r="L30" s="9">
        <f t="shared" si="1"/>
        <v>0</v>
      </c>
      <c r="M30" s="10">
        <f>M29+K47</f>
        <v>0</v>
      </c>
    </row>
    <row r="31" spans="1:13" ht="10.5" customHeight="1" x14ac:dyDescent="0.15">
      <c r="A31" s="11"/>
      <c r="B31" s="12" t="s">
        <v>26</v>
      </c>
      <c r="C31" s="9">
        <v>0</v>
      </c>
      <c r="D31" s="9"/>
      <c r="E31" s="9">
        <f>'[1]31.01-31.09'!$D$91</f>
        <v>0</v>
      </c>
      <c r="F31" s="9">
        <f>'[1]31.01-31.09'!$E$91</f>
        <v>0</v>
      </c>
      <c r="G31" s="9">
        <f t="shared" si="2"/>
        <v>0</v>
      </c>
      <c r="H31" s="9"/>
      <c r="I31" s="9"/>
      <c r="J31" s="9"/>
      <c r="K31" s="9">
        <f t="shared" si="1"/>
        <v>0</v>
      </c>
      <c r="L31" s="9">
        <f t="shared" si="1"/>
        <v>0</v>
      </c>
      <c r="M31" s="10"/>
    </row>
    <row r="32" spans="1:13" ht="10.5" customHeight="1" x14ac:dyDescent="0.15">
      <c r="A32" s="11"/>
      <c r="B32" s="12" t="s">
        <v>27</v>
      </c>
      <c r="C32" s="9">
        <v>0</v>
      </c>
      <c r="D32" s="9"/>
      <c r="E32" s="9">
        <f>'[1]31.01-31.09'!$D$63</f>
        <v>0</v>
      </c>
      <c r="F32" s="9">
        <f>'[1]31.01-31.09'!$E$63</f>
        <v>0</v>
      </c>
      <c r="G32" s="9">
        <f t="shared" si="2"/>
        <v>0</v>
      </c>
      <c r="H32" s="9"/>
      <c r="I32" s="9"/>
      <c r="J32" s="9"/>
      <c r="K32" s="9">
        <f t="shared" si="1"/>
        <v>0</v>
      </c>
      <c r="L32" s="9">
        <f t="shared" si="1"/>
        <v>0</v>
      </c>
      <c r="M32" s="10"/>
    </row>
    <row r="33" spans="1:14" ht="10.5" customHeight="1" x14ac:dyDescent="0.15">
      <c r="A33" s="11"/>
      <c r="B33" s="12" t="s">
        <v>28</v>
      </c>
      <c r="C33" s="9">
        <v>0</v>
      </c>
      <c r="D33" s="9"/>
      <c r="E33" s="9">
        <f>'[1]31.01-31.09'!$D$117</f>
        <v>0</v>
      </c>
      <c r="F33" s="9">
        <f>'[1]31.01-31.09'!$E$117</f>
        <v>0</v>
      </c>
      <c r="G33" s="9">
        <f t="shared" si="2"/>
        <v>0</v>
      </c>
      <c r="H33" s="9"/>
      <c r="I33" s="9"/>
      <c r="J33" s="9"/>
      <c r="K33" s="9">
        <f t="shared" si="1"/>
        <v>0</v>
      </c>
      <c r="L33" s="9">
        <f t="shared" si="1"/>
        <v>0</v>
      </c>
      <c r="M33" s="10"/>
      <c r="N33" s="15"/>
    </row>
    <row r="34" spans="1:14" ht="10.5" customHeight="1" x14ac:dyDescent="0.15">
      <c r="A34" s="11"/>
      <c r="B34" s="12" t="s">
        <v>66</v>
      </c>
      <c r="C34" s="9">
        <v>0</v>
      </c>
      <c r="D34" s="9"/>
      <c r="E34" s="9">
        <f>'[1]31.01-31.09'!$D$134</f>
        <v>0</v>
      </c>
      <c r="F34" s="9">
        <f>'[1]31.01-31.09'!$E$134</f>
        <v>0</v>
      </c>
      <c r="G34" s="9">
        <f t="shared" si="2"/>
        <v>0</v>
      </c>
      <c r="H34" s="9"/>
      <c r="I34" s="9"/>
      <c r="J34" s="9"/>
      <c r="K34" s="9">
        <f t="shared" si="1"/>
        <v>0</v>
      </c>
      <c r="L34" s="9">
        <f t="shared" si="1"/>
        <v>0</v>
      </c>
      <c r="M34" s="10"/>
    </row>
    <row r="35" spans="1:14" ht="10.5" customHeight="1" x14ac:dyDescent="0.15">
      <c r="A35" s="11"/>
      <c r="B35" s="12" t="s">
        <v>67</v>
      </c>
      <c r="C35" s="9">
        <v>0</v>
      </c>
      <c r="D35" s="9"/>
      <c r="E35" s="9">
        <f>'[1]31.01-31.09'!$D$161</f>
        <v>0</v>
      </c>
      <c r="F35" s="9">
        <f>'[1]31.01-31.09'!$E$161</f>
        <v>0</v>
      </c>
      <c r="G35" s="9">
        <f t="shared" si="2"/>
        <v>0</v>
      </c>
      <c r="H35" s="9"/>
      <c r="I35" s="9"/>
      <c r="J35" s="9"/>
      <c r="K35" s="9">
        <f t="shared" si="1"/>
        <v>0</v>
      </c>
      <c r="L35" s="9">
        <f t="shared" si="1"/>
        <v>0</v>
      </c>
      <c r="M35" s="10"/>
    </row>
    <row r="36" spans="1:14" ht="10.5" customHeight="1" x14ac:dyDescent="0.15">
      <c r="A36" s="11"/>
      <c r="B36" s="12" t="s">
        <v>68</v>
      </c>
      <c r="C36" s="9">
        <v>0</v>
      </c>
      <c r="D36" s="9"/>
      <c r="E36" s="9">
        <f>'[1]31.01-31.09'!$D$179</f>
        <v>0</v>
      </c>
      <c r="F36" s="9">
        <f>'[1]31.01-31.09'!$E$179</f>
        <v>0</v>
      </c>
      <c r="G36" s="9">
        <f t="shared" si="2"/>
        <v>0</v>
      </c>
      <c r="H36" s="9"/>
      <c r="I36" s="9"/>
      <c r="J36" s="9"/>
      <c r="K36" s="9">
        <f t="shared" si="1"/>
        <v>0</v>
      </c>
      <c r="L36" s="9">
        <f t="shared" si="1"/>
        <v>0</v>
      </c>
      <c r="M36" s="10"/>
    </row>
    <row r="37" spans="1:14" ht="10.5" customHeight="1" x14ac:dyDescent="0.15">
      <c r="A37" s="11"/>
      <c r="B37" s="12" t="s">
        <v>69</v>
      </c>
      <c r="C37" s="9">
        <v>0</v>
      </c>
      <c r="D37" s="9"/>
      <c r="E37" s="9">
        <v>0</v>
      </c>
      <c r="F37" s="9">
        <f>'[1]31.01-31.09'!$E$206</f>
        <v>0</v>
      </c>
      <c r="G37" s="9">
        <f t="shared" si="2"/>
        <v>0</v>
      </c>
      <c r="H37" s="9"/>
      <c r="I37" s="9"/>
      <c r="J37" s="9"/>
      <c r="K37" s="9">
        <f t="shared" si="1"/>
        <v>0</v>
      </c>
      <c r="L37" s="9">
        <f t="shared" si="1"/>
        <v>0</v>
      </c>
      <c r="M37" s="10"/>
      <c r="N37" s="15"/>
    </row>
    <row r="38" spans="1:14" ht="10.5" customHeight="1" x14ac:dyDescent="0.15">
      <c r="A38" s="13" t="s">
        <v>10</v>
      </c>
      <c r="B38" s="12"/>
      <c r="C38" s="9">
        <v>0</v>
      </c>
      <c r="D38" s="9"/>
      <c r="E38" s="9"/>
      <c r="F38" s="9"/>
      <c r="G38" s="9">
        <f t="shared" si="2"/>
        <v>0</v>
      </c>
      <c r="H38" s="9"/>
      <c r="I38" s="9"/>
      <c r="J38" s="9"/>
      <c r="K38" s="9">
        <f t="shared" si="1"/>
        <v>0</v>
      </c>
      <c r="L38" s="9">
        <f t="shared" si="1"/>
        <v>0</v>
      </c>
      <c r="M38" s="10"/>
    </row>
    <row r="39" spans="1:14" ht="10.5" customHeight="1" x14ac:dyDescent="0.15">
      <c r="A39" s="11"/>
      <c r="B39" s="12" t="s">
        <v>25</v>
      </c>
      <c r="C39" s="9"/>
      <c r="D39" s="56">
        <v>0</v>
      </c>
      <c r="E39" s="9">
        <f>'[1]31.10'!$D$22</f>
        <v>0</v>
      </c>
      <c r="F39" s="9">
        <v>0</v>
      </c>
      <c r="G39" s="9"/>
      <c r="H39" s="9">
        <f>D39+F39</f>
        <v>0</v>
      </c>
      <c r="I39" s="9"/>
      <c r="J39" s="9"/>
      <c r="K39" s="9">
        <f t="shared" si="1"/>
        <v>0</v>
      </c>
      <c r="L39" s="9">
        <f t="shared" si="1"/>
        <v>0</v>
      </c>
      <c r="M39" s="10">
        <f>SUM(L39:L46)+L48</f>
        <v>0</v>
      </c>
      <c r="N39" s="16"/>
    </row>
    <row r="40" spans="1:14" ht="10.5" customHeight="1" x14ac:dyDescent="0.15">
      <c r="A40" s="11"/>
      <c r="B40" s="12" t="s">
        <v>26</v>
      </c>
      <c r="C40" s="9"/>
      <c r="D40" s="56">
        <v>0</v>
      </c>
      <c r="E40" s="9">
        <f>'[1]31.10'!$D$86</f>
        <v>0</v>
      </c>
      <c r="F40" s="9">
        <v>0</v>
      </c>
      <c r="G40" s="9"/>
      <c r="H40" s="9">
        <f>D40+F40</f>
        <v>0</v>
      </c>
      <c r="I40" s="9"/>
      <c r="J40" s="9"/>
      <c r="K40" s="9">
        <f t="shared" si="1"/>
        <v>0</v>
      </c>
      <c r="L40" s="9">
        <f t="shared" si="1"/>
        <v>0</v>
      </c>
      <c r="M40" s="10">
        <f>M39-L48</f>
        <v>0</v>
      </c>
      <c r="N40" s="16"/>
    </row>
    <row r="41" spans="1:14" ht="10.5" customHeight="1" x14ac:dyDescent="0.15">
      <c r="A41" s="11"/>
      <c r="B41" s="12" t="s">
        <v>27</v>
      </c>
      <c r="C41" s="9"/>
      <c r="D41" s="56">
        <v>0</v>
      </c>
      <c r="E41" s="9">
        <f>'[1]31.10'!$D$47</f>
        <v>0</v>
      </c>
      <c r="F41" s="9">
        <v>0</v>
      </c>
      <c r="G41" s="9"/>
      <c r="H41" s="9">
        <f>D41+F41</f>
        <v>0</v>
      </c>
      <c r="I41" s="9"/>
      <c r="J41" s="9"/>
      <c r="K41" s="9">
        <f t="shared" si="1"/>
        <v>0</v>
      </c>
      <c r="L41" s="9">
        <f t="shared" si="1"/>
        <v>0</v>
      </c>
      <c r="M41" s="10"/>
      <c r="N41" s="16"/>
    </row>
    <row r="42" spans="1:14" ht="10.5" customHeight="1" x14ac:dyDescent="0.15">
      <c r="A42" s="11"/>
      <c r="B42" s="12" t="s">
        <v>28</v>
      </c>
      <c r="C42" s="9"/>
      <c r="D42" s="56">
        <v>0</v>
      </c>
      <c r="E42" s="9">
        <f>'[1]31.10'!$D$115</f>
        <v>0</v>
      </c>
      <c r="F42" s="9">
        <v>0</v>
      </c>
      <c r="G42" s="9"/>
      <c r="H42" s="9">
        <f>D42+F42</f>
        <v>0</v>
      </c>
      <c r="I42" s="9"/>
      <c r="J42" s="9"/>
      <c r="K42" s="9">
        <f t="shared" si="1"/>
        <v>0</v>
      </c>
      <c r="L42" s="9">
        <f t="shared" si="1"/>
        <v>0</v>
      </c>
      <c r="M42" s="10"/>
      <c r="N42" s="16"/>
    </row>
    <row r="43" spans="1:14" ht="10.5" customHeight="1" x14ac:dyDescent="0.15">
      <c r="A43" s="11"/>
      <c r="B43" s="12" t="s">
        <v>66</v>
      </c>
      <c r="C43" s="9"/>
      <c r="D43" s="56">
        <v>0</v>
      </c>
      <c r="E43" s="9">
        <f>'[1]31.10'!$D$150</f>
        <v>0</v>
      </c>
      <c r="F43" s="9">
        <v>0</v>
      </c>
      <c r="G43" s="9"/>
      <c r="H43" s="9">
        <f t="shared" ref="H43:H45" si="3">D43+F43</f>
        <v>0</v>
      </c>
      <c r="I43" s="9"/>
      <c r="J43" s="9"/>
      <c r="K43" s="9">
        <f t="shared" si="1"/>
        <v>0</v>
      </c>
      <c r="L43" s="9">
        <f t="shared" si="1"/>
        <v>0</v>
      </c>
      <c r="M43" s="10"/>
      <c r="N43" s="16"/>
    </row>
    <row r="44" spans="1:14" ht="10.5" customHeight="1" x14ac:dyDescent="0.15">
      <c r="A44" s="11"/>
      <c r="B44" s="12" t="s">
        <v>67</v>
      </c>
      <c r="C44" s="9"/>
      <c r="D44" s="56">
        <v>0</v>
      </c>
      <c r="E44" s="9">
        <f>'[1]31.10'!$D$175</f>
        <v>0</v>
      </c>
      <c r="F44" s="9">
        <v>0</v>
      </c>
      <c r="G44" s="9"/>
      <c r="H44" s="9">
        <f t="shared" si="3"/>
        <v>0</v>
      </c>
      <c r="I44" s="9"/>
      <c r="J44" s="9"/>
      <c r="K44" s="9">
        <f t="shared" si="1"/>
        <v>0</v>
      </c>
      <c r="L44" s="9">
        <f t="shared" si="1"/>
        <v>0</v>
      </c>
      <c r="M44" s="10"/>
      <c r="N44" s="16"/>
    </row>
    <row r="45" spans="1:14" ht="10.5" customHeight="1" x14ac:dyDescent="0.15">
      <c r="A45" s="11"/>
      <c r="B45" s="12" t="s">
        <v>68</v>
      </c>
      <c r="C45" s="9"/>
      <c r="D45" s="56">
        <v>0</v>
      </c>
      <c r="E45" s="9">
        <f>'[1]31.10'!$D$214</f>
        <v>0</v>
      </c>
      <c r="F45" s="9">
        <v>0</v>
      </c>
      <c r="G45" s="9"/>
      <c r="H45" s="9">
        <f t="shared" si="3"/>
        <v>0</v>
      </c>
      <c r="I45" s="9"/>
      <c r="J45" s="9"/>
      <c r="K45" s="9">
        <f t="shared" si="1"/>
        <v>0</v>
      </c>
      <c r="L45" s="9">
        <f t="shared" si="1"/>
        <v>0</v>
      </c>
      <c r="M45" s="10"/>
      <c r="N45" s="16"/>
    </row>
    <row r="46" spans="1:14" ht="10.5" customHeight="1" x14ac:dyDescent="0.15">
      <c r="A46" s="11"/>
      <c r="B46" s="12" t="s">
        <v>69</v>
      </c>
      <c r="C46" s="9"/>
      <c r="D46" s="56">
        <v>0</v>
      </c>
      <c r="E46" s="9">
        <f>'[1]31.10'!$D$242</f>
        <v>0</v>
      </c>
      <c r="F46" s="9">
        <v>0</v>
      </c>
      <c r="G46" s="9"/>
      <c r="H46" s="9">
        <f>D46+F46</f>
        <v>0</v>
      </c>
      <c r="I46" s="9"/>
      <c r="J46" s="9"/>
      <c r="K46" s="9">
        <f t="shared" si="1"/>
        <v>0</v>
      </c>
      <c r="L46" s="9">
        <f t="shared" si="1"/>
        <v>0</v>
      </c>
      <c r="M46" s="10"/>
      <c r="N46" s="16"/>
    </row>
    <row r="47" spans="1:14" ht="10.5" customHeight="1" x14ac:dyDescent="0.15">
      <c r="A47" s="11" t="s">
        <v>53</v>
      </c>
      <c r="B47" s="12"/>
      <c r="C47" s="9">
        <v>0</v>
      </c>
      <c r="D47" s="9"/>
      <c r="E47" s="53">
        <f>'[1]35.00-35.01-37.00'!$D$12</f>
        <v>0</v>
      </c>
      <c r="F47" s="17">
        <f>'[1]35.00-35.01-37.00'!$E$12</f>
        <v>0</v>
      </c>
      <c r="G47" s="9">
        <f>E47+C47</f>
        <v>0</v>
      </c>
      <c r="H47" s="9">
        <f t="shared" ref="H47" si="4">D47+F47</f>
        <v>0</v>
      </c>
      <c r="I47" s="9"/>
      <c r="J47" s="9"/>
      <c r="K47" s="9">
        <f t="shared" si="1"/>
        <v>0</v>
      </c>
      <c r="L47" s="9">
        <f t="shared" si="1"/>
        <v>0</v>
      </c>
      <c r="M47" s="10"/>
      <c r="N47" s="16"/>
    </row>
    <row r="48" spans="1:14" ht="10.5" customHeight="1" x14ac:dyDescent="0.15">
      <c r="A48" s="11"/>
      <c r="B48" s="12" t="s">
        <v>54</v>
      </c>
      <c r="C48" s="9"/>
      <c r="D48" s="9">
        <v>0</v>
      </c>
      <c r="E48" s="9">
        <f>'[1]35.00-35.01-37.00'!$D$37</f>
        <v>0</v>
      </c>
      <c r="F48" s="9">
        <v>0</v>
      </c>
      <c r="H48" s="9">
        <f>D48+F48</f>
        <v>0</v>
      </c>
      <c r="I48" s="9"/>
      <c r="J48" s="9"/>
      <c r="K48" s="9">
        <f t="shared" si="1"/>
        <v>0</v>
      </c>
      <c r="L48" s="9">
        <f t="shared" si="1"/>
        <v>0</v>
      </c>
      <c r="M48" s="10"/>
      <c r="N48" s="16"/>
    </row>
    <row r="49" spans="1:14" ht="10.5" customHeight="1" x14ac:dyDescent="0.15">
      <c r="A49" s="13" t="s">
        <v>52</v>
      </c>
      <c r="B49" s="12"/>
      <c r="C49" s="9">
        <v>0</v>
      </c>
      <c r="D49" s="9"/>
      <c r="E49" s="9">
        <f>'[1]35.00-35.01-37.00'!$D$57</f>
        <v>0</v>
      </c>
      <c r="F49" s="9">
        <f>'[1]35.00-35.01-37.00'!$E$57</f>
        <v>0</v>
      </c>
      <c r="G49" s="9">
        <f>C49+E49-F49</f>
        <v>0</v>
      </c>
      <c r="H49" s="9"/>
      <c r="I49" s="9"/>
      <c r="J49" s="9"/>
      <c r="K49" s="9">
        <f t="shared" si="1"/>
        <v>0</v>
      </c>
      <c r="L49" s="9">
        <f t="shared" si="1"/>
        <v>0</v>
      </c>
      <c r="M49" s="10">
        <v>-73332036</v>
      </c>
      <c r="N49" s="16"/>
    </row>
    <row r="50" spans="1:14" ht="10.5" customHeight="1" x14ac:dyDescent="0.15">
      <c r="A50" s="13" t="s">
        <v>99</v>
      </c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10"/>
      <c r="N50" s="16"/>
    </row>
    <row r="51" spans="1:14" ht="10.5" customHeight="1" x14ac:dyDescent="0.15">
      <c r="A51" s="13"/>
      <c r="B51" s="12" t="s">
        <v>100</v>
      </c>
      <c r="C51" s="9">
        <v>0</v>
      </c>
      <c r="D51" s="9"/>
      <c r="E51" s="9"/>
      <c r="F51" s="9"/>
      <c r="G51" s="9">
        <f>C51+E51-F51</f>
        <v>0</v>
      </c>
      <c r="H51" s="9"/>
      <c r="I51" s="9"/>
      <c r="J51" s="9"/>
      <c r="K51" s="9"/>
      <c r="L51" s="9"/>
      <c r="M51" s="10"/>
      <c r="N51" s="16"/>
    </row>
    <row r="52" spans="1:14" ht="10.5" customHeight="1" x14ac:dyDescent="0.15">
      <c r="A52" s="67" t="s">
        <v>11</v>
      </c>
      <c r="B52" s="68"/>
      <c r="C52" s="18">
        <f>SUM(C8:C51)</f>
        <v>0</v>
      </c>
      <c r="D52" s="18">
        <f>SUM(D8:D49)</f>
        <v>0</v>
      </c>
      <c r="E52" s="18"/>
      <c r="F52" s="18"/>
      <c r="G52" s="18">
        <f>SUM(G8:G51)</f>
        <v>0</v>
      </c>
      <c r="H52" s="18">
        <f>SUM(H8:H49)</f>
        <v>0</v>
      </c>
      <c r="I52" s="18"/>
      <c r="J52" s="18"/>
      <c r="K52" s="18">
        <f t="shared" si="1"/>
        <v>0</v>
      </c>
      <c r="L52" s="18">
        <f t="shared" si="1"/>
        <v>0</v>
      </c>
      <c r="M52" s="19"/>
      <c r="N52" s="16"/>
    </row>
    <row r="53" spans="1:14" ht="10.5" customHeight="1" x14ac:dyDescent="0.15">
      <c r="A53" s="62"/>
      <c r="B53" s="63"/>
      <c r="C53" s="18">
        <f>C52-D52</f>
        <v>0</v>
      </c>
      <c r="D53" s="18"/>
      <c r="E53" s="18"/>
      <c r="F53" s="18"/>
      <c r="G53" s="18">
        <f>G52-H52</f>
        <v>0</v>
      </c>
      <c r="H53" s="18"/>
      <c r="I53" s="18"/>
      <c r="J53" s="18"/>
      <c r="K53" s="18">
        <f>K52-L52</f>
        <v>0</v>
      </c>
      <c r="L53" s="18">
        <f t="shared" si="1"/>
        <v>0</v>
      </c>
      <c r="M53" s="19"/>
      <c r="N53" s="15"/>
    </row>
    <row r="54" spans="1:14" ht="10.5" customHeight="1" x14ac:dyDescent="0.15">
      <c r="A54" s="20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19"/>
      <c r="N54" s="15"/>
    </row>
    <row r="55" spans="1:14" ht="10.5" customHeight="1" x14ac:dyDescent="0.15">
      <c r="A55" s="13" t="s">
        <v>29</v>
      </c>
      <c r="B55" s="23"/>
      <c r="C55" s="24"/>
      <c r="D55" s="9"/>
      <c r="E55" s="9"/>
      <c r="F55" s="9"/>
      <c r="G55" s="24"/>
      <c r="H55" s="9"/>
      <c r="I55" s="9"/>
      <c r="J55" s="9"/>
      <c r="K55" s="9">
        <f t="shared" si="1"/>
        <v>0</v>
      </c>
      <c r="L55" s="9">
        <f t="shared" si="1"/>
        <v>0</v>
      </c>
      <c r="M55" s="19"/>
      <c r="N55" s="15"/>
    </row>
    <row r="56" spans="1:14" ht="10.5" customHeight="1" x14ac:dyDescent="0.15">
      <c r="A56" s="11"/>
      <c r="B56" s="4" t="s">
        <v>12</v>
      </c>
      <c r="C56" s="9"/>
      <c r="D56" s="9"/>
      <c r="E56" s="9">
        <v>0</v>
      </c>
      <c r="F56" s="9">
        <v>0</v>
      </c>
      <c r="H56" s="9">
        <f t="shared" ref="H56:H63" si="5">D56-E56+F56</f>
        <v>0</v>
      </c>
      <c r="I56" s="9"/>
      <c r="J56" s="9"/>
      <c r="K56" s="9">
        <f t="shared" si="1"/>
        <v>0</v>
      </c>
      <c r="L56" s="9">
        <f t="shared" si="1"/>
        <v>0</v>
      </c>
      <c r="M56" s="19"/>
      <c r="N56" s="15"/>
    </row>
    <row r="57" spans="1:14" ht="10.5" customHeight="1" x14ac:dyDescent="0.15">
      <c r="A57" s="11"/>
      <c r="B57" s="4" t="s">
        <v>42</v>
      </c>
      <c r="C57" s="9"/>
      <c r="D57" s="9"/>
      <c r="E57" s="9">
        <f>'[1]50.00'!$D$104</f>
        <v>0</v>
      </c>
      <c r="F57" s="9"/>
      <c r="H57" s="9">
        <f t="shared" si="5"/>
        <v>0</v>
      </c>
      <c r="I57" s="9"/>
      <c r="J57" s="9"/>
      <c r="K57" s="9">
        <f t="shared" si="1"/>
        <v>0</v>
      </c>
      <c r="L57" s="9">
        <f t="shared" si="1"/>
        <v>0</v>
      </c>
      <c r="M57" s="19"/>
    </row>
    <row r="58" spans="1:14" ht="10.5" customHeight="1" x14ac:dyDescent="0.15">
      <c r="A58" s="11"/>
      <c r="B58" s="4" t="s">
        <v>85</v>
      </c>
      <c r="C58" s="9"/>
      <c r="D58" s="9">
        <v>0</v>
      </c>
      <c r="E58" s="9">
        <v>0</v>
      </c>
      <c r="F58" s="9">
        <v>0</v>
      </c>
      <c r="H58" s="9">
        <f>D58-E58+F58</f>
        <v>0</v>
      </c>
      <c r="I58" s="9"/>
      <c r="J58" s="9"/>
      <c r="K58" s="9">
        <f t="shared" si="1"/>
        <v>0</v>
      </c>
      <c r="L58" s="9">
        <f t="shared" si="1"/>
        <v>0</v>
      </c>
      <c r="M58" s="19"/>
    </row>
    <row r="59" spans="1:14" ht="10.5" customHeight="1" x14ac:dyDescent="0.15">
      <c r="A59" s="11"/>
      <c r="B59" s="4" t="s">
        <v>13</v>
      </c>
      <c r="C59" s="9"/>
      <c r="D59" s="9">
        <f>'[2]50.00'!$F$113</f>
        <v>0</v>
      </c>
      <c r="E59" s="9">
        <f>'[2]50.00'!$D$117</f>
        <v>0</v>
      </c>
      <c r="F59" s="9">
        <f>'[2]50.00'!$E$117</f>
        <v>0</v>
      </c>
      <c r="H59" s="9">
        <f t="shared" si="5"/>
        <v>0</v>
      </c>
      <c r="I59" s="9"/>
      <c r="J59" s="9"/>
      <c r="K59" s="9">
        <f t="shared" si="1"/>
        <v>0</v>
      </c>
      <c r="L59" s="9">
        <f t="shared" si="1"/>
        <v>0</v>
      </c>
      <c r="M59" s="19"/>
    </row>
    <row r="60" spans="1:14" ht="10.5" customHeight="1" x14ac:dyDescent="0.15">
      <c r="A60" s="11"/>
      <c r="B60" s="4" t="s">
        <v>86</v>
      </c>
      <c r="C60" s="9"/>
      <c r="D60" s="9">
        <v>0</v>
      </c>
      <c r="E60" s="9">
        <f>'[1]50.00'!$D$134</f>
        <v>0</v>
      </c>
      <c r="F60" s="9">
        <f>'[1]50.00'!$E$134</f>
        <v>0</v>
      </c>
      <c r="H60" s="9">
        <f t="shared" si="5"/>
        <v>0</v>
      </c>
      <c r="I60" s="9"/>
      <c r="J60" s="9"/>
      <c r="K60" s="9">
        <f t="shared" si="1"/>
        <v>0</v>
      </c>
      <c r="L60" s="9">
        <f t="shared" si="1"/>
        <v>0</v>
      </c>
      <c r="M60" s="19"/>
    </row>
    <row r="61" spans="1:14" ht="10.5" customHeight="1" x14ac:dyDescent="0.15">
      <c r="A61" s="13" t="s">
        <v>30</v>
      </c>
      <c r="C61" s="9"/>
      <c r="D61" s="9"/>
      <c r="E61" s="9"/>
      <c r="F61" s="9"/>
      <c r="G61" s="9"/>
      <c r="H61" s="9">
        <f t="shared" si="5"/>
        <v>0</v>
      </c>
      <c r="I61" s="9"/>
      <c r="J61" s="9"/>
      <c r="K61" s="9">
        <f t="shared" si="1"/>
        <v>0</v>
      </c>
      <c r="L61" s="9">
        <f t="shared" si="1"/>
        <v>0</v>
      </c>
      <c r="M61" s="19"/>
    </row>
    <row r="62" spans="1:14" ht="10.5" customHeight="1" x14ac:dyDescent="0.15">
      <c r="A62" s="11"/>
      <c r="B62" s="4" t="s">
        <v>72</v>
      </c>
      <c r="C62" s="9"/>
      <c r="D62" s="9">
        <v>0</v>
      </c>
      <c r="E62" s="9">
        <f>'[2]70.00'!$D$17</f>
        <v>0</v>
      </c>
      <c r="F62" s="9">
        <f>'[2]70.00'!$E$17</f>
        <v>0</v>
      </c>
      <c r="G62" s="9"/>
      <c r="H62" s="9">
        <f t="shared" si="5"/>
        <v>0</v>
      </c>
      <c r="I62" s="9"/>
      <c r="J62" s="9"/>
      <c r="K62" s="9">
        <f t="shared" si="1"/>
        <v>0</v>
      </c>
      <c r="L62" s="9">
        <f t="shared" si="1"/>
        <v>0</v>
      </c>
      <c r="M62" s="19"/>
      <c r="N62" s="17"/>
    </row>
    <row r="63" spans="1:14" ht="10.5" customHeight="1" x14ac:dyDescent="0.15">
      <c r="A63" s="11"/>
      <c r="B63" s="4" t="s">
        <v>14</v>
      </c>
      <c r="C63" s="9"/>
      <c r="D63" s="9">
        <v>0</v>
      </c>
      <c r="E63" s="9">
        <f>'[2]70.00'!$D$37</f>
        <v>0</v>
      </c>
      <c r="F63" s="9">
        <f>'[2]70.00'!$E$37</f>
        <v>0</v>
      </c>
      <c r="G63" s="9"/>
      <c r="H63" s="9">
        <f t="shared" si="5"/>
        <v>0</v>
      </c>
      <c r="I63" s="9"/>
      <c r="J63" s="9"/>
      <c r="K63" s="9">
        <f t="shared" si="1"/>
        <v>0</v>
      </c>
      <c r="L63" s="9">
        <f t="shared" si="1"/>
        <v>0</v>
      </c>
      <c r="M63" s="10"/>
      <c r="N63" s="15"/>
    </row>
    <row r="64" spans="1:14" ht="10.5" customHeight="1" x14ac:dyDescent="0.15">
      <c r="A64" s="11"/>
      <c r="B64" s="4" t="s">
        <v>15</v>
      </c>
      <c r="C64" s="9">
        <v>0</v>
      </c>
      <c r="D64" s="15"/>
      <c r="E64" s="9"/>
      <c r="F64" s="9">
        <v>0</v>
      </c>
      <c r="G64" s="9">
        <f>C64+E64-F64</f>
        <v>0</v>
      </c>
      <c r="H64" s="9"/>
      <c r="I64" s="9"/>
      <c r="J64" s="9"/>
      <c r="K64" s="9">
        <f t="shared" si="1"/>
        <v>0</v>
      </c>
      <c r="L64" s="9">
        <f t="shared" si="1"/>
        <v>0</v>
      </c>
      <c r="M64" s="10"/>
    </row>
    <row r="65" spans="1:13" ht="10.5" customHeight="1" x14ac:dyDescent="0.15">
      <c r="A65" s="11"/>
      <c r="B65" s="4" t="s">
        <v>16</v>
      </c>
      <c r="C65" s="25"/>
      <c r="D65" s="25">
        <v>0</v>
      </c>
      <c r="E65" s="9">
        <v>0</v>
      </c>
      <c r="F65" s="9">
        <v>0</v>
      </c>
      <c r="G65" s="9"/>
      <c r="H65" s="9">
        <f>D65-E65+F65</f>
        <v>0</v>
      </c>
      <c r="I65" s="9"/>
      <c r="J65" s="9"/>
      <c r="K65" s="9"/>
      <c r="L65" s="9">
        <f>H65</f>
        <v>0</v>
      </c>
      <c r="M65" s="10"/>
    </row>
    <row r="66" spans="1:13" ht="10.5" customHeight="1" x14ac:dyDescent="0.15">
      <c r="A66" s="69" t="s">
        <v>17</v>
      </c>
      <c r="B66" s="69"/>
      <c r="C66" s="26">
        <f>SUM(C55:C65)</f>
        <v>0</v>
      </c>
      <c r="D66" s="26">
        <f>SUM(D55:D65)</f>
        <v>0</v>
      </c>
      <c r="E66" s="18"/>
      <c r="F66" s="18"/>
      <c r="G66" s="18">
        <f>SUM(G56:G65)</f>
        <v>0</v>
      </c>
      <c r="H66" s="18">
        <f>SUM(H56:H65)</f>
        <v>0</v>
      </c>
      <c r="I66" s="18"/>
      <c r="J66" s="18"/>
      <c r="K66" s="18">
        <f t="shared" si="1"/>
        <v>0</v>
      </c>
      <c r="L66" s="18">
        <f t="shared" si="1"/>
        <v>0</v>
      </c>
      <c r="M66" s="19"/>
    </row>
    <row r="67" spans="1:13" ht="10.5" customHeight="1" thickBot="1" x14ac:dyDescent="0.2">
      <c r="A67" s="70"/>
      <c r="B67" s="70"/>
      <c r="C67" s="27"/>
      <c r="D67" s="28">
        <f>D66-C66</f>
        <v>0</v>
      </c>
      <c r="E67" s="29">
        <f>SUM(E8:E66)</f>
        <v>0</v>
      </c>
      <c r="F67" s="29">
        <f>SUM(F8:F66)</f>
        <v>0</v>
      </c>
      <c r="G67" s="30"/>
      <c r="H67" s="29">
        <f>H66-G66</f>
        <v>0</v>
      </c>
      <c r="I67" s="30"/>
      <c r="J67" s="30"/>
      <c r="K67" s="29">
        <f t="shared" si="1"/>
        <v>0</v>
      </c>
      <c r="L67" s="29">
        <f>L66-K66</f>
        <v>0</v>
      </c>
      <c r="M67" s="31">
        <f>K53-L67</f>
        <v>0</v>
      </c>
    </row>
    <row r="68" spans="1:13" ht="18.75" customHeight="1" thickTop="1" thickBot="1" x14ac:dyDescent="0.2">
      <c r="A68" s="20"/>
      <c r="B68" s="32"/>
      <c r="C68" s="33"/>
      <c r="D68" s="34"/>
      <c r="E68" s="35"/>
      <c r="F68" s="35"/>
      <c r="G68" s="36"/>
      <c r="H68" s="35"/>
      <c r="I68" s="36"/>
      <c r="J68" s="36"/>
      <c r="K68" s="35"/>
      <c r="L68" s="37"/>
      <c r="M68" s="31">
        <f>L65-F105</f>
        <v>0</v>
      </c>
    </row>
    <row r="69" spans="1:13" ht="10.5" customHeight="1" thickTop="1" x14ac:dyDescent="0.15">
      <c r="A69" s="58" t="s">
        <v>1</v>
      </c>
      <c r="B69" s="59"/>
      <c r="C69" s="72" t="s">
        <v>18</v>
      </c>
      <c r="D69" s="73"/>
      <c r="E69" s="58" t="s">
        <v>19</v>
      </c>
      <c r="F69" s="59"/>
      <c r="G69" s="72" t="s">
        <v>2</v>
      </c>
      <c r="H69" s="73"/>
      <c r="I69" s="74" t="s">
        <v>5</v>
      </c>
      <c r="J69" s="75"/>
      <c r="K69" s="58" t="s">
        <v>6</v>
      </c>
      <c r="L69" s="59"/>
      <c r="M69" s="10"/>
    </row>
    <row r="70" spans="1:13" ht="10.5" customHeight="1" x14ac:dyDescent="0.15">
      <c r="A70" s="60"/>
      <c r="B70" s="61"/>
      <c r="C70" s="65" t="s">
        <v>93</v>
      </c>
      <c r="D70" s="66"/>
      <c r="E70" s="62"/>
      <c r="F70" s="63"/>
      <c r="G70" s="65" t="s">
        <v>102</v>
      </c>
      <c r="H70" s="66"/>
      <c r="I70" s="65" t="s">
        <v>102</v>
      </c>
      <c r="J70" s="66"/>
      <c r="K70" s="65" t="s">
        <v>102</v>
      </c>
      <c r="L70" s="66"/>
      <c r="M70" s="10"/>
    </row>
    <row r="71" spans="1:13" ht="10.5" customHeight="1" x14ac:dyDescent="0.15">
      <c r="A71" s="62"/>
      <c r="B71" s="63"/>
      <c r="C71" s="6" t="s">
        <v>3</v>
      </c>
      <c r="D71" s="6" t="s">
        <v>4</v>
      </c>
      <c r="E71" s="6" t="s">
        <v>3</v>
      </c>
      <c r="F71" s="6" t="s">
        <v>4</v>
      </c>
      <c r="G71" s="6" t="s">
        <v>3</v>
      </c>
      <c r="H71" s="6" t="s">
        <v>4</v>
      </c>
      <c r="I71" s="6" t="s">
        <v>3</v>
      </c>
      <c r="J71" s="6" t="s">
        <v>4</v>
      </c>
      <c r="K71" s="6" t="s">
        <v>3</v>
      </c>
      <c r="L71" s="6" t="s">
        <v>4</v>
      </c>
      <c r="M71" s="10"/>
    </row>
    <row r="72" spans="1:13" ht="10.5" customHeight="1" x14ac:dyDescent="0.15">
      <c r="A72" s="38" t="s">
        <v>31</v>
      </c>
      <c r="B72" s="8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10">
        <f>M67+M68</f>
        <v>0</v>
      </c>
    </row>
    <row r="73" spans="1:13" ht="10.5" customHeight="1" x14ac:dyDescent="0.15">
      <c r="A73" s="40" t="s">
        <v>32</v>
      </c>
      <c r="B73" s="12"/>
      <c r="C73" s="9"/>
      <c r="D73" s="9"/>
      <c r="E73" s="41"/>
      <c r="F73" s="41"/>
      <c r="G73" s="9">
        <f>E73</f>
        <v>0</v>
      </c>
      <c r="H73" s="9">
        <f>F73</f>
        <v>0</v>
      </c>
      <c r="I73" s="9">
        <f>G73</f>
        <v>0</v>
      </c>
      <c r="J73" s="9">
        <f>H73</f>
        <v>0</v>
      </c>
      <c r="K73" s="9"/>
      <c r="L73" s="9"/>
      <c r="M73" s="10"/>
    </row>
    <row r="74" spans="1:13" ht="10.5" customHeight="1" x14ac:dyDescent="0.15">
      <c r="A74" s="42"/>
      <c r="B74" s="12" t="s">
        <v>77</v>
      </c>
      <c r="C74" s="9"/>
      <c r="D74" s="9"/>
      <c r="E74" s="41">
        <f>'[1]81.01'!$D$8</f>
        <v>0</v>
      </c>
      <c r="F74" s="41">
        <v>0</v>
      </c>
      <c r="G74" s="9">
        <f t="shared" ref="G74:J89" si="6">E74</f>
        <v>0</v>
      </c>
      <c r="H74" s="9">
        <f t="shared" si="6"/>
        <v>0</v>
      </c>
      <c r="I74" s="9">
        <f t="shared" si="6"/>
        <v>0</v>
      </c>
      <c r="J74" s="9">
        <f t="shared" si="6"/>
        <v>0</v>
      </c>
      <c r="K74" s="9"/>
      <c r="L74" s="9"/>
      <c r="M74" s="10"/>
    </row>
    <row r="75" spans="1:13" ht="10.5" customHeight="1" x14ac:dyDescent="0.15">
      <c r="A75" s="42"/>
      <c r="B75" s="12" t="s">
        <v>78</v>
      </c>
      <c r="C75" s="9"/>
      <c r="D75" s="9"/>
      <c r="E75" s="41">
        <f>'[1]81.01'!$D$35</f>
        <v>0</v>
      </c>
      <c r="F75" s="41">
        <v>0</v>
      </c>
      <c r="G75" s="9">
        <f t="shared" si="6"/>
        <v>0</v>
      </c>
      <c r="H75" s="9">
        <f t="shared" si="6"/>
        <v>0</v>
      </c>
      <c r="I75" s="9">
        <f t="shared" si="6"/>
        <v>0</v>
      </c>
      <c r="J75" s="9">
        <f t="shared" si="6"/>
        <v>0</v>
      </c>
      <c r="K75" s="9"/>
      <c r="L75" s="9"/>
      <c r="M75" s="9">
        <v>-373724391</v>
      </c>
    </row>
    <row r="76" spans="1:13" ht="10.5" customHeight="1" x14ac:dyDescent="0.15">
      <c r="A76" s="42"/>
      <c r="B76" s="12" t="s">
        <v>79</v>
      </c>
      <c r="C76" s="9"/>
      <c r="D76" s="9"/>
      <c r="E76" s="41">
        <f>'[1]81.01'!$D$75</f>
        <v>0</v>
      </c>
      <c r="F76" s="41">
        <v>0</v>
      </c>
      <c r="G76" s="9">
        <f t="shared" si="6"/>
        <v>0</v>
      </c>
      <c r="H76" s="9">
        <f t="shared" si="6"/>
        <v>0</v>
      </c>
      <c r="I76" s="9">
        <f t="shared" si="6"/>
        <v>0</v>
      </c>
      <c r="J76" s="9">
        <f t="shared" si="6"/>
        <v>0</v>
      </c>
      <c r="K76" s="9"/>
      <c r="L76" s="9"/>
      <c r="M76" s="10"/>
    </row>
    <row r="77" spans="1:13" ht="10.5" customHeight="1" x14ac:dyDescent="0.15">
      <c r="A77" s="40" t="s">
        <v>76</v>
      </c>
      <c r="B77" s="12"/>
      <c r="C77" s="9"/>
      <c r="D77" s="9"/>
      <c r="E77" s="41"/>
      <c r="F77" s="41"/>
      <c r="G77" s="9">
        <f t="shared" si="6"/>
        <v>0</v>
      </c>
      <c r="H77" s="9">
        <f t="shared" si="6"/>
        <v>0</v>
      </c>
      <c r="I77" s="9">
        <f t="shared" si="6"/>
        <v>0</v>
      </c>
      <c r="J77" s="9">
        <f t="shared" si="6"/>
        <v>0</v>
      </c>
      <c r="K77" s="9"/>
      <c r="L77" s="9"/>
      <c r="M77" s="10">
        <f>L65+M75</f>
        <v>-373724391</v>
      </c>
    </row>
    <row r="78" spans="1:13" ht="10.5" customHeight="1" x14ac:dyDescent="0.15">
      <c r="A78" s="42"/>
      <c r="B78" s="4" t="s">
        <v>33</v>
      </c>
      <c r="C78" s="9"/>
      <c r="D78" s="9"/>
      <c r="E78" s="41">
        <f>'[1]81.02-81.03'!$D$8</f>
        <v>0</v>
      </c>
      <c r="F78" s="41">
        <v>0</v>
      </c>
      <c r="G78" s="9">
        <f t="shared" si="6"/>
        <v>0</v>
      </c>
      <c r="H78" s="9">
        <f t="shared" si="6"/>
        <v>0</v>
      </c>
      <c r="I78" s="9">
        <f t="shared" si="6"/>
        <v>0</v>
      </c>
      <c r="J78" s="9">
        <f t="shared" si="6"/>
        <v>0</v>
      </c>
      <c r="K78" s="9"/>
      <c r="L78" s="9"/>
      <c r="M78" s="10"/>
    </row>
    <row r="79" spans="1:13" ht="10.5" customHeight="1" x14ac:dyDescent="0.15">
      <c r="A79" s="42"/>
      <c r="B79" s="4" t="s">
        <v>35</v>
      </c>
      <c r="C79" s="9"/>
      <c r="D79" s="9"/>
      <c r="E79" s="41">
        <f>'[1]81.02-81.03'!$D$35</f>
        <v>0</v>
      </c>
      <c r="F79" s="41">
        <f>'[1]81.02-81.03'!$E$35</f>
        <v>0</v>
      </c>
      <c r="G79" s="9">
        <f t="shared" si="6"/>
        <v>0</v>
      </c>
      <c r="H79" s="9">
        <f t="shared" si="6"/>
        <v>0</v>
      </c>
      <c r="I79" s="9">
        <f t="shared" si="6"/>
        <v>0</v>
      </c>
      <c r="J79" s="9">
        <f t="shared" si="6"/>
        <v>0</v>
      </c>
      <c r="K79" s="9"/>
      <c r="L79" s="9"/>
      <c r="M79" s="10"/>
    </row>
    <row r="80" spans="1:13" ht="10.5" customHeight="1" x14ac:dyDescent="0.15">
      <c r="A80" s="42"/>
      <c r="B80" s="4" t="s">
        <v>34</v>
      </c>
      <c r="C80" s="9"/>
      <c r="D80" s="9"/>
      <c r="E80" s="41">
        <f>'[1]81.02-81.03'!$D$48</f>
        <v>0</v>
      </c>
      <c r="F80" s="41">
        <v>0</v>
      </c>
      <c r="G80" s="9">
        <f t="shared" si="6"/>
        <v>0</v>
      </c>
      <c r="H80" s="9">
        <f t="shared" si="6"/>
        <v>0</v>
      </c>
      <c r="I80" s="9">
        <f t="shared" si="6"/>
        <v>0</v>
      </c>
      <c r="J80" s="9">
        <f t="shared" si="6"/>
        <v>0</v>
      </c>
      <c r="K80" s="9"/>
      <c r="L80" s="9"/>
      <c r="M80" s="10"/>
    </row>
    <row r="81" spans="1:13" ht="10.5" customHeight="1" x14ac:dyDescent="0.15">
      <c r="A81" s="42"/>
      <c r="B81" s="4" t="s">
        <v>73</v>
      </c>
      <c r="C81" s="9"/>
      <c r="D81" s="9"/>
      <c r="E81" s="41">
        <f>'[1]81.02-81.03'!$D$76</f>
        <v>0</v>
      </c>
      <c r="F81" s="41">
        <f>'[1]81.02-81.03'!$E$76</f>
        <v>0</v>
      </c>
      <c r="G81" s="9">
        <f t="shared" si="6"/>
        <v>0</v>
      </c>
      <c r="H81" s="9">
        <f t="shared" si="6"/>
        <v>0</v>
      </c>
      <c r="I81" s="9">
        <f t="shared" si="6"/>
        <v>0</v>
      </c>
      <c r="J81" s="9">
        <f t="shared" si="6"/>
        <v>0</v>
      </c>
      <c r="K81" s="9"/>
      <c r="L81" s="9"/>
      <c r="M81" s="10"/>
    </row>
    <row r="82" spans="1:13" ht="10.5" customHeight="1" x14ac:dyDescent="0.15">
      <c r="A82" s="42"/>
      <c r="B82" s="4" t="s">
        <v>74</v>
      </c>
      <c r="C82" s="9"/>
      <c r="D82" s="9"/>
      <c r="E82" s="41">
        <f>'[1]81.02-81.03'!$D$93</f>
        <v>0</v>
      </c>
      <c r="F82" s="41">
        <f>'[1]81.02-81.03'!$E$93</f>
        <v>0</v>
      </c>
      <c r="G82" s="9">
        <f t="shared" si="6"/>
        <v>0</v>
      </c>
      <c r="H82" s="9">
        <f t="shared" si="6"/>
        <v>0</v>
      </c>
      <c r="I82" s="9">
        <f t="shared" si="6"/>
        <v>0</v>
      </c>
      <c r="J82" s="9">
        <f t="shared" si="6"/>
        <v>0</v>
      </c>
      <c r="K82" s="9"/>
      <c r="L82" s="9"/>
      <c r="M82" s="10"/>
    </row>
    <row r="83" spans="1:13" ht="10.5" customHeight="1" x14ac:dyDescent="0.15">
      <c r="A83" s="42"/>
      <c r="B83" s="4" t="s">
        <v>75</v>
      </c>
      <c r="C83" s="9"/>
      <c r="D83" s="9"/>
      <c r="E83" s="41">
        <f>'[1]81.02-81.03'!$D$116</f>
        <v>0</v>
      </c>
      <c r="F83" s="41">
        <f>'[1]81.02-81.03'!$E$116</f>
        <v>0</v>
      </c>
      <c r="G83" s="9">
        <f t="shared" si="6"/>
        <v>0</v>
      </c>
      <c r="H83" s="9">
        <f t="shared" si="6"/>
        <v>0</v>
      </c>
      <c r="I83" s="9">
        <f t="shared" si="6"/>
        <v>0</v>
      </c>
      <c r="J83" s="9">
        <f t="shared" si="6"/>
        <v>0</v>
      </c>
      <c r="K83" s="9"/>
      <c r="L83" s="9"/>
      <c r="M83" s="10"/>
    </row>
    <row r="84" spans="1:13" ht="10.5" customHeight="1" x14ac:dyDescent="0.15">
      <c r="A84" s="11" t="s">
        <v>36</v>
      </c>
      <c r="B84" s="12"/>
      <c r="C84" s="9"/>
      <c r="D84" s="9"/>
      <c r="E84" s="41"/>
      <c r="F84" s="41"/>
      <c r="G84" s="9">
        <f t="shared" si="6"/>
        <v>0</v>
      </c>
      <c r="H84" s="9">
        <f t="shared" si="6"/>
        <v>0</v>
      </c>
      <c r="I84" s="9">
        <f t="shared" si="6"/>
        <v>0</v>
      </c>
      <c r="J84" s="9">
        <f t="shared" si="6"/>
        <v>0</v>
      </c>
      <c r="K84" s="9"/>
      <c r="L84" s="9"/>
      <c r="M84" s="10"/>
    </row>
    <row r="85" spans="1:13" ht="10.5" customHeight="1" x14ac:dyDescent="0.15">
      <c r="A85" s="11" t="s">
        <v>37</v>
      </c>
      <c r="B85" s="12"/>
      <c r="C85" s="9"/>
      <c r="D85" s="9"/>
      <c r="E85" s="9"/>
      <c r="F85" s="41"/>
      <c r="G85" s="9">
        <f t="shared" si="6"/>
        <v>0</v>
      </c>
      <c r="H85" s="9">
        <f t="shared" si="6"/>
        <v>0</v>
      </c>
      <c r="I85" s="9">
        <f t="shared" si="6"/>
        <v>0</v>
      </c>
      <c r="J85" s="9">
        <f>H85</f>
        <v>0</v>
      </c>
      <c r="K85" s="9"/>
      <c r="L85" s="9"/>
      <c r="M85" s="10"/>
    </row>
    <row r="86" spans="1:13" ht="10.5" customHeight="1" x14ac:dyDescent="0.15">
      <c r="A86" s="11"/>
      <c r="B86" s="12" t="s">
        <v>57</v>
      </c>
      <c r="C86" s="14"/>
      <c r="D86" s="9"/>
      <c r="E86" s="9">
        <v>0</v>
      </c>
      <c r="F86" s="9"/>
      <c r="G86" s="9">
        <f t="shared" si="6"/>
        <v>0</v>
      </c>
      <c r="H86" s="9">
        <f t="shared" si="6"/>
        <v>0</v>
      </c>
      <c r="I86" s="9">
        <f t="shared" si="6"/>
        <v>0</v>
      </c>
      <c r="J86" s="9">
        <f t="shared" si="6"/>
        <v>0</v>
      </c>
      <c r="K86" s="9"/>
      <c r="L86" s="9"/>
      <c r="M86" s="10"/>
    </row>
    <row r="87" spans="1:13" ht="10.5" customHeight="1" x14ac:dyDescent="0.15">
      <c r="A87" s="11"/>
      <c r="B87" s="12" t="s">
        <v>58</v>
      </c>
      <c r="C87" s="14"/>
      <c r="D87" s="9"/>
      <c r="E87" s="9">
        <v>0</v>
      </c>
      <c r="F87" s="9"/>
      <c r="G87" s="9">
        <f t="shared" si="6"/>
        <v>0</v>
      </c>
      <c r="H87" s="9">
        <f t="shared" si="6"/>
        <v>0</v>
      </c>
      <c r="I87" s="9">
        <f t="shared" si="6"/>
        <v>0</v>
      </c>
      <c r="J87" s="9">
        <f t="shared" si="6"/>
        <v>0</v>
      </c>
      <c r="K87" s="9"/>
      <c r="L87" s="9"/>
      <c r="M87" s="10"/>
    </row>
    <row r="88" spans="1:13" ht="10.5" customHeight="1" x14ac:dyDescent="0.15">
      <c r="A88" s="11"/>
      <c r="B88" s="12" t="s">
        <v>59</v>
      </c>
      <c r="C88" s="14"/>
      <c r="D88" s="9"/>
      <c r="E88" s="9">
        <v>0</v>
      </c>
      <c r="F88" s="9"/>
      <c r="G88" s="9">
        <f t="shared" si="6"/>
        <v>0</v>
      </c>
      <c r="H88" s="9">
        <f t="shared" si="6"/>
        <v>0</v>
      </c>
      <c r="I88" s="9">
        <f t="shared" si="6"/>
        <v>0</v>
      </c>
      <c r="J88" s="9">
        <f t="shared" si="6"/>
        <v>0</v>
      </c>
      <c r="K88" s="9"/>
      <c r="L88" s="9"/>
      <c r="M88" s="10"/>
    </row>
    <row r="89" spans="1:13" ht="10.5" customHeight="1" x14ac:dyDescent="0.15">
      <c r="A89" s="11"/>
      <c r="B89" s="12" t="s">
        <v>60</v>
      </c>
      <c r="C89" s="14"/>
      <c r="D89" s="9"/>
      <c r="E89" s="9">
        <v>0</v>
      </c>
      <c r="F89" s="9"/>
      <c r="G89" s="9">
        <f t="shared" si="6"/>
        <v>0</v>
      </c>
      <c r="H89" s="9">
        <f t="shared" si="6"/>
        <v>0</v>
      </c>
      <c r="I89" s="9">
        <f t="shared" si="6"/>
        <v>0</v>
      </c>
      <c r="J89" s="9">
        <f t="shared" si="6"/>
        <v>0</v>
      </c>
      <c r="K89" s="9"/>
      <c r="L89" s="9"/>
      <c r="M89" s="10"/>
    </row>
    <row r="90" spans="1:13" ht="10.5" customHeight="1" x14ac:dyDescent="0.15">
      <c r="A90" s="11"/>
      <c r="B90" s="12" t="s">
        <v>61</v>
      </c>
      <c r="C90" s="14"/>
      <c r="D90" s="9"/>
      <c r="E90" s="9">
        <v>0</v>
      </c>
      <c r="F90" s="9"/>
      <c r="G90" s="9">
        <f t="shared" ref="G90:J109" si="7">E90</f>
        <v>0</v>
      </c>
      <c r="H90" s="9">
        <f t="shared" si="7"/>
        <v>0</v>
      </c>
      <c r="I90" s="9">
        <f t="shared" si="7"/>
        <v>0</v>
      </c>
      <c r="J90" s="9">
        <f t="shared" si="7"/>
        <v>0</v>
      </c>
      <c r="K90" s="9"/>
      <c r="L90" s="9"/>
      <c r="M90" s="10"/>
    </row>
    <row r="91" spans="1:13" ht="10.5" customHeight="1" x14ac:dyDescent="0.15">
      <c r="A91" s="11"/>
      <c r="B91" s="12" t="s">
        <v>62</v>
      </c>
      <c r="C91" s="14"/>
      <c r="D91" s="9"/>
      <c r="E91" s="9">
        <v>0</v>
      </c>
      <c r="F91" s="9"/>
      <c r="G91" s="9">
        <f t="shared" si="7"/>
        <v>0</v>
      </c>
      <c r="H91" s="9">
        <f t="shared" si="7"/>
        <v>0</v>
      </c>
      <c r="I91" s="9">
        <f t="shared" si="7"/>
        <v>0</v>
      </c>
      <c r="J91" s="9">
        <f t="shared" si="7"/>
        <v>0</v>
      </c>
      <c r="K91" s="9"/>
      <c r="L91" s="9"/>
      <c r="M91" s="10"/>
    </row>
    <row r="92" spans="1:13" ht="10.5" customHeight="1" x14ac:dyDescent="0.15">
      <c r="A92" s="11"/>
      <c r="B92" s="12" t="s">
        <v>94</v>
      </c>
      <c r="C92" s="14"/>
      <c r="D92" s="9"/>
      <c r="E92" s="9">
        <v>0</v>
      </c>
      <c r="F92" s="9"/>
      <c r="G92" s="9">
        <f t="shared" si="7"/>
        <v>0</v>
      </c>
      <c r="H92" s="9">
        <f t="shared" si="7"/>
        <v>0</v>
      </c>
      <c r="I92" s="9">
        <f t="shared" si="7"/>
        <v>0</v>
      </c>
      <c r="J92" s="9">
        <f t="shared" si="7"/>
        <v>0</v>
      </c>
      <c r="K92" s="9"/>
      <c r="L92" s="9"/>
      <c r="M92" s="10"/>
    </row>
    <row r="93" spans="1:13" ht="10.5" customHeight="1" x14ac:dyDescent="0.15">
      <c r="A93" s="11"/>
      <c r="B93" s="12" t="s">
        <v>63</v>
      </c>
      <c r="C93" s="14"/>
      <c r="D93" s="9"/>
      <c r="E93" s="9">
        <v>0</v>
      </c>
      <c r="F93" s="9"/>
      <c r="G93" s="9">
        <f t="shared" si="7"/>
        <v>0</v>
      </c>
      <c r="H93" s="9">
        <f t="shared" si="7"/>
        <v>0</v>
      </c>
      <c r="I93" s="9">
        <f t="shared" si="7"/>
        <v>0</v>
      </c>
      <c r="J93" s="9">
        <f t="shared" si="7"/>
        <v>0</v>
      </c>
      <c r="K93" s="9"/>
      <c r="L93" s="9"/>
      <c r="M93" s="10"/>
    </row>
    <row r="94" spans="1:13" ht="10.5" customHeight="1" x14ac:dyDescent="0.15">
      <c r="A94" s="11"/>
      <c r="B94" s="12" t="s">
        <v>64</v>
      </c>
      <c r="C94" s="14"/>
      <c r="D94" s="9"/>
      <c r="E94" s="9">
        <f>SUM('[3]RINCIAN B. TDK LANGSUNG'!$E$62:$F$62)</f>
        <v>0</v>
      </c>
      <c r="F94" s="9"/>
      <c r="G94" s="9">
        <f t="shared" si="7"/>
        <v>0</v>
      </c>
      <c r="H94" s="9">
        <f t="shared" si="7"/>
        <v>0</v>
      </c>
      <c r="I94" s="9">
        <f t="shared" si="7"/>
        <v>0</v>
      </c>
      <c r="J94" s="9">
        <f t="shared" si="7"/>
        <v>0</v>
      </c>
      <c r="K94" s="9"/>
      <c r="L94" s="9"/>
      <c r="M94" s="10"/>
    </row>
    <row r="95" spans="1:13" ht="10.5" customHeight="1" x14ac:dyDescent="0.15">
      <c r="A95" s="11"/>
      <c r="B95" s="12" t="s">
        <v>65</v>
      </c>
      <c r="C95" s="14"/>
      <c r="D95" s="9"/>
      <c r="E95" s="9">
        <v>0</v>
      </c>
      <c r="F95" s="9"/>
      <c r="G95" s="9">
        <f t="shared" si="7"/>
        <v>0</v>
      </c>
      <c r="H95" s="9">
        <f t="shared" si="7"/>
        <v>0</v>
      </c>
      <c r="I95" s="9">
        <f t="shared" si="7"/>
        <v>0</v>
      </c>
      <c r="J95" s="9">
        <f t="shared" si="7"/>
        <v>0</v>
      </c>
      <c r="K95" s="9"/>
      <c r="L95" s="9"/>
      <c r="M95" s="10"/>
    </row>
    <row r="96" spans="1:13" ht="10.5" customHeight="1" x14ac:dyDescent="0.15">
      <c r="A96" s="43" t="s">
        <v>44</v>
      </c>
      <c r="B96" s="44"/>
      <c r="C96" s="24"/>
      <c r="D96" s="24"/>
      <c r="E96" s="24"/>
      <c r="F96" s="24"/>
      <c r="G96" s="9">
        <f t="shared" si="7"/>
        <v>0</v>
      </c>
      <c r="H96" s="9">
        <f t="shared" si="7"/>
        <v>0</v>
      </c>
      <c r="I96" s="9">
        <f t="shared" si="7"/>
        <v>0</v>
      </c>
      <c r="J96" s="9">
        <f t="shared" si="7"/>
        <v>0</v>
      </c>
      <c r="K96" s="9"/>
      <c r="L96" s="9"/>
      <c r="M96" s="10"/>
    </row>
    <row r="97" spans="1:13" ht="10.5" customHeight="1" x14ac:dyDescent="0.15">
      <c r="A97" s="45"/>
      <c r="B97" s="46" t="s">
        <v>45</v>
      </c>
      <c r="C97" s="24"/>
      <c r="D97" s="24"/>
      <c r="E97" s="24"/>
      <c r="F97" s="24"/>
      <c r="G97" s="9">
        <f>E97</f>
        <v>0</v>
      </c>
      <c r="H97" s="9">
        <f t="shared" si="7"/>
        <v>0</v>
      </c>
      <c r="I97" s="9">
        <f t="shared" si="7"/>
        <v>0</v>
      </c>
      <c r="J97" s="9">
        <f t="shared" si="7"/>
        <v>0</v>
      </c>
      <c r="K97" s="9"/>
      <c r="L97" s="9"/>
      <c r="M97" s="10"/>
    </row>
    <row r="98" spans="1:13" ht="10.5" customHeight="1" x14ac:dyDescent="0.15">
      <c r="A98" s="45"/>
      <c r="B98" s="47" t="s">
        <v>84</v>
      </c>
      <c r="C98" s="24"/>
      <c r="D98" s="24"/>
      <c r="E98" s="24">
        <f>'[1]88.00'!$D$73</f>
        <v>0</v>
      </c>
      <c r="F98" s="9">
        <f>'[1]88.00'!$E$78</f>
        <v>0</v>
      </c>
      <c r="G98" s="9">
        <f t="shared" ref="G98" si="8">E98</f>
        <v>0</v>
      </c>
      <c r="H98" s="9">
        <f t="shared" si="7"/>
        <v>0</v>
      </c>
      <c r="I98" s="9">
        <f t="shared" si="7"/>
        <v>0</v>
      </c>
      <c r="J98" s="9">
        <f t="shared" si="7"/>
        <v>0</v>
      </c>
      <c r="K98" s="9"/>
      <c r="L98" s="9"/>
      <c r="M98" s="10"/>
    </row>
    <row r="99" spans="1:13" ht="10.5" customHeight="1" x14ac:dyDescent="0.15">
      <c r="A99" s="45"/>
      <c r="B99" s="47" t="s">
        <v>80</v>
      </c>
      <c r="C99" s="24"/>
      <c r="D99" s="24"/>
      <c r="E99" s="9">
        <f>'[1]88.00'!$D$8</f>
        <v>0</v>
      </c>
      <c r="F99" s="9">
        <v>0</v>
      </c>
      <c r="G99" s="9"/>
      <c r="H99" s="9">
        <f>F99-E99</f>
        <v>0</v>
      </c>
      <c r="I99" s="9">
        <f t="shared" si="7"/>
        <v>0</v>
      </c>
      <c r="J99" s="9">
        <f t="shared" si="7"/>
        <v>0</v>
      </c>
      <c r="K99" s="9"/>
      <c r="L99" s="9"/>
      <c r="M99" s="10"/>
    </row>
    <row r="100" spans="1:13" ht="10.5" customHeight="1" x14ac:dyDescent="0.15">
      <c r="A100" s="45"/>
      <c r="B100" s="47" t="s">
        <v>81</v>
      </c>
      <c r="C100" s="24"/>
      <c r="D100" s="24"/>
      <c r="E100" s="24">
        <f>'[1]88.00'!$D$35</f>
        <v>0</v>
      </c>
      <c r="F100" s="9">
        <v>0</v>
      </c>
      <c r="G100" s="9">
        <f t="shared" ref="G100:H102" si="9">E100</f>
        <v>0</v>
      </c>
      <c r="H100" s="9">
        <f t="shared" si="9"/>
        <v>0</v>
      </c>
      <c r="I100" s="9">
        <f t="shared" si="7"/>
        <v>0</v>
      </c>
      <c r="J100" s="9">
        <f t="shared" si="7"/>
        <v>0</v>
      </c>
      <c r="K100" s="9"/>
      <c r="L100" s="9"/>
      <c r="M100" s="10"/>
    </row>
    <row r="101" spans="1:13" ht="10.5" customHeight="1" x14ac:dyDescent="0.15">
      <c r="A101" s="45"/>
      <c r="B101" s="47" t="s">
        <v>82</v>
      </c>
      <c r="C101" s="24"/>
      <c r="D101" s="24"/>
      <c r="E101" s="24">
        <f>'[1]88.00'!$D$103</f>
        <v>0</v>
      </c>
      <c r="F101" s="9">
        <f>'[1]88.00'!$E$103</f>
        <v>0</v>
      </c>
      <c r="G101" s="9">
        <f t="shared" si="9"/>
        <v>0</v>
      </c>
      <c r="H101" s="9">
        <f t="shared" si="9"/>
        <v>0</v>
      </c>
      <c r="I101" s="9">
        <f t="shared" si="7"/>
        <v>0</v>
      </c>
      <c r="J101" s="9">
        <f t="shared" si="7"/>
        <v>0</v>
      </c>
      <c r="K101" s="9"/>
      <c r="L101" s="9"/>
      <c r="M101" s="10"/>
    </row>
    <row r="102" spans="1:13" ht="10.5" customHeight="1" x14ac:dyDescent="0.15">
      <c r="A102" s="45"/>
      <c r="B102" s="46" t="s">
        <v>46</v>
      </c>
      <c r="C102" s="24"/>
      <c r="D102" s="24"/>
      <c r="E102" s="9">
        <v>0</v>
      </c>
      <c r="F102" s="9">
        <f>'[1]98.00'!$E$8</f>
        <v>0</v>
      </c>
      <c r="G102" s="9">
        <f t="shared" si="9"/>
        <v>0</v>
      </c>
      <c r="H102" s="9">
        <f t="shared" si="9"/>
        <v>0</v>
      </c>
      <c r="I102" s="9">
        <f t="shared" si="7"/>
        <v>0</v>
      </c>
      <c r="J102" s="9">
        <f t="shared" si="7"/>
        <v>0</v>
      </c>
      <c r="K102" s="9"/>
      <c r="L102" s="9"/>
      <c r="M102" s="10"/>
    </row>
    <row r="103" spans="1:13" ht="10.5" customHeight="1" x14ac:dyDescent="0.15">
      <c r="A103" s="45"/>
      <c r="B103" s="44"/>
      <c r="C103" s="24"/>
      <c r="D103" s="24"/>
      <c r="E103" s="24"/>
      <c r="F103" s="24"/>
      <c r="G103" s="9"/>
      <c r="H103" s="9"/>
      <c r="I103" s="24">
        <f t="shared" si="7"/>
        <v>0</v>
      </c>
      <c r="J103" s="24">
        <f t="shared" si="7"/>
        <v>0</v>
      </c>
      <c r="K103" s="24"/>
      <c r="L103" s="24"/>
      <c r="M103" s="10"/>
    </row>
    <row r="104" spans="1:13" ht="10.5" customHeight="1" x14ac:dyDescent="0.15">
      <c r="A104" s="69" t="s">
        <v>38</v>
      </c>
      <c r="B104" s="69"/>
      <c r="C104" s="18"/>
      <c r="D104" s="18"/>
      <c r="E104" s="18">
        <f>SUM(E72:E103)</f>
        <v>0</v>
      </c>
      <c r="F104" s="18">
        <f>SUM(F72:F103)</f>
        <v>0</v>
      </c>
      <c r="G104" s="18">
        <f>SUM(G72:G103)+G66+G52</f>
        <v>0</v>
      </c>
      <c r="H104" s="18">
        <f>SUM(H72:H103)+H66+H52</f>
        <v>0</v>
      </c>
      <c r="I104" s="18">
        <f>SUM(I72:I103)+I66+I52</f>
        <v>0</v>
      </c>
      <c r="J104" s="18">
        <f>SUM(J72:J103)+J66+J52</f>
        <v>0</v>
      </c>
      <c r="K104" s="18"/>
      <c r="L104" s="18"/>
      <c r="M104" s="10"/>
    </row>
    <row r="105" spans="1:13" ht="10.5" customHeight="1" thickBot="1" x14ac:dyDescent="0.2">
      <c r="A105" s="70" t="s">
        <v>95</v>
      </c>
      <c r="B105" s="70"/>
      <c r="C105" s="48"/>
      <c r="D105" s="48"/>
      <c r="E105" s="28"/>
      <c r="F105" s="28">
        <f>F104-E104</f>
        <v>0</v>
      </c>
      <c r="G105" s="29"/>
      <c r="H105" s="29">
        <f>H104-G104</f>
        <v>0</v>
      </c>
      <c r="I105" s="29"/>
      <c r="J105" s="29">
        <f>J104-I104</f>
        <v>0</v>
      </c>
      <c r="K105" s="29"/>
      <c r="L105" s="29"/>
      <c r="M105" s="10"/>
    </row>
    <row r="106" spans="1:13" ht="12.75" customHeight="1" thickTop="1" x14ac:dyDescent="0.15">
      <c r="F106" s="52"/>
      <c r="H106" s="15"/>
    </row>
    <row r="107" spans="1:13" ht="11.25" customHeight="1" x14ac:dyDescent="0.2">
      <c r="B107" s="71" t="s">
        <v>83</v>
      </c>
      <c r="C107" s="71"/>
      <c r="D107" s="71"/>
      <c r="E107" s="54"/>
      <c r="F107" s="54"/>
      <c r="G107" s="54"/>
      <c r="H107" s="54"/>
      <c r="I107" s="1"/>
      <c r="J107" s="71"/>
      <c r="K107" s="71"/>
      <c r="L107" s="71"/>
    </row>
    <row r="108" spans="1:13" ht="11.25" customHeight="1" x14ac:dyDescent="0.2">
      <c r="B108" s="71" t="s">
        <v>89</v>
      </c>
      <c r="C108" s="71"/>
      <c r="D108" s="71"/>
      <c r="E108" s="54"/>
      <c r="F108" s="54"/>
      <c r="G108" s="55">
        <f>E105-G105</f>
        <v>0</v>
      </c>
      <c r="H108" s="55"/>
      <c r="I108" s="71" t="s">
        <v>55</v>
      </c>
      <c r="J108" s="71"/>
      <c r="K108" s="71"/>
      <c r="L108" s="71"/>
    </row>
    <row r="109" spans="1:13" ht="11.25" customHeight="1" x14ac:dyDescent="0.2">
      <c r="B109" s="71" t="s">
        <v>92</v>
      </c>
      <c r="C109" s="71"/>
      <c r="D109" s="71"/>
      <c r="E109" s="54"/>
      <c r="F109" s="54"/>
      <c r="G109" s="54"/>
      <c r="H109" s="54"/>
      <c r="I109" s="71" t="s">
        <v>91</v>
      </c>
      <c r="J109" s="71"/>
      <c r="K109" s="71"/>
      <c r="L109" s="71"/>
    </row>
    <row r="110" spans="1:13" ht="11.25" customHeight="1" x14ac:dyDescent="0.2">
      <c r="B110" s="71"/>
      <c r="C110" s="71"/>
      <c r="D110" s="1"/>
      <c r="E110" s="1"/>
      <c r="F110" s="54"/>
      <c r="G110" s="54"/>
      <c r="H110" s="76"/>
      <c r="I110" s="76"/>
      <c r="J110" s="71"/>
      <c r="K110" s="71"/>
      <c r="L110" s="71"/>
    </row>
    <row r="111" spans="1:13" ht="11.25" customHeight="1" x14ac:dyDescent="0.2">
      <c r="B111" s="2"/>
      <c r="C111" s="2"/>
      <c r="D111" s="1"/>
      <c r="E111" s="1"/>
      <c r="F111" s="3"/>
      <c r="G111" s="3"/>
      <c r="H111" s="3"/>
      <c r="I111" s="3"/>
      <c r="J111" s="2"/>
      <c r="K111" s="2"/>
      <c r="L111" s="2"/>
    </row>
    <row r="112" spans="1:13" ht="11.25" customHeight="1" x14ac:dyDescent="0.2">
      <c r="B112" s="71"/>
      <c r="C112" s="71"/>
      <c r="D112" s="1"/>
      <c r="E112" s="1"/>
      <c r="F112" s="76"/>
      <c r="G112" s="76"/>
      <c r="H112" s="76"/>
      <c r="I112" s="76"/>
      <c r="J112" s="71"/>
      <c r="K112" s="71"/>
      <c r="L112" s="71"/>
    </row>
    <row r="113" spans="2:12" ht="11.25" customHeight="1" x14ac:dyDescent="0.2">
      <c r="B113" s="78" t="s">
        <v>96</v>
      </c>
      <c r="C113" s="78"/>
      <c r="D113" s="78"/>
      <c r="E113" s="78"/>
      <c r="F113" s="78"/>
      <c r="G113" s="78"/>
      <c r="H113" s="78"/>
      <c r="I113" s="78" t="s">
        <v>97</v>
      </c>
      <c r="J113" s="78"/>
      <c r="K113" s="78"/>
      <c r="L113" s="78"/>
    </row>
    <row r="114" spans="2:12" ht="11.25" customHeight="1" x14ac:dyDescent="0.15">
      <c r="B114" s="77"/>
      <c r="C114" s="77"/>
      <c r="D114" s="49"/>
      <c r="E114" s="77"/>
      <c r="F114" s="77"/>
      <c r="G114" s="77"/>
      <c r="H114" s="77"/>
      <c r="I114" s="49"/>
      <c r="J114" s="77"/>
      <c r="K114" s="77"/>
      <c r="L114" s="77"/>
    </row>
    <row r="116" spans="2:12" ht="11.25" customHeight="1" x14ac:dyDescent="0.15">
      <c r="E116" s="17"/>
    </row>
    <row r="117" spans="2:12" ht="11.25" customHeight="1" x14ac:dyDescent="0.15">
      <c r="E117" s="17"/>
    </row>
    <row r="118" spans="2:12" ht="11.25" customHeight="1" x14ac:dyDescent="0.15">
      <c r="E118" s="17"/>
    </row>
    <row r="119" spans="2:12" ht="11.25" customHeight="1" x14ac:dyDescent="0.15">
      <c r="E119" s="17"/>
    </row>
    <row r="120" spans="2:12" ht="11.25" customHeight="1" x14ac:dyDescent="0.15">
      <c r="E120" s="17"/>
    </row>
    <row r="121" spans="2:12" ht="11.25" customHeight="1" x14ac:dyDescent="0.15">
      <c r="E121" s="17"/>
    </row>
    <row r="122" spans="2:12" ht="11.25" customHeight="1" x14ac:dyDescent="0.15">
      <c r="E122" s="51"/>
    </row>
    <row r="123" spans="2:12" ht="11.25" customHeight="1" x14ac:dyDescent="0.15">
      <c r="E123" s="50"/>
    </row>
  </sheetData>
  <mergeCells count="46">
    <mergeCell ref="B113:D113"/>
    <mergeCell ref="E113:H113"/>
    <mergeCell ref="I113:L113"/>
    <mergeCell ref="B114:C114"/>
    <mergeCell ref="E114:H114"/>
    <mergeCell ref="J114:L114"/>
    <mergeCell ref="B110:C110"/>
    <mergeCell ref="H110:I110"/>
    <mergeCell ref="J110:L110"/>
    <mergeCell ref="B112:C112"/>
    <mergeCell ref="F112:G112"/>
    <mergeCell ref="H112:I112"/>
    <mergeCell ref="J112:L112"/>
    <mergeCell ref="A105:B105"/>
    <mergeCell ref="B107:D107"/>
    <mergeCell ref="J107:L107"/>
    <mergeCell ref="B108:D108"/>
    <mergeCell ref="I108:L108"/>
    <mergeCell ref="B109:D109"/>
    <mergeCell ref="I109:L109"/>
    <mergeCell ref="K69:L69"/>
    <mergeCell ref="C70:D70"/>
    <mergeCell ref="G70:H70"/>
    <mergeCell ref="I70:J70"/>
    <mergeCell ref="K70:L70"/>
    <mergeCell ref="A104:B104"/>
    <mergeCell ref="G6:H6"/>
    <mergeCell ref="I6:J6"/>
    <mergeCell ref="K6:L6"/>
    <mergeCell ref="A52:B53"/>
    <mergeCell ref="A66:B67"/>
    <mergeCell ref="A69:B71"/>
    <mergeCell ref="C69:D69"/>
    <mergeCell ref="E69:F70"/>
    <mergeCell ref="G69:H69"/>
    <mergeCell ref="I69:J69"/>
    <mergeCell ref="A1:L1"/>
    <mergeCell ref="A2:L2"/>
    <mergeCell ref="A3:L3"/>
    <mergeCell ref="A5:B7"/>
    <mergeCell ref="C5:D5"/>
    <mergeCell ref="E5:F6"/>
    <mergeCell ref="G5:H5"/>
    <mergeCell ref="I5:J5"/>
    <mergeCell ref="K5:L5"/>
    <mergeCell ref="C6:D6"/>
  </mergeCells>
  <pageMargins left="0.31496062992126" right="0.31496062992126" top="0.68" bottom="0.35433070866141703" header="0.31496062992126" footer="0.31496062992126"/>
  <pageSetup paperSize="5" scale="85" orientation="landscape" horizontalDpi="360" verticalDpi="360" r:id="rId1"/>
  <rowBreaks count="1" manualBreakCount="1">
    <brk id="60" max="13" man="1"/>
  </rowBreaks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9D4B-1CE1-4BC8-B5EA-44BBC8CF9894}">
  <dimension ref="A1:N123"/>
  <sheetViews>
    <sheetView tabSelected="1" showWhiteSpace="0" view="pageBreakPreview" topLeftCell="A94" zoomScale="120" zoomScaleNormal="120" zoomScaleSheetLayoutView="120" zoomScalePageLayoutView="120" workbookViewId="0">
      <selection activeCell="E103" sqref="E103"/>
    </sheetView>
  </sheetViews>
  <sheetFormatPr defaultColWidth="9.140625" defaultRowHeight="11.25" customHeight="1" x14ac:dyDescent="0.15"/>
  <cols>
    <col min="1" max="1" width="2.28515625" style="4" customWidth="1"/>
    <col min="2" max="2" width="17.7109375" style="4" customWidth="1"/>
    <col min="3" max="5" width="14.5703125" style="4" customWidth="1"/>
    <col min="6" max="6" width="15.42578125" style="4" customWidth="1"/>
    <col min="7" max="7" width="15.140625" style="4" customWidth="1"/>
    <col min="8" max="8" width="16.85546875" style="4" customWidth="1"/>
    <col min="9" max="9" width="13.7109375" style="4" customWidth="1"/>
    <col min="10" max="10" width="14" style="4" customWidth="1"/>
    <col min="11" max="11" width="14.7109375" style="4" customWidth="1"/>
    <col min="12" max="12" width="14.85546875" style="4" customWidth="1"/>
    <col min="13" max="13" width="14.85546875" style="4" bestFit="1" customWidth="1"/>
    <col min="14" max="14" width="14.5703125" style="4" customWidth="1"/>
    <col min="15" max="16384" width="9.140625" style="4"/>
  </cols>
  <sheetData>
    <row r="1" spans="1:14" ht="15" customHeight="1" x14ac:dyDescent="0.2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4" ht="15" customHeight="1" x14ac:dyDescent="0.2">
      <c r="A2" s="57" t="s">
        <v>88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4" ht="14.25" customHeight="1" x14ac:dyDescent="0.2">
      <c r="A3" s="57" t="s">
        <v>104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4" ht="14.25" customHeight="1" thickBo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4" ht="10.5" customHeight="1" thickTop="1" x14ac:dyDescent="0.15">
      <c r="A5" s="58" t="s">
        <v>1</v>
      </c>
      <c r="B5" s="59"/>
      <c r="C5" s="64" t="s">
        <v>18</v>
      </c>
      <c r="D5" s="64"/>
      <c r="E5" s="58" t="s">
        <v>19</v>
      </c>
      <c r="F5" s="59"/>
      <c r="G5" s="64" t="s">
        <v>2</v>
      </c>
      <c r="H5" s="64"/>
      <c r="I5" s="58" t="s">
        <v>5</v>
      </c>
      <c r="J5" s="59"/>
      <c r="K5" s="58" t="s">
        <v>6</v>
      </c>
      <c r="L5" s="59"/>
    </row>
    <row r="6" spans="1:14" ht="10.5" customHeight="1" x14ac:dyDescent="0.15">
      <c r="A6" s="60"/>
      <c r="B6" s="61"/>
      <c r="C6" s="65" t="s">
        <v>93</v>
      </c>
      <c r="D6" s="66"/>
      <c r="E6" s="62"/>
      <c r="F6" s="63"/>
      <c r="G6" s="65" t="s">
        <v>102</v>
      </c>
      <c r="H6" s="66"/>
      <c r="I6" s="65" t="s">
        <v>102</v>
      </c>
      <c r="J6" s="66"/>
      <c r="K6" s="65" t="s">
        <v>102</v>
      </c>
      <c r="L6" s="66"/>
    </row>
    <row r="7" spans="1:14" ht="10.5" customHeight="1" x14ac:dyDescent="0.15">
      <c r="A7" s="62"/>
      <c r="B7" s="63"/>
      <c r="C7" s="6" t="s">
        <v>3</v>
      </c>
      <c r="D7" s="6" t="s">
        <v>4</v>
      </c>
      <c r="E7" s="6" t="s">
        <v>3</v>
      </c>
      <c r="F7" s="6" t="s">
        <v>4</v>
      </c>
      <c r="G7" s="6" t="s">
        <v>3</v>
      </c>
      <c r="H7" s="6" t="s">
        <v>4</v>
      </c>
      <c r="I7" s="6" t="s">
        <v>3</v>
      </c>
      <c r="J7" s="6" t="s">
        <v>4</v>
      </c>
      <c r="K7" s="6" t="s">
        <v>3</v>
      </c>
      <c r="L7" s="6" t="s">
        <v>4</v>
      </c>
      <c r="M7" s="15"/>
    </row>
    <row r="8" spans="1:14" ht="10.5" customHeight="1" x14ac:dyDescent="0.15">
      <c r="A8" s="7" t="s">
        <v>7</v>
      </c>
      <c r="B8" s="8"/>
      <c r="C8" s="9">
        <v>0</v>
      </c>
      <c r="D8" s="9"/>
      <c r="E8" s="9">
        <v>0</v>
      </c>
      <c r="F8" s="9">
        <v>0</v>
      </c>
      <c r="G8" s="9">
        <f>C8+E8-F8</f>
        <v>0</v>
      </c>
      <c r="H8" s="9"/>
      <c r="I8" s="9"/>
      <c r="J8" s="9"/>
      <c r="K8" s="9">
        <f>G8</f>
        <v>0</v>
      </c>
      <c r="L8" s="9">
        <f>H8</f>
        <v>0</v>
      </c>
      <c r="M8" s="10"/>
    </row>
    <row r="9" spans="1:14" ht="10.5" customHeight="1" x14ac:dyDescent="0.15">
      <c r="A9" s="11" t="s">
        <v>56</v>
      </c>
      <c r="B9" s="12"/>
      <c r="C9" s="9">
        <v>0</v>
      </c>
      <c r="D9" s="9"/>
      <c r="E9" s="9">
        <f>'[1]11.01-12.01'!$D$51</f>
        <v>0</v>
      </c>
      <c r="F9" s="9">
        <f>'[1]11.01-12.01'!$E$47</f>
        <v>0</v>
      </c>
      <c r="G9" s="9">
        <f>C9+E9-F9</f>
        <v>0</v>
      </c>
      <c r="H9" s="9"/>
      <c r="I9" s="9"/>
      <c r="J9" s="9"/>
      <c r="K9" s="9">
        <f>G9</f>
        <v>0</v>
      </c>
      <c r="L9" s="9">
        <f>H9</f>
        <v>0</v>
      </c>
      <c r="M9" s="10"/>
    </row>
    <row r="10" spans="1:14" ht="10.5" customHeight="1" x14ac:dyDescent="0.15">
      <c r="A10" s="13" t="s">
        <v>47</v>
      </c>
      <c r="B10" s="12"/>
      <c r="C10" s="9"/>
      <c r="D10" s="9"/>
      <c r="E10" s="9"/>
      <c r="F10" s="9"/>
      <c r="G10" s="9">
        <f t="shared" ref="G10:G26" si="0">C10+E10-F10</f>
        <v>0</v>
      </c>
      <c r="H10" s="9"/>
      <c r="I10" s="9"/>
      <c r="J10" s="9"/>
      <c r="K10" s="9">
        <f t="shared" ref="K10:N67" si="1">G10</f>
        <v>0</v>
      </c>
      <c r="L10" s="9">
        <f t="shared" si="1"/>
        <v>0</v>
      </c>
      <c r="M10" s="10"/>
    </row>
    <row r="11" spans="1:14" ht="10.5" customHeight="1" x14ac:dyDescent="0.15">
      <c r="A11" s="11"/>
      <c r="B11" s="12" t="s">
        <v>48</v>
      </c>
      <c r="C11" s="9">
        <v>0</v>
      </c>
      <c r="D11" s="9"/>
      <c r="E11" s="9">
        <v>0</v>
      </c>
      <c r="F11" s="9">
        <v>0</v>
      </c>
      <c r="G11" s="9">
        <f>C11+E11-F11</f>
        <v>0</v>
      </c>
      <c r="H11" s="9"/>
      <c r="I11" s="9"/>
      <c r="J11" s="9"/>
      <c r="K11" s="9">
        <f>G11</f>
        <v>0</v>
      </c>
      <c r="L11" s="9">
        <f t="shared" si="1"/>
        <v>0</v>
      </c>
      <c r="M11" s="10">
        <f>K11+K12+K13+K14</f>
        <v>0</v>
      </c>
    </row>
    <row r="12" spans="1:14" ht="10.5" customHeight="1" x14ac:dyDescent="0.15">
      <c r="A12" s="11"/>
      <c r="B12" s="12" t="s">
        <v>20</v>
      </c>
      <c r="C12" s="9">
        <v>0</v>
      </c>
      <c r="D12" s="9"/>
      <c r="E12" s="9">
        <v>0</v>
      </c>
      <c r="F12" s="9">
        <v>0</v>
      </c>
      <c r="G12" s="9">
        <f t="shared" si="0"/>
        <v>0</v>
      </c>
      <c r="H12" s="9"/>
      <c r="I12" s="9"/>
      <c r="J12" s="9"/>
      <c r="K12" s="9">
        <f t="shared" si="1"/>
        <v>0</v>
      </c>
      <c r="L12" s="9">
        <f t="shared" si="1"/>
        <v>0</v>
      </c>
      <c r="M12" s="10"/>
    </row>
    <row r="13" spans="1:14" ht="10.5" customHeight="1" x14ac:dyDescent="0.15">
      <c r="A13" s="11"/>
      <c r="B13" s="12" t="s">
        <v>70</v>
      </c>
      <c r="C13" s="9">
        <v>0</v>
      </c>
      <c r="D13" s="9"/>
      <c r="E13" s="9">
        <f>'[1]14.00'!$D$17</f>
        <v>0</v>
      </c>
      <c r="F13" s="9">
        <f>'[2]14.00'!$E$17</f>
        <v>0</v>
      </c>
      <c r="G13" s="9">
        <f t="shared" si="0"/>
        <v>0</v>
      </c>
      <c r="H13" s="9"/>
      <c r="I13" s="9"/>
      <c r="J13" s="9"/>
      <c r="K13" s="9">
        <f t="shared" si="1"/>
        <v>0</v>
      </c>
      <c r="L13" s="9">
        <f t="shared" si="1"/>
        <v>0</v>
      </c>
      <c r="M13" s="10"/>
    </row>
    <row r="14" spans="1:14" ht="10.5" customHeight="1" x14ac:dyDescent="0.15">
      <c r="A14" s="11"/>
      <c r="B14" s="12" t="s">
        <v>71</v>
      </c>
      <c r="C14" s="9">
        <f>'[2]13.00'!$F$127</f>
        <v>0</v>
      </c>
      <c r="D14" s="9"/>
      <c r="E14" s="9">
        <v>0</v>
      </c>
      <c r="F14" s="9">
        <v>0</v>
      </c>
      <c r="G14" s="9">
        <f t="shared" si="0"/>
        <v>0</v>
      </c>
      <c r="H14" s="9"/>
      <c r="I14" s="9"/>
      <c r="J14" s="9"/>
      <c r="K14" s="9">
        <f t="shared" si="1"/>
        <v>0</v>
      </c>
      <c r="L14" s="9">
        <f t="shared" si="1"/>
        <v>0</v>
      </c>
      <c r="M14" s="10"/>
    </row>
    <row r="15" spans="1:14" ht="10.5" customHeight="1" x14ac:dyDescent="0.15">
      <c r="A15" s="11"/>
      <c r="B15" s="12" t="s">
        <v>87</v>
      </c>
      <c r="C15" s="9"/>
      <c r="D15" s="9"/>
      <c r="E15" s="9">
        <f>'[1]13.00'!$D$169</f>
        <v>0</v>
      </c>
      <c r="F15" s="9">
        <f>'[1]13.00'!$E$167</f>
        <v>0</v>
      </c>
      <c r="G15" s="9"/>
      <c r="H15" s="9"/>
      <c r="I15" s="9"/>
      <c r="J15" s="9"/>
      <c r="K15" s="9">
        <f t="shared" si="1"/>
        <v>0</v>
      </c>
      <c r="L15" s="9">
        <f t="shared" si="1"/>
        <v>0</v>
      </c>
      <c r="M15" s="9">
        <f t="shared" si="1"/>
        <v>0</v>
      </c>
      <c r="N15" s="9">
        <f t="shared" si="1"/>
        <v>0</v>
      </c>
    </row>
    <row r="16" spans="1:14" ht="10.5" customHeight="1" x14ac:dyDescent="0.15">
      <c r="A16" s="11" t="s">
        <v>49</v>
      </c>
      <c r="B16" s="12"/>
      <c r="C16" s="9"/>
      <c r="D16" s="9">
        <v>0</v>
      </c>
      <c r="E16" s="9">
        <f>'[1]13.00'!$D$185</f>
        <v>0</v>
      </c>
      <c r="F16" s="9"/>
      <c r="G16" s="9"/>
      <c r="H16" s="9">
        <f>D16-E16+F16</f>
        <v>0</v>
      </c>
      <c r="I16" s="9"/>
      <c r="J16" s="9"/>
      <c r="K16" s="9">
        <f t="shared" si="1"/>
        <v>0</v>
      </c>
      <c r="L16" s="9">
        <f t="shared" si="1"/>
        <v>0</v>
      </c>
      <c r="M16" s="10"/>
    </row>
    <row r="17" spans="1:13" ht="10.5" customHeight="1" x14ac:dyDescent="0.15">
      <c r="A17" s="14" t="s">
        <v>50</v>
      </c>
      <c r="B17" s="12"/>
      <c r="C17" s="9">
        <v>0</v>
      </c>
      <c r="D17" s="9"/>
      <c r="E17" s="9"/>
      <c r="F17" s="9"/>
      <c r="G17" s="9"/>
      <c r="H17" s="9"/>
      <c r="I17" s="9"/>
      <c r="J17" s="9"/>
      <c r="K17" s="9">
        <f t="shared" si="1"/>
        <v>0</v>
      </c>
      <c r="L17" s="9">
        <f t="shared" si="1"/>
        <v>0</v>
      </c>
      <c r="M17" s="10"/>
    </row>
    <row r="18" spans="1:13" ht="10.5" customHeight="1" x14ac:dyDescent="0.15">
      <c r="A18" s="13" t="s">
        <v>8</v>
      </c>
      <c r="B18" s="12"/>
      <c r="C18" s="9"/>
      <c r="D18" s="9"/>
      <c r="E18" s="9"/>
      <c r="F18" s="9"/>
      <c r="G18" s="9">
        <f t="shared" si="0"/>
        <v>0</v>
      </c>
      <c r="H18" s="9"/>
      <c r="I18" s="9"/>
      <c r="J18" s="9"/>
      <c r="K18" s="9">
        <f t="shared" si="1"/>
        <v>0</v>
      </c>
      <c r="L18" s="9">
        <f t="shared" si="1"/>
        <v>0</v>
      </c>
      <c r="M18" s="10"/>
    </row>
    <row r="19" spans="1:13" ht="10.5" customHeight="1" x14ac:dyDescent="0.15">
      <c r="A19" s="11"/>
      <c r="B19" s="12" t="s">
        <v>21</v>
      </c>
      <c r="C19" s="56">
        <v>0</v>
      </c>
      <c r="D19" s="9"/>
      <c r="E19" s="56">
        <f>'[1]15.00-16.00'!$D$11</f>
        <v>0</v>
      </c>
      <c r="F19" s="9">
        <v>0</v>
      </c>
      <c r="G19" s="9">
        <f t="shared" si="0"/>
        <v>0</v>
      </c>
      <c r="H19" s="9"/>
      <c r="I19" s="9"/>
      <c r="J19" s="9"/>
      <c r="K19" s="9">
        <f t="shared" si="1"/>
        <v>0</v>
      </c>
      <c r="L19" s="9">
        <f t="shared" si="1"/>
        <v>0</v>
      </c>
      <c r="M19" s="10">
        <f>K19+K20+K23+K21+K25+K24+K26</f>
        <v>0</v>
      </c>
    </row>
    <row r="20" spans="1:13" ht="10.5" customHeight="1" x14ac:dyDescent="0.15">
      <c r="A20" s="11"/>
      <c r="B20" s="12" t="s">
        <v>22</v>
      </c>
      <c r="C20" s="56">
        <v>0</v>
      </c>
      <c r="D20" s="9"/>
      <c r="E20" s="56">
        <f>'[1]15.00-16.00'!$D$77</f>
        <v>0</v>
      </c>
      <c r="F20" s="9">
        <v>0</v>
      </c>
      <c r="G20" s="9">
        <f t="shared" si="0"/>
        <v>0</v>
      </c>
      <c r="H20" s="9"/>
      <c r="I20" s="9"/>
      <c r="J20" s="9"/>
      <c r="K20" s="9">
        <f t="shared" si="1"/>
        <v>0</v>
      </c>
      <c r="L20" s="9">
        <f t="shared" si="1"/>
        <v>0</v>
      </c>
      <c r="M20" s="10"/>
    </row>
    <row r="21" spans="1:13" ht="10.5" customHeight="1" x14ac:dyDescent="0.15">
      <c r="A21" s="11"/>
      <c r="B21" s="12" t="s">
        <v>23</v>
      </c>
      <c r="C21" s="56">
        <v>0</v>
      </c>
      <c r="D21" s="9"/>
      <c r="E21" s="56">
        <f>'[1]15.00-16.00'!$D$144</f>
        <v>0</v>
      </c>
      <c r="F21" s="9">
        <v>0</v>
      </c>
      <c r="G21" s="9">
        <f t="shared" si="0"/>
        <v>0</v>
      </c>
      <c r="H21" s="9"/>
      <c r="I21" s="9"/>
      <c r="J21" s="9"/>
      <c r="K21" s="9">
        <f t="shared" si="1"/>
        <v>0</v>
      </c>
      <c r="L21" s="9">
        <f t="shared" si="1"/>
        <v>0</v>
      </c>
      <c r="M21" s="10"/>
    </row>
    <row r="22" spans="1:13" ht="10.5" customHeight="1" x14ac:dyDescent="0.15">
      <c r="A22" s="11"/>
      <c r="B22" s="12" t="s">
        <v>90</v>
      </c>
      <c r="C22" s="56">
        <v>0</v>
      </c>
      <c r="D22" s="9"/>
      <c r="E22" s="56">
        <f>'[1]15.00-16.00'!$D$205</f>
        <v>0</v>
      </c>
      <c r="F22" s="9">
        <v>0</v>
      </c>
      <c r="G22" s="9">
        <f t="shared" si="0"/>
        <v>0</v>
      </c>
      <c r="H22" s="9"/>
      <c r="I22" s="9"/>
      <c r="J22" s="9"/>
      <c r="K22" s="9">
        <f t="shared" si="1"/>
        <v>0</v>
      </c>
      <c r="L22" s="9">
        <f t="shared" si="1"/>
        <v>0</v>
      </c>
      <c r="M22" s="10"/>
    </row>
    <row r="23" spans="1:13" ht="10.5" customHeight="1" x14ac:dyDescent="0.15">
      <c r="A23" s="11"/>
      <c r="B23" s="12" t="s">
        <v>24</v>
      </c>
      <c r="C23" s="56">
        <v>0</v>
      </c>
      <c r="D23" s="9"/>
      <c r="E23" s="56">
        <v>0</v>
      </c>
      <c r="F23" s="9">
        <v>0</v>
      </c>
      <c r="G23" s="9">
        <f t="shared" si="0"/>
        <v>0</v>
      </c>
      <c r="H23" s="9"/>
      <c r="I23" s="9"/>
      <c r="J23" s="9"/>
      <c r="K23" s="9">
        <f t="shared" si="1"/>
        <v>0</v>
      </c>
      <c r="L23" s="9">
        <f t="shared" si="1"/>
        <v>0</v>
      </c>
      <c r="M23" s="10"/>
    </row>
    <row r="24" spans="1:13" ht="10.5" customHeight="1" x14ac:dyDescent="0.15">
      <c r="A24" s="11"/>
      <c r="B24" s="12" t="s">
        <v>51</v>
      </c>
      <c r="C24" s="56">
        <v>0</v>
      </c>
      <c r="D24" s="9"/>
      <c r="E24" s="56"/>
      <c r="F24" s="9"/>
      <c r="G24" s="9">
        <f t="shared" si="0"/>
        <v>0</v>
      </c>
      <c r="H24" s="9"/>
      <c r="I24" s="9"/>
      <c r="J24" s="9"/>
      <c r="K24" s="9">
        <f t="shared" si="1"/>
        <v>0</v>
      </c>
      <c r="L24" s="9"/>
      <c r="M24" s="10"/>
    </row>
    <row r="25" spans="1:13" ht="10.5" customHeight="1" x14ac:dyDescent="0.15">
      <c r="A25" s="11"/>
      <c r="B25" s="12" t="s">
        <v>40</v>
      </c>
      <c r="C25" s="56">
        <f>'[1]15.00-16.00'!$F$258</f>
        <v>0</v>
      </c>
      <c r="D25" s="9"/>
      <c r="E25" s="56">
        <f>'[2]15.00-16.00'!$D$288</f>
        <v>0</v>
      </c>
      <c r="F25" s="9">
        <f>'[2]15.00-16.00'!$E$288</f>
        <v>0</v>
      </c>
      <c r="G25" s="9">
        <f t="shared" si="0"/>
        <v>0</v>
      </c>
      <c r="H25" s="9"/>
      <c r="I25" s="9"/>
      <c r="J25" s="9"/>
      <c r="K25" s="9">
        <f t="shared" si="1"/>
        <v>0</v>
      </c>
      <c r="L25" s="9">
        <f t="shared" si="1"/>
        <v>0</v>
      </c>
      <c r="M25" s="10"/>
    </row>
    <row r="26" spans="1:13" ht="10.5" customHeight="1" x14ac:dyDescent="0.15">
      <c r="A26" s="11"/>
      <c r="B26" s="12" t="s">
        <v>43</v>
      </c>
      <c r="C26" s="56">
        <f>'[1]15.00-16.00'!$F$304</f>
        <v>0</v>
      </c>
      <c r="D26" s="9"/>
      <c r="E26" s="56">
        <f>'[2]15.00-16.00'!$D$307</f>
        <v>0</v>
      </c>
      <c r="F26" s="9">
        <f>'[2]15.00-16.00'!$E$307</f>
        <v>0</v>
      </c>
      <c r="G26" s="9">
        <f t="shared" si="0"/>
        <v>0</v>
      </c>
      <c r="H26" s="9"/>
      <c r="I26" s="9"/>
      <c r="J26" s="9"/>
      <c r="K26" s="9">
        <f>G26</f>
        <v>0</v>
      </c>
      <c r="L26" s="9">
        <f t="shared" si="1"/>
        <v>0</v>
      </c>
      <c r="M26" s="10"/>
    </row>
    <row r="27" spans="1:13" ht="10.5" customHeight="1" x14ac:dyDescent="0.15">
      <c r="A27" s="11" t="s">
        <v>41</v>
      </c>
      <c r="B27" s="12"/>
      <c r="C27" s="9">
        <v>0</v>
      </c>
      <c r="D27" s="9"/>
      <c r="E27" s="9"/>
      <c r="F27" s="9"/>
      <c r="G27" s="9">
        <f>C27+E27-F27</f>
        <v>0</v>
      </c>
      <c r="H27" s="9"/>
      <c r="I27" s="9"/>
      <c r="J27" s="9"/>
      <c r="K27" s="9">
        <f>G27</f>
        <v>0</v>
      </c>
      <c r="L27" s="9">
        <f>H27</f>
        <v>0</v>
      </c>
      <c r="M27" s="10"/>
    </row>
    <row r="28" spans="1:13" ht="10.5" customHeight="1" x14ac:dyDescent="0.15">
      <c r="A28" s="13" t="s">
        <v>9</v>
      </c>
      <c r="B28" s="12"/>
      <c r="C28" s="9"/>
      <c r="D28" s="9"/>
      <c r="E28" s="9"/>
      <c r="F28" s="9"/>
      <c r="G28" s="9"/>
      <c r="H28" s="9"/>
      <c r="I28" s="9"/>
      <c r="J28" s="9"/>
      <c r="K28" s="9"/>
      <c r="L28" s="9">
        <f>H28</f>
        <v>0</v>
      </c>
      <c r="M28" s="10"/>
    </row>
    <row r="29" spans="1:13" ht="10.5" customHeight="1" x14ac:dyDescent="0.15">
      <c r="A29" s="11"/>
      <c r="B29" s="12" t="s">
        <v>39</v>
      </c>
      <c r="C29" s="9">
        <v>0</v>
      </c>
      <c r="D29" s="9"/>
      <c r="E29" s="9">
        <f>'[1]31.01-31.09'!$D$13</f>
        <v>0</v>
      </c>
      <c r="F29" s="9">
        <f>'[1]31.01-31.09'!$E$13</f>
        <v>0</v>
      </c>
      <c r="G29" s="9">
        <f t="shared" ref="G29:G38" si="2">C29+E29</f>
        <v>0</v>
      </c>
      <c r="H29" s="9"/>
      <c r="I29" s="9"/>
      <c r="J29" s="9"/>
      <c r="K29" s="9">
        <f t="shared" si="1"/>
        <v>0</v>
      </c>
      <c r="L29" s="9">
        <f t="shared" si="1"/>
        <v>0</v>
      </c>
      <c r="M29" s="10">
        <f>SUM(K29:K37)</f>
        <v>0</v>
      </c>
    </row>
    <row r="30" spans="1:13" ht="10.5" customHeight="1" x14ac:dyDescent="0.15">
      <c r="A30" s="11"/>
      <c r="B30" s="12" t="s">
        <v>25</v>
      </c>
      <c r="C30" s="9">
        <v>0</v>
      </c>
      <c r="D30" s="9"/>
      <c r="E30" s="9">
        <f>'[1]31.01-31.09'!$D$31</f>
        <v>0</v>
      </c>
      <c r="F30" s="9">
        <f>'[1]31.01-31.09'!$E$31</f>
        <v>0</v>
      </c>
      <c r="G30" s="9">
        <f t="shared" si="2"/>
        <v>0</v>
      </c>
      <c r="H30" s="9"/>
      <c r="I30" s="9"/>
      <c r="J30" s="9"/>
      <c r="K30" s="9">
        <f t="shared" si="1"/>
        <v>0</v>
      </c>
      <c r="L30" s="9">
        <f t="shared" si="1"/>
        <v>0</v>
      </c>
      <c r="M30" s="10">
        <f>M29+K47</f>
        <v>0</v>
      </c>
    </row>
    <row r="31" spans="1:13" ht="10.5" customHeight="1" x14ac:dyDescent="0.15">
      <c r="A31" s="11"/>
      <c r="B31" s="12" t="s">
        <v>26</v>
      </c>
      <c r="C31" s="9">
        <v>0</v>
      </c>
      <c r="D31" s="9"/>
      <c r="E31" s="9">
        <f>'[1]31.01-31.09'!$D$91</f>
        <v>0</v>
      </c>
      <c r="F31" s="9">
        <f>'[1]31.01-31.09'!$E$91</f>
        <v>0</v>
      </c>
      <c r="G31" s="9">
        <f t="shared" si="2"/>
        <v>0</v>
      </c>
      <c r="H31" s="9"/>
      <c r="I31" s="9"/>
      <c r="J31" s="9"/>
      <c r="K31" s="9">
        <f t="shared" si="1"/>
        <v>0</v>
      </c>
      <c r="L31" s="9">
        <f t="shared" si="1"/>
        <v>0</v>
      </c>
      <c r="M31" s="10"/>
    </row>
    <row r="32" spans="1:13" ht="10.5" customHeight="1" x14ac:dyDescent="0.15">
      <c r="A32" s="11"/>
      <c r="B32" s="12" t="s">
        <v>27</v>
      </c>
      <c r="C32" s="9">
        <v>0</v>
      </c>
      <c r="D32" s="9"/>
      <c r="E32" s="9">
        <f>'[1]31.01-31.09'!$D$63</f>
        <v>0</v>
      </c>
      <c r="F32" s="9">
        <f>'[1]31.01-31.09'!$E$63</f>
        <v>0</v>
      </c>
      <c r="G32" s="9">
        <f t="shared" si="2"/>
        <v>0</v>
      </c>
      <c r="H32" s="9"/>
      <c r="I32" s="9"/>
      <c r="J32" s="9"/>
      <c r="K32" s="9">
        <f t="shared" si="1"/>
        <v>0</v>
      </c>
      <c r="L32" s="9">
        <f t="shared" si="1"/>
        <v>0</v>
      </c>
      <c r="M32" s="10"/>
    </row>
    <row r="33" spans="1:14" ht="10.5" customHeight="1" x14ac:dyDescent="0.15">
      <c r="A33" s="11"/>
      <c r="B33" s="12" t="s">
        <v>28</v>
      </c>
      <c r="C33" s="9">
        <v>0</v>
      </c>
      <c r="D33" s="9"/>
      <c r="E33" s="9">
        <f>'[1]31.01-31.09'!$D$117</f>
        <v>0</v>
      </c>
      <c r="F33" s="9">
        <f>'[1]31.01-31.09'!$E$117</f>
        <v>0</v>
      </c>
      <c r="G33" s="9">
        <f t="shared" si="2"/>
        <v>0</v>
      </c>
      <c r="H33" s="9"/>
      <c r="I33" s="9"/>
      <c r="J33" s="9"/>
      <c r="K33" s="9">
        <f t="shared" si="1"/>
        <v>0</v>
      </c>
      <c r="L33" s="9">
        <f t="shared" si="1"/>
        <v>0</v>
      </c>
      <c r="M33" s="10"/>
      <c r="N33" s="15"/>
    </row>
    <row r="34" spans="1:14" ht="10.5" customHeight="1" x14ac:dyDescent="0.15">
      <c r="A34" s="11"/>
      <c r="B34" s="12" t="s">
        <v>66</v>
      </c>
      <c r="C34" s="9">
        <v>0</v>
      </c>
      <c r="D34" s="9"/>
      <c r="E34" s="9">
        <f>'[1]31.01-31.09'!$D$134</f>
        <v>0</v>
      </c>
      <c r="F34" s="9">
        <f>'[1]31.01-31.09'!$E$134</f>
        <v>0</v>
      </c>
      <c r="G34" s="9">
        <f t="shared" si="2"/>
        <v>0</v>
      </c>
      <c r="H34" s="9"/>
      <c r="I34" s="9"/>
      <c r="J34" s="9"/>
      <c r="K34" s="9">
        <f t="shared" si="1"/>
        <v>0</v>
      </c>
      <c r="L34" s="9">
        <f t="shared" si="1"/>
        <v>0</v>
      </c>
      <c r="M34" s="10"/>
    </row>
    <row r="35" spans="1:14" ht="10.5" customHeight="1" x14ac:dyDescent="0.15">
      <c r="A35" s="11"/>
      <c r="B35" s="12" t="s">
        <v>67</v>
      </c>
      <c r="C35" s="9">
        <v>0</v>
      </c>
      <c r="D35" s="9"/>
      <c r="E35" s="9">
        <f>'[1]31.01-31.09'!$D$161</f>
        <v>0</v>
      </c>
      <c r="F35" s="9">
        <f>'[1]31.01-31.09'!$E$161</f>
        <v>0</v>
      </c>
      <c r="G35" s="9">
        <f t="shared" si="2"/>
        <v>0</v>
      </c>
      <c r="H35" s="9"/>
      <c r="I35" s="9"/>
      <c r="J35" s="9"/>
      <c r="K35" s="9">
        <f t="shared" si="1"/>
        <v>0</v>
      </c>
      <c r="L35" s="9">
        <f t="shared" si="1"/>
        <v>0</v>
      </c>
      <c r="M35" s="10"/>
    </row>
    <row r="36" spans="1:14" ht="10.5" customHeight="1" x14ac:dyDescent="0.15">
      <c r="A36" s="11"/>
      <c r="B36" s="12" t="s">
        <v>68</v>
      </c>
      <c r="C36" s="9">
        <v>0</v>
      </c>
      <c r="D36" s="9"/>
      <c r="E36" s="9">
        <f>'[1]31.01-31.09'!$D$179</f>
        <v>0</v>
      </c>
      <c r="F36" s="9">
        <f>'[1]31.01-31.09'!$E$179</f>
        <v>0</v>
      </c>
      <c r="G36" s="9">
        <f t="shared" si="2"/>
        <v>0</v>
      </c>
      <c r="H36" s="9"/>
      <c r="I36" s="9"/>
      <c r="J36" s="9"/>
      <c r="K36" s="9">
        <f t="shared" si="1"/>
        <v>0</v>
      </c>
      <c r="L36" s="9">
        <f t="shared" si="1"/>
        <v>0</v>
      </c>
      <c r="M36" s="10"/>
    </row>
    <row r="37" spans="1:14" ht="10.5" customHeight="1" x14ac:dyDescent="0.15">
      <c r="A37" s="11"/>
      <c r="B37" s="12" t="s">
        <v>69</v>
      </c>
      <c r="C37" s="9">
        <v>0</v>
      </c>
      <c r="D37" s="9"/>
      <c r="E37" s="9">
        <v>0</v>
      </c>
      <c r="F37" s="9">
        <f>'[1]31.01-31.09'!$E$206</f>
        <v>0</v>
      </c>
      <c r="G37" s="9">
        <f t="shared" si="2"/>
        <v>0</v>
      </c>
      <c r="H37" s="9"/>
      <c r="I37" s="9"/>
      <c r="J37" s="9"/>
      <c r="K37" s="9">
        <f t="shared" si="1"/>
        <v>0</v>
      </c>
      <c r="L37" s="9">
        <f t="shared" si="1"/>
        <v>0</v>
      </c>
      <c r="M37" s="10"/>
      <c r="N37" s="15"/>
    </row>
    <row r="38" spans="1:14" ht="10.5" customHeight="1" x14ac:dyDescent="0.15">
      <c r="A38" s="13" t="s">
        <v>10</v>
      </c>
      <c r="B38" s="12"/>
      <c r="C38" s="9">
        <v>0</v>
      </c>
      <c r="D38" s="9"/>
      <c r="E38" s="9"/>
      <c r="F38" s="9"/>
      <c r="G38" s="9">
        <f t="shared" si="2"/>
        <v>0</v>
      </c>
      <c r="H38" s="9"/>
      <c r="I38" s="9"/>
      <c r="J38" s="9"/>
      <c r="K38" s="9">
        <f t="shared" si="1"/>
        <v>0</v>
      </c>
      <c r="L38" s="9">
        <f t="shared" si="1"/>
        <v>0</v>
      </c>
      <c r="M38" s="10"/>
    </row>
    <row r="39" spans="1:14" ht="10.5" customHeight="1" x14ac:dyDescent="0.15">
      <c r="A39" s="11"/>
      <c r="B39" s="12" t="s">
        <v>25</v>
      </c>
      <c r="C39" s="9"/>
      <c r="D39" s="56">
        <v>0</v>
      </c>
      <c r="E39" s="9">
        <f>'[1]31.10'!$D$22</f>
        <v>0</v>
      </c>
      <c r="F39" s="9">
        <v>0</v>
      </c>
      <c r="G39" s="9"/>
      <c r="H39" s="9">
        <f>D39+F39</f>
        <v>0</v>
      </c>
      <c r="I39" s="9"/>
      <c r="J39" s="9"/>
      <c r="K39" s="9">
        <f t="shared" si="1"/>
        <v>0</v>
      </c>
      <c r="L39" s="9">
        <f t="shared" si="1"/>
        <v>0</v>
      </c>
      <c r="M39" s="10">
        <f>SUM(L39:L46)+L48</f>
        <v>0</v>
      </c>
      <c r="N39" s="16"/>
    </row>
    <row r="40" spans="1:14" ht="10.5" customHeight="1" x14ac:dyDescent="0.15">
      <c r="A40" s="11"/>
      <c r="B40" s="12" t="s">
        <v>26</v>
      </c>
      <c r="C40" s="9"/>
      <c r="D40" s="56">
        <v>0</v>
      </c>
      <c r="E40" s="9">
        <f>'[1]31.10'!$D$86</f>
        <v>0</v>
      </c>
      <c r="F40" s="9">
        <v>0</v>
      </c>
      <c r="G40" s="9"/>
      <c r="H40" s="9">
        <f>D40+F40</f>
        <v>0</v>
      </c>
      <c r="I40" s="9"/>
      <c r="J40" s="9"/>
      <c r="K40" s="9">
        <f t="shared" si="1"/>
        <v>0</v>
      </c>
      <c r="L40" s="9">
        <f t="shared" si="1"/>
        <v>0</v>
      </c>
      <c r="M40" s="10">
        <f>M39-L48</f>
        <v>0</v>
      </c>
      <c r="N40" s="16"/>
    </row>
    <row r="41" spans="1:14" ht="10.5" customHeight="1" x14ac:dyDescent="0.15">
      <c r="A41" s="11"/>
      <c r="B41" s="12" t="s">
        <v>27</v>
      </c>
      <c r="C41" s="9"/>
      <c r="D41" s="56">
        <v>0</v>
      </c>
      <c r="E41" s="9">
        <f>'[1]31.10'!$D$47</f>
        <v>0</v>
      </c>
      <c r="F41" s="9">
        <v>0</v>
      </c>
      <c r="G41" s="9"/>
      <c r="H41" s="9">
        <f>D41+F41</f>
        <v>0</v>
      </c>
      <c r="I41" s="9"/>
      <c r="J41" s="9"/>
      <c r="K41" s="9">
        <f t="shared" si="1"/>
        <v>0</v>
      </c>
      <c r="L41" s="9">
        <f t="shared" si="1"/>
        <v>0</v>
      </c>
      <c r="M41" s="10"/>
      <c r="N41" s="16"/>
    </row>
    <row r="42" spans="1:14" ht="10.5" customHeight="1" x14ac:dyDescent="0.15">
      <c r="A42" s="11"/>
      <c r="B42" s="12" t="s">
        <v>28</v>
      </c>
      <c r="C42" s="9"/>
      <c r="D42" s="56">
        <v>0</v>
      </c>
      <c r="E42" s="9">
        <f>'[1]31.10'!$D$115</f>
        <v>0</v>
      </c>
      <c r="F42" s="9">
        <v>0</v>
      </c>
      <c r="G42" s="9"/>
      <c r="H42" s="9">
        <f>D42+F42</f>
        <v>0</v>
      </c>
      <c r="I42" s="9"/>
      <c r="J42" s="9"/>
      <c r="K42" s="9">
        <f t="shared" si="1"/>
        <v>0</v>
      </c>
      <c r="L42" s="9">
        <f t="shared" si="1"/>
        <v>0</v>
      </c>
      <c r="M42" s="10"/>
      <c r="N42" s="16"/>
    </row>
    <row r="43" spans="1:14" ht="10.5" customHeight="1" x14ac:dyDescent="0.15">
      <c r="A43" s="11"/>
      <c r="B43" s="12" t="s">
        <v>66</v>
      </c>
      <c r="C43" s="9"/>
      <c r="D43" s="56">
        <v>0</v>
      </c>
      <c r="E43" s="9">
        <f>'[1]31.10'!$D$150</f>
        <v>0</v>
      </c>
      <c r="F43" s="9">
        <v>0</v>
      </c>
      <c r="G43" s="9"/>
      <c r="H43" s="9">
        <f t="shared" ref="H43:H45" si="3">D43+F43</f>
        <v>0</v>
      </c>
      <c r="I43" s="9"/>
      <c r="J43" s="9"/>
      <c r="K43" s="9">
        <f t="shared" si="1"/>
        <v>0</v>
      </c>
      <c r="L43" s="9">
        <f t="shared" si="1"/>
        <v>0</v>
      </c>
      <c r="M43" s="10"/>
      <c r="N43" s="16"/>
    </row>
    <row r="44" spans="1:14" ht="10.5" customHeight="1" x14ac:dyDescent="0.15">
      <c r="A44" s="11"/>
      <c r="B44" s="12" t="s">
        <v>67</v>
      </c>
      <c r="C44" s="9"/>
      <c r="D44" s="56">
        <v>0</v>
      </c>
      <c r="E44" s="9">
        <f>'[1]31.10'!$D$175</f>
        <v>0</v>
      </c>
      <c r="F44" s="9">
        <v>0</v>
      </c>
      <c r="G44" s="9"/>
      <c r="H44" s="9">
        <f t="shared" si="3"/>
        <v>0</v>
      </c>
      <c r="I44" s="9"/>
      <c r="J44" s="9"/>
      <c r="K44" s="9">
        <f t="shared" si="1"/>
        <v>0</v>
      </c>
      <c r="L44" s="9">
        <f t="shared" si="1"/>
        <v>0</v>
      </c>
      <c r="M44" s="10"/>
      <c r="N44" s="16"/>
    </row>
    <row r="45" spans="1:14" ht="10.5" customHeight="1" x14ac:dyDescent="0.15">
      <c r="A45" s="11"/>
      <c r="B45" s="12" t="s">
        <v>68</v>
      </c>
      <c r="C45" s="9"/>
      <c r="D45" s="56">
        <v>0</v>
      </c>
      <c r="E45" s="9">
        <f>'[1]31.10'!$D$214</f>
        <v>0</v>
      </c>
      <c r="F45" s="9">
        <v>0</v>
      </c>
      <c r="G45" s="9"/>
      <c r="H45" s="9">
        <f t="shared" si="3"/>
        <v>0</v>
      </c>
      <c r="I45" s="9"/>
      <c r="J45" s="9"/>
      <c r="K45" s="9">
        <f t="shared" si="1"/>
        <v>0</v>
      </c>
      <c r="L45" s="9">
        <f t="shared" si="1"/>
        <v>0</v>
      </c>
      <c r="M45" s="10"/>
      <c r="N45" s="16"/>
    </row>
    <row r="46" spans="1:14" ht="10.5" customHeight="1" x14ac:dyDescent="0.15">
      <c r="A46" s="11"/>
      <c r="B46" s="12" t="s">
        <v>69</v>
      </c>
      <c r="C46" s="9"/>
      <c r="D46" s="56">
        <v>0</v>
      </c>
      <c r="E46" s="9">
        <f>'[1]31.10'!$D$242</f>
        <v>0</v>
      </c>
      <c r="F46" s="9">
        <v>0</v>
      </c>
      <c r="G46" s="9"/>
      <c r="H46" s="9">
        <f>D46+F46</f>
        <v>0</v>
      </c>
      <c r="I46" s="9"/>
      <c r="J46" s="9"/>
      <c r="K46" s="9">
        <f t="shared" si="1"/>
        <v>0</v>
      </c>
      <c r="L46" s="9">
        <f t="shared" si="1"/>
        <v>0</v>
      </c>
      <c r="M46" s="10"/>
      <c r="N46" s="16"/>
    </row>
    <row r="47" spans="1:14" ht="10.5" customHeight="1" x14ac:dyDescent="0.15">
      <c r="A47" s="11" t="s">
        <v>53</v>
      </c>
      <c r="B47" s="12"/>
      <c r="C47" s="9">
        <v>0</v>
      </c>
      <c r="D47" s="9"/>
      <c r="E47" s="53">
        <f>'[1]35.00-35.01-37.00'!$D$12</f>
        <v>0</v>
      </c>
      <c r="F47" s="17">
        <f>'[1]35.00-35.01-37.00'!$E$12</f>
        <v>0</v>
      </c>
      <c r="G47" s="9">
        <f>E47+C47</f>
        <v>0</v>
      </c>
      <c r="H47" s="9">
        <f t="shared" ref="H47" si="4">D47+F47</f>
        <v>0</v>
      </c>
      <c r="I47" s="9"/>
      <c r="J47" s="9"/>
      <c r="K47" s="9">
        <f t="shared" si="1"/>
        <v>0</v>
      </c>
      <c r="L47" s="9">
        <f t="shared" si="1"/>
        <v>0</v>
      </c>
      <c r="M47" s="10"/>
      <c r="N47" s="16"/>
    </row>
    <row r="48" spans="1:14" ht="10.5" customHeight="1" x14ac:dyDescent="0.15">
      <c r="A48" s="11"/>
      <c r="B48" s="12" t="s">
        <v>54</v>
      </c>
      <c r="C48" s="9"/>
      <c r="D48" s="9">
        <v>0</v>
      </c>
      <c r="E48" s="9">
        <f>'[1]35.00-35.01-37.00'!$D$37</f>
        <v>0</v>
      </c>
      <c r="F48" s="9">
        <v>0</v>
      </c>
      <c r="H48" s="9">
        <f>D48+F48</f>
        <v>0</v>
      </c>
      <c r="I48" s="9"/>
      <c r="J48" s="9"/>
      <c r="K48" s="9">
        <f t="shared" si="1"/>
        <v>0</v>
      </c>
      <c r="L48" s="9">
        <f t="shared" si="1"/>
        <v>0</v>
      </c>
      <c r="M48" s="10"/>
      <c r="N48" s="16"/>
    </row>
    <row r="49" spans="1:14" ht="10.5" customHeight="1" x14ac:dyDescent="0.15">
      <c r="A49" s="13" t="s">
        <v>52</v>
      </c>
      <c r="B49" s="12"/>
      <c r="C49" s="9">
        <v>0</v>
      </c>
      <c r="D49" s="9"/>
      <c r="E49" s="9">
        <f>'[1]35.00-35.01-37.00'!$D$57</f>
        <v>0</v>
      </c>
      <c r="F49" s="9">
        <f>'[1]35.00-35.01-37.00'!$E$57</f>
        <v>0</v>
      </c>
      <c r="G49" s="9">
        <f>C49+E49-F49</f>
        <v>0</v>
      </c>
      <c r="H49" s="9"/>
      <c r="I49" s="9"/>
      <c r="J49" s="9"/>
      <c r="K49" s="9">
        <f t="shared" si="1"/>
        <v>0</v>
      </c>
      <c r="L49" s="9">
        <f t="shared" si="1"/>
        <v>0</v>
      </c>
      <c r="M49" s="10">
        <v>-73332036</v>
      </c>
      <c r="N49" s="16"/>
    </row>
    <row r="50" spans="1:14" ht="10.5" customHeight="1" x14ac:dyDescent="0.15">
      <c r="A50" s="13" t="s">
        <v>99</v>
      </c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10"/>
      <c r="N50" s="16"/>
    </row>
    <row r="51" spans="1:14" ht="10.5" customHeight="1" x14ac:dyDescent="0.15">
      <c r="A51" s="13"/>
      <c r="B51" s="12" t="s">
        <v>100</v>
      </c>
      <c r="C51" s="9">
        <v>0</v>
      </c>
      <c r="D51" s="9"/>
      <c r="E51" s="9"/>
      <c r="F51" s="9"/>
      <c r="G51" s="9">
        <f>C51+E51-F51</f>
        <v>0</v>
      </c>
      <c r="H51" s="9"/>
      <c r="I51" s="9"/>
      <c r="J51" s="9"/>
      <c r="K51" s="9"/>
      <c r="L51" s="9"/>
      <c r="M51" s="10"/>
      <c r="N51" s="16"/>
    </row>
    <row r="52" spans="1:14" ht="10.5" customHeight="1" x14ac:dyDescent="0.15">
      <c r="A52" s="67" t="s">
        <v>11</v>
      </c>
      <c r="B52" s="68"/>
      <c r="C52" s="18">
        <f>SUM(C8:C51)</f>
        <v>0</v>
      </c>
      <c r="D52" s="18">
        <f>SUM(D8:D49)</f>
        <v>0</v>
      </c>
      <c r="E52" s="18"/>
      <c r="F52" s="18"/>
      <c r="G52" s="18">
        <f>SUM(G8:G51)</f>
        <v>0</v>
      </c>
      <c r="H52" s="18">
        <f>SUM(H8:H49)</f>
        <v>0</v>
      </c>
      <c r="I52" s="18"/>
      <c r="J52" s="18"/>
      <c r="K52" s="18">
        <f t="shared" si="1"/>
        <v>0</v>
      </c>
      <c r="L52" s="18">
        <f t="shared" si="1"/>
        <v>0</v>
      </c>
      <c r="M52" s="19"/>
      <c r="N52" s="16"/>
    </row>
    <row r="53" spans="1:14" ht="10.5" customHeight="1" x14ac:dyDescent="0.15">
      <c r="A53" s="62"/>
      <c r="B53" s="63"/>
      <c r="C53" s="18">
        <f>C52-D52</f>
        <v>0</v>
      </c>
      <c r="D53" s="18"/>
      <c r="E53" s="18"/>
      <c r="F53" s="18"/>
      <c r="G53" s="18">
        <f>G52-H52</f>
        <v>0</v>
      </c>
      <c r="H53" s="18"/>
      <c r="I53" s="18"/>
      <c r="J53" s="18"/>
      <c r="K53" s="18">
        <f>K52-L52</f>
        <v>0</v>
      </c>
      <c r="L53" s="18">
        <f t="shared" si="1"/>
        <v>0</v>
      </c>
      <c r="M53" s="19"/>
      <c r="N53" s="15"/>
    </row>
    <row r="54" spans="1:14" ht="10.5" customHeight="1" x14ac:dyDescent="0.15">
      <c r="A54" s="20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19"/>
      <c r="N54" s="15"/>
    </row>
    <row r="55" spans="1:14" ht="10.5" customHeight="1" x14ac:dyDescent="0.15">
      <c r="A55" s="13" t="s">
        <v>29</v>
      </c>
      <c r="B55" s="23"/>
      <c r="C55" s="24"/>
      <c r="D55" s="9"/>
      <c r="E55" s="9"/>
      <c r="F55" s="9"/>
      <c r="G55" s="24"/>
      <c r="H55" s="9"/>
      <c r="I55" s="9"/>
      <c r="J55" s="9"/>
      <c r="K55" s="9">
        <f t="shared" si="1"/>
        <v>0</v>
      </c>
      <c r="L55" s="9">
        <f t="shared" si="1"/>
        <v>0</v>
      </c>
      <c r="M55" s="19"/>
      <c r="N55" s="15"/>
    </row>
    <row r="56" spans="1:14" ht="10.5" customHeight="1" x14ac:dyDescent="0.15">
      <c r="A56" s="11"/>
      <c r="B56" s="4" t="s">
        <v>12</v>
      </c>
      <c r="C56" s="9"/>
      <c r="D56" s="9"/>
      <c r="E56" s="9">
        <v>0</v>
      </c>
      <c r="F56" s="9">
        <v>0</v>
      </c>
      <c r="H56" s="9">
        <f t="shared" ref="H56:H63" si="5">D56-E56+F56</f>
        <v>0</v>
      </c>
      <c r="I56" s="9"/>
      <c r="J56" s="9"/>
      <c r="K56" s="9">
        <f t="shared" si="1"/>
        <v>0</v>
      </c>
      <c r="L56" s="9">
        <f t="shared" si="1"/>
        <v>0</v>
      </c>
      <c r="M56" s="19"/>
      <c r="N56" s="15"/>
    </row>
    <row r="57" spans="1:14" ht="10.5" customHeight="1" x14ac:dyDescent="0.15">
      <c r="A57" s="11"/>
      <c r="B57" s="4" t="s">
        <v>42</v>
      </c>
      <c r="C57" s="9"/>
      <c r="D57" s="9"/>
      <c r="E57" s="9">
        <f>'[1]50.00'!$D$104</f>
        <v>0</v>
      </c>
      <c r="F57" s="9"/>
      <c r="H57" s="9">
        <f t="shared" si="5"/>
        <v>0</v>
      </c>
      <c r="I57" s="9"/>
      <c r="J57" s="9"/>
      <c r="K57" s="9">
        <f t="shared" si="1"/>
        <v>0</v>
      </c>
      <c r="L57" s="9">
        <f t="shared" si="1"/>
        <v>0</v>
      </c>
      <c r="M57" s="19"/>
    </row>
    <row r="58" spans="1:14" ht="10.5" customHeight="1" x14ac:dyDescent="0.15">
      <c r="A58" s="11"/>
      <c r="B58" s="4" t="s">
        <v>85</v>
      </c>
      <c r="C58" s="9"/>
      <c r="D58" s="9">
        <v>0</v>
      </c>
      <c r="E58" s="9">
        <v>0</v>
      </c>
      <c r="F58" s="9">
        <v>0</v>
      </c>
      <c r="H58" s="9">
        <f>D58-E58+F58</f>
        <v>0</v>
      </c>
      <c r="I58" s="9"/>
      <c r="J58" s="9"/>
      <c r="K58" s="9">
        <f t="shared" si="1"/>
        <v>0</v>
      </c>
      <c r="L58" s="9">
        <f t="shared" si="1"/>
        <v>0</v>
      </c>
      <c r="M58" s="19"/>
    </row>
    <row r="59" spans="1:14" ht="10.5" customHeight="1" x14ac:dyDescent="0.15">
      <c r="A59" s="11"/>
      <c r="B59" s="4" t="s">
        <v>13</v>
      </c>
      <c r="C59" s="9"/>
      <c r="D59" s="9">
        <f>'[2]50.00'!$F$113</f>
        <v>0</v>
      </c>
      <c r="E59" s="9">
        <f>'[2]50.00'!$D$117</f>
        <v>0</v>
      </c>
      <c r="F59" s="9">
        <f>'[2]50.00'!$E$117</f>
        <v>0</v>
      </c>
      <c r="H59" s="9">
        <f t="shared" si="5"/>
        <v>0</v>
      </c>
      <c r="I59" s="9"/>
      <c r="J59" s="9"/>
      <c r="K59" s="9">
        <f t="shared" si="1"/>
        <v>0</v>
      </c>
      <c r="L59" s="9">
        <f t="shared" si="1"/>
        <v>0</v>
      </c>
      <c r="M59" s="19"/>
    </row>
    <row r="60" spans="1:14" ht="10.5" customHeight="1" x14ac:dyDescent="0.15">
      <c r="A60" s="11"/>
      <c r="B60" s="4" t="s">
        <v>86</v>
      </c>
      <c r="C60" s="9"/>
      <c r="D60" s="9">
        <v>0</v>
      </c>
      <c r="E60" s="9">
        <f>'[1]50.00'!$D$134</f>
        <v>0</v>
      </c>
      <c r="F60" s="9">
        <f>'[1]50.00'!$E$134</f>
        <v>0</v>
      </c>
      <c r="H60" s="9">
        <f t="shared" si="5"/>
        <v>0</v>
      </c>
      <c r="I60" s="9"/>
      <c r="J60" s="9"/>
      <c r="K60" s="9">
        <f t="shared" si="1"/>
        <v>0</v>
      </c>
      <c r="L60" s="9">
        <f t="shared" si="1"/>
        <v>0</v>
      </c>
      <c r="M60" s="19"/>
    </row>
    <row r="61" spans="1:14" ht="10.5" customHeight="1" x14ac:dyDescent="0.15">
      <c r="A61" s="13" t="s">
        <v>30</v>
      </c>
      <c r="C61" s="9"/>
      <c r="D61" s="9"/>
      <c r="E61" s="9"/>
      <c r="F61" s="9"/>
      <c r="G61" s="9"/>
      <c r="H61" s="9">
        <f t="shared" si="5"/>
        <v>0</v>
      </c>
      <c r="I61" s="9"/>
      <c r="J61" s="9"/>
      <c r="K61" s="9">
        <f t="shared" si="1"/>
        <v>0</v>
      </c>
      <c r="L61" s="9">
        <f t="shared" si="1"/>
        <v>0</v>
      </c>
      <c r="M61" s="19"/>
    </row>
    <row r="62" spans="1:14" ht="10.5" customHeight="1" x14ac:dyDescent="0.15">
      <c r="A62" s="11"/>
      <c r="B62" s="4" t="s">
        <v>72</v>
      </c>
      <c r="C62" s="9"/>
      <c r="D62" s="9">
        <v>0</v>
      </c>
      <c r="E62" s="9">
        <f>'[2]70.00'!$D$17</f>
        <v>0</v>
      </c>
      <c r="F62" s="9">
        <f>'[2]70.00'!$E$17</f>
        <v>0</v>
      </c>
      <c r="G62" s="9"/>
      <c r="H62" s="9">
        <f t="shared" si="5"/>
        <v>0</v>
      </c>
      <c r="I62" s="9"/>
      <c r="J62" s="9"/>
      <c r="K62" s="9">
        <f t="shared" si="1"/>
        <v>0</v>
      </c>
      <c r="L62" s="9">
        <f t="shared" si="1"/>
        <v>0</v>
      </c>
      <c r="M62" s="19"/>
      <c r="N62" s="17"/>
    </row>
    <row r="63" spans="1:14" ht="10.5" customHeight="1" x14ac:dyDescent="0.15">
      <c r="A63" s="11"/>
      <c r="B63" s="4" t="s">
        <v>14</v>
      </c>
      <c r="C63" s="9"/>
      <c r="D63" s="9">
        <v>0</v>
      </c>
      <c r="E63" s="9">
        <f>'[2]70.00'!$D$37</f>
        <v>0</v>
      </c>
      <c r="F63" s="9">
        <f>'[2]70.00'!$E$37</f>
        <v>0</v>
      </c>
      <c r="G63" s="9"/>
      <c r="H63" s="9">
        <f t="shared" si="5"/>
        <v>0</v>
      </c>
      <c r="I63" s="9"/>
      <c r="J63" s="9"/>
      <c r="K63" s="9">
        <f t="shared" si="1"/>
        <v>0</v>
      </c>
      <c r="L63" s="9">
        <f t="shared" si="1"/>
        <v>0</v>
      </c>
      <c r="M63" s="10"/>
      <c r="N63" s="15"/>
    </row>
    <row r="64" spans="1:14" ht="10.5" customHeight="1" x14ac:dyDescent="0.15">
      <c r="A64" s="11"/>
      <c r="B64" s="4" t="s">
        <v>15</v>
      </c>
      <c r="C64" s="9">
        <v>0</v>
      </c>
      <c r="D64" s="15"/>
      <c r="E64" s="9"/>
      <c r="F64" s="9">
        <v>0</v>
      </c>
      <c r="G64" s="9">
        <f>C64+E64-F64</f>
        <v>0</v>
      </c>
      <c r="H64" s="9"/>
      <c r="I64" s="9"/>
      <c r="J64" s="9"/>
      <c r="K64" s="9">
        <f t="shared" si="1"/>
        <v>0</v>
      </c>
      <c r="L64" s="9">
        <f t="shared" si="1"/>
        <v>0</v>
      </c>
      <c r="M64" s="10"/>
    </row>
    <row r="65" spans="1:13" ht="10.5" customHeight="1" x14ac:dyDescent="0.15">
      <c r="A65" s="11"/>
      <c r="B65" s="4" t="s">
        <v>16</v>
      </c>
      <c r="C65" s="25"/>
      <c r="D65" s="25">
        <v>0</v>
      </c>
      <c r="E65" s="9">
        <v>0</v>
      </c>
      <c r="F65" s="9">
        <v>0</v>
      </c>
      <c r="G65" s="9"/>
      <c r="H65" s="9">
        <f>D65-E65+F65</f>
        <v>0</v>
      </c>
      <c r="I65" s="9"/>
      <c r="J65" s="9"/>
      <c r="K65" s="9"/>
      <c r="L65" s="9">
        <f>H65</f>
        <v>0</v>
      </c>
      <c r="M65" s="10"/>
    </row>
    <row r="66" spans="1:13" ht="10.5" customHeight="1" x14ac:dyDescent="0.15">
      <c r="A66" s="69" t="s">
        <v>17</v>
      </c>
      <c r="B66" s="69"/>
      <c r="C66" s="26">
        <f>SUM(C55:C65)</f>
        <v>0</v>
      </c>
      <c r="D66" s="26">
        <f>SUM(D55:D65)</f>
        <v>0</v>
      </c>
      <c r="E66" s="18"/>
      <c r="F66" s="18"/>
      <c r="G66" s="18">
        <f>SUM(G56:G65)</f>
        <v>0</v>
      </c>
      <c r="H66" s="18">
        <f>SUM(H56:H65)</f>
        <v>0</v>
      </c>
      <c r="I66" s="18"/>
      <c r="J66" s="18"/>
      <c r="K66" s="18">
        <f t="shared" si="1"/>
        <v>0</v>
      </c>
      <c r="L66" s="18">
        <f t="shared" si="1"/>
        <v>0</v>
      </c>
      <c r="M66" s="19"/>
    </row>
    <row r="67" spans="1:13" ht="10.5" customHeight="1" thickBot="1" x14ac:dyDescent="0.2">
      <c r="A67" s="70"/>
      <c r="B67" s="70"/>
      <c r="C67" s="27"/>
      <c r="D67" s="28">
        <f>D66-C66</f>
        <v>0</v>
      </c>
      <c r="E67" s="29">
        <f>SUM(E8:E66)</f>
        <v>0</v>
      </c>
      <c r="F67" s="29">
        <f>SUM(F8:F66)</f>
        <v>0</v>
      </c>
      <c r="G67" s="30"/>
      <c r="H67" s="29">
        <f>H66-G66</f>
        <v>0</v>
      </c>
      <c r="I67" s="30"/>
      <c r="J67" s="30"/>
      <c r="K67" s="29">
        <f t="shared" si="1"/>
        <v>0</v>
      </c>
      <c r="L67" s="29">
        <f>L66-K66</f>
        <v>0</v>
      </c>
      <c r="M67" s="31">
        <f>K53-L67</f>
        <v>0</v>
      </c>
    </row>
    <row r="68" spans="1:13" ht="18.75" customHeight="1" thickTop="1" thickBot="1" x14ac:dyDescent="0.2">
      <c r="A68" s="20"/>
      <c r="B68" s="32"/>
      <c r="C68" s="33"/>
      <c r="D68" s="34"/>
      <c r="E68" s="35"/>
      <c r="F68" s="35"/>
      <c r="G68" s="36"/>
      <c r="H68" s="35"/>
      <c r="I68" s="36"/>
      <c r="J68" s="36"/>
      <c r="K68" s="35"/>
      <c r="L68" s="37"/>
      <c r="M68" s="31">
        <f>L65-F105</f>
        <v>0</v>
      </c>
    </row>
    <row r="69" spans="1:13" ht="10.5" customHeight="1" thickTop="1" x14ac:dyDescent="0.15">
      <c r="A69" s="58" t="s">
        <v>1</v>
      </c>
      <c r="B69" s="59"/>
      <c r="C69" s="72" t="s">
        <v>18</v>
      </c>
      <c r="D69" s="73"/>
      <c r="E69" s="58" t="s">
        <v>19</v>
      </c>
      <c r="F69" s="59"/>
      <c r="G69" s="72" t="s">
        <v>2</v>
      </c>
      <c r="H69" s="73"/>
      <c r="I69" s="74" t="s">
        <v>5</v>
      </c>
      <c r="J69" s="75"/>
      <c r="K69" s="58" t="s">
        <v>6</v>
      </c>
      <c r="L69" s="59"/>
      <c r="M69" s="10"/>
    </row>
    <row r="70" spans="1:13" ht="10.5" customHeight="1" x14ac:dyDescent="0.15">
      <c r="A70" s="60"/>
      <c r="B70" s="61"/>
      <c r="C70" s="65" t="s">
        <v>93</v>
      </c>
      <c r="D70" s="66"/>
      <c r="E70" s="62"/>
      <c r="F70" s="63"/>
      <c r="G70" s="65" t="s">
        <v>102</v>
      </c>
      <c r="H70" s="66"/>
      <c r="I70" s="65" t="s">
        <v>102</v>
      </c>
      <c r="J70" s="66"/>
      <c r="K70" s="65" t="s">
        <v>102</v>
      </c>
      <c r="L70" s="66"/>
      <c r="M70" s="10"/>
    </row>
    <row r="71" spans="1:13" ht="10.5" customHeight="1" x14ac:dyDescent="0.15">
      <c r="A71" s="62"/>
      <c r="B71" s="63"/>
      <c r="C71" s="6" t="s">
        <v>3</v>
      </c>
      <c r="D71" s="6" t="s">
        <v>4</v>
      </c>
      <c r="E71" s="6" t="s">
        <v>3</v>
      </c>
      <c r="F71" s="6" t="s">
        <v>4</v>
      </c>
      <c r="G71" s="6" t="s">
        <v>3</v>
      </c>
      <c r="H71" s="6" t="s">
        <v>4</v>
      </c>
      <c r="I71" s="6" t="s">
        <v>3</v>
      </c>
      <c r="J71" s="6" t="s">
        <v>4</v>
      </c>
      <c r="K71" s="6" t="s">
        <v>3</v>
      </c>
      <c r="L71" s="6" t="s">
        <v>4</v>
      </c>
      <c r="M71" s="10"/>
    </row>
    <row r="72" spans="1:13" ht="10.5" customHeight="1" x14ac:dyDescent="0.15">
      <c r="A72" s="38" t="s">
        <v>31</v>
      </c>
      <c r="B72" s="8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10">
        <f>M67+M68</f>
        <v>0</v>
      </c>
    </row>
    <row r="73" spans="1:13" ht="10.5" customHeight="1" x14ac:dyDescent="0.15">
      <c r="A73" s="40" t="s">
        <v>32</v>
      </c>
      <c r="B73" s="12"/>
      <c r="C73" s="9"/>
      <c r="D73" s="9"/>
      <c r="E73" s="41"/>
      <c r="F73" s="41"/>
      <c r="G73" s="9">
        <f>E73</f>
        <v>0</v>
      </c>
      <c r="H73" s="9">
        <f>F73</f>
        <v>0</v>
      </c>
      <c r="I73" s="9">
        <f>G73</f>
        <v>0</v>
      </c>
      <c r="J73" s="9">
        <f>H73</f>
        <v>0</v>
      </c>
      <c r="K73" s="9"/>
      <c r="L73" s="9"/>
      <c r="M73" s="10"/>
    </row>
    <row r="74" spans="1:13" ht="10.5" customHeight="1" x14ac:dyDescent="0.15">
      <c r="A74" s="42"/>
      <c r="B74" s="12" t="s">
        <v>77</v>
      </c>
      <c r="C74" s="9"/>
      <c r="D74" s="9"/>
      <c r="E74" s="41">
        <f>'[1]81.01'!$D$8</f>
        <v>0</v>
      </c>
      <c r="F74" s="41">
        <v>0</v>
      </c>
      <c r="G74" s="9">
        <f t="shared" ref="G74:J89" si="6">E74</f>
        <v>0</v>
      </c>
      <c r="H74" s="9">
        <f t="shared" si="6"/>
        <v>0</v>
      </c>
      <c r="I74" s="9">
        <f t="shared" si="6"/>
        <v>0</v>
      </c>
      <c r="J74" s="9">
        <f t="shared" si="6"/>
        <v>0</v>
      </c>
      <c r="K74" s="9"/>
      <c r="L74" s="9"/>
      <c r="M74" s="10"/>
    </row>
    <row r="75" spans="1:13" ht="10.5" customHeight="1" x14ac:dyDescent="0.15">
      <c r="A75" s="42"/>
      <c r="B75" s="12" t="s">
        <v>78</v>
      </c>
      <c r="C75" s="9"/>
      <c r="D75" s="9"/>
      <c r="E75" s="41">
        <f>'[1]81.01'!$D$35</f>
        <v>0</v>
      </c>
      <c r="F75" s="41">
        <v>0</v>
      </c>
      <c r="G75" s="9">
        <f t="shared" si="6"/>
        <v>0</v>
      </c>
      <c r="H75" s="9">
        <f t="shared" si="6"/>
        <v>0</v>
      </c>
      <c r="I75" s="9">
        <f t="shared" si="6"/>
        <v>0</v>
      </c>
      <c r="J75" s="9">
        <f t="shared" si="6"/>
        <v>0</v>
      </c>
      <c r="K75" s="9"/>
      <c r="L75" s="9"/>
      <c r="M75" s="9">
        <v>-373724391</v>
      </c>
    </row>
    <row r="76" spans="1:13" ht="10.5" customHeight="1" x14ac:dyDescent="0.15">
      <c r="A76" s="42"/>
      <c r="B76" s="12" t="s">
        <v>79</v>
      </c>
      <c r="C76" s="9"/>
      <c r="D76" s="9"/>
      <c r="E76" s="41">
        <f>'[1]81.01'!$D$75</f>
        <v>0</v>
      </c>
      <c r="F76" s="41">
        <v>0</v>
      </c>
      <c r="G76" s="9">
        <f t="shared" si="6"/>
        <v>0</v>
      </c>
      <c r="H76" s="9">
        <f t="shared" si="6"/>
        <v>0</v>
      </c>
      <c r="I76" s="9">
        <f t="shared" si="6"/>
        <v>0</v>
      </c>
      <c r="J76" s="9">
        <f t="shared" si="6"/>
        <v>0</v>
      </c>
      <c r="K76" s="9"/>
      <c r="L76" s="9"/>
      <c r="M76" s="10"/>
    </row>
    <row r="77" spans="1:13" ht="10.5" customHeight="1" x14ac:dyDescent="0.15">
      <c r="A77" s="40" t="s">
        <v>76</v>
      </c>
      <c r="B77" s="12"/>
      <c r="C77" s="9"/>
      <c r="D77" s="9"/>
      <c r="E77" s="41"/>
      <c r="F77" s="41"/>
      <c r="G77" s="9">
        <f t="shared" si="6"/>
        <v>0</v>
      </c>
      <c r="H77" s="9">
        <f t="shared" si="6"/>
        <v>0</v>
      </c>
      <c r="I77" s="9">
        <f t="shared" si="6"/>
        <v>0</v>
      </c>
      <c r="J77" s="9">
        <f t="shared" si="6"/>
        <v>0</v>
      </c>
      <c r="K77" s="9"/>
      <c r="L77" s="9"/>
      <c r="M77" s="10">
        <f>L65+M75</f>
        <v>-373724391</v>
      </c>
    </row>
    <row r="78" spans="1:13" ht="10.5" customHeight="1" x14ac:dyDescent="0.15">
      <c r="A78" s="42"/>
      <c r="B78" s="4" t="s">
        <v>33</v>
      </c>
      <c r="C78" s="9"/>
      <c r="D78" s="9"/>
      <c r="E78" s="41">
        <f>'[1]81.02-81.03'!$D$8</f>
        <v>0</v>
      </c>
      <c r="F78" s="41">
        <v>0</v>
      </c>
      <c r="G78" s="9">
        <f t="shared" si="6"/>
        <v>0</v>
      </c>
      <c r="H78" s="9">
        <f t="shared" si="6"/>
        <v>0</v>
      </c>
      <c r="I78" s="9">
        <f t="shared" si="6"/>
        <v>0</v>
      </c>
      <c r="J78" s="9">
        <f t="shared" si="6"/>
        <v>0</v>
      </c>
      <c r="K78" s="9"/>
      <c r="L78" s="9"/>
      <c r="M78" s="10"/>
    </row>
    <row r="79" spans="1:13" ht="10.5" customHeight="1" x14ac:dyDescent="0.15">
      <c r="A79" s="42"/>
      <c r="B79" s="4" t="s">
        <v>35</v>
      </c>
      <c r="C79" s="9"/>
      <c r="D79" s="9"/>
      <c r="E79" s="41">
        <f>'[1]81.02-81.03'!$D$35</f>
        <v>0</v>
      </c>
      <c r="F79" s="41">
        <f>'[1]81.02-81.03'!$E$35</f>
        <v>0</v>
      </c>
      <c r="G79" s="9">
        <f t="shared" si="6"/>
        <v>0</v>
      </c>
      <c r="H79" s="9">
        <f t="shared" si="6"/>
        <v>0</v>
      </c>
      <c r="I79" s="9">
        <f t="shared" si="6"/>
        <v>0</v>
      </c>
      <c r="J79" s="9">
        <f t="shared" si="6"/>
        <v>0</v>
      </c>
      <c r="K79" s="9"/>
      <c r="L79" s="9"/>
      <c r="M79" s="10"/>
    </row>
    <row r="80" spans="1:13" ht="10.5" customHeight="1" x14ac:dyDescent="0.15">
      <c r="A80" s="42"/>
      <c r="B80" s="4" t="s">
        <v>34</v>
      </c>
      <c r="C80" s="9"/>
      <c r="D80" s="9"/>
      <c r="E80" s="41">
        <f>'[1]81.02-81.03'!$D$48</f>
        <v>0</v>
      </c>
      <c r="F80" s="41">
        <v>0</v>
      </c>
      <c r="G80" s="9">
        <f t="shared" si="6"/>
        <v>0</v>
      </c>
      <c r="H80" s="9">
        <f t="shared" si="6"/>
        <v>0</v>
      </c>
      <c r="I80" s="9">
        <f t="shared" si="6"/>
        <v>0</v>
      </c>
      <c r="J80" s="9">
        <f t="shared" si="6"/>
        <v>0</v>
      </c>
      <c r="K80" s="9"/>
      <c r="L80" s="9"/>
      <c r="M80" s="10"/>
    </row>
    <row r="81" spans="1:13" ht="10.5" customHeight="1" x14ac:dyDescent="0.15">
      <c r="A81" s="42"/>
      <c r="B81" s="4" t="s">
        <v>73</v>
      </c>
      <c r="C81" s="9"/>
      <c r="D81" s="9"/>
      <c r="E81" s="41">
        <f>'[1]81.02-81.03'!$D$76</f>
        <v>0</v>
      </c>
      <c r="F81" s="41">
        <f>'[1]81.02-81.03'!$E$76</f>
        <v>0</v>
      </c>
      <c r="G81" s="9">
        <f t="shared" si="6"/>
        <v>0</v>
      </c>
      <c r="H81" s="9">
        <f t="shared" si="6"/>
        <v>0</v>
      </c>
      <c r="I81" s="9">
        <f t="shared" si="6"/>
        <v>0</v>
      </c>
      <c r="J81" s="9">
        <f t="shared" si="6"/>
        <v>0</v>
      </c>
      <c r="K81" s="9"/>
      <c r="L81" s="9"/>
      <c r="M81" s="10"/>
    </row>
    <row r="82" spans="1:13" ht="10.5" customHeight="1" x14ac:dyDescent="0.15">
      <c r="A82" s="42"/>
      <c r="B82" s="4" t="s">
        <v>74</v>
      </c>
      <c r="C82" s="9"/>
      <c r="D82" s="9"/>
      <c r="E82" s="41">
        <f>'[1]81.02-81.03'!$D$93</f>
        <v>0</v>
      </c>
      <c r="F82" s="41">
        <f>'[1]81.02-81.03'!$E$93</f>
        <v>0</v>
      </c>
      <c r="G82" s="9">
        <f t="shared" si="6"/>
        <v>0</v>
      </c>
      <c r="H82" s="9">
        <f t="shared" si="6"/>
        <v>0</v>
      </c>
      <c r="I82" s="9">
        <f t="shared" si="6"/>
        <v>0</v>
      </c>
      <c r="J82" s="9">
        <f t="shared" si="6"/>
        <v>0</v>
      </c>
      <c r="K82" s="9"/>
      <c r="L82" s="9"/>
      <c r="M82" s="10"/>
    </row>
    <row r="83" spans="1:13" ht="10.5" customHeight="1" x14ac:dyDescent="0.15">
      <c r="A83" s="42"/>
      <c r="B83" s="4" t="s">
        <v>75</v>
      </c>
      <c r="C83" s="9"/>
      <c r="D83" s="9"/>
      <c r="E83" s="41">
        <f>'[1]81.02-81.03'!$D$116</f>
        <v>0</v>
      </c>
      <c r="F83" s="41">
        <f>'[1]81.02-81.03'!$E$116</f>
        <v>0</v>
      </c>
      <c r="G83" s="9">
        <f t="shared" si="6"/>
        <v>0</v>
      </c>
      <c r="H83" s="9">
        <f t="shared" si="6"/>
        <v>0</v>
      </c>
      <c r="I83" s="9">
        <f t="shared" si="6"/>
        <v>0</v>
      </c>
      <c r="J83" s="9">
        <f t="shared" si="6"/>
        <v>0</v>
      </c>
      <c r="K83" s="9"/>
      <c r="L83" s="9"/>
      <c r="M83" s="10"/>
    </row>
    <row r="84" spans="1:13" ht="10.5" customHeight="1" x14ac:dyDescent="0.15">
      <c r="A84" s="11" t="s">
        <v>36</v>
      </c>
      <c r="B84" s="12"/>
      <c r="C84" s="9"/>
      <c r="D84" s="9"/>
      <c r="E84" s="41"/>
      <c r="F84" s="41"/>
      <c r="G84" s="9">
        <f t="shared" si="6"/>
        <v>0</v>
      </c>
      <c r="H84" s="9">
        <f t="shared" si="6"/>
        <v>0</v>
      </c>
      <c r="I84" s="9">
        <f t="shared" si="6"/>
        <v>0</v>
      </c>
      <c r="J84" s="9">
        <f t="shared" si="6"/>
        <v>0</v>
      </c>
      <c r="K84" s="9"/>
      <c r="L84" s="9"/>
      <c r="M84" s="10"/>
    </row>
    <row r="85" spans="1:13" ht="10.5" customHeight="1" x14ac:dyDescent="0.15">
      <c r="A85" s="11" t="s">
        <v>37</v>
      </c>
      <c r="B85" s="12"/>
      <c r="C85" s="9"/>
      <c r="D85" s="9"/>
      <c r="E85" s="9"/>
      <c r="F85" s="41"/>
      <c r="G85" s="9">
        <f t="shared" si="6"/>
        <v>0</v>
      </c>
      <c r="H85" s="9">
        <f t="shared" si="6"/>
        <v>0</v>
      </c>
      <c r="I85" s="9">
        <f t="shared" si="6"/>
        <v>0</v>
      </c>
      <c r="J85" s="9">
        <f>H85</f>
        <v>0</v>
      </c>
      <c r="K85" s="9"/>
      <c r="L85" s="9"/>
      <c r="M85" s="10"/>
    </row>
    <row r="86" spans="1:13" ht="10.5" customHeight="1" x14ac:dyDescent="0.15">
      <c r="A86" s="11"/>
      <c r="B86" s="12" t="s">
        <v>57</v>
      </c>
      <c r="C86" s="14"/>
      <c r="D86" s="9"/>
      <c r="E86" s="9">
        <v>0</v>
      </c>
      <c r="F86" s="9"/>
      <c r="G86" s="9">
        <f t="shared" si="6"/>
        <v>0</v>
      </c>
      <c r="H86" s="9">
        <f t="shared" si="6"/>
        <v>0</v>
      </c>
      <c r="I86" s="9">
        <f t="shared" si="6"/>
        <v>0</v>
      </c>
      <c r="J86" s="9">
        <f t="shared" si="6"/>
        <v>0</v>
      </c>
      <c r="K86" s="9"/>
      <c r="L86" s="9"/>
      <c r="M86" s="10"/>
    </row>
    <row r="87" spans="1:13" ht="10.5" customHeight="1" x14ac:dyDescent="0.15">
      <c r="A87" s="11"/>
      <c r="B87" s="12" t="s">
        <v>58</v>
      </c>
      <c r="C87" s="14"/>
      <c r="D87" s="9"/>
      <c r="E87" s="9">
        <v>0</v>
      </c>
      <c r="F87" s="9"/>
      <c r="G87" s="9">
        <f t="shared" si="6"/>
        <v>0</v>
      </c>
      <c r="H87" s="9">
        <f t="shared" si="6"/>
        <v>0</v>
      </c>
      <c r="I87" s="9">
        <f t="shared" si="6"/>
        <v>0</v>
      </c>
      <c r="J87" s="9">
        <f t="shared" si="6"/>
        <v>0</v>
      </c>
      <c r="K87" s="9"/>
      <c r="L87" s="9"/>
      <c r="M87" s="10"/>
    </row>
    <row r="88" spans="1:13" ht="10.5" customHeight="1" x14ac:dyDescent="0.15">
      <c r="A88" s="11"/>
      <c r="B88" s="12" t="s">
        <v>59</v>
      </c>
      <c r="C88" s="14"/>
      <c r="D88" s="9"/>
      <c r="E88" s="9">
        <v>0</v>
      </c>
      <c r="F88" s="9"/>
      <c r="G88" s="9">
        <f t="shared" si="6"/>
        <v>0</v>
      </c>
      <c r="H88" s="9">
        <f t="shared" si="6"/>
        <v>0</v>
      </c>
      <c r="I88" s="9">
        <f t="shared" si="6"/>
        <v>0</v>
      </c>
      <c r="J88" s="9">
        <f t="shared" si="6"/>
        <v>0</v>
      </c>
      <c r="K88" s="9"/>
      <c r="L88" s="9"/>
      <c r="M88" s="10"/>
    </row>
    <row r="89" spans="1:13" ht="10.5" customHeight="1" x14ac:dyDescent="0.15">
      <c r="A89" s="11"/>
      <c r="B89" s="12" t="s">
        <v>60</v>
      </c>
      <c r="C89" s="14"/>
      <c r="D89" s="9"/>
      <c r="E89" s="9">
        <v>0</v>
      </c>
      <c r="F89" s="9"/>
      <c r="G89" s="9">
        <f t="shared" si="6"/>
        <v>0</v>
      </c>
      <c r="H89" s="9">
        <f t="shared" si="6"/>
        <v>0</v>
      </c>
      <c r="I89" s="9">
        <f t="shared" si="6"/>
        <v>0</v>
      </c>
      <c r="J89" s="9">
        <f t="shared" si="6"/>
        <v>0</v>
      </c>
      <c r="K89" s="9"/>
      <c r="L89" s="9"/>
      <c r="M89" s="10"/>
    </row>
    <row r="90" spans="1:13" ht="10.5" customHeight="1" x14ac:dyDescent="0.15">
      <c r="A90" s="11"/>
      <c r="B90" s="12" t="s">
        <v>61</v>
      </c>
      <c r="C90" s="14"/>
      <c r="D90" s="9"/>
      <c r="E90" s="9">
        <v>0</v>
      </c>
      <c r="F90" s="9"/>
      <c r="G90" s="9">
        <f t="shared" ref="G90:J109" si="7">E90</f>
        <v>0</v>
      </c>
      <c r="H90" s="9">
        <f t="shared" si="7"/>
        <v>0</v>
      </c>
      <c r="I90" s="9">
        <f t="shared" si="7"/>
        <v>0</v>
      </c>
      <c r="J90" s="9">
        <f t="shared" si="7"/>
        <v>0</v>
      </c>
      <c r="K90" s="9"/>
      <c r="L90" s="9"/>
      <c r="M90" s="10"/>
    </row>
    <row r="91" spans="1:13" ht="10.5" customHeight="1" x14ac:dyDescent="0.15">
      <c r="A91" s="11"/>
      <c r="B91" s="12" t="s">
        <v>62</v>
      </c>
      <c r="C91" s="14"/>
      <c r="D91" s="9"/>
      <c r="E91" s="9">
        <v>0</v>
      </c>
      <c r="F91" s="9"/>
      <c r="G91" s="9">
        <f t="shared" si="7"/>
        <v>0</v>
      </c>
      <c r="H91" s="9">
        <f t="shared" si="7"/>
        <v>0</v>
      </c>
      <c r="I91" s="9">
        <f t="shared" si="7"/>
        <v>0</v>
      </c>
      <c r="J91" s="9">
        <f t="shared" si="7"/>
        <v>0</v>
      </c>
      <c r="K91" s="9"/>
      <c r="L91" s="9"/>
      <c r="M91" s="10"/>
    </row>
    <row r="92" spans="1:13" ht="10.5" customHeight="1" x14ac:dyDescent="0.15">
      <c r="A92" s="11"/>
      <c r="B92" s="12" t="s">
        <v>94</v>
      </c>
      <c r="C92" s="14"/>
      <c r="D92" s="9"/>
      <c r="E92" s="9">
        <v>0</v>
      </c>
      <c r="F92" s="9"/>
      <c r="G92" s="9">
        <f t="shared" si="7"/>
        <v>0</v>
      </c>
      <c r="H92" s="9">
        <f t="shared" si="7"/>
        <v>0</v>
      </c>
      <c r="I92" s="9">
        <f t="shared" si="7"/>
        <v>0</v>
      </c>
      <c r="J92" s="9">
        <f t="shared" si="7"/>
        <v>0</v>
      </c>
      <c r="K92" s="9"/>
      <c r="L92" s="9"/>
      <c r="M92" s="10"/>
    </row>
    <row r="93" spans="1:13" ht="10.5" customHeight="1" x14ac:dyDescent="0.15">
      <c r="A93" s="11"/>
      <c r="B93" s="12" t="s">
        <v>63</v>
      </c>
      <c r="C93" s="14"/>
      <c r="D93" s="9"/>
      <c r="E93" s="9">
        <v>0</v>
      </c>
      <c r="F93" s="9"/>
      <c r="G93" s="9">
        <f t="shared" si="7"/>
        <v>0</v>
      </c>
      <c r="H93" s="9">
        <f t="shared" si="7"/>
        <v>0</v>
      </c>
      <c r="I93" s="9">
        <f t="shared" si="7"/>
        <v>0</v>
      </c>
      <c r="J93" s="9">
        <f t="shared" si="7"/>
        <v>0</v>
      </c>
      <c r="K93" s="9"/>
      <c r="L93" s="9"/>
      <c r="M93" s="10"/>
    </row>
    <row r="94" spans="1:13" ht="10.5" customHeight="1" x14ac:dyDescent="0.15">
      <c r="A94" s="11"/>
      <c r="B94" s="12" t="s">
        <v>64</v>
      </c>
      <c r="C94" s="14"/>
      <c r="D94" s="9"/>
      <c r="E94" s="9">
        <f>SUM('[3]RINCIAN B. TDK LANGSUNG'!$E$62:$F$62)</f>
        <v>0</v>
      </c>
      <c r="F94" s="9"/>
      <c r="G94" s="9">
        <f t="shared" si="7"/>
        <v>0</v>
      </c>
      <c r="H94" s="9">
        <f t="shared" si="7"/>
        <v>0</v>
      </c>
      <c r="I94" s="9">
        <f t="shared" si="7"/>
        <v>0</v>
      </c>
      <c r="J94" s="9">
        <f t="shared" si="7"/>
        <v>0</v>
      </c>
      <c r="K94" s="9"/>
      <c r="L94" s="9"/>
      <c r="M94" s="10"/>
    </row>
    <row r="95" spans="1:13" ht="10.5" customHeight="1" x14ac:dyDescent="0.15">
      <c r="A95" s="11"/>
      <c r="B95" s="12" t="s">
        <v>65</v>
      </c>
      <c r="C95" s="14"/>
      <c r="D95" s="9"/>
      <c r="E95" s="9">
        <v>0</v>
      </c>
      <c r="F95" s="9"/>
      <c r="G95" s="9">
        <f t="shared" si="7"/>
        <v>0</v>
      </c>
      <c r="H95" s="9">
        <f t="shared" si="7"/>
        <v>0</v>
      </c>
      <c r="I95" s="9">
        <f t="shared" si="7"/>
        <v>0</v>
      </c>
      <c r="J95" s="9">
        <f t="shared" si="7"/>
        <v>0</v>
      </c>
      <c r="K95" s="9"/>
      <c r="L95" s="9"/>
      <c r="M95" s="10"/>
    </row>
    <row r="96" spans="1:13" ht="10.5" customHeight="1" x14ac:dyDescent="0.15">
      <c r="A96" s="43" t="s">
        <v>44</v>
      </c>
      <c r="B96" s="44"/>
      <c r="C96" s="24"/>
      <c r="D96" s="24"/>
      <c r="E96" s="24"/>
      <c r="F96" s="24"/>
      <c r="G96" s="9">
        <f t="shared" si="7"/>
        <v>0</v>
      </c>
      <c r="H96" s="9">
        <f t="shared" si="7"/>
        <v>0</v>
      </c>
      <c r="I96" s="9">
        <f t="shared" si="7"/>
        <v>0</v>
      </c>
      <c r="J96" s="9">
        <f t="shared" si="7"/>
        <v>0</v>
      </c>
      <c r="K96" s="9"/>
      <c r="L96" s="9"/>
      <c r="M96" s="10"/>
    </row>
    <row r="97" spans="1:13" ht="10.5" customHeight="1" x14ac:dyDescent="0.15">
      <c r="A97" s="45"/>
      <c r="B97" s="46" t="s">
        <v>45</v>
      </c>
      <c r="C97" s="24"/>
      <c r="D97" s="24"/>
      <c r="E97" s="24"/>
      <c r="F97" s="24"/>
      <c r="G97" s="9">
        <f>E97</f>
        <v>0</v>
      </c>
      <c r="H97" s="9">
        <f t="shared" si="7"/>
        <v>0</v>
      </c>
      <c r="I97" s="9">
        <f t="shared" si="7"/>
        <v>0</v>
      </c>
      <c r="J97" s="9">
        <f t="shared" si="7"/>
        <v>0</v>
      </c>
      <c r="K97" s="9"/>
      <c r="L97" s="9"/>
      <c r="M97" s="10"/>
    </row>
    <row r="98" spans="1:13" ht="10.5" customHeight="1" x14ac:dyDescent="0.15">
      <c r="A98" s="45"/>
      <c r="B98" s="47" t="s">
        <v>84</v>
      </c>
      <c r="C98" s="24"/>
      <c r="D98" s="24"/>
      <c r="E98" s="24">
        <f>'[1]88.00'!$D$73</f>
        <v>0</v>
      </c>
      <c r="F98" s="9">
        <f>'[1]88.00'!$E$78</f>
        <v>0</v>
      </c>
      <c r="G98" s="9">
        <f t="shared" ref="G98" si="8">E98</f>
        <v>0</v>
      </c>
      <c r="H98" s="9">
        <f t="shared" si="7"/>
        <v>0</v>
      </c>
      <c r="I98" s="9">
        <f t="shared" si="7"/>
        <v>0</v>
      </c>
      <c r="J98" s="9">
        <f t="shared" si="7"/>
        <v>0</v>
      </c>
      <c r="K98" s="9"/>
      <c r="L98" s="9"/>
      <c r="M98" s="10"/>
    </row>
    <row r="99" spans="1:13" ht="10.5" customHeight="1" x14ac:dyDescent="0.15">
      <c r="A99" s="45"/>
      <c r="B99" s="47" t="s">
        <v>80</v>
      </c>
      <c r="C99" s="24"/>
      <c r="D99" s="24"/>
      <c r="E99" s="9">
        <f>'[1]88.00'!$D$8</f>
        <v>0</v>
      </c>
      <c r="F99" s="9">
        <v>0</v>
      </c>
      <c r="G99" s="9"/>
      <c r="H99" s="9">
        <f>F99-E99</f>
        <v>0</v>
      </c>
      <c r="I99" s="9">
        <f t="shared" si="7"/>
        <v>0</v>
      </c>
      <c r="J99" s="9">
        <f t="shared" si="7"/>
        <v>0</v>
      </c>
      <c r="K99" s="9"/>
      <c r="L99" s="9"/>
      <c r="M99" s="10"/>
    </row>
    <row r="100" spans="1:13" ht="10.5" customHeight="1" x14ac:dyDescent="0.15">
      <c r="A100" s="45"/>
      <c r="B100" s="47" t="s">
        <v>81</v>
      </c>
      <c r="C100" s="24"/>
      <c r="D100" s="24"/>
      <c r="E100" s="24">
        <f>'[1]88.00'!$D$35</f>
        <v>0</v>
      </c>
      <c r="F100" s="9">
        <v>0</v>
      </c>
      <c r="G100" s="9">
        <f t="shared" ref="G100:H102" si="9">E100</f>
        <v>0</v>
      </c>
      <c r="H100" s="9">
        <f t="shared" si="9"/>
        <v>0</v>
      </c>
      <c r="I100" s="9">
        <f t="shared" si="7"/>
        <v>0</v>
      </c>
      <c r="J100" s="9">
        <f t="shared" si="7"/>
        <v>0</v>
      </c>
      <c r="K100" s="9"/>
      <c r="L100" s="9"/>
      <c r="M100" s="10"/>
    </row>
    <row r="101" spans="1:13" ht="10.5" customHeight="1" x14ac:dyDescent="0.15">
      <c r="A101" s="45"/>
      <c r="B101" s="47" t="s">
        <v>82</v>
      </c>
      <c r="C101" s="24"/>
      <c r="D101" s="24"/>
      <c r="E101" s="24">
        <f>'[1]88.00'!$D$103</f>
        <v>0</v>
      </c>
      <c r="F101" s="9">
        <f>'[1]88.00'!$E$103</f>
        <v>0</v>
      </c>
      <c r="G101" s="9">
        <f t="shared" si="9"/>
        <v>0</v>
      </c>
      <c r="H101" s="9">
        <f t="shared" si="9"/>
        <v>0</v>
      </c>
      <c r="I101" s="9">
        <f t="shared" si="7"/>
        <v>0</v>
      </c>
      <c r="J101" s="9">
        <f t="shared" si="7"/>
        <v>0</v>
      </c>
      <c r="K101" s="9"/>
      <c r="L101" s="9"/>
      <c r="M101" s="10"/>
    </row>
    <row r="102" spans="1:13" ht="10.5" customHeight="1" x14ac:dyDescent="0.15">
      <c r="A102" s="45"/>
      <c r="B102" s="46" t="s">
        <v>46</v>
      </c>
      <c r="C102" s="24"/>
      <c r="D102" s="24"/>
      <c r="E102" s="9">
        <v>0</v>
      </c>
      <c r="F102" s="9">
        <f>'[1]98.00'!$E$8</f>
        <v>0</v>
      </c>
      <c r="G102" s="9">
        <f t="shared" si="9"/>
        <v>0</v>
      </c>
      <c r="H102" s="9">
        <f t="shared" si="9"/>
        <v>0</v>
      </c>
      <c r="I102" s="9">
        <f t="shared" si="7"/>
        <v>0</v>
      </c>
      <c r="J102" s="9">
        <f t="shared" si="7"/>
        <v>0</v>
      </c>
      <c r="K102" s="9"/>
      <c r="L102" s="9"/>
      <c r="M102" s="10"/>
    </row>
    <row r="103" spans="1:13" ht="10.5" customHeight="1" x14ac:dyDescent="0.15">
      <c r="A103" s="45"/>
      <c r="B103" s="44"/>
      <c r="C103" s="24"/>
      <c r="D103" s="24"/>
      <c r="E103" s="24"/>
      <c r="F103" s="24"/>
      <c r="G103" s="9"/>
      <c r="H103" s="9"/>
      <c r="I103" s="24">
        <f t="shared" si="7"/>
        <v>0</v>
      </c>
      <c r="J103" s="24">
        <f t="shared" si="7"/>
        <v>0</v>
      </c>
      <c r="K103" s="24"/>
      <c r="L103" s="24"/>
      <c r="M103" s="10"/>
    </row>
    <row r="104" spans="1:13" ht="10.5" customHeight="1" x14ac:dyDescent="0.15">
      <c r="A104" s="69" t="s">
        <v>38</v>
      </c>
      <c r="B104" s="69"/>
      <c r="C104" s="18"/>
      <c r="D104" s="18"/>
      <c r="E104" s="18">
        <f>SUM(E72:E103)</f>
        <v>0</v>
      </c>
      <c r="F104" s="18">
        <f>SUM(F72:F103)</f>
        <v>0</v>
      </c>
      <c r="G104" s="18">
        <f>SUM(G72:G103)+G66+G52</f>
        <v>0</v>
      </c>
      <c r="H104" s="18">
        <f>SUM(H72:H103)+H66+H52</f>
        <v>0</v>
      </c>
      <c r="I104" s="18">
        <f>SUM(I72:I103)+I66+I52</f>
        <v>0</v>
      </c>
      <c r="J104" s="18">
        <f>SUM(J72:J103)+J66+J52</f>
        <v>0</v>
      </c>
      <c r="K104" s="18"/>
      <c r="L104" s="18"/>
      <c r="M104" s="10"/>
    </row>
    <row r="105" spans="1:13" ht="10.5" customHeight="1" thickBot="1" x14ac:dyDescent="0.2">
      <c r="A105" s="70" t="s">
        <v>95</v>
      </c>
      <c r="B105" s="70"/>
      <c r="C105" s="48"/>
      <c r="D105" s="48"/>
      <c r="E105" s="28"/>
      <c r="F105" s="28">
        <f>F104-E104</f>
        <v>0</v>
      </c>
      <c r="G105" s="29"/>
      <c r="H105" s="29">
        <f>H104-G104</f>
        <v>0</v>
      </c>
      <c r="I105" s="29"/>
      <c r="J105" s="29">
        <f>J104-I104</f>
        <v>0</v>
      </c>
      <c r="K105" s="29"/>
      <c r="L105" s="29"/>
      <c r="M105" s="10"/>
    </row>
    <row r="106" spans="1:13" ht="12.75" customHeight="1" thickTop="1" x14ac:dyDescent="0.15">
      <c r="F106" s="52"/>
      <c r="H106" s="15"/>
    </row>
    <row r="107" spans="1:13" ht="11.25" customHeight="1" x14ac:dyDescent="0.2">
      <c r="B107" s="71" t="s">
        <v>83</v>
      </c>
      <c r="C107" s="71"/>
      <c r="D107" s="71"/>
      <c r="E107" s="54"/>
      <c r="F107" s="54"/>
      <c r="G107" s="54"/>
      <c r="H107" s="54"/>
      <c r="I107" s="1"/>
      <c r="J107" s="71"/>
      <c r="K107" s="71"/>
      <c r="L107" s="71"/>
    </row>
    <row r="108" spans="1:13" ht="11.25" customHeight="1" x14ac:dyDescent="0.2">
      <c r="B108" s="71" t="s">
        <v>89</v>
      </c>
      <c r="C108" s="71"/>
      <c r="D108" s="71"/>
      <c r="E108" s="54"/>
      <c r="F108" s="54"/>
      <c r="G108" s="55">
        <f>E105-G105</f>
        <v>0</v>
      </c>
      <c r="H108" s="55"/>
      <c r="I108" s="71" t="s">
        <v>55</v>
      </c>
      <c r="J108" s="71"/>
      <c r="K108" s="71"/>
      <c r="L108" s="71"/>
    </row>
    <row r="109" spans="1:13" ht="11.25" customHeight="1" x14ac:dyDescent="0.2">
      <c r="B109" s="71" t="s">
        <v>92</v>
      </c>
      <c r="C109" s="71"/>
      <c r="D109" s="71"/>
      <c r="E109" s="54"/>
      <c r="F109" s="54"/>
      <c r="G109" s="54"/>
      <c r="H109" s="54"/>
      <c r="I109" s="71" t="s">
        <v>91</v>
      </c>
      <c r="J109" s="71"/>
      <c r="K109" s="71"/>
      <c r="L109" s="71"/>
    </row>
    <row r="110" spans="1:13" ht="11.25" customHeight="1" x14ac:dyDescent="0.2">
      <c r="B110" s="71"/>
      <c r="C110" s="71"/>
      <c r="D110" s="1"/>
      <c r="E110" s="1"/>
      <c r="F110" s="54"/>
      <c r="G110" s="54"/>
      <c r="H110" s="76"/>
      <c r="I110" s="76"/>
      <c r="J110" s="71"/>
      <c r="K110" s="71"/>
      <c r="L110" s="71"/>
    </row>
    <row r="111" spans="1:13" ht="11.25" customHeight="1" x14ac:dyDescent="0.2">
      <c r="B111" s="2"/>
      <c r="C111" s="2"/>
      <c r="D111" s="1"/>
      <c r="E111" s="1"/>
      <c r="F111" s="3"/>
      <c r="G111" s="3"/>
      <c r="H111" s="3"/>
      <c r="I111" s="3"/>
      <c r="J111" s="2"/>
      <c r="K111" s="2"/>
      <c r="L111" s="2"/>
    </row>
    <row r="112" spans="1:13" ht="11.25" customHeight="1" x14ac:dyDescent="0.2">
      <c r="B112" s="71"/>
      <c r="C112" s="71"/>
      <c r="D112" s="1"/>
      <c r="E112" s="1"/>
      <c r="F112" s="76"/>
      <c r="G112" s="76"/>
      <c r="H112" s="76"/>
      <c r="I112" s="76"/>
      <c r="J112" s="71"/>
      <c r="K112" s="71"/>
      <c r="L112" s="71"/>
    </row>
    <row r="113" spans="2:12" ht="11.25" customHeight="1" x14ac:dyDescent="0.2">
      <c r="B113" s="78" t="s">
        <v>96</v>
      </c>
      <c r="C113" s="78"/>
      <c r="D113" s="78"/>
      <c r="E113" s="78"/>
      <c r="F113" s="78"/>
      <c r="G113" s="78"/>
      <c r="H113" s="78"/>
      <c r="I113" s="78" t="s">
        <v>97</v>
      </c>
      <c r="J113" s="78"/>
      <c r="K113" s="78"/>
      <c r="L113" s="78"/>
    </row>
    <row r="114" spans="2:12" ht="11.25" customHeight="1" x14ac:dyDescent="0.15">
      <c r="B114" s="77"/>
      <c r="C114" s="77"/>
      <c r="D114" s="49"/>
      <c r="E114" s="77"/>
      <c r="F114" s="77"/>
      <c r="G114" s="77"/>
      <c r="H114" s="77"/>
      <c r="I114" s="49"/>
      <c r="J114" s="77"/>
      <c r="K114" s="77"/>
      <c r="L114" s="77"/>
    </row>
    <row r="116" spans="2:12" ht="11.25" customHeight="1" x14ac:dyDescent="0.15">
      <c r="E116" s="17"/>
    </row>
    <row r="117" spans="2:12" ht="11.25" customHeight="1" x14ac:dyDescent="0.15">
      <c r="E117" s="17"/>
    </row>
    <row r="118" spans="2:12" ht="11.25" customHeight="1" x14ac:dyDescent="0.15">
      <c r="E118" s="17"/>
    </row>
    <row r="119" spans="2:12" ht="11.25" customHeight="1" x14ac:dyDescent="0.15">
      <c r="E119" s="17"/>
    </row>
    <row r="120" spans="2:12" ht="11.25" customHeight="1" x14ac:dyDescent="0.15">
      <c r="E120" s="17"/>
    </row>
    <row r="121" spans="2:12" ht="11.25" customHeight="1" x14ac:dyDescent="0.15">
      <c r="E121" s="17"/>
    </row>
    <row r="122" spans="2:12" ht="11.25" customHeight="1" x14ac:dyDescent="0.15">
      <c r="E122" s="51"/>
    </row>
    <row r="123" spans="2:12" ht="11.25" customHeight="1" x14ac:dyDescent="0.15">
      <c r="E123" s="50"/>
    </row>
  </sheetData>
  <mergeCells count="46">
    <mergeCell ref="B113:D113"/>
    <mergeCell ref="E113:H113"/>
    <mergeCell ref="I113:L113"/>
    <mergeCell ref="B114:C114"/>
    <mergeCell ref="E114:H114"/>
    <mergeCell ref="J114:L114"/>
    <mergeCell ref="B110:C110"/>
    <mergeCell ref="H110:I110"/>
    <mergeCell ref="J110:L110"/>
    <mergeCell ref="B112:C112"/>
    <mergeCell ref="F112:G112"/>
    <mergeCell ref="H112:I112"/>
    <mergeCell ref="J112:L112"/>
    <mergeCell ref="A105:B105"/>
    <mergeCell ref="B107:D107"/>
    <mergeCell ref="J107:L107"/>
    <mergeCell ref="B108:D108"/>
    <mergeCell ref="I108:L108"/>
    <mergeCell ref="B109:D109"/>
    <mergeCell ref="I109:L109"/>
    <mergeCell ref="K69:L69"/>
    <mergeCell ref="C70:D70"/>
    <mergeCell ref="G70:H70"/>
    <mergeCell ref="I70:J70"/>
    <mergeCell ref="K70:L70"/>
    <mergeCell ref="A104:B104"/>
    <mergeCell ref="G6:H6"/>
    <mergeCell ref="I6:J6"/>
    <mergeCell ref="K6:L6"/>
    <mergeCell ref="A52:B53"/>
    <mergeCell ref="A66:B67"/>
    <mergeCell ref="A69:B71"/>
    <mergeCell ref="C69:D69"/>
    <mergeCell ref="E69:F70"/>
    <mergeCell ref="G69:H69"/>
    <mergeCell ref="I69:J69"/>
    <mergeCell ref="A1:L1"/>
    <mergeCell ref="A2:L2"/>
    <mergeCell ref="A3:L3"/>
    <mergeCell ref="A5:B7"/>
    <mergeCell ref="C5:D5"/>
    <mergeCell ref="E5:F6"/>
    <mergeCell ref="G5:H5"/>
    <mergeCell ref="I5:J5"/>
    <mergeCell ref="K5:L5"/>
    <mergeCell ref="C6:D6"/>
  </mergeCells>
  <pageMargins left="0.31496062992126" right="0.31496062992126" top="0.68" bottom="0.35433070866141703" header="0.31496062992126" footer="0.31496062992126"/>
  <pageSetup paperSize="5" scale="85" orientation="landscape" horizontalDpi="360" verticalDpi="360" r:id="rId1"/>
  <rowBreaks count="1" manualBreakCount="1">
    <brk id="60" max="13" man="1"/>
  </rowBreaks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NERCA LAJUR JANUARI </vt:lpstr>
      <vt:lpstr>NERCA LAJUR FEBRUARI</vt:lpstr>
      <vt:lpstr>NERCA LAJUR MARET</vt:lpstr>
      <vt:lpstr>NERCA LAJUR APRIL</vt:lpstr>
      <vt:lpstr>NERCA LAJUR MEI</vt:lpstr>
    </vt:vector>
  </TitlesOfParts>
  <Company>Al_Ahsan_Computer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Umeko</dc:creator>
  <cp:lastModifiedBy>PC</cp:lastModifiedBy>
  <cp:lastPrinted>2026-05-08T07:40:31Z</cp:lastPrinted>
  <dcterms:created xsi:type="dcterms:W3CDTF">2012-03-10T03:24:33Z</dcterms:created>
  <dcterms:modified xsi:type="dcterms:W3CDTF">2026-05-19T03:37:41Z</dcterms:modified>
</cp:coreProperties>
</file>