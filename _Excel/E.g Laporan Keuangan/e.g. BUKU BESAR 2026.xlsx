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24226"/>
  <mc:AlternateContent xmlns:mc="http://schemas.openxmlformats.org/markup-compatibility/2006">
    <mc:Choice Requires="x15">
      <x15ac:absPath xmlns:x15ac="http://schemas.microsoft.com/office/spreadsheetml/2010/11/ac" url="C:\Users\PC\Documents\"/>
    </mc:Choice>
  </mc:AlternateContent>
  <xr:revisionPtr revIDLastSave="0" documentId="13_ncr:1_{DDF88BA8-9CF1-446B-82BA-83ECAF841C75}" xr6:coauthVersionLast="47" xr6:coauthVersionMax="47" xr10:uidLastSave="{00000000-0000-0000-0000-000000000000}"/>
  <bookViews>
    <workbookView xWindow="-120" yWindow="-120" windowWidth="29040" windowHeight="15720" tabRatio="1000" activeTab="18" xr2:uid="{00000000-000D-0000-FFFF-FFFF00000000}"/>
  </bookViews>
  <sheets>
    <sheet name="11.01-12.01" sheetId="1" r:id="rId1"/>
    <sheet name="13.00" sheetId="3" r:id="rId2"/>
    <sheet name="14.00" sheetId="4" r:id="rId3"/>
    <sheet name="15.00-16.00" sheetId="5" r:id="rId4"/>
    <sheet name="31.01-31.09" sheetId="9" r:id="rId5"/>
    <sheet name="31.10" sheetId="34" r:id="rId6"/>
    <sheet name="35.00-35.01-37.00" sheetId="13" r:id="rId7"/>
    <sheet name="50.00" sheetId="17" r:id="rId8"/>
    <sheet name="70.00" sheetId="21" r:id="rId9"/>
    <sheet name="81.01" sheetId="35" r:id="rId10"/>
    <sheet name="81.02-81.03" sheetId="23" r:id="rId11"/>
    <sheet name="88.00" sheetId="24" r:id="rId12"/>
    <sheet name="91.00" sheetId="26" r:id="rId13"/>
    <sheet name="92.00" sheetId="27" r:id="rId14"/>
    <sheet name="93.00  dan 96.00" sheetId="28" r:id="rId15"/>
    <sheet name="97.01-97.02" sheetId="31" r:id="rId16"/>
    <sheet name="97.03-97.06" sheetId="36" r:id="rId17"/>
    <sheet name="97.07-97.09" sheetId="38" r:id="rId18"/>
    <sheet name="98.00" sheetId="3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2" i="1" l="1"/>
  <c r="F331" i="28" l="1"/>
  <c r="F332" i="28" s="1"/>
  <c r="F333" i="28" s="1"/>
  <c r="A332" i="28"/>
  <c r="A333" i="28" s="1"/>
  <c r="F62" i="31" l="1"/>
  <c r="F63" i="31" l="1"/>
  <c r="F64" i="31" s="1"/>
  <c r="F65" i="31" s="1"/>
  <c r="F66" i="31" s="1"/>
  <c r="D103" i="21" l="1"/>
  <c r="F89" i="21" l="1"/>
  <c r="F90" i="21" s="1"/>
  <c r="F91" i="21" s="1"/>
  <c r="B218" i="9" l="1"/>
  <c r="F174" i="9"/>
  <c r="F191" i="9" l="1"/>
  <c r="B223" i="9" s="1"/>
  <c r="F546" i="31" l="1"/>
  <c r="F547" i="31" s="1"/>
  <c r="F317" i="36"/>
  <c r="F318" i="36" s="1"/>
  <c r="F319" i="36" s="1"/>
  <c r="F302" i="38" l="1"/>
  <c r="F303" i="38" s="1"/>
  <c r="F304" i="38" s="1"/>
  <c r="F305" i="38" s="1"/>
  <c r="F73" i="31" l="1"/>
  <c r="F74" i="31" s="1"/>
  <c r="H12" i="31"/>
  <c r="F250" i="36" l="1"/>
  <c r="F251" i="36" s="1"/>
  <c r="B221" i="9" l="1"/>
  <c r="B216" i="9" s="1"/>
  <c r="F9" i="3" l="1"/>
  <c r="F10" i="3" l="1"/>
  <c r="D352" i="38" l="1"/>
  <c r="B413" i="38" l="1"/>
  <c r="B606" i="28"/>
  <c r="B491" i="27"/>
  <c r="H69" i="26"/>
  <c r="F40" i="36"/>
  <c r="F41" i="36" s="1"/>
  <c r="F42" i="36" l="1"/>
  <c r="B371" i="36"/>
  <c r="B675" i="31"/>
  <c r="E352" i="38" l="1"/>
  <c r="F352" i="38" s="1"/>
  <c r="A240" i="5"/>
  <c r="A179" i="5"/>
  <c r="A112" i="5"/>
  <c r="A163" i="27"/>
  <c r="F259" i="28"/>
  <c r="F351" i="36"/>
  <c r="A105" i="9"/>
  <c r="A106" i="9" s="1"/>
  <c r="F32" i="26"/>
  <c r="F158" i="27"/>
  <c r="F99" i="28"/>
  <c r="F42" i="38"/>
  <c r="F344" i="38"/>
  <c r="F277" i="36"/>
  <c r="F278" i="36" l="1"/>
  <c r="F279" i="36" s="1"/>
  <c r="F280" i="36" s="1"/>
  <c r="F281" i="36" s="1"/>
  <c r="F128" i="31"/>
  <c r="F129" i="31" s="1"/>
  <c r="F130" i="31" s="1"/>
  <c r="F131" i="31" s="1"/>
  <c r="F132" i="31" s="1"/>
  <c r="F133" i="31" s="1"/>
  <c r="F100" i="28"/>
  <c r="F101" i="28" s="1"/>
  <c r="F102" i="28" s="1"/>
  <c r="F103" i="28" s="1"/>
  <c r="F104" i="28" s="1"/>
  <c r="F105" i="28" s="1"/>
  <c r="F106" i="28" s="1"/>
  <c r="F107" i="28" s="1"/>
  <c r="F352" i="36"/>
  <c r="F260" i="28"/>
  <c r="F261" i="28" s="1"/>
  <c r="F43" i="38"/>
  <c r="F159" i="27"/>
  <c r="F160" i="27" s="1"/>
  <c r="F161" i="27" s="1"/>
  <c r="F162" i="27" s="1"/>
  <c r="F163" i="27" s="1"/>
  <c r="F345" i="38"/>
  <c r="F346" i="38" s="1"/>
  <c r="F347" i="38" s="1"/>
  <c r="F348" i="38" s="1"/>
  <c r="F349" i="38" s="1"/>
  <c r="F350" i="38" s="1"/>
  <c r="F351" i="38" s="1"/>
  <c r="A156" i="27" l="1"/>
  <c r="A256" i="28"/>
  <c r="A257" i="28" s="1"/>
  <c r="F255" i="28"/>
  <c r="F256" i="28" s="1"/>
  <c r="F348" i="36"/>
  <c r="F349" i="36" s="1"/>
  <c r="A186" i="38"/>
  <c r="F39" i="38"/>
  <c r="F337" i="38"/>
  <c r="F338" i="38" l="1"/>
  <c r="F121" i="31"/>
  <c r="F122" i="31" s="1"/>
  <c r="F123" i="31" s="1"/>
  <c r="F124" i="31" s="1"/>
  <c r="F125" i="31" s="1"/>
  <c r="F126" i="31" s="1"/>
  <c r="F94" i="28"/>
  <c r="F95" i="28" s="1"/>
  <c r="F96" i="28" s="1"/>
  <c r="F97" i="28" s="1"/>
  <c r="F151" i="27"/>
  <c r="F152" i="27" s="1"/>
  <c r="F153" i="27" s="1"/>
  <c r="F154" i="27" s="1"/>
  <c r="F155" i="27" s="1"/>
  <c r="F156" i="27" s="1"/>
  <c r="F257" i="28"/>
  <c r="F40" i="38"/>
  <c r="F339" i="38"/>
  <c r="F340" i="38" s="1"/>
  <c r="F341" i="38" s="1"/>
  <c r="F342" i="38" s="1"/>
  <c r="F251" i="28" l="1"/>
  <c r="F345" i="36"/>
  <c r="F36" i="38"/>
  <c r="F37" i="38" l="1"/>
  <c r="F89" i="28"/>
  <c r="F90" i="28" s="1"/>
  <c r="F91" i="28" s="1"/>
  <c r="F92" i="28" s="1"/>
  <c r="F196" i="28"/>
  <c r="F144" i="27"/>
  <c r="F145" i="27" s="1"/>
  <c r="F146" i="27" s="1"/>
  <c r="F147" i="27" s="1"/>
  <c r="F148" i="27" s="1"/>
  <c r="F149" i="27" s="1"/>
  <c r="F115" i="31"/>
  <c r="F116" i="31" s="1"/>
  <c r="F117" i="31" s="1"/>
  <c r="F118" i="31" s="1"/>
  <c r="F119" i="31" s="1"/>
  <c r="F335" i="38"/>
  <c r="F346" i="36"/>
  <c r="F252" i="28"/>
  <c r="F253" i="28" s="1"/>
  <c r="A367" i="27" l="1"/>
  <c r="A368" i="27" s="1"/>
  <c r="F360" i="28"/>
  <c r="A179" i="31"/>
  <c r="A207" i="27"/>
  <c r="F247" i="28"/>
  <c r="F33" i="38"/>
  <c r="F194" i="28"/>
  <c r="F341" i="36"/>
  <c r="F331" i="38"/>
  <c r="F342" i="36" l="1"/>
  <c r="F343" i="36" s="1"/>
  <c r="F34" i="38"/>
  <c r="F361" i="28"/>
  <c r="F362" i="28" s="1"/>
  <c r="F363" i="28" s="1"/>
  <c r="F137" i="27"/>
  <c r="F138" i="27" s="1"/>
  <c r="F139" i="27" s="1"/>
  <c r="F140" i="27" s="1"/>
  <c r="F141" i="27" s="1"/>
  <c r="F142" i="27" s="1"/>
  <c r="F332" i="38"/>
  <c r="F333" i="38" s="1"/>
  <c r="F108" i="31"/>
  <c r="F109" i="31" s="1"/>
  <c r="F110" i="31" s="1"/>
  <c r="F111" i="31" s="1"/>
  <c r="F112" i="31" s="1"/>
  <c r="F113" i="31" s="1"/>
  <c r="F84" i="28"/>
  <c r="F85" i="28" s="1"/>
  <c r="F86" i="28" s="1"/>
  <c r="F87" i="28" s="1"/>
  <c r="F248" i="28"/>
  <c r="F249" i="28" s="1"/>
  <c r="A357" i="28" l="1"/>
  <c r="A358" i="28" s="1"/>
  <c r="A133" i="27"/>
  <c r="A134" i="27" s="1"/>
  <c r="A244" i="28"/>
  <c r="A245" i="28" s="1"/>
  <c r="F243" i="28"/>
  <c r="A562" i="31"/>
  <c r="F244" i="28" l="1"/>
  <c r="F245" i="28" s="1"/>
  <c r="F30" i="38" l="1"/>
  <c r="F31" i="38" s="1"/>
  <c r="A328" i="38"/>
  <c r="A329" i="38" s="1"/>
  <c r="F337" i="36"/>
  <c r="F324" i="38" l="1"/>
  <c r="F325" i="38" s="1"/>
  <c r="F101" i="31"/>
  <c r="F102" i="31" s="1"/>
  <c r="F103" i="31" s="1"/>
  <c r="F104" i="31" s="1"/>
  <c r="F105" i="31" s="1"/>
  <c r="F106" i="31" s="1"/>
  <c r="F130" i="27"/>
  <c r="F131" i="27" s="1"/>
  <c r="F132" i="27" s="1"/>
  <c r="F133" i="27" s="1"/>
  <c r="F134" i="27" s="1"/>
  <c r="F135" i="27" s="1"/>
  <c r="F79" i="28"/>
  <c r="F80" i="28" s="1"/>
  <c r="F81" i="28" s="1"/>
  <c r="F82" i="28" s="1"/>
  <c r="F338" i="36"/>
  <c r="F339" i="36" s="1"/>
  <c r="F239" i="28" l="1"/>
  <c r="F321" i="38"/>
  <c r="F27" i="38"/>
  <c r="A348" i="28"/>
  <c r="A349" i="28" s="1"/>
  <c r="A353" i="28" s="1"/>
  <c r="A352" i="28"/>
  <c r="F322" i="38" l="1"/>
  <c r="F260" i="36"/>
  <c r="F261" i="36" s="1"/>
  <c r="F28" i="38"/>
  <c r="F240" i="28"/>
  <c r="F241" i="28" s="1"/>
  <c r="F326" i="38" l="1"/>
  <c r="F327" i="38" s="1"/>
  <c r="F328" i="38" s="1"/>
  <c r="F329" i="38" s="1"/>
  <c r="F332" i="36"/>
  <c r="F333" i="36" s="1"/>
  <c r="F334" i="36" s="1"/>
  <c r="F335" i="36" s="1"/>
  <c r="F74" i="28" l="1"/>
  <c r="F75" i="28" s="1"/>
  <c r="F76" i="28" s="1"/>
  <c r="F77" i="28" s="1"/>
  <c r="F95" i="31"/>
  <c r="F96" i="31" s="1"/>
  <c r="F97" i="31" s="1"/>
  <c r="F98" i="31" s="1"/>
  <c r="F99" i="31" s="1"/>
  <c r="F123" i="27"/>
  <c r="F124" i="27" s="1"/>
  <c r="F125" i="27" s="1"/>
  <c r="F126" i="27" s="1"/>
  <c r="F127" i="27" s="1"/>
  <c r="F128" i="27" s="1"/>
  <c r="A236" i="28" l="1"/>
  <c r="F235" i="28"/>
  <c r="A344" i="28"/>
  <c r="F24" i="38"/>
  <c r="F327" i="36"/>
  <c r="F328" i="36" s="1"/>
  <c r="F315" i="38"/>
  <c r="A143" i="38"/>
  <c r="F116" i="27" l="1"/>
  <c r="F117" i="27" s="1"/>
  <c r="F118" i="27" s="1"/>
  <c r="F119" i="27" s="1"/>
  <c r="F120" i="27" s="1"/>
  <c r="F121" i="27" s="1"/>
  <c r="F69" i="28"/>
  <c r="F70" i="28" s="1"/>
  <c r="F71" i="28" s="1"/>
  <c r="F72" i="28" s="1"/>
  <c r="F621" i="31"/>
  <c r="F622" i="31" s="1"/>
  <c r="F89" i="31"/>
  <c r="F90" i="31" s="1"/>
  <c r="F91" i="31" s="1"/>
  <c r="F92" i="31" s="1"/>
  <c r="F93" i="31" s="1"/>
  <c r="F329" i="36"/>
  <c r="F330" i="36" s="1"/>
  <c r="F316" i="38"/>
  <c r="F317" i="38" s="1"/>
  <c r="F318" i="38" s="1"/>
  <c r="F319" i="38" s="1"/>
  <c r="F25" i="38"/>
  <c r="F236" i="28"/>
  <c r="F237" i="28" s="1"/>
  <c r="A312" i="38" l="1"/>
  <c r="A313" i="38" s="1"/>
  <c r="F21" i="38"/>
  <c r="F22" i="38" s="1"/>
  <c r="F232" i="28"/>
  <c r="F322" i="36"/>
  <c r="F308" i="38"/>
  <c r="F233" i="28" l="1"/>
  <c r="F323" i="36"/>
  <c r="F324" i="36" s="1"/>
  <c r="F325" i="36" s="1"/>
  <c r="F309" i="38"/>
  <c r="F310" i="38" s="1"/>
  <c r="F311" i="38" s="1"/>
  <c r="F312" i="38" s="1"/>
  <c r="F313" i="38" s="1"/>
  <c r="F83" i="31" l="1"/>
  <c r="F84" i="31" s="1"/>
  <c r="F85" i="31" s="1"/>
  <c r="F86" i="31" s="1"/>
  <c r="F87" i="31" s="1"/>
  <c r="F109" i="27"/>
  <c r="F110" i="27" s="1"/>
  <c r="F111" i="27" s="1"/>
  <c r="F112" i="27" s="1"/>
  <c r="F113" i="27" s="1"/>
  <c r="F114" i="27" s="1"/>
  <c r="F64" i="28"/>
  <c r="F65" i="28" s="1"/>
  <c r="F66" i="28" s="1"/>
  <c r="F67" i="28" s="1"/>
  <c r="F228" i="28" l="1"/>
  <c r="F18" i="38"/>
  <c r="F19" i="38" s="1"/>
  <c r="F59" i="28" l="1"/>
  <c r="F60" i="28" s="1"/>
  <c r="F61" i="28" s="1"/>
  <c r="F62" i="28" s="1"/>
  <c r="F76" i="31"/>
  <c r="F77" i="31" s="1"/>
  <c r="F78" i="31" s="1"/>
  <c r="F79" i="31" s="1"/>
  <c r="F80" i="31" s="1"/>
  <c r="F81" i="31" s="1"/>
  <c r="F104" i="27"/>
  <c r="F105" i="27" s="1"/>
  <c r="F106" i="27" s="1"/>
  <c r="F107" i="27" s="1"/>
  <c r="F229" i="28"/>
  <c r="F230" i="28" s="1"/>
  <c r="F15" i="38" l="1"/>
  <c r="F224" i="28"/>
  <c r="F97" i="27" l="1"/>
  <c r="F98" i="27" s="1"/>
  <c r="F99" i="27" s="1"/>
  <c r="F100" i="27" s="1"/>
  <c r="F101" i="27" s="1"/>
  <c r="F102" i="27" s="1"/>
  <c r="F54" i="28"/>
  <c r="F55" i="28" s="1"/>
  <c r="F56" i="28" s="1"/>
  <c r="F57" i="28" s="1"/>
  <c r="F16" i="38"/>
  <c r="F225" i="28"/>
  <c r="F12" i="38" l="1"/>
  <c r="F173" i="31"/>
  <c r="F314" i="36"/>
  <c r="F13" i="38" l="1"/>
  <c r="F93" i="27"/>
  <c r="F94" i="27" s="1"/>
  <c r="F95" i="27" s="1"/>
  <c r="F96" i="27" s="1"/>
  <c r="F49" i="28"/>
  <c r="F50" i="28" s="1"/>
  <c r="F51" i="28" s="1"/>
  <c r="F52" i="28" s="1"/>
  <c r="F174" i="31"/>
  <c r="F175" i="31" l="1"/>
  <c r="F176" i="31" s="1"/>
  <c r="F177" i="31" s="1"/>
  <c r="F178" i="31" s="1"/>
  <c r="F179" i="31" s="1"/>
  <c r="F180" i="31" s="1"/>
  <c r="F181" i="31" s="1"/>
  <c r="F182" i="31" s="1"/>
  <c r="F183" i="31" s="1"/>
  <c r="F184" i="31" s="1"/>
  <c r="F185" i="31" s="1"/>
  <c r="F186" i="31" s="1"/>
  <c r="F187" i="31" s="1"/>
  <c r="F188" i="31" s="1"/>
  <c r="F595" i="28" l="1"/>
  <c r="E594" i="28"/>
  <c r="E596" i="28" s="1"/>
  <c r="F590" i="28"/>
  <c r="F586" i="28"/>
  <c r="F587" i="28" s="1"/>
  <c r="F588" i="28" s="1"/>
  <c r="A583" i="28"/>
  <c r="A584" i="28" s="1"/>
  <c r="F582" i="28"/>
  <c r="A579" i="28"/>
  <c r="A580" i="28" s="1"/>
  <c r="F578" i="28"/>
  <c r="F579" i="28" s="1"/>
  <c r="F580" i="28" s="1"/>
  <c r="A575" i="28"/>
  <c r="A576" i="28" s="1"/>
  <c r="F574" i="28"/>
  <c r="F575" i="28" s="1"/>
  <c r="F576" i="28" s="1"/>
  <c r="A571" i="28"/>
  <c r="A572" i="28" s="1"/>
  <c r="F570" i="28"/>
  <c r="F571" i="28" s="1"/>
  <c r="F572" i="28" s="1"/>
  <c r="A567" i="28"/>
  <c r="A568" i="28" s="1"/>
  <c r="A563" i="28"/>
  <c r="A564" i="28" s="1"/>
  <c r="A559" i="28"/>
  <c r="A560" i="28" s="1"/>
  <c r="A555" i="28"/>
  <c r="A551" i="28"/>
  <c r="A552" i="28" s="1"/>
  <c r="A547" i="28"/>
  <c r="A548" i="28" s="1"/>
  <c r="F591" i="28" l="1"/>
  <c r="F592" i="28" s="1"/>
  <c r="F583" i="28"/>
  <c r="F584" i="28" s="1"/>
  <c r="F229" i="34"/>
  <c r="D30" i="28" l="1"/>
  <c r="F220" i="28"/>
  <c r="F221" i="28" s="1"/>
  <c r="F222" i="28" s="1"/>
  <c r="F292" i="28"/>
  <c r="F81" i="27"/>
  <c r="F44" i="28" l="1"/>
  <c r="F45" i="28" s="1"/>
  <c r="F46" i="28" s="1"/>
  <c r="F47" i="28" s="1"/>
  <c r="F82" i="27"/>
  <c r="F83" i="27" s="1"/>
  <c r="F84" i="27" s="1"/>
  <c r="F85" i="27" s="1"/>
  <c r="F87" i="27" s="1"/>
  <c r="F88" i="27" s="1"/>
  <c r="F89" i="27" s="1"/>
  <c r="F90" i="27" s="1"/>
  <c r="F91" i="27" s="1"/>
  <c r="F104" i="38" l="1"/>
  <c r="E103" i="38"/>
  <c r="E105" i="38" s="1"/>
  <c r="D103" i="38"/>
  <c r="F89" i="38"/>
  <c r="F90" i="38" s="1"/>
  <c r="F91" i="38" s="1"/>
  <c r="F92" i="38" s="1"/>
  <c r="F93" i="38" s="1"/>
  <c r="F94" i="38" s="1"/>
  <c r="F95" i="38" s="1"/>
  <c r="F96" i="38" s="1"/>
  <c r="F97" i="38" s="1"/>
  <c r="F98" i="38" s="1"/>
  <c r="F99" i="38" s="1"/>
  <c r="F100" i="38" s="1"/>
  <c r="F101" i="38" s="1"/>
  <c r="F68" i="31"/>
  <c r="F69" i="31" s="1"/>
  <c r="F70" i="31" s="1"/>
  <c r="F71" i="31" s="1"/>
  <c r="F57" i="31"/>
  <c r="F58" i="31" s="1"/>
  <c r="F59" i="31" s="1"/>
  <c r="F60" i="31" s="1"/>
  <c r="F165" i="28"/>
  <c r="E164" i="28"/>
  <c r="E166" i="28" s="1"/>
  <c r="D164" i="28"/>
  <c r="D166" i="28" s="1"/>
  <c r="F158" i="28"/>
  <c r="F159" i="28" s="1"/>
  <c r="F160" i="28" s="1"/>
  <c r="F161" i="28" s="1"/>
  <c r="F162" i="28" s="1"/>
  <c r="F163" i="28" s="1"/>
  <c r="F147" i="28"/>
  <c r="E146" i="28"/>
  <c r="E148" i="28" s="1"/>
  <c r="D146" i="28"/>
  <c r="F140" i="28"/>
  <c r="F141" i="28" s="1"/>
  <c r="F142" i="28" s="1"/>
  <c r="F143" i="28" s="1"/>
  <c r="F144" i="28" s="1"/>
  <c r="F145" i="28" s="1"/>
  <c r="F129" i="28"/>
  <c r="E128" i="28"/>
  <c r="E130" i="28" s="1"/>
  <c r="D128" i="28"/>
  <c r="D130" i="28" s="1"/>
  <c r="F122" i="28"/>
  <c r="F123" i="28" s="1"/>
  <c r="F124" i="28" s="1"/>
  <c r="F125" i="28" s="1"/>
  <c r="F126" i="28" s="1"/>
  <c r="F127" i="28" s="1"/>
  <c r="F111" i="28"/>
  <c r="E110" i="28"/>
  <c r="E112" i="28" s="1"/>
  <c r="D110" i="28"/>
  <c r="D112" i="28" s="1"/>
  <c r="F43" i="28"/>
  <c r="F234" i="27"/>
  <c r="E233" i="27"/>
  <c r="E235" i="27" s="1"/>
  <c r="D233" i="27"/>
  <c r="D235" i="27" s="1"/>
  <c r="F227" i="27"/>
  <c r="F228" i="27" s="1"/>
  <c r="F229" i="27" s="1"/>
  <c r="F230" i="27" s="1"/>
  <c r="F231" i="27" s="1"/>
  <c r="F232" i="27" s="1"/>
  <c r="F216" i="27"/>
  <c r="E215" i="27"/>
  <c r="E217" i="27" s="1"/>
  <c r="D215" i="27"/>
  <c r="F199" i="27"/>
  <c r="F200" i="27" s="1"/>
  <c r="F201" i="27" s="1"/>
  <c r="F188" i="27"/>
  <c r="E187" i="27"/>
  <c r="E189" i="27" s="1"/>
  <c r="D187" i="27"/>
  <c r="F181" i="27"/>
  <c r="F182" i="27" s="1"/>
  <c r="F183" i="27" s="1"/>
  <c r="F184" i="27" s="1"/>
  <c r="F185" i="27" s="1"/>
  <c r="F186" i="27" s="1"/>
  <c r="F170" i="27"/>
  <c r="E169" i="27"/>
  <c r="D169" i="27"/>
  <c r="D171" i="27" s="1"/>
  <c r="F184" i="26"/>
  <c r="E183" i="26"/>
  <c r="E185" i="26" s="1"/>
  <c r="D183" i="26"/>
  <c r="F178" i="26"/>
  <c r="F179" i="26" s="1"/>
  <c r="F180" i="26" s="1"/>
  <c r="F181" i="26" s="1"/>
  <c r="F183" i="26" l="1"/>
  <c r="F185" i="26" s="1"/>
  <c r="F202" i="27"/>
  <c r="F203" i="27" s="1"/>
  <c r="F204" i="27" s="1"/>
  <c r="F205" i="27" s="1"/>
  <c r="F206" i="27" s="1"/>
  <c r="F215" i="27"/>
  <c r="F217" i="27" s="1"/>
  <c r="F169" i="27"/>
  <c r="F171" i="27" s="1"/>
  <c r="F103" i="38"/>
  <c r="F105" i="38" s="1"/>
  <c r="D105" i="38"/>
  <c r="F164" i="28"/>
  <c r="F166" i="28" s="1"/>
  <c r="F110" i="28"/>
  <c r="F112" i="28" s="1"/>
  <c r="F146" i="28"/>
  <c r="F148" i="28" s="1"/>
  <c r="D148" i="28"/>
  <c r="F128" i="28"/>
  <c r="F130" i="28" s="1"/>
  <c r="F233" i="27"/>
  <c r="F235" i="27" s="1"/>
  <c r="D217" i="27"/>
  <c r="F187" i="27"/>
  <c r="F189" i="27" s="1"/>
  <c r="D189" i="27"/>
  <c r="F168" i="27"/>
  <c r="F167" i="27"/>
  <c r="E171" i="27"/>
  <c r="D185" i="26"/>
  <c r="F207" i="27" l="1"/>
  <c r="F208" i="27" s="1"/>
  <c r="F209" i="27" s="1"/>
  <c r="F210" i="27" s="1"/>
  <c r="F211" i="27" s="1"/>
  <c r="F212" i="27" s="1"/>
  <c r="F213" i="27" s="1"/>
  <c r="F214" i="27" s="1"/>
  <c r="F274" i="36"/>
  <c r="F275" i="36" s="1"/>
  <c r="F449" i="27" l="1"/>
  <c r="F450" i="27" s="1"/>
  <c r="F451" i="27" s="1"/>
  <c r="F452" i="27" s="1"/>
  <c r="F453" i="27" s="1"/>
  <c r="F454" i="27" s="1"/>
  <c r="F455" i="27" s="1"/>
  <c r="F456" i="27" s="1"/>
  <c r="F272" i="36" l="1"/>
  <c r="F9" i="13" l="1"/>
  <c r="F445" i="27"/>
  <c r="F446" i="27" s="1"/>
  <c r="F447" i="27" s="1"/>
  <c r="F438" i="27"/>
  <c r="F439" i="27" s="1"/>
  <c r="A366" i="28" l="1"/>
  <c r="A367" i="28" s="1"/>
  <c r="F268" i="36" l="1"/>
  <c r="F429" i="27"/>
  <c r="F430" i="27" s="1"/>
  <c r="F431" i="27" l="1"/>
  <c r="F432" i="27" s="1"/>
  <c r="F433" i="27" s="1"/>
  <c r="F434" i="27" s="1"/>
  <c r="F269" i="36"/>
  <c r="F270" i="36" s="1"/>
  <c r="F435" i="27" l="1"/>
  <c r="F436" i="27" s="1"/>
  <c r="F355" i="28"/>
  <c r="F427" i="27"/>
  <c r="F157" i="38"/>
  <c r="F189" i="38"/>
  <c r="F190" i="38" s="1"/>
  <c r="F191" i="38" s="1"/>
  <c r="F192" i="38" s="1"/>
  <c r="F193" i="38" s="1"/>
  <c r="F194" i="38" s="1"/>
  <c r="F195" i="38" s="1"/>
  <c r="F196" i="38" s="1"/>
  <c r="F197" i="38" s="1"/>
  <c r="F184" i="38"/>
  <c r="F185" i="38" s="1"/>
  <c r="F186" i="38" s="1"/>
  <c r="F187" i="38" s="1"/>
  <c r="F174" i="38"/>
  <c r="F175" i="38" s="1"/>
  <c r="F176" i="38" s="1"/>
  <c r="F177" i="38" s="1"/>
  <c r="F178" i="38" s="1"/>
  <c r="F179" i="38" s="1"/>
  <c r="F164" i="38"/>
  <c r="F165" i="38" s="1"/>
  <c r="F166" i="38" s="1"/>
  <c r="F167" i="38" s="1"/>
  <c r="F168" i="38" s="1"/>
  <c r="F169" i="38" s="1"/>
  <c r="F170" i="38" s="1"/>
  <c r="F171" i="38" s="1"/>
  <c r="F172" i="38" s="1"/>
  <c r="F180" i="38" l="1"/>
  <c r="F263" i="36"/>
  <c r="F264" i="36" s="1"/>
  <c r="F265" i="36" s="1"/>
  <c r="F266" i="36" s="1"/>
  <c r="F356" i="28"/>
  <c r="F357" i="28" s="1"/>
  <c r="F158" i="38"/>
  <c r="F159" i="38" s="1"/>
  <c r="F160" i="38" s="1"/>
  <c r="F161" i="38" s="1"/>
  <c r="F162" i="38" s="1"/>
  <c r="F192" i="28" l="1"/>
  <c r="F257" i="36" l="1"/>
  <c r="F258" i="36" s="1"/>
  <c r="F423" i="27" l="1"/>
  <c r="F152" i="38"/>
  <c r="F424" i="27" l="1"/>
  <c r="F425" i="27" s="1"/>
  <c r="F153" i="38"/>
  <c r="F154" i="38" s="1"/>
  <c r="F155" i="38" s="1"/>
  <c r="F420" i="27" l="1"/>
  <c r="F421" i="27" s="1"/>
  <c r="F137" i="38" l="1"/>
  <c r="F138" i="38" s="1"/>
  <c r="F417" i="27"/>
  <c r="F418" i="27" s="1"/>
  <c r="F84" i="26" l="1"/>
  <c r="F85" i="26" s="1"/>
  <c r="F86" i="26" s="1"/>
  <c r="F88" i="26"/>
  <c r="F89" i="26" s="1"/>
  <c r="F90" i="26" s="1"/>
  <c r="F92" i="26"/>
  <c r="F93" i="26" s="1"/>
  <c r="F94" i="26" s="1"/>
  <c r="F96" i="26"/>
  <c r="F97" i="26" s="1"/>
  <c r="F98" i="26" s="1"/>
  <c r="F100" i="26"/>
  <c r="F101" i="26" s="1"/>
  <c r="F102" i="26" s="1"/>
  <c r="F104" i="26"/>
  <c r="F105" i="26" s="1"/>
  <c r="F106" i="26" s="1"/>
  <c r="F108" i="26"/>
  <c r="F109" i="26" s="1"/>
  <c r="F110" i="26" s="1"/>
  <c r="F112" i="26"/>
  <c r="F113" i="26" s="1"/>
  <c r="F114" i="26" s="1"/>
  <c r="F410" i="27" l="1"/>
  <c r="F411" i="27" s="1"/>
  <c r="F412" i="27" s="1"/>
  <c r="F413" i="27" s="1"/>
  <c r="F283" i="26" l="1"/>
  <c r="F408" i="27"/>
  <c r="E206" i="9" l="1"/>
  <c r="D206" i="9"/>
  <c r="D458" i="27" l="1"/>
  <c r="E20" i="23"/>
  <c r="E87" i="35"/>
  <c r="E90" i="3"/>
  <c r="D90" i="3"/>
  <c r="E29" i="36" l="1"/>
  <c r="F367" i="38" l="1"/>
  <c r="E366" i="38"/>
  <c r="E368" i="38" s="1"/>
  <c r="E135" i="17"/>
  <c r="D170" i="3" l="1"/>
  <c r="F306" i="26" l="1"/>
  <c r="F10" i="9"/>
  <c r="D247" i="5"/>
  <c r="F247" i="5" s="1"/>
  <c r="F307" i="26" l="1"/>
  <c r="F308" i="26" s="1"/>
  <c r="F304" i="26" l="1"/>
  <c r="F302" i="26" l="1"/>
  <c r="F29" i="26"/>
  <c r="F30" i="26" l="1"/>
  <c r="F300" i="26" l="1"/>
  <c r="F179" i="36" l="1"/>
  <c r="F180" i="36" l="1"/>
  <c r="F181" i="36" s="1"/>
  <c r="F298" i="26" l="1"/>
  <c r="D29" i="36" l="1"/>
  <c r="F296" i="26"/>
  <c r="F190" i="28"/>
  <c r="F186" i="28" l="1"/>
  <c r="F187" i="28" s="1"/>
  <c r="F294" i="26" l="1"/>
  <c r="F292" i="26" l="1"/>
  <c r="F158" i="36" l="1"/>
  <c r="F159" i="36" s="1"/>
  <c r="F160" i="36" s="1"/>
  <c r="F290" i="26"/>
  <c r="F184" i="28"/>
  <c r="F26" i="26"/>
  <c r="E93" i="23" l="1"/>
  <c r="D93" i="23"/>
  <c r="F94" i="23"/>
  <c r="F87" i="23" l="1"/>
  <c r="F88" i="23" s="1"/>
  <c r="F89" i="23" s="1"/>
  <c r="F90" i="23" s="1"/>
  <c r="D95" i="23"/>
  <c r="F93" i="23" l="1"/>
  <c r="F95" i="23" s="1"/>
  <c r="E95" i="23"/>
  <c r="F288" i="26" l="1"/>
  <c r="A284" i="5" l="1"/>
  <c r="A285" i="5" s="1"/>
  <c r="D63" i="9" l="1"/>
  <c r="A277" i="5"/>
  <c r="A278" i="5" s="1"/>
  <c r="A270" i="5"/>
  <c r="A271" i="5" s="1"/>
  <c r="F299" i="38" l="1"/>
  <c r="F285" i="26"/>
  <c r="F286" i="26" s="1"/>
  <c r="E86" i="17" l="1"/>
  <c r="F116" i="17" l="1"/>
  <c r="F135" i="17"/>
  <c r="D134" i="17"/>
  <c r="D136" i="17" l="1"/>
  <c r="F166" i="3" l="1"/>
  <c r="E47" i="34" l="1"/>
  <c r="F178" i="28" l="1"/>
  <c r="F138" i="36"/>
  <c r="F139" i="36" s="1"/>
  <c r="F140" i="36" s="1"/>
  <c r="F141" i="36" s="1"/>
  <c r="F142" i="36" s="1"/>
  <c r="F143" i="36" s="1"/>
  <c r="F495" i="28" l="1"/>
  <c r="F496" i="28" s="1"/>
  <c r="F182" i="28" l="1"/>
  <c r="F180" i="28" l="1"/>
  <c r="F175" i="36" l="1"/>
  <c r="F176" i="36" l="1"/>
  <c r="F177" i="36" s="1"/>
  <c r="D332" i="27" l="1"/>
  <c r="F247" i="36" l="1"/>
  <c r="F248" i="36" s="1"/>
  <c r="F149" i="36"/>
  <c r="F150" i="36" l="1"/>
  <c r="F151" i="36" s="1"/>
  <c r="F153" i="36" s="1"/>
  <c r="F154" i="36" s="1"/>
  <c r="F155" i="36" s="1"/>
  <c r="F156" i="36" s="1"/>
  <c r="A415" i="28" l="1"/>
  <c r="A416" i="28" s="1"/>
  <c r="D438" i="31" l="1"/>
  <c r="F405" i="31" l="1"/>
  <c r="E404" i="31"/>
  <c r="E406" i="31" s="1"/>
  <c r="D404" i="31"/>
  <c r="F392" i="31"/>
  <c r="F393" i="31" s="1"/>
  <c r="F394" i="31" s="1"/>
  <c r="F395" i="31" s="1"/>
  <c r="F396" i="31" s="1"/>
  <c r="F397" i="31" s="1"/>
  <c r="F398" i="31" s="1"/>
  <c r="F399" i="31" s="1"/>
  <c r="F400" i="31" s="1"/>
  <c r="F401" i="31" s="1"/>
  <c r="F402" i="31" s="1"/>
  <c r="F403" i="31" s="1"/>
  <c r="F404" i="31" l="1"/>
  <c r="F406" i="31" s="1"/>
  <c r="D406" i="31"/>
  <c r="F217" i="31" l="1"/>
  <c r="E216" i="31"/>
  <c r="E218" i="31" s="1"/>
  <c r="D216" i="31"/>
  <c r="F207" i="31"/>
  <c r="F208" i="31" s="1"/>
  <c r="F209" i="31" s="1"/>
  <c r="F210" i="31" s="1"/>
  <c r="F211" i="31" s="1"/>
  <c r="F212" i="31" s="1"/>
  <c r="F213" i="31" s="1"/>
  <c r="F214" i="31" s="1"/>
  <c r="F216" i="31" l="1"/>
  <c r="F218" i="31" s="1"/>
  <c r="D218" i="31"/>
  <c r="F182" i="3" l="1"/>
  <c r="F62" i="27" l="1"/>
  <c r="F573" i="31"/>
  <c r="F574" i="31" s="1"/>
  <c r="F298" i="31"/>
  <c r="F299" i="31" s="1"/>
  <c r="F196" i="36"/>
  <c r="F500" i="28"/>
  <c r="F501" i="28" s="1"/>
  <c r="F652" i="31"/>
  <c r="F522" i="31"/>
  <c r="F523" i="31" s="1"/>
  <c r="F575" i="31" l="1"/>
  <c r="F524" i="31"/>
  <c r="F502" i="28"/>
  <c r="F503" i="28" s="1"/>
  <c r="F504" i="28" s="1"/>
  <c r="F505" i="28" s="1"/>
  <c r="F197" i="36"/>
  <c r="F198" i="36" s="1"/>
  <c r="F199" i="36" s="1"/>
  <c r="F200" i="36" s="1"/>
  <c r="F201" i="36" s="1"/>
  <c r="F202" i="36" s="1"/>
  <c r="F203" i="36" s="1"/>
  <c r="F204" i="36" s="1"/>
  <c r="F63" i="27"/>
  <c r="F64" i="27" s="1"/>
  <c r="F65" i="27" s="1"/>
  <c r="F66" i="27" s="1"/>
  <c r="F653" i="31"/>
  <c r="F654" i="31" s="1"/>
  <c r="F655" i="31" s="1"/>
  <c r="F656" i="31" s="1"/>
  <c r="F657" i="31" s="1"/>
  <c r="F658" i="31" s="1"/>
  <c r="F202" i="38"/>
  <c r="F203" i="38" s="1"/>
  <c r="F204" i="38" s="1"/>
  <c r="F205" i="38" s="1"/>
  <c r="F206" i="38" s="1"/>
  <c r="F659" i="31" l="1"/>
  <c r="F660" i="31" s="1"/>
  <c r="F661" i="31" s="1"/>
  <c r="F662" i="31" s="1"/>
  <c r="F207" i="38"/>
  <c r="F525" i="31"/>
  <c r="F373" i="28"/>
  <c r="F374" i="28" s="1"/>
  <c r="F375" i="28" s="1"/>
  <c r="F58" i="27" l="1"/>
  <c r="F190" i="36"/>
  <c r="F646" i="31"/>
  <c r="F59" i="27" l="1"/>
  <c r="F60" i="27" s="1"/>
  <c r="F647" i="31"/>
  <c r="F191" i="36"/>
  <c r="F192" i="36" s="1"/>
  <c r="F193" i="36" l="1"/>
  <c r="F648" i="31"/>
  <c r="F649" i="31" s="1"/>
  <c r="F650" i="31" s="1"/>
  <c r="F570" i="31"/>
  <c r="F571" i="31" s="1"/>
  <c r="F295" i="31"/>
  <c r="F498" i="28"/>
  <c r="F519" i="31"/>
  <c r="F520" i="31" s="1"/>
  <c r="A402" i="38"/>
  <c r="F296" i="31" l="1"/>
  <c r="F194" i="36"/>
  <c r="A451" i="28"/>
  <c r="A452" i="28" s="1"/>
  <c r="F183" i="36" l="1"/>
  <c r="F184" i="36" s="1"/>
  <c r="F185" i="36" s="1"/>
  <c r="F186" i="36" s="1"/>
  <c r="F187" i="36" s="1"/>
  <c r="F54" i="27"/>
  <c r="F188" i="36" l="1"/>
  <c r="F55" i="27"/>
  <c r="F56" i="27" s="1"/>
  <c r="F567" i="31" l="1"/>
  <c r="F568" i="31" s="1"/>
  <c r="F292" i="31"/>
  <c r="F516" i="31"/>
  <c r="F517" i="31" s="1"/>
  <c r="F293" i="31" l="1"/>
  <c r="A362" i="28"/>
  <c r="A363" i="28" s="1"/>
  <c r="A447" i="28"/>
  <c r="A448" i="28" s="1"/>
  <c r="F49" i="27" l="1"/>
  <c r="F493" i="28"/>
  <c r="F513" i="31"/>
  <c r="F564" i="31"/>
  <c r="F290" i="31"/>
  <c r="F514" i="31" l="1"/>
  <c r="F565" i="31"/>
  <c r="F50" i="27"/>
  <c r="F51" i="27" s="1"/>
  <c r="F52" i="27" s="1"/>
  <c r="A443" i="28" l="1"/>
  <c r="A444" i="28" s="1"/>
  <c r="F44" i="27" l="1"/>
  <c r="F45" i="27" l="1"/>
  <c r="F46" i="27" s="1"/>
  <c r="F47" i="27" s="1"/>
  <c r="F561" i="31" l="1"/>
  <c r="F562" i="31" s="1"/>
  <c r="F288" i="31"/>
  <c r="F510" i="31"/>
  <c r="F511" i="31" l="1"/>
  <c r="F491" i="28" l="1"/>
  <c r="A439" i="28" l="1"/>
  <c r="A440" i="28" s="1"/>
  <c r="F39" i="27" l="1"/>
  <c r="F40" i="27" l="1"/>
  <c r="F41" i="27" s="1"/>
  <c r="F42" i="27" s="1"/>
  <c r="F489" i="28" l="1"/>
  <c r="F558" i="31"/>
  <c r="F559" i="31" s="1"/>
  <c r="F286" i="31"/>
  <c r="F507" i="31"/>
  <c r="F171" i="36" l="1"/>
  <c r="F172" i="36" s="1"/>
  <c r="F173" i="36" s="1"/>
  <c r="F508" i="31"/>
  <c r="A345" i="28" l="1"/>
  <c r="A435" i="28"/>
  <c r="A436" i="28" s="1"/>
  <c r="F33" i="27" l="1"/>
  <c r="F555" i="31"/>
  <c r="F284" i="31"/>
  <c r="F556" i="31" l="1"/>
  <c r="F34" i="27"/>
  <c r="F35" i="27" s="1"/>
  <c r="F36" i="27" s="1"/>
  <c r="F37" i="27" s="1"/>
  <c r="F166" i="36" l="1"/>
  <c r="F167" i="36" s="1"/>
  <c r="F168" i="36" s="1"/>
  <c r="F169" i="36" s="1"/>
  <c r="F504" i="31"/>
  <c r="F485" i="28"/>
  <c r="F486" i="28" s="1"/>
  <c r="F487" i="28" s="1"/>
  <c r="F255" i="36"/>
  <c r="F505" i="31" l="1"/>
  <c r="A339" i="28" l="1"/>
  <c r="A340" i="28" s="1"/>
  <c r="A431" i="28"/>
  <c r="A432" i="28" s="1"/>
  <c r="F28" i="27" l="1"/>
  <c r="F552" i="31"/>
  <c r="F282" i="31"/>
  <c r="F501" i="31"/>
  <c r="F502" i="31" s="1"/>
  <c r="F162" i="36"/>
  <c r="F483" i="28"/>
  <c r="F142" i="38"/>
  <c r="F143" i="38" s="1"/>
  <c r="F144" i="38" l="1"/>
  <c r="F145" i="38" s="1"/>
  <c r="F146" i="38" s="1"/>
  <c r="F147" i="38" s="1"/>
  <c r="F148" i="38" s="1"/>
  <c r="F149" i="38" s="1"/>
  <c r="F553" i="31"/>
  <c r="F29" i="27"/>
  <c r="F30" i="27" s="1"/>
  <c r="F31" i="27" s="1"/>
  <c r="F163" i="36"/>
  <c r="A335" i="28" l="1"/>
  <c r="A336" i="28" s="1"/>
  <c r="A427" i="28"/>
  <c r="A428" i="28" s="1"/>
  <c r="F23" i="27" l="1"/>
  <c r="F80" i="26" l="1"/>
  <c r="F548" i="31"/>
  <c r="F279" i="31"/>
  <c r="F280" i="31" s="1"/>
  <c r="F252" i="36"/>
  <c r="F253" i="36" s="1"/>
  <c r="F498" i="31"/>
  <c r="F499" i="31" s="1"/>
  <c r="F133" i="38"/>
  <c r="F481" i="28" l="1"/>
  <c r="F549" i="31"/>
  <c r="F550" i="31" s="1"/>
  <c r="F134" i="38"/>
  <c r="F135" i="38" s="1"/>
  <c r="A423" i="28" l="1"/>
  <c r="F18" i="27" l="1"/>
  <c r="F491" i="31" l="1"/>
  <c r="F492" i="31" s="1"/>
  <c r="F493" i="31" s="1"/>
  <c r="F494" i="31" s="1"/>
  <c r="F495" i="31" s="1"/>
  <c r="F496" i="31" s="1"/>
  <c r="F277" i="31"/>
  <c r="F125" i="38"/>
  <c r="F478" i="28"/>
  <c r="F76" i="26" l="1"/>
  <c r="F126" i="38"/>
  <c r="A324" i="28" l="1"/>
  <c r="A325" i="28" s="1"/>
  <c r="F13" i="27" l="1"/>
  <c r="F72" i="26"/>
  <c r="F484" i="31"/>
  <c r="F485" i="31" s="1"/>
  <c r="F476" i="28"/>
  <c r="F122" i="38"/>
  <c r="F543" i="31"/>
  <c r="F275" i="31"/>
  <c r="F123" i="38" l="1"/>
  <c r="F486" i="31"/>
  <c r="F487" i="31" s="1"/>
  <c r="F488" i="31" s="1"/>
  <c r="F489" i="31" s="1"/>
  <c r="D78" i="21" l="1"/>
  <c r="F48" i="13" l="1"/>
  <c r="D14" i="9"/>
  <c r="D346" i="5"/>
  <c r="D308" i="5"/>
  <c r="D289" i="5"/>
  <c r="D187" i="5"/>
  <c r="D120" i="5"/>
  <c r="D54" i="5"/>
  <c r="D36" i="1"/>
  <c r="D39" i="3"/>
  <c r="D91" i="3"/>
  <c r="D155" i="3"/>
  <c r="A400" i="38" l="1"/>
  <c r="F638" i="31" l="1"/>
  <c r="F639" i="31" l="1"/>
  <c r="F640" i="31" s="1"/>
  <c r="F641" i="31" s="1"/>
  <c r="F642" i="31" s="1"/>
  <c r="F643" i="31" l="1"/>
  <c r="F633" i="31"/>
  <c r="F634" i="31" s="1"/>
  <c r="F635" i="31" l="1"/>
  <c r="F636" i="31" s="1"/>
  <c r="F168" i="26"/>
  <c r="E167" i="26"/>
  <c r="E169" i="26" s="1"/>
  <c r="F307" i="27"/>
  <c r="E306" i="27"/>
  <c r="E308" i="27" s="1"/>
  <c r="D306" i="27" l="1"/>
  <c r="D308" i="27" s="1"/>
  <c r="D167" i="26"/>
  <c r="D169" i="26" s="1"/>
  <c r="F161" i="26"/>
  <c r="F162" i="26" s="1"/>
  <c r="F302" i="27"/>
  <c r="F163" i="26" l="1"/>
  <c r="F164" i="26" s="1"/>
  <c r="F303" i="27"/>
  <c r="F304" i="27" s="1"/>
  <c r="F306" i="27"/>
  <c r="F308" i="27" s="1"/>
  <c r="F167" i="26"/>
  <c r="F169" i="26" s="1"/>
  <c r="F299" i="36"/>
  <c r="E298" i="36"/>
  <c r="E300" i="36" s="1"/>
  <c r="D298" i="36"/>
  <c r="F245" i="36"/>
  <c r="D300" i="36" l="1"/>
  <c r="F298" i="36"/>
  <c r="F300" i="36" s="1"/>
  <c r="F270" i="28" l="1"/>
  <c r="E269" i="28"/>
  <c r="E271" i="28" s="1"/>
  <c r="D269" i="28"/>
  <c r="D271" i="28" s="1"/>
  <c r="F216" i="28"/>
  <c r="F217" i="28" s="1"/>
  <c r="F218" i="28" l="1"/>
  <c r="F269" i="28"/>
  <c r="F271" i="28" s="1"/>
  <c r="F629" i="31" l="1"/>
  <c r="F630" i="31" s="1"/>
  <c r="F631" i="31" s="1"/>
  <c r="F624" i="31" l="1"/>
  <c r="F625" i="31" s="1"/>
  <c r="F626" i="31" s="1"/>
  <c r="F627" i="31" s="1"/>
  <c r="A388" i="38" l="1"/>
  <c r="F615" i="31" l="1"/>
  <c r="F616" i="31" l="1"/>
  <c r="F617" i="31" s="1"/>
  <c r="F618" i="31" s="1"/>
  <c r="F619" i="31" s="1"/>
  <c r="F44" i="9"/>
  <c r="F45" i="9" l="1"/>
  <c r="F46" i="9" s="1"/>
  <c r="F47" i="9" s="1"/>
  <c r="F48" i="9" s="1"/>
  <c r="F49" i="9" s="1"/>
  <c r="F50" i="9" s="1"/>
  <c r="F51" i="9" s="1"/>
  <c r="F52" i="9" s="1"/>
  <c r="F53" i="9" s="1"/>
  <c r="F54" i="9" s="1"/>
  <c r="F55" i="9" s="1"/>
  <c r="F56" i="9" s="1"/>
  <c r="F57" i="9" s="1"/>
  <c r="F608" i="31" l="1"/>
  <c r="F609" i="31" s="1"/>
  <c r="F610" i="31" l="1"/>
  <c r="F611" i="31" s="1"/>
  <c r="F612" i="31" s="1"/>
  <c r="F613" i="31" s="1"/>
  <c r="F49" i="13"/>
  <c r="F50" i="13" s="1"/>
  <c r="D103" i="24" l="1"/>
  <c r="A69" i="3" l="1"/>
  <c r="F603" i="31" l="1"/>
  <c r="F604" i="31" s="1"/>
  <c r="F333" i="27" l="1"/>
  <c r="E332" i="27"/>
  <c r="E334" i="27" s="1"/>
  <c r="D334" i="27" l="1"/>
  <c r="F317" i="27"/>
  <c r="F318" i="27" l="1"/>
  <c r="F332" i="27"/>
  <c r="F334" i="27" s="1"/>
  <c r="F596" i="31"/>
  <c r="F155" i="9"/>
  <c r="A67" i="3"/>
  <c r="A12" i="3"/>
  <c r="F319" i="27" l="1"/>
  <c r="F320" i="27" s="1"/>
  <c r="F321" i="27" s="1"/>
  <c r="F322" i="27" s="1"/>
  <c r="F323" i="27" s="1"/>
  <c r="F324" i="27" s="1"/>
  <c r="F325" i="27" s="1"/>
  <c r="F326" i="27" s="1"/>
  <c r="F331" i="27" s="1"/>
  <c r="F156" i="9"/>
  <c r="F327" i="27" l="1"/>
  <c r="F328" i="27" s="1"/>
  <c r="F329" i="27" s="1"/>
  <c r="F330" i="27" s="1"/>
  <c r="F157" i="9"/>
  <c r="F158" i="9" s="1"/>
  <c r="D207" i="36"/>
  <c r="F104" i="24"/>
  <c r="D105" i="24"/>
  <c r="D207" i="9" l="1"/>
  <c r="E186" i="3"/>
  <c r="F272" i="31" l="1"/>
  <c r="A65" i="3"/>
  <c r="F62" i="23" l="1"/>
  <c r="D61" i="23"/>
  <c r="F36" i="23"/>
  <c r="D35" i="23"/>
  <c r="F49" i="35"/>
  <c r="D48" i="35"/>
  <c r="D37" i="23" l="1"/>
  <c r="D63" i="23"/>
  <c r="D50" i="35"/>
  <c r="E35" i="23"/>
  <c r="F48" i="23"/>
  <c r="F49" i="23" s="1"/>
  <c r="F35" i="23" l="1"/>
  <c r="F37" i="23" s="1"/>
  <c r="E37" i="23"/>
  <c r="D38" i="21" l="1"/>
  <c r="E37" i="21"/>
  <c r="D37" i="21"/>
  <c r="D39" i="21" l="1"/>
  <c r="F38" i="21"/>
  <c r="E39" i="21"/>
  <c r="F37" i="21"/>
  <c r="D13" i="13"/>
  <c r="E38" i="13"/>
  <c r="F38" i="13" s="1"/>
  <c r="D37" i="13"/>
  <c r="F39" i="21" l="1"/>
  <c r="D18" i="21"/>
  <c r="D39" i="13"/>
  <c r="E243" i="34"/>
  <c r="F243" i="34" s="1"/>
  <c r="D242" i="34"/>
  <c r="E215" i="34"/>
  <c r="F215" i="34" s="1"/>
  <c r="D214" i="34"/>
  <c r="E176" i="34"/>
  <c r="F176" i="34" s="1"/>
  <c r="D175" i="34"/>
  <c r="E151" i="34"/>
  <c r="F151" i="34" s="1"/>
  <c r="D150" i="34"/>
  <c r="E116" i="34"/>
  <c r="F116" i="34" s="1"/>
  <c r="D115" i="34"/>
  <c r="E87" i="34"/>
  <c r="F87" i="34" s="1"/>
  <c r="D86" i="34"/>
  <c r="E48" i="34"/>
  <c r="F48" i="34" s="1"/>
  <c r="D47" i="34"/>
  <c r="E23" i="34"/>
  <c r="D180" i="9"/>
  <c r="D162" i="9"/>
  <c r="D135" i="9"/>
  <c r="D118" i="9"/>
  <c r="F118" i="9" s="1"/>
  <c r="E117" i="9"/>
  <c r="D92" i="9"/>
  <c r="D64" i="9"/>
  <c r="D32" i="9"/>
  <c r="F187" i="5"/>
  <c r="F120" i="5"/>
  <c r="E51" i="1"/>
  <c r="D51" i="1"/>
  <c r="D202" i="28"/>
  <c r="D204" i="28" s="1"/>
  <c r="F203" i="28"/>
  <c r="E202" i="28"/>
  <c r="E204" i="28" s="1"/>
  <c r="F665" i="31"/>
  <c r="E664" i="31"/>
  <c r="E666" i="31" s="1"/>
  <c r="B222" i="9" l="1"/>
  <c r="B224" i="9"/>
  <c r="E119" i="9"/>
  <c r="F175" i="9"/>
  <c r="D244" i="34"/>
  <c r="D216" i="34"/>
  <c r="D177" i="34"/>
  <c r="D152" i="34"/>
  <c r="D117" i="34"/>
  <c r="D88" i="34"/>
  <c r="D49" i="34"/>
  <c r="D664" i="31"/>
  <c r="D666" i="31" s="1"/>
  <c r="F202" i="28"/>
  <c r="F204" i="28" s="1"/>
  <c r="F589" i="31"/>
  <c r="F590" i="31" s="1"/>
  <c r="F591" i="31" s="1"/>
  <c r="F592" i="31" s="1"/>
  <c r="F593" i="31" s="1"/>
  <c r="F594" i="31" s="1"/>
  <c r="F664" i="31" l="1"/>
  <c r="F666" i="31" s="1"/>
  <c r="F273" i="31"/>
  <c r="F597" i="31" l="1"/>
  <c r="F598" i="31" s="1"/>
  <c r="F599" i="31" s="1"/>
  <c r="F600" i="31" s="1"/>
  <c r="F601" i="31" s="1"/>
  <c r="F605" i="31" l="1"/>
  <c r="F606" i="31" s="1"/>
  <c r="F29" i="32"/>
  <c r="E28" i="32"/>
  <c r="F8" i="32"/>
  <c r="F404" i="38"/>
  <c r="E403" i="38"/>
  <c r="E405" i="38" s="1"/>
  <c r="F353" i="38"/>
  <c r="F294" i="38"/>
  <c r="F295" i="38" s="1"/>
  <c r="F296" i="38" s="1"/>
  <c r="F297" i="38" s="1"/>
  <c r="F281" i="38"/>
  <c r="E280" i="38"/>
  <c r="E282" i="38" s="1"/>
  <c r="D280" i="38"/>
  <c r="D282" i="38" s="1"/>
  <c r="F278" i="38"/>
  <c r="F279" i="38" s="1"/>
  <c r="F268" i="38"/>
  <c r="E267" i="38"/>
  <c r="E269" i="38" s="1"/>
  <c r="D267" i="38"/>
  <c r="F254" i="38"/>
  <c r="F255" i="38" s="1"/>
  <c r="F256" i="38" s="1"/>
  <c r="F257" i="38" s="1"/>
  <c r="F258" i="38" s="1"/>
  <c r="F259" i="38" s="1"/>
  <c r="F260" i="38" s="1"/>
  <c r="F261" i="38" s="1"/>
  <c r="F262" i="38" s="1"/>
  <c r="F263" i="38" s="1"/>
  <c r="F264" i="38" s="1"/>
  <c r="F265" i="38" s="1"/>
  <c r="F244" i="38"/>
  <c r="E243" i="38"/>
  <c r="E245" i="38" s="1"/>
  <c r="D243" i="38"/>
  <c r="D245" i="38" s="1"/>
  <c r="F238" i="38"/>
  <c r="F228" i="38"/>
  <c r="E227" i="38"/>
  <c r="E229" i="38" s="1"/>
  <c r="D227" i="38"/>
  <c r="D229" i="38" s="1"/>
  <c r="F223" i="38"/>
  <c r="F224" i="38" s="1"/>
  <c r="F225" i="38" s="1"/>
  <c r="F213" i="38"/>
  <c r="E212" i="38"/>
  <c r="E214" i="38" s="1"/>
  <c r="D212" i="38"/>
  <c r="F117" i="38"/>
  <c r="F118" i="38" s="1"/>
  <c r="F119" i="38" s="1"/>
  <c r="F77" i="38"/>
  <c r="E76" i="38"/>
  <c r="E78" i="38" s="1"/>
  <c r="D76" i="38"/>
  <c r="D78" i="38" s="1"/>
  <c r="F62" i="38"/>
  <c r="F63" i="38" s="1"/>
  <c r="F64" i="38" s="1"/>
  <c r="F65" i="38" s="1"/>
  <c r="F66" i="38" s="1"/>
  <c r="F67" i="38" s="1"/>
  <c r="F68" i="38" s="1"/>
  <c r="F69" i="38" s="1"/>
  <c r="F70" i="38" s="1"/>
  <c r="F71" i="38" s="1"/>
  <c r="F72" i="38" s="1"/>
  <c r="F73" i="38" s="1"/>
  <c r="F74" i="38" s="1"/>
  <c r="F51" i="38"/>
  <c r="E50" i="38"/>
  <c r="E52" i="38" s="1"/>
  <c r="D50" i="38"/>
  <c r="D52" i="38" s="1"/>
  <c r="F8" i="38"/>
  <c r="F9" i="38" s="1"/>
  <c r="F364" i="36"/>
  <c r="E363" i="36"/>
  <c r="E365" i="36" s="1"/>
  <c r="D363" i="36"/>
  <c r="D365" i="36" s="1"/>
  <c r="F311" i="36"/>
  <c r="F234" i="36"/>
  <c r="E233" i="36"/>
  <c r="E235" i="36" s="1"/>
  <c r="D233" i="36"/>
  <c r="D235" i="36" s="1"/>
  <c r="F218" i="36"/>
  <c r="F208" i="36"/>
  <c r="E207" i="36"/>
  <c r="E209" i="36" s="1"/>
  <c r="D209" i="36"/>
  <c r="F127" i="36"/>
  <c r="E126" i="36"/>
  <c r="E128" i="36" s="1"/>
  <c r="D126" i="36"/>
  <c r="D128" i="36" s="1"/>
  <c r="F108" i="36"/>
  <c r="F109" i="36" s="1"/>
  <c r="F96" i="36"/>
  <c r="E95" i="36"/>
  <c r="E97" i="36" s="1"/>
  <c r="D95" i="36"/>
  <c r="D97" i="36" s="1"/>
  <c r="F92" i="36"/>
  <c r="F82" i="36"/>
  <c r="E81" i="36"/>
  <c r="E83" i="36" s="1"/>
  <c r="D81" i="36"/>
  <c r="D83" i="36" s="1"/>
  <c r="F69" i="36"/>
  <c r="F70" i="36" s="1"/>
  <c r="F59" i="36"/>
  <c r="E58" i="36"/>
  <c r="E60" i="36" s="1"/>
  <c r="D58" i="36"/>
  <c r="D60" i="36" s="1"/>
  <c r="F30" i="36"/>
  <c r="E31" i="36"/>
  <c r="D31" i="36"/>
  <c r="F8" i="36"/>
  <c r="F9" i="36" s="1"/>
  <c r="F10" i="36" s="1"/>
  <c r="F577" i="31"/>
  <c r="E576" i="31"/>
  <c r="E578" i="31" s="1"/>
  <c r="D576" i="31"/>
  <c r="D578" i="31" s="1"/>
  <c r="F540" i="31"/>
  <c r="F528" i="31"/>
  <c r="E527" i="31"/>
  <c r="E529" i="31" s="1"/>
  <c r="D527" i="31"/>
  <c r="D529" i="31" s="1"/>
  <c r="F476" i="31"/>
  <c r="F477" i="31" s="1"/>
  <c r="F478" i="31" s="1"/>
  <c r="F479" i="31" s="1"/>
  <c r="F480" i="31" s="1"/>
  <c r="F481" i="31" s="1"/>
  <c r="F464" i="31"/>
  <c r="E463" i="31"/>
  <c r="E465" i="31" s="1"/>
  <c r="D463" i="31"/>
  <c r="D465" i="31" s="1"/>
  <c r="F450" i="31"/>
  <c r="F451" i="31" s="1"/>
  <c r="F439" i="31"/>
  <c r="E438" i="31"/>
  <c r="E440" i="31" s="1"/>
  <c r="D440" i="31"/>
  <c r="F417" i="31"/>
  <c r="F418" i="31" s="1"/>
  <c r="F381" i="31"/>
  <c r="E380" i="31"/>
  <c r="E382" i="31" s="1"/>
  <c r="D380" i="31"/>
  <c r="D382" i="31" s="1"/>
  <c r="F367" i="31"/>
  <c r="F368" i="31" s="1"/>
  <c r="F369" i="31" s="1"/>
  <c r="F370" i="31" s="1"/>
  <c r="F371" i="31" s="1"/>
  <c r="F372" i="31" s="1"/>
  <c r="F373" i="31" s="1"/>
  <c r="F374" i="31" s="1"/>
  <c r="F375" i="31" s="1"/>
  <c r="F376" i="31" s="1"/>
  <c r="F377" i="31" s="1"/>
  <c r="F378" i="31" s="1"/>
  <c r="F348" i="31"/>
  <c r="E347" i="31"/>
  <c r="E349" i="31" s="1"/>
  <c r="D347" i="31"/>
  <c r="D349" i="31" s="1"/>
  <c r="F329" i="31"/>
  <c r="F330" i="31" s="1"/>
  <c r="F318" i="31"/>
  <c r="E317" i="31"/>
  <c r="E319" i="31" s="1"/>
  <c r="D317" i="31"/>
  <c r="D319" i="31" s="1"/>
  <c r="F312" i="31"/>
  <c r="F313" i="31" s="1"/>
  <c r="F314" i="31" s="1"/>
  <c r="F302" i="31"/>
  <c r="E301" i="31"/>
  <c r="E303" i="31" s="1"/>
  <c r="D301" i="31"/>
  <c r="D303" i="31" s="1"/>
  <c r="F262" i="31"/>
  <c r="F245" i="31"/>
  <c r="F232" i="31"/>
  <c r="E231" i="31"/>
  <c r="E233" i="31" s="1"/>
  <c r="D231" i="31"/>
  <c r="D233" i="31" s="1"/>
  <c r="F227" i="31"/>
  <c r="F194" i="31"/>
  <c r="E193" i="31"/>
  <c r="E195" i="31" s="1"/>
  <c r="D193" i="31"/>
  <c r="D195" i="31" s="1"/>
  <c r="F161" i="31"/>
  <c r="E160" i="31"/>
  <c r="E162" i="31" s="1"/>
  <c r="D160" i="31"/>
  <c r="D162" i="31" s="1"/>
  <c r="F147" i="31"/>
  <c r="F148" i="31" s="1"/>
  <c r="F137" i="31"/>
  <c r="E136" i="31"/>
  <c r="E138" i="31" s="1"/>
  <c r="F41" i="31"/>
  <c r="E40" i="31"/>
  <c r="E42" i="31" s="1"/>
  <c r="D40" i="31"/>
  <c r="D42" i="31" s="1"/>
  <c r="F8" i="31"/>
  <c r="F9" i="31" s="1"/>
  <c r="F10" i="31" s="1"/>
  <c r="F533" i="28"/>
  <c r="E532" i="28"/>
  <c r="E534" i="28" s="1"/>
  <c r="F509" i="28"/>
  <c r="E508" i="28"/>
  <c r="E510" i="28" s="1"/>
  <c r="D508" i="28"/>
  <c r="D510" i="28" s="1"/>
  <c r="F473" i="28"/>
  <c r="F474" i="28" s="1"/>
  <c r="F463" i="28"/>
  <c r="E462" i="28"/>
  <c r="E464" i="28" s="1"/>
  <c r="F403" i="28"/>
  <c r="E402" i="28"/>
  <c r="E404" i="28" s="1"/>
  <c r="D402" i="28"/>
  <c r="D404" i="28" s="1"/>
  <c r="F393" i="28"/>
  <c r="F394" i="28" s="1"/>
  <c r="F395" i="28" s="1"/>
  <c r="F380" i="28"/>
  <c r="E379" i="28"/>
  <c r="E381" i="28" s="1"/>
  <c r="F307" i="28"/>
  <c r="E306" i="28"/>
  <c r="E308" i="28" s="1"/>
  <c r="D306" i="28"/>
  <c r="D308" i="28" s="1"/>
  <c r="F293" i="28"/>
  <c r="F282" i="28"/>
  <c r="E281" i="28"/>
  <c r="E283" i="28" s="1"/>
  <c r="D281" i="28"/>
  <c r="D283" i="28" s="1"/>
  <c r="F279" i="28"/>
  <c r="F280" i="28" s="1"/>
  <c r="F31" i="28"/>
  <c r="E30" i="28"/>
  <c r="E32" i="28" s="1"/>
  <c r="D32" i="28"/>
  <c r="F8" i="28"/>
  <c r="F9" i="28" s="1"/>
  <c r="F10" i="28" s="1"/>
  <c r="F11" i="28" s="1"/>
  <c r="F459" i="27"/>
  <c r="E458" i="27"/>
  <c r="E460" i="27" s="1"/>
  <c r="D460" i="27"/>
  <c r="F404" i="27"/>
  <c r="F482" i="27"/>
  <c r="E481" i="27"/>
  <c r="E483" i="27" s="1"/>
  <c r="F395" i="27"/>
  <c r="E394" i="27"/>
  <c r="E396" i="27" s="1"/>
  <c r="D394" i="27"/>
  <c r="D396" i="27" s="1"/>
  <c r="F387" i="27"/>
  <c r="F375" i="27"/>
  <c r="E374" i="27"/>
  <c r="E376" i="27" s="1"/>
  <c r="F366" i="27"/>
  <c r="F367" i="27" s="1"/>
  <c r="F353" i="27"/>
  <c r="E352" i="27"/>
  <c r="E354" i="27" s="1"/>
  <c r="D352" i="27"/>
  <c r="D354" i="27" s="1"/>
  <c r="F343" i="27"/>
  <c r="F283" i="27"/>
  <c r="E282" i="27"/>
  <c r="E284" i="27" s="1"/>
  <c r="F68" i="27"/>
  <c r="E67" i="27"/>
  <c r="E69" i="27" s="1"/>
  <c r="D67" i="27"/>
  <c r="D69" i="27" s="1"/>
  <c r="F8" i="27"/>
  <c r="F9" i="27" s="1"/>
  <c r="F10" i="27" s="1"/>
  <c r="F11" i="27" s="1"/>
  <c r="F366" i="26"/>
  <c r="E365" i="26"/>
  <c r="E367" i="26" s="1"/>
  <c r="F340" i="26"/>
  <c r="D339" i="26"/>
  <c r="D341" i="26" s="1"/>
  <c r="F325" i="26"/>
  <c r="F312" i="26"/>
  <c r="E311" i="26"/>
  <c r="E313" i="26" s="1"/>
  <c r="D311" i="26"/>
  <c r="D313" i="26" s="1"/>
  <c r="F282" i="26"/>
  <c r="F261" i="26"/>
  <c r="E260" i="26"/>
  <c r="E262" i="26" s="1"/>
  <c r="D260" i="26"/>
  <c r="D262" i="26" s="1"/>
  <c r="F246" i="26"/>
  <c r="F236" i="26"/>
  <c r="E235" i="26"/>
  <c r="E237" i="26" s="1"/>
  <c r="D235" i="26"/>
  <c r="D237" i="26" s="1"/>
  <c r="F217" i="26"/>
  <c r="F218" i="26" s="1"/>
  <c r="F204" i="26"/>
  <c r="E203" i="26"/>
  <c r="E205" i="26" s="1"/>
  <c r="D203" i="26"/>
  <c r="D205" i="26" s="1"/>
  <c r="F198" i="26"/>
  <c r="F199" i="26" s="1"/>
  <c r="F150" i="26"/>
  <c r="E149" i="26"/>
  <c r="E151" i="26" s="1"/>
  <c r="D149" i="26"/>
  <c r="D151" i="26" s="1"/>
  <c r="F145" i="26"/>
  <c r="F135" i="26"/>
  <c r="E134" i="26"/>
  <c r="E136" i="26" s="1"/>
  <c r="D134" i="26"/>
  <c r="D136" i="26" s="1"/>
  <c r="F131" i="26"/>
  <c r="F132" i="26" s="1"/>
  <c r="F117" i="26"/>
  <c r="E116" i="26"/>
  <c r="E118" i="26" s="1"/>
  <c r="D116" i="26"/>
  <c r="D118" i="26" s="1"/>
  <c r="F68" i="26"/>
  <c r="F69" i="26" s="1"/>
  <c r="F70" i="26" s="1"/>
  <c r="F51" i="26"/>
  <c r="E50" i="26"/>
  <c r="E52" i="26" s="1"/>
  <c r="F14" i="26"/>
  <c r="E13" i="26"/>
  <c r="E15" i="26" s="1"/>
  <c r="D13" i="26"/>
  <c r="D15" i="26" s="1"/>
  <c r="F8" i="26"/>
  <c r="F79" i="24"/>
  <c r="D78" i="24"/>
  <c r="F60" i="24"/>
  <c r="D59" i="24"/>
  <c r="F34" i="24"/>
  <c r="F35" i="24" s="1"/>
  <c r="F23" i="24"/>
  <c r="D22" i="24"/>
  <c r="F132" i="23"/>
  <c r="E131" i="23"/>
  <c r="E133" i="23" s="1"/>
  <c r="D131" i="23"/>
  <c r="D133" i="23" s="1"/>
  <c r="F127" i="23"/>
  <c r="F117" i="23"/>
  <c r="E116" i="23"/>
  <c r="D116" i="23"/>
  <c r="F104" i="23"/>
  <c r="F105" i="23" s="1"/>
  <c r="F106" i="23" s="1"/>
  <c r="F107" i="23" s="1"/>
  <c r="F108" i="23" s="1"/>
  <c r="F109" i="23" s="1"/>
  <c r="F110" i="23" s="1"/>
  <c r="F111" i="23" s="1"/>
  <c r="F112" i="23" s="1"/>
  <c r="F113" i="23" s="1"/>
  <c r="F114" i="23" s="1"/>
  <c r="F77" i="23"/>
  <c r="E76" i="23"/>
  <c r="D76" i="23"/>
  <c r="F73" i="23"/>
  <c r="F31" i="23"/>
  <c r="F32" i="23" s="1"/>
  <c r="F33" i="23" s="1"/>
  <c r="F21" i="23"/>
  <c r="D20" i="23"/>
  <c r="F8" i="23"/>
  <c r="F9" i="23" s="1"/>
  <c r="F10" i="23" s="1"/>
  <c r="F11" i="23" s="1"/>
  <c r="F12" i="23" s="1"/>
  <c r="F13" i="23" s="1"/>
  <c r="F14" i="23" s="1"/>
  <c r="F15" i="23" s="1"/>
  <c r="F16" i="23" s="1"/>
  <c r="F17" i="23" s="1"/>
  <c r="F18" i="23" s="1"/>
  <c r="F19" i="23" s="1"/>
  <c r="F111" i="35"/>
  <c r="E110" i="35"/>
  <c r="E112" i="35" s="1"/>
  <c r="D110" i="35"/>
  <c r="D112" i="35" s="1"/>
  <c r="F101" i="35"/>
  <c r="F88" i="35"/>
  <c r="D87" i="35"/>
  <c r="F25" i="35"/>
  <c r="F78" i="21"/>
  <c r="F60" i="21"/>
  <c r="E59" i="21"/>
  <c r="E61" i="21" s="1"/>
  <c r="D59" i="21"/>
  <c r="D61" i="21" s="1"/>
  <c r="F50" i="21"/>
  <c r="F18" i="21"/>
  <c r="E17" i="21"/>
  <c r="D17" i="21"/>
  <c r="F120" i="17"/>
  <c r="E119" i="17"/>
  <c r="D119" i="17"/>
  <c r="F105" i="17"/>
  <c r="F86" i="17"/>
  <c r="F61" i="17"/>
  <c r="D60" i="17"/>
  <c r="D62" i="17" s="1"/>
  <c r="F45" i="17"/>
  <c r="F18" i="17"/>
  <c r="E17" i="17"/>
  <c r="E19" i="17" s="1"/>
  <c r="D17" i="17"/>
  <c r="D19" i="17" s="1"/>
  <c r="F8" i="17"/>
  <c r="F58" i="13"/>
  <c r="D57" i="13"/>
  <c r="F13" i="13"/>
  <c r="E12" i="13"/>
  <c r="F23" i="34"/>
  <c r="D22" i="34"/>
  <c r="F207" i="9"/>
  <c r="F180" i="9"/>
  <c r="E179" i="9"/>
  <c r="D179" i="9"/>
  <c r="F162" i="9"/>
  <c r="E161" i="9"/>
  <c r="D161" i="9"/>
  <c r="F135" i="9"/>
  <c r="E134" i="9"/>
  <c r="F92" i="9"/>
  <c r="E91" i="9"/>
  <c r="F64" i="9"/>
  <c r="E63" i="9"/>
  <c r="F32" i="9"/>
  <c r="E31" i="9"/>
  <c r="F14" i="9"/>
  <c r="E13" i="9"/>
  <c r="D13" i="9"/>
  <c r="F366" i="5"/>
  <c r="E365" i="5"/>
  <c r="E367" i="5" s="1"/>
  <c r="D365" i="5"/>
  <c r="D367" i="5" s="1"/>
  <c r="F356" i="5"/>
  <c r="F346" i="5"/>
  <c r="F308" i="5"/>
  <c r="D307" i="5"/>
  <c r="F289" i="5"/>
  <c r="D288" i="5"/>
  <c r="F54" i="5"/>
  <c r="F122" i="4"/>
  <c r="E121" i="4"/>
  <c r="E123" i="4" s="1"/>
  <c r="D121" i="4"/>
  <c r="D123" i="4" s="1"/>
  <c r="F112" i="4"/>
  <c r="F102" i="4"/>
  <c r="E101" i="4"/>
  <c r="E103" i="4" s="1"/>
  <c r="D101" i="4"/>
  <c r="D103" i="4" s="1"/>
  <c r="F92" i="4"/>
  <c r="F82" i="4"/>
  <c r="E81" i="4"/>
  <c r="E83" i="4" s="1"/>
  <c r="D81" i="4"/>
  <c r="D83" i="4" s="1"/>
  <c r="F72" i="4"/>
  <c r="F59" i="4"/>
  <c r="E58" i="4"/>
  <c r="E60" i="4" s="1"/>
  <c r="D58" i="4"/>
  <c r="D60" i="4" s="1"/>
  <c r="F49" i="4"/>
  <c r="F38" i="4"/>
  <c r="E37" i="4"/>
  <c r="E39" i="4" s="1"/>
  <c r="D37" i="4"/>
  <c r="D39" i="4" s="1"/>
  <c r="F28" i="4"/>
  <c r="F18" i="4"/>
  <c r="E17" i="4"/>
  <c r="E19" i="4" s="1"/>
  <c r="D17" i="4"/>
  <c r="D19" i="4" s="1"/>
  <c r="F8" i="4"/>
  <c r="F186" i="3"/>
  <c r="E185" i="3"/>
  <c r="D185" i="3"/>
  <c r="F170" i="3"/>
  <c r="E169" i="3"/>
  <c r="F155" i="3"/>
  <c r="F111" i="3"/>
  <c r="E110" i="3"/>
  <c r="D110" i="3"/>
  <c r="F101" i="3"/>
  <c r="F91" i="3"/>
  <c r="F39" i="3"/>
  <c r="F52" i="1"/>
  <c r="E53" i="1"/>
  <c r="D53" i="1"/>
  <c r="F36" i="1"/>
  <c r="F541" i="31" l="1"/>
  <c r="F405" i="27"/>
  <c r="F406" i="27" s="1"/>
  <c r="F482" i="31"/>
  <c r="F247" i="26"/>
  <c r="F248" i="26" s="1"/>
  <c r="F249" i="26" s="1"/>
  <c r="F250" i="26" s="1"/>
  <c r="F251" i="26" s="1"/>
  <c r="F252" i="26" s="1"/>
  <c r="F253" i="26" s="1"/>
  <c r="F254" i="26" s="1"/>
  <c r="F255" i="26" s="1"/>
  <c r="F256" i="26" s="1"/>
  <c r="F257" i="26" s="1"/>
  <c r="F258" i="26" s="1"/>
  <c r="F149" i="31"/>
  <c r="F150" i="31" s="1"/>
  <c r="F151" i="31" s="1"/>
  <c r="F152" i="31" s="1"/>
  <c r="F153" i="31" s="1"/>
  <c r="F154" i="31" s="1"/>
  <c r="F155" i="31" s="1"/>
  <c r="F156" i="31" s="1"/>
  <c r="F157" i="31" s="1"/>
  <c r="F158" i="31" s="1"/>
  <c r="F200" i="26"/>
  <c r="F201" i="26" s="1"/>
  <c r="F11" i="36"/>
  <c r="F12" i="36" s="1"/>
  <c r="F13" i="36" s="1"/>
  <c r="F14" i="36" s="1"/>
  <c r="F15" i="36" s="1"/>
  <c r="F16" i="36" s="1"/>
  <c r="F17" i="36" s="1"/>
  <c r="F18" i="36" s="1"/>
  <c r="F19" i="36" s="1"/>
  <c r="F20" i="36" s="1"/>
  <c r="F21" i="36" s="1"/>
  <c r="F22" i="36" s="1"/>
  <c r="F23" i="36" s="1"/>
  <c r="F24" i="36" s="1"/>
  <c r="F25" i="36" s="1"/>
  <c r="F26" i="36" s="1"/>
  <c r="F27" i="36" s="1"/>
  <c r="F43" i="36"/>
  <c r="F44" i="36" s="1"/>
  <c r="F45" i="36" s="1"/>
  <c r="F46" i="36" s="1"/>
  <c r="F47" i="36" s="1"/>
  <c r="F48" i="36" s="1"/>
  <c r="F49" i="36" s="1"/>
  <c r="F50" i="36" s="1"/>
  <c r="F51" i="36" s="1"/>
  <c r="F52" i="36" s="1"/>
  <c r="F53" i="36" s="1"/>
  <c r="F54" i="36" s="1"/>
  <c r="F294" i="28"/>
  <c r="F295" i="28" s="1"/>
  <c r="F296" i="28" s="1"/>
  <c r="F297" i="28" s="1"/>
  <c r="F298" i="28" s="1"/>
  <c r="F299" i="28" s="1"/>
  <c r="F300" i="28" s="1"/>
  <c r="F301" i="28" s="1"/>
  <c r="F302" i="28" s="1"/>
  <c r="F303" i="28" s="1"/>
  <c r="F304" i="28" s="1"/>
  <c r="F12" i="28"/>
  <c r="F13" i="28" s="1"/>
  <c r="F14" i="28" s="1"/>
  <c r="F11" i="31"/>
  <c r="F12" i="31" s="1"/>
  <c r="F419" i="31"/>
  <c r="F420" i="31" s="1"/>
  <c r="F421" i="31" s="1"/>
  <c r="F422" i="31" s="1"/>
  <c r="F423" i="31" s="1"/>
  <c r="F424" i="31" s="1"/>
  <c r="F425" i="31" s="1"/>
  <c r="F426" i="31" s="1"/>
  <c r="F427" i="31" s="1"/>
  <c r="F428" i="31" s="1"/>
  <c r="F429" i="31" s="1"/>
  <c r="F430" i="31" s="1"/>
  <c r="F431" i="31" s="1"/>
  <c r="F432" i="31" s="1"/>
  <c r="F433" i="31" s="1"/>
  <c r="F434" i="31" s="1"/>
  <c r="F435" i="31" s="1"/>
  <c r="F436" i="31" s="1"/>
  <c r="F437" i="31" s="1"/>
  <c r="F146" i="26"/>
  <c r="F147" i="26" s="1"/>
  <c r="F148" i="26" s="1"/>
  <c r="F300" i="38"/>
  <c r="E171" i="3"/>
  <c r="F219" i="26"/>
  <c r="F220" i="26" s="1"/>
  <c r="F221" i="26" s="1"/>
  <c r="F222" i="26" s="1"/>
  <c r="F223" i="26" s="1"/>
  <c r="F224" i="26" s="1"/>
  <c r="D80" i="24"/>
  <c r="D269" i="38"/>
  <c r="F93" i="36"/>
  <c r="F94" i="36" s="1"/>
  <c r="F219" i="36"/>
  <c r="F220" i="36" s="1"/>
  <c r="F221" i="36" s="1"/>
  <c r="F222" i="36" s="1"/>
  <c r="F223" i="36" s="1"/>
  <c r="F224" i="36" s="1"/>
  <c r="F225" i="36" s="1"/>
  <c r="F226" i="36" s="1"/>
  <c r="F227" i="36" s="1"/>
  <c r="F228" i="36" s="1"/>
  <c r="F229" i="36" s="1"/>
  <c r="F230" i="36" s="1"/>
  <c r="F231" i="36" s="1"/>
  <c r="F110" i="36"/>
  <c r="F312" i="36"/>
  <c r="F452" i="31"/>
  <c r="F453" i="31" s="1"/>
  <c r="F454" i="31" s="1"/>
  <c r="F455" i="31" s="1"/>
  <c r="F456" i="31" s="1"/>
  <c r="F457" i="31" s="1"/>
  <c r="F458" i="31" s="1"/>
  <c r="F459" i="31" s="1"/>
  <c r="F460" i="31" s="1"/>
  <c r="F461" i="31" s="1"/>
  <c r="F14" i="27"/>
  <c r="F15" i="27" s="1"/>
  <c r="F16" i="27" s="1"/>
  <c r="E30" i="32"/>
  <c r="F10" i="38"/>
  <c r="D19" i="21"/>
  <c r="E19" i="21"/>
  <c r="E65" i="9"/>
  <c r="E136" i="9"/>
  <c r="E208" i="9"/>
  <c r="E33" i="9"/>
  <c r="E93" i="9"/>
  <c r="E181" i="9"/>
  <c r="E15" i="9"/>
  <c r="E163" i="9"/>
  <c r="E14" i="13"/>
  <c r="D24" i="24"/>
  <c r="E78" i="23"/>
  <c r="D78" i="23"/>
  <c r="D118" i="23"/>
  <c r="F73" i="26"/>
  <c r="F74" i="26" s="1"/>
  <c r="D187" i="3"/>
  <c r="E187" i="3"/>
  <c r="E112" i="3"/>
  <c r="D112" i="3"/>
  <c r="F331" i="31"/>
  <c r="F332" i="31" s="1"/>
  <c r="F333" i="31" s="1"/>
  <c r="F334" i="31" s="1"/>
  <c r="F335" i="31" s="1"/>
  <c r="F336" i="31" s="1"/>
  <c r="F544" i="31"/>
  <c r="F396" i="28"/>
  <c r="F397" i="28" s="1"/>
  <c r="F398" i="28" s="1"/>
  <c r="F399" i="28" s="1"/>
  <c r="F400" i="28" s="1"/>
  <c r="D24" i="34"/>
  <c r="D22" i="23"/>
  <c r="F388" i="27"/>
  <c r="F389" i="27" s="1"/>
  <c r="F390" i="27" s="1"/>
  <c r="F391" i="27" s="1"/>
  <c r="F392" i="27" s="1"/>
  <c r="F393" i="27" s="1"/>
  <c r="D15" i="9"/>
  <c r="D61" i="24"/>
  <c r="D290" i="5"/>
  <c r="D309" i="5"/>
  <c r="D181" i="9"/>
  <c r="D65" i="9"/>
  <c r="D59" i="13"/>
  <c r="F36" i="24"/>
  <c r="F71" i="36"/>
  <c r="F72" i="36" s="1"/>
  <c r="F73" i="36" s="1"/>
  <c r="F74" i="36" s="1"/>
  <c r="F75" i="36" s="1"/>
  <c r="F76" i="36" s="1"/>
  <c r="F77" i="36" s="1"/>
  <c r="F78" i="36" s="1"/>
  <c r="F79" i="36" s="1"/>
  <c r="F80" i="36" s="1"/>
  <c r="D89" i="35"/>
  <c r="D214" i="38"/>
  <c r="F212" i="38"/>
  <c r="F214" i="38" s="1"/>
  <c r="D121" i="17"/>
  <c r="E121" i="17"/>
  <c r="D163" i="9"/>
  <c r="F145" i="36"/>
  <c r="F146" i="36" s="1"/>
  <c r="F147" i="36" s="1"/>
  <c r="F120" i="38"/>
  <c r="E118" i="23"/>
  <c r="F116" i="23"/>
  <c r="F118" i="23" s="1"/>
  <c r="E22" i="23"/>
  <c r="F20" i="23"/>
  <c r="F22" i="23" s="1"/>
  <c r="F280" i="38"/>
  <c r="F282" i="38" s="1"/>
  <c r="F267" i="38"/>
  <c r="F269" i="38" s="1"/>
  <c r="F243" i="38"/>
  <c r="F245" i="38" s="1"/>
  <c r="F227" i="38"/>
  <c r="F229" i="38" s="1"/>
  <c r="F76" i="38"/>
  <c r="F78" i="38" s="1"/>
  <c r="F50" i="38"/>
  <c r="F52" i="38" s="1"/>
  <c r="F363" i="36"/>
  <c r="F365" i="36" s="1"/>
  <c r="F233" i="36"/>
  <c r="F235" i="36" s="1"/>
  <c r="F207" i="36"/>
  <c r="F209" i="36" s="1"/>
  <c r="F126" i="36"/>
  <c r="F128" i="36" s="1"/>
  <c r="F95" i="36"/>
  <c r="F97" i="36" s="1"/>
  <c r="F81" i="36"/>
  <c r="F83" i="36" s="1"/>
  <c r="F58" i="36"/>
  <c r="F60" i="36" s="1"/>
  <c r="F29" i="36"/>
  <c r="F31" i="36" s="1"/>
  <c r="F576" i="31"/>
  <c r="F578" i="31" s="1"/>
  <c r="F527" i="31"/>
  <c r="F529" i="31" s="1"/>
  <c r="F463" i="31"/>
  <c r="F465" i="31" s="1"/>
  <c r="F438" i="31"/>
  <c r="F440" i="31" s="1"/>
  <c r="F380" i="31"/>
  <c r="F382" i="31" s="1"/>
  <c r="F347" i="31"/>
  <c r="F349" i="31" s="1"/>
  <c r="F317" i="31"/>
  <c r="F319" i="31" s="1"/>
  <c r="F301" i="31"/>
  <c r="F303" i="31" s="1"/>
  <c r="F231" i="31"/>
  <c r="F233" i="31" s="1"/>
  <c r="F193" i="31"/>
  <c r="F195" i="31" s="1"/>
  <c r="F160" i="31"/>
  <c r="F162" i="31" s="1"/>
  <c r="F40" i="31"/>
  <c r="F42" i="31" s="1"/>
  <c r="F508" i="28"/>
  <c r="F510" i="28" s="1"/>
  <c r="F402" i="28"/>
  <c r="F404" i="28" s="1"/>
  <c r="F306" i="28"/>
  <c r="F308" i="28" s="1"/>
  <c r="F281" i="28"/>
  <c r="F283" i="28" s="1"/>
  <c r="F30" i="28"/>
  <c r="F32" i="28" s="1"/>
  <c r="F458" i="27"/>
  <c r="F460" i="27" s="1"/>
  <c r="F67" i="27"/>
  <c r="F69" i="27" s="1"/>
  <c r="F394" i="27"/>
  <c r="F396" i="27" s="1"/>
  <c r="F352" i="27"/>
  <c r="F354" i="27" s="1"/>
  <c r="F311" i="26"/>
  <c r="F313" i="26" s="1"/>
  <c r="F260" i="26"/>
  <c r="F262" i="26" s="1"/>
  <c r="F235" i="26"/>
  <c r="F237" i="26" s="1"/>
  <c r="F203" i="26"/>
  <c r="F205" i="26" s="1"/>
  <c r="F149" i="26"/>
  <c r="F151" i="26" s="1"/>
  <c r="F134" i="26"/>
  <c r="F136" i="26" s="1"/>
  <c r="F116" i="26"/>
  <c r="F118" i="26" s="1"/>
  <c r="F13" i="26"/>
  <c r="F15" i="26" s="1"/>
  <c r="F131" i="23"/>
  <c r="F133" i="23" s="1"/>
  <c r="F76" i="23"/>
  <c r="F78" i="23" s="1"/>
  <c r="F110" i="35"/>
  <c r="F112" i="35" s="1"/>
  <c r="F59" i="21"/>
  <c r="F61" i="21" s="1"/>
  <c r="F17" i="21"/>
  <c r="F19" i="21" s="1"/>
  <c r="F119" i="17"/>
  <c r="F121" i="17" s="1"/>
  <c r="F17" i="17"/>
  <c r="F19" i="17" s="1"/>
  <c r="F179" i="9"/>
  <c r="F181" i="9" s="1"/>
  <c r="F161" i="9"/>
  <c r="F163" i="9" s="1"/>
  <c r="F63" i="9"/>
  <c r="F65" i="9" s="1"/>
  <c r="F13" i="9"/>
  <c r="F15" i="9" s="1"/>
  <c r="F365" i="5"/>
  <c r="F367" i="5" s="1"/>
  <c r="F121" i="4"/>
  <c r="F123" i="4" s="1"/>
  <c r="F101" i="4"/>
  <c r="F103" i="4" s="1"/>
  <c r="F81" i="4"/>
  <c r="F83" i="4" s="1"/>
  <c r="F58" i="4"/>
  <c r="F60" i="4" s="1"/>
  <c r="F37" i="4"/>
  <c r="F39" i="4" s="1"/>
  <c r="F17" i="4"/>
  <c r="F19" i="4" s="1"/>
  <c r="F185" i="3"/>
  <c r="F187" i="3" s="1"/>
  <c r="F110" i="3"/>
  <c r="F112" i="3" s="1"/>
  <c r="F51" i="1"/>
  <c r="F53" i="1" s="1"/>
  <c r="F15" i="28" l="1"/>
  <c r="F16" i="28" s="1"/>
  <c r="F111" i="36"/>
  <c r="F112" i="36" s="1"/>
  <c r="F113" i="36" s="1"/>
  <c r="F114" i="36" s="1"/>
  <c r="F115" i="36" s="1"/>
  <c r="F116" i="36" s="1"/>
  <c r="F117" i="36" s="1"/>
  <c r="F118" i="36" s="1"/>
  <c r="F119" i="36" s="1"/>
  <c r="F120" i="36" s="1"/>
  <c r="F121" i="36" s="1"/>
  <c r="F122" i="36" s="1"/>
  <c r="F123" i="36" s="1"/>
  <c r="F124" i="36" s="1"/>
  <c r="F125" i="36" s="1"/>
  <c r="F13" i="31"/>
  <c r="F315" i="36"/>
  <c r="F225" i="26"/>
  <c r="F226" i="26" s="1"/>
  <c r="F227" i="26" s="1"/>
  <c r="F228" i="26" s="1"/>
  <c r="F229" i="26" s="1"/>
  <c r="F230" i="26" s="1"/>
  <c r="F231" i="26" s="1"/>
  <c r="F232" i="26" s="1"/>
  <c r="F233" i="26" s="1"/>
  <c r="F337" i="31"/>
  <c r="F338" i="31" s="1"/>
  <c r="F339" i="31" s="1"/>
  <c r="F340" i="31" s="1"/>
  <c r="F19" i="27"/>
  <c r="F20" i="27" s="1"/>
  <c r="F21" i="27" s="1"/>
  <c r="F22" i="27" s="1"/>
  <c r="F77" i="26"/>
  <c r="F78" i="26" s="1"/>
  <c r="F17" i="28" l="1"/>
  <c r="F362" i="36"/>
  <c r="F14" i="31"/>
  <c r="F341" i="31"/>
  <c r="F342" i="31" s="1"/>
  <c r="F343" i="31" s="1"/>
  <c r="F344" i="31" s="1"/>
  <c r="F345" i="31" s="1"/>
  <c r="F81" i="26"/>
  <c r="F82" i="26" s="1"/>
  <c r="F24" i="27"/>
  <c r="F25" i="27" s="1"/>
  <c r="F26" i="27" s="1"/>
  <c r="F164" i="36"/>
  <c r="F127" i="38"/>
  <c r="F18" i="28" l="1"/>
  <c r="F19" i="28" s="1"/>
  <c r="F15" i="31"/>
  <c r="F16" i="31" s="1"/>
  <c r="F17" i="31" s="1"/>
  <c r="F18" i="31" s="1"/>
  <c r="F19" i="31" s="1"/>
  <c r="F20" i="31" s="1"/>
  <c r="F21" i="31" s="1"/>
  <c r="F22" i="31" s="1"/>
  <c r="F23" i="31" s="1"/>
  <c r="F24" i="31" s="1"/>
  <c r="F25" i="31" s="1"/>
  <c r="F26" i="31" s="1"/>
  <c r="F27" i="31" s="1"/>
  <c r="F28" i="31" s="1"/>
  <c r="F29" i="31" s="1"/>
  <c r="F130" i="38"/>
  <c r="F131" i="38" s="1"/>
  <c r="F139" i="38"/>
  <c r="F140" i="38" s="1"/>
  <c r="F39" i="31" l="1"/>
  <c r="F30" i="31"/>
  <c r="F31" i="31" s="1"/>
  <c r="F32" i="31" s="1"/>
  <c r="F33" i="31" s="1"/>
  <c r="F34" i="31" s="1"/>
  <c r="F35" i="31" s="1"/>
  <c r="F36" i="31" s="1"/>
  <c r="F37" i="31" s="1"/>
  <c r="F20" i="28"/>
  <c r="F21" i="28" s="1"/>
  <c r="F75" i="35"/>
  <c r="F76" i="35" s="1"/>
  <c r="F77" i="35" s="1"/>
  <c r="F78" i="35" s="1"/>
  <c r="F79" i="35" s="1"/>
  <c r="F80" i="35" s="1"/>
  <c r="F81" i="35" s="1"/>
  <c r="F82" i="35" s="1"/>
  <c r="F83" i="35" s="1"/>
  <c r="F84" i="35" s="1"/>
  <c r="F85" i="35" s="1"/>
  <c r="F86" i="35" s="1"/>
  <c r="F22" i="28" l="1"/>
  <c r="F23" i="28" s="1"/>
  <c r="F87" i="35"/>
  <c r="F89" i="35" s="1"/>
  <c r="E89" i="35"/>
  <c r="F24" i="28" l="1"/>
  <c r="F25" i="28" s="1"/>
  <c r="F26" i="28" s="1"/>
  <c r="F27" i="28" s="1"/>
  <c r="F28" i="28" s="1"/>
  <c r="F29" i="28" s="1"/>
  <c r="E92" i="3"/>
  <c r="D136" i="31" l="1"/>
  <c r="D138" i="31" l="1"/>
  <c r="F136" i="31"/>
  <c r="F138" i="31" s="1"/>
  <c r="D12" i="13" l="1"/>
  <c r="F12" i="13" l="1"/>
  <c r="F14" i="13" s="1"/>
  <c r="D14" i="13"/>
  <c r="F192" i="9" l="1"/>
  <c r="B225" i="9" s="1"/>
  <c r="F193" i="9" l="1"/>
  <c r="D208" i="9"/>
  <c r="F206" i="9"/>
  <c r="F208" i="9" s="1"/>
  <c r="F194" i="9" l="1"/>
  <c r="F195" i="9" l="1"/>
  <c r="F196" i="9" s="1"/>
  <c r="F197" i="9" s="1"/>
  <c r="F198" i="9" s="1"/>
  <c r="D91" i="9"/>
  <c r="F87" i="9"/>
  <c r="F88" i="9" s="1"/>
  <c r="F89" i="9" s="1"/>
  <c r="D93" i="9" l="1"/>
  <c r="F91" i="9"/>
  <c r="F93" i="9" s="1"/>
  <c r="F129" i="9" l="1"/>
  <c r="D354" i="38" l="1"/>
  <c r="F201" i="34" l="1"/>
  <c r="E214" i="34"/>
  <c r="F73" i="34"/>
  <c r="F74" i="34" s="1"/>
  <c r="F75" i="34" s="1"/>
  <c r="F76" i="34" s="1"/>
  <c r="F77" i="34" s="1"/>
  <c r="F78" i="34" s="1"/>
  <c r="F79" i="34" s="1"/>
  <c r="F80" i="34" s="1"/>
  <c r="F81" i="34" s="1"/>
  <c r="F82" i="34" s="1"/>
  <c r="F83" i="34" s="1"/>
  <c r="F84" i="34" s="1"/>
  <c r="E86" i="34"/>
  <c r="F137" i="34"/>
  <c r="F138" i="34" s="1"/>
  <c r="F139" i="34" s="1"/>
  <c r="F140" i="34" s="1"/>
  <c r="F141" i="34" s="1"/>
  <c r="F142" i="34" s="1"/>
  <c r="F143" i="34" s="1"/>
  <c r="F144" i="34" s="1"/>
  <c r="F145" i="34" s="1"/>
  <c r="F146" i="34" s="1"/>
  <c r="F147" i="34" s="1"/>
  <c r="F148" i="34" s="1"/>
  <c r="F149" i="34" s="1"/>
  <c r="E150" i="34"/>
  <c r="F202" i="34" l="1"/>
  <c r="F203" i="34" s="1"/>
  <c r="F204" i="34" s="1"/>
  <c r="F205" i="34" s="1"/>
  <c r="F206" i="34" s="1"/>
  <c r="F207" i="34" s="1"/>
  <c r="F208" i="34" s="1"/>
  <c r="F209" i="34" s="1"/>
  <c r="F210" i="34" s="1"/>
  <c r="F211" i="34" s="1"/>
  <c r="F212" i="34" s="1"/>
  <c r="E88" i="34"/>
  <c r="F86" i="34"/>
  <c r="F88" i="34" s="1"/>
  <c r="F214" i="34"/>
  <c r="F216" i="34" s="1"/>
  <c r="E216" i="34"/>
  <c r="F150" i="34"/>
  <c r="F152" i="34" s="1"/>
  <c r="E152" i="34"/>
  <c r="F24" i="13" l="1"/>
  <c r="F25" i="13" l="1"/>
  <c r="F26" i="13" l="1"/>
  <c r="F27" i="13" l="1"/>
  <c r="F28" i="13" s="1"/>
  <c r="F29" i="13" s="1"/>
  <c r="F30" i="13" l="1"/>
  <c r="F31" i="13" l="1"/>
  <c r="F32" i="13" l="1"/>
  <c r="F305" i="5"/>
  <c r="E307" i="5"/>
  <c r="E309" i="5" l="1"/>
  <c r="F307" i="5"/>
  <c r="F309" i="5" s="1"/>
  <c r="F34" i="34" l="1"/>
  <c r="F35" i="34" s="1"/>
  <c r="F36" i="34" s="1"/>
  <c r="F37" i="34" s="1"/>
  <c r="F38" i="34" l="1"/>
  <c r="F39" i="34" s="1"/>
  <c r="F40" i="34" s="1"/>
  <c r="F41" i="34" s="1"/>
  <c r="F42" i="34" s="1"/>
  <c r="F43" i="34" s="1"/>
  <c r="F44" i="34" s="1"/>
  <c r="F45" i="34" s="1"/>
  <c r="E49" i="34"/>
  <c r="F47" i="34"/>
  <c r="F49" i="34" s="1"/>
  <c r="E242" i="34" l="1"/>
  <c r="F230" i="34" l="1"/>
  <c r="E244" i="34"/>
  <c r="F242" i="34"/>
  <c r="F244" i="34" s="1"/>
  <c r="F231" i="34" l="1"/>
  <c r="F102" i="34"/>
  <c r="F103" i="34" s="1"/>
  <c r="F104" i="34" s="1"/>
  <c r="F105" i="34" s="1"/>
  <c r="E115" i="34"/>
  <c r="F232" i="34" l="1"/>
  <c r="F233" i="34" s="1"/>
  <c r="E117" i="34"/>
  <c r="F115" i="34"/>
  <c r="F117" i="34" s="1"/>
  <c r="F106" i="34"/>
  <c r="F107" i="34" s="1"/>
  <c r="F108" i="34" s="1"/>
  <c r="F109" i="34" s="1"/>
  <c r="F110" i="34" s="1"/>
  <c r="F111" i="34" s="1"/>
  <c r="F112" i="34" s="1"/>
  <c r="F113" i="34" s="1"/>
  <c r="F234" i="34" l="1"/>
  <c r="F235" i="34" l="1"/>
  <c r="F236" i="34" l="1"/>
  <c r="F237" i="34" l="1"/>
  <c r="E175" i="34"/>
  <c r="F162" i="34"/>
  <c r="F163" i="34" l="1"/>
  <c r="F238" i="34"/>
  <c r="F175" i="34"/>
  <c r="F177" i="34" s="1"/>
  <c r="E177" i="34"/>
  <c r="F164" i="34" l="1"/>
  <c r="F239" i="34"/>
  <c r="F240" i="34" s="1"/>
  <c r="F165" i="34" l="1"/>
  <c r="F166" i="34"/>
  <c r="F9" i="34"/>
  <c r="B257" i="34" s="1"/>
  <c r="F167" i="34" l="1"/>
  <c r="F10" i="34"/>
  <c r="B258" i="34" s="1"/>
  <c r="F168" i="34" l="1"/>
  <c r="F11" i="34"/>
  <c r="B259" i="34" s="1"/>
  <c r="F169" i="34" l="1"/>
  <c r="F12" i="34"/>
  <c r="F170" i="34" l="1"/>
  <c r="F13" i="34"/>
  <c r="B260" i="34"/>
  <c r="E22" i="34"/>
  <c r="F171" i="34" l="1"/>
  <c r="F14" i="34"/>
  <c r="B261" i="34"/>
  <c r="E24" i="34"/>
  <c r="F22" i="34"/>
  <c r="F24" i="34" s="1"/>
  <c r="F172" i="34" l="1"/>
  <c r="F173" i="34" s="1"/>
  <c r="F15" i="34"/>
  <c r="B262" i="34"/>
  <c r="F16" i="34" l="1"/>
  <c r="B263" i="34"/>
  <c r="F17" i="34" l="1"/>
  <c r="B264" i="34"/>
  <c r="F18" i="34" l="1"/>
  <c r="B265" i="34"/>
  <c r="F19" i="34" l="1"/>
  <c r="B266" i="34"/>
  <c r="F20" i="34" l="1"/>
  <c r="B268" i="34" s="1"/>
  <c r="B267" i="34"/>
  <c r="F368" i="27"/>
  <c r="D374" i="27"/>
  <c r="F369" i="27" l="1"/>
  <c r="F370" i="27" s="1"/>
  <c r="F371" i="27" s="1"/>
  <c r="F372" i="27" s="1"/>
  <c r="F374" i="27"/>
  <c r="F376" i="27" s="1"/>
  <c r="D376" i="27"/>
  <c r="F26" i="9" l="1"/>
  <c r="F27" i="9" l="1"/>
  <c r="B226" i="9"/>
  <c r="F259" i="5"/>
  <c r="F51" i="13" l="1"/>
  <c r="F52" i="13" l="1"/>
  <c r="F53" i="13" l="1"/>
  <c r="F130" i="9"/>
  <c r="F131" i="9" s="1"/>
  <c r="F132" i="9" s="1"/>
  <c r="D134" i="9"/>
  <c r="F54" i="13" l="1"/>
  <c r="F134" i="9"/>
  <c r="F136" i="9" s="1"/>
  <c r="D136" i="9"/>
  <c r="E57" i="13" l="1"/>
  <c r="F28" i="9"/>
  <c r="D31" i="9"/>
  <c r="F55" i="13" l="1"/>
  <c r="D33" i="9"/>
  <c r="F31" i="9"/>
  <c r="F33" i="9" s="1"/>
  <c r="F57" i="13"/>
  <c r="F59" i="13" s="1"/>
  <c r="E59" i="13"/>
  <c r="F64" i="3" l="1"/>
  <c r="F65" i="3" s="1"/>
  <c r="F8" i="35" l="1"/>
  <c r="F11" i="3" l="1"/>
  <c r="F12" i="3" s="1"/>
  <c r="F9" i="35"/>
  <c r="F10" i="35" s="1"/>
  <c r="F11" i="35" s="1"/>
  <c r="F35" i="35"/>
  <c r="F36" i="35" s="1"/>
  <c r="F37" i="35" s="1"/>
  <c r="F66" i="3"/>
  <c r="F67" i="3" s="1"/>
  <c r="H26" i="35" l="1"/>
  <c r="F68" i="3"/>
  <c r="F69" i="3" s="1"/>
  <c r="F12" i="35"/>
  <c r="F13" i="35" s="1"/>
  <c r="F14" i="35" s="1"/>
  <c r="F15" i="35" s="1"/>
  <c r="F16" i="35" s="1"/>
  <c r="F17" i="35" s="1"/>
  <c r="F18" i="35" s="1"/>
  <c r="F19" i="35" s="1"/>
  <c r="F20" i="35" s="1"/>
  <c r="F21" i="35" s="1"/>
  <c r="F22" i="35" s="1"/>
  <c r="F13" i="3"/>
  <c r="F14" i="3" s="1"/>
  <c r="D24" i="35"/>
  <c r="F15" i="3" l="1"/>
  <c r="F16" i="3" s="1"/>
  <c r="F17" i="3" s="1"/>
  <c r="F18" i="3" s="1"/>
  <c r="F19" i="3" s="1"/>
  <c r="F20" i="3" s="1"/>
  <c r="F21" i="3" s="1"/>
  <c r="F22" i="3" s="1"/>
  <c r="F23" i="3" s="1"/>
  <c r="F24" i="3" s="1"/>
  <c r="D26" i="35"/>
  <c r="D38" i="3" l="1"/>
  <c r="E24" i="35"/>
  <c r="D40" i="3" l="1"/>
  <c r="E26" i="35"/>
  <c r="F24" i="35"/>
  <c r="F26" i="35" s="1"/>
  <c r="F70" i="3"/>
  <c r="F71" i="3" s="1"/>
  <c r="F72" i="3" l="1"/>
  <c r="F73" i="3" s="1"/>
  <c r="F74" i="3" s="1"/>
  <c r="F75" i="3" s="1"/>
  <c r="E48" i="35"/>
  <c r="F38" i="35"/>
  <c r="F39" i="35" s="1"/>
  <c r="F40" i="35" s="1"/>
  <c r="F41" i="35" s="1"/>
  <c r="F42" i="35" s="1"/>
  <c r="F43" i="35" s="1"/>
  <c r="F44" i="35" s="1"/>
  <c r="F45" i="35" s="1"/>
  <c r="F46" i="35" s="1"/>
  <c r="D92" i="3"/>
  <c r="F90" i="3"/>
  <c r="F92" i="3" s="1"/>
  <c r="F48" i="35" l="1"/>
  <c r="F50" i="35" s="1"/>
  <c r="E50" i="35"/>
  <c r="F76" i="3" l="1"/>
  <c r="F77" i="3" s="1"/>
  <c r="F78" i="3" l="1"/>
  <c r="F79" i="3" s="1"/>
  <c r="F80" i="3" l="1"/>
  <c r="F81" i="3" s="1"/>
  <c r="F82" i="3" l="1"/>
  <c r="F83" i="3" s="1"/>
  <c r="F84" i="3" s="1"/>
  <c r="F85" i="3" s="1"/>
  <c r="F86" i="3" l="1"/>
  <c r="F87" i="3" s="1"/>
  <c r="F88" i="3" l="1"/>
  <c r="F55" i="17"/>
  <c r="E60" i="17"/>
  <c r="F60" i="17" l="1"/>
  <c r="F62" i="17" s="1"/>
  <c r="E62" i="17"/>
  <c r="D77" i="21" l="1"/>
  <c r="D79" i="21" l="1"/>
  <c r="D261" i="31" l="1"/>
  <c r="D263" i="31" s="1"/>
  <c r="E261" i="31" l="1"/>
  <c r="F246" i="31" l="1"/>
  <c r="F247" i="31" l="1"/>
  <c r="F248" i="31" s="1"/>
  <c r="F249" i="31" s="1"/>
  <c r="F250" i="31" s="1"/>
  <c r="F251" i="31" s="1"/>
  <c r="F252" i="31" s="1"/>
  <c r="F253" i="31" s="1"/>
  <c r="F254" i="31" s="1"/>
  <c r="F255" i="31" s="1"/>
  <c r="F256" i="31" s="1"/>
  <c r="E354" i="38"/>
  <c r="F354" i="38"/>
  <c r="E263" i="31"/>
  <c r="F261" i="31"/>
  <c r="F263" i="31" s="1"/>
  <c r="F257" i="31" l="1"/>
  <c r="F258" i="31" s="1"/>
  <c r="F259" i="31" s="1"/>
  <c r="F361" i="38" l="1"/>
  <c r="F362" i="38" s="1"/>
  <c r="F363" i="38" s="1"/>
  <c r="D366" i="38"/>
  <c r="F167" i="3"/>
  <c r="D169" i="3"/>
  <c r="F131" i="17"/>
  <c r="E134" i="17"/>
  <c r="D171" i="3" l="1"/>
  <c r="F169" i="3"/>
  <c r="F171" i="3" s="1"/>
  <c r="E136" i="17"/>
  <c r="F134" i="17"/>
  <c r="F136" i="17" s="1"/>
  <c r="F366" i="38"/>
  <c r="F368" i="38" s="1"/>
  <c r="D368" i="38"/>
  <c r="F458" i="28" l="1"/>
  <c r="F459" i="28" s="1"/>
  <c r="F460" i="28" s="1"/>
  <c r="E37" i="13" l="1"/>
  <c r="F33" i="13"/>
  <c r="F34" i="13" l="1"/>
  <c r="E39" i="13"/>
  <c r="F37" i="13"/>
  <c r="F39" i="13" s="1"/>
  <c r="F35" i="13" l="1"/>
  <c r="F9" i="32" l="1"/>
  <c r="F10" i="32" l="1"/>
  <c r="F11" i="32" s="1"/>
  <c r="D50" i="26" l="1"/>
  <c r="F50" i="26" l="1"/>
  <c r="F52" i="26" s="1"/>
  <c r="D52" i="26"/>
  <c r="E288" i="5" l="1"/>
  <c r="F260" i="5"/>
  <c r="F261" i="5" l="1"/>
  <c r="F262" i="5" s="1"/>
  <c r="F263" i="5" s="1"/>
  <c r="F264" i="5" s="1"/>
  <c r="F265" i="5" s="1"/>
  <c r="F266" i="5" s="1"/>
  <c r="F267" i="5" s="1"/>
  <c r="F268" i="5" s="1"/>
  <c r="F269" i="5" s="1"/>
  <c r="F270" i="5" s="1"/>
  <c r="F271" i="5" s="1"/>
  <c r="F272" i="5" s="1"/>
  <c r="F273" i="5" s="1"/>
  <c r="F274" i="5" s="1"/>
  <c r="F275" i="5" s="1"/>
  <c r="F276" i="5" s="1"/>
  <c r="F277" i="5" s="1"/>
  <c r="F278" i="5" s="1"/>
  <c r="F279" i="5" s="1"/>
  <c r="F280" i="5" s="1"/>
  <c r="F281" i="5" s="1"/>
  <c r="F282" i="5" s="1"/>
  <c r="F283" i="5" s="1"/>
  <c r="F284" i="5" s="1"/>
  <c r="F285" i="5" s="1"/>
  <c r="F286" i="5" s="1"/>
  <c r="E290" i="5"/>
  <c r="F288" i="5"/>
  <c r="F290" i="5" s="1"/>
  <c r="F369" i="28" l="1"/>
  <c r="F454" i="28"/>
  <c r="F455" i="28" s="1"/>
  <c r="F370" i="28" l="1"/>
  <c r="F371" i="28" s="1"/>
  <c r="F456" i="28"/>
  <c r="F450" i="28" l="1"/>
  <c r="F451" i="28" l="1"/>
  <c r="F452" i="28" s="1"/>
  <c r="F365" i="28"/>
  <c r="F366" i="28" l="1"/>
  <c r="F367" i="28" s="1"/>
  <c r="F446" i="28" l="1"/>
  <c r="F447" i="28" l="1"/>
  <c r="F448" i="28" s="1"/>
  <c r="E78" i="24" l="1"/>
  <c r="F73" i="24"/>
  <c r="F74" i="24" s="1"/>
  <c r="F75" i="24" s="1"/>
  <c r="F76" i="24" s="1"/>
  <c r="F78" i="24" l="1"/>
  <c r="F80" i="24" s="1"/>
  <c r="E80" i="24"/>
  <c r="F442" i="28" l="1"/>
  <c r="F443" i="28" l="1"/>
  <c r="F444" i="28" s="1"/>
  <c r="F358" i="28"/>
  <c r="F438" i="28" l="1"/>
  <c r="F439" i="28" l="1"/>
  <c r="F440" i="28" s="1"/>
  <c r="F347" i="28"/>
  <c r="F348" i="28" l="1"/>
  <c r="F349" i="28" s="1"/>
  <c r="F350" i="28" s="1"/>
  <c r="F351" i="28" s="1"/>
  <c r="F352" i="28" s="1"/>
  <c r="F353" i="28" s="1"/>
  <c r="F342" i="28" l="1"/>
  <c r="E38" i="3" l="1"/>
  <c r="F25" i="3"/>
  <c r="F26" i="3" l="1"/>
  <c r="F27" i="3" s="1"/>
  <c r="F28" i="3" s="1"/>
  <c r="F29" i="3" s="1"/>
  <c r="F30" i="3" s="1"/>
  <c r="F31" i="3" s="1"/>
  <c r="F32" i="3" s="1"/>
  <c r="F38" i="3"/>
  <c r="F40" i="3" s="1"/>
  <c r="E40" i="3"/>
  <c r="F33" i="3" l="1"/>
  <c r="F34" i="3" l="1"/>
  <c r="F35" i="3" s="1"/>
  <c r="F36" i="3" l="1"/>
  <c r="B211" i="3"/>
  <c r="F103" i="9" l="1"/>
  <c r="B231" i="9" s="1"/>
  <c r="D117" i="9"/>
  <c r="B229" i="9" l="1"/>
  <c r="B230" i="9"/>
  <c r="B227" i="9"/>
  <c r="B228" i="9"/>
  <c r="D119" i="9"/>
  <c r="F117" i="9"/>
  <c r="F119" i="9" s="1"/>
  <c r="F104" i="9"/>
  <c r="F105" i="9" l="1"/>
  <c r="F106" i="9" l="1"/>
  <c r="F107" i="9" s="1"/>
  <c r="B232" i="9" l="1"/>
  <c r="F108" i="9"/>
  <c r="F109" i="9" l="1"/>
  <c r="F110" i="9" l="1"/>
  <c r="F111" i="9" l="1"/>
  <c r="F112" i="9" l="1"/>
  <c r="F113" i="9" l="1"/>
  <c r="F114" i="9" l="1"/>
  <c r="F115" i="9" l="1"/>
  <c r="E339" i="26" l="1"/>
  <c r="F326" i="26"/>
  <c r="F327" i="26" s="1"/>
  <c r="F328" i="26" s="1"/>
  <c r="F329" i="26" s="1"/>
  <c r="F330" i="26" s="1"/>
  <c r="F331" i="26" s="1"/>
  <c r="F332" i="26" s="1"/>
  <c r="F333" i="26" s="1"/>
  <c r="F334" i="26" s="1"/>
  <c r="F335" i="26" s="1"/>
  <c r="F336" i="26" s="1"/>
  <c r="F337" i="26" s="1"/>
  <c r="E341" i="26" l="1"/>
  <c r="F339" i="26"/>
  <c r="F341" i="26" s="1"/>
  <c r="D28" i="32" l="1"/>
  <c r="F12" i="32"/>
  <c r="F13" i="32" s="1"/>
  <c r="F14" i="32" s="1"/>
  <c r="F15" i="32" s="1"/>
  <c r="F16" i="32" s="1"/>
  <c r="F17" i="32" s="1"/>
  <c r="F18" i="32" s="1"/>
  <c r="F19" i="32" s="1"/>
  <c r="F20" i="32" s="1"/>
  <c r="F21" i="32" s="1"/>
  <c r="D30" i="32" l="1"/>
  <c r="F28" i="32"/>
  <c r="F30" i="32" s="1"/>
  <c r="F566" i="28"/>
  <c r="F567" i="28" l="1"/>
  <c r="F568" i="28" s="1"/>
  <c r="F343" i="28"/>
  <c r="F434" i="28"/>
  <c r="F344" i="28" l="1"/>
  <c r="F345" i="28" s="1"/>
  <c r="F435" i="28"/>
  <c r="F436" i="28" s="1"/>
  <c r="F562" i="28" l="1"/>
  <c r="F563" i="28" s="1"/>
  <c r="F564" i="28" s="1"/>
  <c r="F338" i="28"/>
  <c r="F339" i="28" s="1"/>
  <c r="F430" i="28"/>
  <c r="F431" i="28" s="1"/>
  <c r="F432" i="28" l="1"/>
  <c r="F340" i="28"/>
  <c r="D246" i="5" l="1"/>
  <c r="D119" i="5"/>
  <c r="D186" i="5"/>
  <c r="D53" i="5"/>
  <c r="F426" i="28"/>
  <c r="F427" i="28" s="1"/>
  <c r="F428" i="28" l="1"/>
  <c r="D55" i="5"/>
  <c r="D188" i="5"/>
  <c r="D121" i="5"/>
  <c r="D248" i="5"/>
  <c r="F558" i="28"/>
  <c r="F559" i="28" s="1"/>
  <c r="F560" i="28" s="1"/>
  <c r="F334" i="28"/>
  <c r="F335" i="28" s="1"/>
  <c r="F336" i="28" s="1"/>
  <c r="F96" i="17" l="1"/>
  <c r="E104" i="17"/>
  <c r="D104" i="17"/>
  <c r="D106" i="17" l="1"/>
  <c r="F104" i="17"/>
  <c r="F106" i="17" s="1"/>
  <c r="E106" i="17"/>
  <c r="F97" i="17"/>
  <c r="F98" i="17" s="1"/>
  <c r="F99" i="17" l="1"/>
  <c r="F100" i="17" s="1"/>
  <c r="F101" i="17" s="1"/>
  <c r="F90" i="24" l="1"/>
  <c r="F91" i="24" s="1"/>
  <c r="F92" i="24" s="1"/>
  <c r="E103" i="24"/>
  <c r="F93" i="24" l="1"/>
  <c r="F103" i="24"/>
  <c r="F105" i="24" s="1"/>
  <c r="E105" i="24"/>
  <c r="F94" i="24" l="1"/>
  <c r="F95" i="24" s="1"/>
  <c r="F96" i="24" l="1"/>
  <c r="F97" i="24" l="1"/>
  <c r="F98" i="24" l="1"/>
  <c r="F99" i="24" s="1"/>
  <c r="F100" i="24" s="1"/>
  <c r="F101" i="24" s="1"/>
  <c r="E103" i="21" l="1"/>
  <c r="F103" i="21" l="1"/>
  <c r="D105" i="21"/>
  <c r="F92" i="21" l="1"/>
  <c r="E104" i="21"/>
  <c r="E77" i="21"/>
  <c r="F73" i="21"/>
  <c r="F93" i="21" l="1"/>
  <c r="F94" i="21" s="1"/>
  <c r="F95" i="21" s="1"/>
  <c r="F96" i="21" s="1"/>
  <c r="F97" i="21" s="1"/>
  <c r="F98" i="21" s="1"/>
  <c r="F99" i="21" s="1"/>
  <c r="F100" i="21" s="1"/>
  <c r="F101" i="21" s="1"/>
  <c r="F74" i="21"/>
  <c r="F75" i="21" s="1"/>
  <c r="F104" i="21"/>
  <c r="F105" i="21" s="1"/>
  <c r="E105" i="21"/>
  <c r="E79" i="21"/>
  <c r="F77" i="21"/>
  <c r="F79" i="21" s="1"/>
  <c r="F37" i="24" l="1"/>
  <c r="F38" i="24" s="1"/>
  <c r="F39" i="24" s="1"/>
  <c r="F40" i="24" s="1"/>
  <c r="F41" i="24" s="1"/>
  <c r="F42" i="24" s="1"/>
  <c r="F43" i="24" s="1"/>
  <c r="F44" i="24" s="1"/>
  <c r="F45" i="24" s="1"/>
  <c r="F46" i="24" s="1"/>
  <c r="F47" i="24" s="1"/>
  <c r="F48" i="24" s="1"/>
  <c r="F49" i="24" s="1"/>
  <c r="F50" i="24" s="1"/>
  <c r="F51" i="24" s="1"/>
  <c r="F52" i="24" s="1"/>
  <c r="F53" i="24" s="1"/>
  <c r="F54" i="24" s="1"/>
  <c r="F55" i="24" s="1"/>
  <c r="F56" i="24" s="1"/>
  <c r="F57" i="24" s="1"/>
  <c r="E59" i="24"/>
  <c r="F59" i="24" l="1"/>
  <c r="F61" i="24" s="1"/>
  <c r="E61" i="24"/>
  <c r="D345" i="5" l="1"/>
  <c r="F319" i="5"/>
  <c r="E44" i="17" l="1"/>
  <c r="D347" i="5"/>
  <c r="E46" i="17" l="1"/>
  <c r="F8" i="24" l="1"/>
  <c r="F9" i="24" l="1"/>
  <c r="E154" i="3" l="1"/>
  <c r="E156" i="3" s="1"/>
  <c r="D154" i="3"/>
  <c r="F128" i="3"/>
  <c r="B200" i="3" s="1"/>
  <c r="D532" i="28" l="1"/>
  <c r="F519" i="28"/>
  <c r="F520" i="28" s="1"/>
  <c r="F521" i="28" s="1"/>
  <c r="F522" i="28" s="1"/>
  <c r="F523" i="28" s="1"/>
  <c r="F524" i="28" s="1"/>
  <c r="F525" i="28" s="1"/>
  <c r="F526" i="28" s="1"/>
  <c r="F527" i="28" s="1"/>
  <c r="F528" i="28" s="1"/>
  <c r="F529" i="28" s="1"/>
  <c r="F530" i="28" s="1"/>
  <c r="F351" i="26"/>
  <c r="F379" i="38"/>
  <c r="F468" i="27"/>
  <c r="F469" i="27" s="1"/>
  <c r="F470" i="27" s="1"/>
  <c r="F471" i="27" s="1"/>
  <c r="F472" i="27" s="1"/>
  <c r="F473" i="27" s="1"/>
  <c r="F474" i="27" s="1"/>
  <c r="F475" i="27" s="1"/>
  <c r="F476" i="27" s="1"/>
  <c r="F477" i="27" s="1"/>
  <c r="F478" i="27" s="1"/>
  <c r="F479" i="27" s="1"/>
  <c r="D481" i="27"/>
  <c r="F129" i="3"/>
  <c r="F130" i="3" s="1"/>
  <c r="F131" i="3" s="1"/>
  <c r="B201" i="3" s="1"/>
  <c r="I30" i="3"/>
  <c r="F154" i="3"/>
  <c r="F156" i="3" s="1"/>
  <c r="D156" i="3"/>
  <c r="F380" i="38" l="1"/>
  <c r="B196" i="3"/>
  <c r="D483" i="27"/>
  <c r="F481" i="27"/>
  <c r="F483" i="27" s="1"/>
  <c r="F132" i="3"/>
  <c r="F532" i="28"/>
  <c r="F534" i="28" s="1"/>
  <c r="D534" i="28"/>
  <c r="F133" i="3" l="1"/>
  <c r="F134" i="3" s="1"/>
  <c r="B202" i="3" s="1"/>
  <c r="B203" i="3" l="1"/>
  <c r="D85" i="17" l="1"/>
  <c r="D87" i="17" s="1"/>
  <c r="F135" i="3"/>
  <c r="F136" i="3" s="1"/>
  <c r="B204" i="3" s="1"/>
  <c r="D365" i="26"/>
  <c r="F352" i="26"/>
  <c r="F353" i="26" s="1"/>
  <c r="F354" i="26" s="1"/>
  <c r="F355" i="26" s="1"/>
  <c r="F356" i="26" s="1"/>
  <c r="F357" i="26" s="1"/>
  <c r="F358" i="26" s="1"/>
  <c r="F359" i="26" s="1"/>
  <c r="F360" i="26" s="1"/>
  <c r="F361" i="26" s="1"/>
  <c r="F362" i="26" s="1"/>
  <c r="F363" i="26" s="1"/>
  <c r="F73" i="17"/>
  <c r="F74" i="17" s="1"/>
  <c r="F75" i="17" s="1"/>
  <c r="F76" i="17" s="1"/>
  <c r="F137" i="3" l="1"/>
  <c r="F138" i="3" s="1"/>
  <c r="F139" i="3" s="1"/>
  <c r="B205" i="3" s="1"/>
  <c r="F365" i="26"/>
  <c r="F367" i="26" s="1"/>
  <c r="D367" i="26"/>
  <c r="F140" i="3" l="1"/>
  <c r="F141" i="3" s="1"/>
  <c r="F142" i="3" s="1"/>
  <c r="F143" i="3" s="1"/>
  <c r="F144" i="3" s="1"/>
  <c r="B206" i="3" l="1"/>
  <c r="F145" i="3"/>
  <c r="F146" i="3" s="1"/>
  <c r="B207" i="3"/>
  <c r="F147" i="3" l="1"/>
  <c r="F148" i="3" s="1"/>
  <c r="B208" i="3"/>
  <c r="F149" i="3" l="1"/>
  <c r="F150" i="3" s="1"/>
  <c r="B209" i="3"/>
  <c r="F151" i="3" l="1"/>
  <c r="F152" i="3" s="1"/>
  <c r="F153" i="3" s="1"/>
  <c r="B210" i="3"/>
  <c r="E85" i="17" l="1"/>
  <c r="F77" i="17"/>
  <c r="F78" i="17" s="1"/>
  <c r="F79" i="17" s="1"/>
  <c r="F80" i="17" l="1"/>
  <c r="F81" i="17" s="1"/>
  <c r="F82" i="17" s="1"/>
  <c r="F83" i="17" s="1"/>
  <c r="E87" i="17"/>
  <c r="F85" i="17"/>
  <c r="F87" i="17" s="1"/>
  <c r="E22" i="24" l="1"/>
  <c r="F10" i="24"/>
  <c r="F11" i="24" s="1"/>
  <c r="F12" i="24" s="1"/>
  <c r="F13" i="24" s="1"/>
  <c r="F14" i="24" s="1"/>
  <c r="F15" i="24" s="1"/>
  <c r="F16" i="24" s="1"/>
  <c r="F17" i="24" s="1"/>
  <c r="F18" i="24" s="1"/>
  <c r="F19" i="24" s="1"/>
  <c r="F9" i="1"/>
  <c r="F20" i="24" l="1"/>
  <c r="F22" i="24"/>
  <c r="F24" i="24" s="1"/>
  <c r="E24" i="24"/>
  <c r="F64" i="24" l="1"/>
  <c r="F65" i="24" s="1"/>
  <c r="D403" i="38" l="1"/>
  <c r="F381" i="38"/>
  <c r="F382" i="38" s="1"/>
  <c r="F383" i="38" s="1"/>
  <c r="F384" i="38" s="1"/>
  <c r="F385" i="38" s="1"/>
  <c r="F386" i="38" s="1"/>
  <c r="F387" i="38" s="1"/>
  <c r="F388" i="38" s="1"/>
  <c r="F389" i="38" s="1"/>
  <c r="F390" i="38" s="1"/>
  <c r="F391" i="38" s="1"/>
  <c r="F392" i="38" s="1"/>
  <c r="F393" i="38" s="1"/>
  <c r="F394" i="38" s="1"/>
  <c r="F395" i="38" s="1"/>
  <c r="F396" i="38" s="1"/>
  <c r="F397" i="38" s="1"/>
  <c r="F398" i="38" s="1"/>
  <c r="F399" i="38" s="1"/>
  <c r="F400" i="38" s="1"/>
  <c r="F401" i="38" s="1"/>
  <c r="F402" i="38" s="1"/>
  <c r="D405" i="38" l="1"/>
  <c r="F403" i="38"/>
  <c r="F405" i="38" s="1"/>
  <c r="F327" i="28" l="1"/>
  <c r="F422" i="28"/>
  <c r="F554" i="28"/>
  <c r="F555" i="28" s="1"/>
  <c r="F556" i="28" s="1"/>
  <c r="D594" i="28"/>
  <c r="F594" i="28" l="1"/>
  <c r="F596" i="28" s="1"/>
  <c r="D596" i="28"/>
  <c r="F423" i="28"/>
  <c r="F424" i="28" s="1"/>
  <c r="F328" i="28"/>
  <c r="F329" i="28" s="1"/>
  <c r="F142" i="5" l="1"/>
  <c r="F143" i="5" s="1"/>
  <c r="E186" i="5"/>
  <c r="E53" i="5"/>
  <c r="F9" i="5"/>
  <c r="F10" i="5" s="1"/>
  <c r="F11" i="5" s="1"/>
  <c r="F75" i="5"/>
  <c r="F203" i="5"/>
  <c r="F204" i="5" s="1"/>
  <c r="F205" i="5" s="1"/>
  <c r="F206" i="5" s="1"/>
  <c r="F207" i="5" s="1"/>
  <c r="E246" i="5"/>
  <c r="F12" i="5" l="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4" i="5" s="1"/>
  <c r="F35" i="5" s="1"/>
  <c r="F36" i="5" s="1"/>
  <c r="F37" i="5" s="1"/>
  <c r="F38" i="5" s="1"/>
  <c r="F39" i="5" s="1"/>
  <c r="F40" i="5" s="1"/>
  <c r="F41" i="5" s="1"/>
  <c r="F42" i="5" s="1"/>
  <c r="F43" i="5" s="1"/>
  <c r="F44" i="5" s="1"/>
  <c r="F45" i="5" s="1"/>
  <c r="F46" i="5" s="1"/>
  <c r="F47" i="5" s="1"/>
  <c r="F48" i="5" s="1"/>
  <c r="F49" i="5" s="1"/>
  <c r="F50" i="5" s="1"/>
  <c r="F51" i="5" s="1"/>
  <c r="F144" i="5"/>
  <c r="F145" i="5" s="1"/>
  <c r="F146" i="5" s="1"/>
  <c r="F147" i="5" s="1"/>
  <c r="F148" i="5" s="1"/>
  <c r="F149" i="5" s="1"/>
  <c r="F150" i="5" s="1"/>
  <c r="F151" i="5" s="1"/>
  <c r="F152" i="5" s="1"/>
  <c r="F153" i="5" s="1"/>
  <c r="F154" i="5" s="1"/>
  <c r="F155" i="5" s="1"/>
  <c r="F156" i="5" s="1"/>
  <c r="F157" i="5" s="1"/>
  <c r="F158" i="5" s="1"/>
  <c r="F159" i="5" s="1"/>
  <c r="F160" i="5" s="1"/>
  <c r="F161" i="5" s="1"/>
  <c r="F162" i="5" s="1"/>
  <c r="F163" i="5" s="1"/>
  <c r="F164" i="5" s="1"/>
  <c r="F165" i="5" s="1"/>
  <c r="F166" i="5" s="1"/>
  <c r="F167" i="5" s="1"/>
  <c r="F168" i="5" s="1"/>
  <c r="F169" i="5" s="1"/>
  <c r="F170" i="5" s="1"/>
  <c r="F171" i="5" s="1"/>
  <c r="F172" i="5" s="1"/>
  <c r="F173" i="5" s="1"/>
  <c r="F174" i="5" s="1"/>
  <c r="F175" i="5" s="1"/>
  <c r="F176" i="5" s="1"/>
  <c r="F177" i="5" s="1"/>
  <c r="F178" i="5" s="1"/>
  <c r="F179" i="5" s="1"/>
  <c r="F180" i="5" s="1"/>
  <c r="F181" i="5" s="1"/>
  <c r="F182" i="5" s="1"/>
  <c r="F183" i="5" s="1"/>
  <c r="F184" i="5" s="1"/>
  <c r="F208" i="5"/>
  <c r="F209" i="5" s="1"/>
  <c r="F210" i="5" s="1"/>
  <c r="F211" i="5" s="1"/>
  <c r="F212" i="5" s="1"/>
  <c r="F213" i="5" s="1"/>
  <c r="F214" i="5" s="1"/>
  <c r="F215" i="5" s="1"/>
  <c r="F216" i="5" s="1"/>
  <c r="F217" i="5" s="1"/>
  <c r="F218" i="5" s="1"/>
  <c r="F219" i="5" s="1"/>
  <c r="F220" i="5" s="1"/>
  <c r="F221" i="5" s="1"/>
  <c r="F222" i="5" s="1"/>
  <c r="F223" i="5" s="1"/>
  <c r="F224" i="5" s="1"/>
  <c r="F225" i="5" s="1"/>
  <c r="F226" i="5" s="1"/>
  <c r="F227" i="5" s="1"/>
  <c r="F228" i="5" s="1"/>
  <c r="F229" i="5" s="1"/>
  <c r="F230" i="5" s="1"/>
  <c r="F231" i="5" s="1"/>
  <c r="F232" i="5" s="1"/>
  <c r="F233" i="5" s="1"/>
  <c r="F234" i="5" s="1"/>
  <c r="F235" i="5" s="1"/>
  <c r="F236" i="5" s="1"/>
  <c r="F237" i="5" s="1"/>
  <c r="F238" i="5" s="1"/>
  <c r="F239" i="5" s="1"/>
  <c r="F240" i="5" s="1"/>
  <c r="F241" i="5" s="1"/>
  <c r="F242" i="5" s="1"/>
  <c r="F243" i="5" s="1"/>
  <c r="F244" i="5" s="1"/>
  <c r="F53" i="5"/>
  <c r="F55" i="5" s="1"/>
  <c r="E55" i="5"/>
  <c r="F245" i="27"/>
  <c r="F186" i="5"/>
  <c r="F188" i="5" s="1"/>
  <c r="E188" i="5"/>
  <c r="F246" i="5"/>
  <c r="F248" i="5" s="1"/>
  <c r="E248" i="5"/>
  <c r="D462" i="28" l="1"/>
  <c r="F418" i="28"/>
  <c r="F419" i="28" l="1"/>
  <c r="F420" i="28" s="1"/>
  <c r="D464" i="28"/>
  <c r="F462" i="28"/>
  <c r="F464" i="28" s="1"/>
  <c r="F546" i="28"/>
  <c r="F547" i="28" s="1"/>
  <c r="F548" i="28" s="1"/>
  <c r="F414" i="28"/>
  <c r="F415" i="28" s="1"/>
  <c r="F416" i="28" s="1"/>
  <c r="F550" i="28"/>
  <c r="F551" i="28" s="1"/>
  <c r="F552" i="28" s="1"/>
  <c r="F323" i="28" l="1"/>
  <c r="F324" i="28" s="1"/>
  <c r="F325" i="28" s="1"/>
  <c r="F319" i="28"/>
  <c r="F320" i="28" s="1"/>
  <c r="F321" i="28" s="1"/>
  <c r="D379" i="28"/>
  <c r="F379" i="28" l="1"/>
  <c r="F381" i="28" s="1"/>
  <c r="D381" i="28"/>
  <c r="F320" i="5"/>
  <c r="E372" i="5" l="1"/>
  <c r="E371" i="5"/>
  <c r="E373" i="5"/>
  <c r="D35" i="1" l="1"/>
  <c r="D37" i="1" s="1"/>
  <c r="E345" i="5" l="1"/>
  <c r="F321" i="5"/>
  <c r="E347" i="5" l="1"/>
  <c r="F345" i="5"/>
  <c r="F347" i="5" s="1"/>
  <c r="F322" i="5"/>
  <c r="F323" i="5" l="1"/>
  <c r="F50" i="23" l="1"/>
  <c r="F51" i="23" s="1"/>
  <c r="F52" i="23" s="1"/>
  <c r="F53" i="23" s="1"/>
  <c r="F54" i="23" s="1"/>
  <c r="F55" i="23" s="1"/>
  <c r="F56" i="23" s="1"/>
  <c r="F57" i="23" s="1"/>
  <c r="F58" i="23" s="1"/>
  <c r="F59" i="23" s="1"/>
  <c r="E61" i="23"/>
  <c r="F324" i="5"/>
  <c r="E119" i="5"/>
  <c r="F76" i="5"/>
  <c r="F77" i="5" s="1"/>
  <c r="F78" i="5" l="1"/>
  <c r="F79" i="5" s="1"/>
  <c r="F80" i="5" s="1"/>
  <c r="B371" i="5"/>
  <c r="F61" i="23"/>
  <c r="F63" i="23" s="1"/>
  <c r="E63" i="23"/>
  <c r="F246" i="27"/>
  <c r="F247" i="27" s="1"/>
  <c r="F248" i="27" s="1"/>
  <c r="F249" i="27" s="1"/>
  <c r="F250" i="27" s="1"/>
  <c r="E376" i="5"/>
  <c r="F325" i="5"/>
  <c r="E121" i="5"/>
  <c r="F119" i="5"/>
  <c r="F121" i="5" s="1"/>
  <c r="F81" i="5" l="1"/>
  <c r="F82" i="5" s="1"/>
  <c r="F83" i="5" s="1"/>
  <c r="F84" i="5" s="1"/>
  <c r="B372" i="5"/>
  <c r="B369" i="5"/>
  <c r="D375" i="5"/>
  <c r="F326" i="5"/>
  <c r="E378" i="5"/>
  <c r="F327" i="5" l="1"/>
  <c r="F85" i="5"/>
  <c r="F86" i="5" s="1"/>
  <c r="F87" i="5" s="1"/>
  <c r="F88" i="5" s="1"/>
  <c r="B373" i="5"/>
  <c r="F89" i="5" l="1"/>
  <c r="F90" i="5" s="1"/>
  <c r="F91" i="5" s="1"/>
  <c r="B374" i="5"/>
  <c r="F328" i="5"/>
  <c r="F329" i="5" l="1"/>
  <c r="F330" i="5" s="1"/>
  <c r="F92" i="5"/>
  <c r="F93" i="5" s="1"/>
  <c r="F94" i="5" s="1"/>
  <c r="B375" i="5"/>
  <c r="F331" i="5" l="1"/>
  <c r="F95" i="5"/>
  <c r="F96" i="5" s="1"/>
  <c r="F97" i="5" s="1"/>
  <c r="F98" i="5" s="1"/>
  <c r="B376" i="5"/>
  <c r="F99" i="5" l="1"/>
  <c r="F100" i="5" s="1"/>
  <c r="F101" i="5" s="1"/>
  <c r="B377" i="5"/>
  <c r="F332" i="5"/>
  <c r="F333" i="5" s="1"/>
  <c r="F334" i="5" l="1"/>
  <c r="F335" i="5" s="1"/>
  <c r="F336" i="5" s="1"/>
  <c r="F337" i="5" s="1"/>
  <c r="F338" i="5" s="1"/>
  <c r="F339" i="5" s="1"/>
  <c r="F340" i="5" s="1"/>
  <c r="F341" i="5" s="1"/>
  <c r="F342" i="5" s="1"/>
  <c r="F343" i="5" s="1"/>
  <c r="F344" i="5" s="1"/>
  <c r="F102" i="5"/>
  <c r="F103" i="5" s="1"/>
  <c r="F104" i="5" s="1"/>
  <c r="B378" i="5"/>
  <c r="F105" i="5" l="1"/>
  <c r="F106" i="5" s="1"/>
  <c r="F107" i="5" s="1"/>
  <c r="F108" i="5" s="1"/>
  <c r="B379" i="5"/>
  <c r="F109" i="5" l="1"/>
  <c r="F110" i="5" s="1"/>
  <c r="F111" i="5" s="1"/>
  <c r="B380" i="5"/>
  <c r="F112" i="5" l="1"/>
  <c r="F113" i="5" s="1"/>
  <c r="F114" i="5" s="1"/>
  <c r="F115" i="5" s="1"/>
  <c r="B381" i="5"/>
  <c r="F116" i="5" l="1"/>
  <c r="F117" i="5" s="1"/>
  <c r="B382" i="5"/>
  <c r="F251" i="27" l="1"/>
  <c r="F252" i="27" s="1"/>
  <c r="F253" i="27" s="1"/>
  <c r="D44" i="17" l="1"/>
  <c r="F29" i="17"/>
  <c r="E35" i="1"/>
  <c r="F10" i="1"/>
  <c r="E37" i="1" l="1"/>
  <c r="F35" i="1"/>
  <c r="F37" i="1" s="1"/>
  <c r="F11" i="1"/>
  <c r="F12" i="1" s="1"/>
  <c r="F30" i="17"/>
  <c r="F31" i="17" s="1"/>
  <c r="F32" i="17" s="1"/>
  <c r="F33" i="17" s="1"/>
  <c r="F34" i="17" s="1"/>
  <c r="F35" i="17" s="1"/>
  <c r="F36" i="17" s="1"/>
  <c r="F37" i="17" s="1"/>
  <c r="F38" i="17" s="1"/>
  <c r="F39" i="17" s="1"/>
  <c r="F40" i="17" s="1"/>
  <c r="F41" i="17" s="1"/>
  <c r="F42" i="17" s="1"/>
  <c r="D46" i="17"/>
  <c r="F44" i="17"/>
  <c r="F46" i="17" s="1"/>
  <c r="F13" i="1" l="1"/>
  <c r="F14" i="1" s="1"/>
  <c r="F15" i="1" l="1"/>
  <c r="F16" i="1" s="1"/>
  <c r="F17" i="1" s="1"/>
  <c r="F18" i="1" s="1"/>
  <c r="F19" i="1" l="1"/>
  <c r="F20" i="1" s="1"/>
  <c r="F21" i="1" l="1"/>
  <c r="F22" i="1" s="1"/>
  <c r="F23" i="1" l="1"/>
  <c r="F24" i="1" s="1"/>
  <c r="F25" i="1" l="1"/>
  <c r="F26" i="1" s="1"/>
  <c r="F27" i="1" l="1"/>
  <c r="F28" i="1" s="1"/>
  <c r="F29" i="1" l="1"/>
  <c r="F30" i="1" s="1"/>
  <c r="F31" i="1" l="1"/>
  <c r="F32" i="1" s="1"/>
  <c r="D282" i="27" l="1"/>
  <c r="F254" i="27"/>
  <c r="F255" i="27" s="1"/>
  <c r="F256" i="27" s="1"/>
  <c r="F257" i="27" s="1"/>
  <c r="F258" i="27" s="1"/>
  <c r="F259" i="27" s="1"/>
  <c r="F260" i="27" s="1"/>
  <c r="F261" i="27" s="1"/>
  <c r="F262" i="27" s="1"/>
  <c r="F263" i="27" s="1"/>
  <c r="F264" i="27" s="1"/>
  <c r="F265" i="27" s="1"/>
  <c r="F266" i="27" s="1"/>
  <c r="F267" i="27" s="1"/>
  <c r="F268" i="27" s="1"/>
  <c r="F269" i="27" s="1"/>
  <c r="F270" i="27" s="1"/>
  <c r="F271" i="27" s="1"/>
  <c r="F272" i="27" s="1"/>
  <c r="F273" i="27" s="1"/>
  <c r="F274" i="27" s="1"/>
  <c r="F275" i="27" s="1"/>
  <c r="F276" i="27" s="1"/>
  <c r="F277" i="27" s="1"/>
  <c r="F278" i="27" s="1"/>
  <c r="F279" i="27" s="1"/>
  <c r="F280" i="27" s="1"/>
  <c r="F282" i="27" l="1"/>
  <c r="F284" i="27" s="1"/>
  <c r="D284" i="27"/>
</calcChain>
</file>

<file path=xl/sharedStrings.xml><?xml version="1.0" encoding="utf-8"?>
<sst xmlns="http://schemas.openxmlformats.org/spreadsheetml/2006/main" count="8285" uniqueCount="1439">
  <si>
    <t>PERUSAHAAN DAERAH AIR MINUM</t>
  </si>
  <si>
    <t>KABUPATEN SERUYAN</t>
  </si>
  <si>
    <t>BUKU BESAR</t>
  </si>
  <si>
    <t>Tgl</t>
  </si>
  <si>
    <t>Uraian</t>
  </si>
  <si>
    <t>Ref.</t>
  </si>
  <si>
    <t>Mutasi</t>
  </si>
  <si>
    <t>Debet</t>
  </si>
  <si>
    <t>Kredit</t>
  </si>
  <si>
    <t>Saldo Akhir</t>
  </si>
  <si>
    <t>JUMLAH MUTASI</t>
  </si>
  <si>
    <t>SALDO AWAL</t>
  </si>
  <si>
    <t>Kode Perkiraan : 11.01.00</t>
  </si>
  <si>
    <t>Nama Perk :  KAS DAN BANK</t>
  </si>
  <si>
    <t>Nama Perk : DEPOSITO</t>
  </si>
  <si>
    <t>Kode Perkiraan : 12.01.00</t>
  </si>
  <si>
    <t>Nama Perk :  PIUTANG REKENING AIR</t>
  </si>
  <si>
    <t>Kode Perkiraan : 13.01.00</t>
  </si>
  <si>
    <t>Nama Perk :  PIUTANG REKENING NON AIR</t>
  </si>
  <si>
    <t>Kode Perkiraan : 13.02.00</t>
  </si>
  <si>
    <t>Nama Perk :  PIUTANG KEMITRAAN</t>
  </si>
  <si>
    <t>Kode Perkiraan : 13.03.00</t>
  </si>
  <si>
    <t>Nama Perk :  AKUMULASI PENYISIHAN PIUTANG USAHA</t>
  </si>
  <si>
    <t>Kode Perkiraan : 13.09.00</t>
  </si>
  <si>
    <t xml:space="preserve">     </t>
  </si>
  <si>
    <t>Nama Perk :  PIUTANG NON USAHA</t>
  </si>
  <si>
    <t>Kode Perkiraan : 14.00.00</t>
  </si>
  <si>
    <t>Nama Perk :  TAGIHAN NON USAHA</t>
  </si>
  <si>
    <t>Kode Perkiraan : 14.01.00</t>
  </si>
  <si>
    <t>Nama Perk :  PIUTANG PAJAK</t>
  </si>
  <si>
    <t>Kode Perkiraan : 14.02.00</t>
  </si>
  <si>
    <t>Kode Perkiraan : 14.03.00</t>
  </si>
  <si>
    <t>Nama Perk :  PIUTANG NON USAHA LAINNYA</t>
  </si>
  <si>
    <t>Kode Perkiraan : 14.08.00</t>
  </si>
  <si>
    <t>Nama Perk :  PENDAPATAN YANG BELUM DITERIMA</t>
  </si>
  <si>
    <t>Nama Perk :  AKUMULASI PENYISIHAN KERUGIAN PIUTANG NON USAHA</t>
  </si>
  <si>
    <t>Kode Perkiraan : 14.09.00</t>
  </si>
  <si>
    <t>Kode Perkiraan : 15.01.00</t>
  </si>
  <si>
    <t>Kode Perkiraan : 15.03.00</t>
  </si>
  <si>
    <t>Nama Perk :  PERSEDIAN BAHAN BAKAR DAN PELUMAS</t>
  </si>
  <si>
    <t>Kode Perkiraan : 15.02.20</t>
  </si>
  <si>
    <t>Nama Perk :  PERSEDIAAN ALAT TULIS DAN CETAKAN</t>
  </si>
  <si>
    <t>Kode Perkiraan : 15.02.50</t>
  </si>
  <si>
    <t>Nama Perk :  BEBAN DIBAYAR DIMUKA</t>
  </si>
  <si>
    <t>Kode Perkiraan : 16.01.00</t>
  </si>
  <si>
    <t>Nama Perk :  TANAH DAN PENYEMPURNAAN TANAH</t>
  </si>
  <si>
    <t>Kode Perkiraan : 31.01.00</t>
  </si>
  <si>
    <t>Nama Perk : INSTALASI SUMBER AIR</t>
  </si>
  <si>
    <t>Kode Perkiraan : 31.02.00</t>
  </si>
  <si>
    <t>Nama Perk :  INSTALASI POMPA</t>
  </si>
  <si>
    <t>Kode Perkiraan : 31.03.00</t>
  </si>
  <si>
    <t>Nama Perk :  INSTALASI PENGOLAHAN AIR</t>
  </si>
  <si>
    <t>Kode Perkiraan : 31.04.00</t>
  </si>
  <si>
    <t>Nama Perk :  INSTALASI TRANSMISI DAN DISTRIBUSI</t>
  </si>
  <si>
    <t>Kode Perkiraan : 31.05.00</t>
  </si>
  <si>
    <t>Nama Perk :  BANGUNAN DAN GEDUNG</t>
  </si>
  <si>
    <t>Kode Perkiraan : 31.06.00</t>
  </si>
  <si>
    <t>Nama Perk :  PERALATAN DAN PERLENGKAPAN</t>
  </si>
  <si>
    <t>Kode Perkiraan : 31.07.00</t>
  </si>
  <si>
    <t>Kode Perkiraan : 31.08.00</t>
  </si>
  <si>
    <t>Kode Perkiraan : 31.09.00</t>
  </si>
  <si>
    <t>Kode Perkiraan : 31.10.10</t>
  </si>
  <si>
    <t>Nama Perk :  AKUMULASI PENYUSUTAN INSTALASI POMPA</t>
  </si>
  <si>
    <t>Kode Perkiraan : 31.10.20</t>
  </si>
  <si>
    <t>Kode Perkiraan : 31.10.30</t>
  </si>
  <si>
    <t>Kode Perkiraan : 31.10.40</t>
  </si>
  <si>
    <t>Kode Perkiraan : 31.10.50</t>
  </si>
  <si>
    <t>Kode Perkiraan : 31.10.60</t>
  </si>
  <si>
    <t>Kode Perkiraan : 31.10.70</t>
  </si>
  <si>
    <t>Kode Perkiraan : 31.10.80</t>
  </si>
  <si>
    <t xml:space="preserve"> </t>
  </si>
  <si>
    <t>Nama Perk :  ASET TAK BERWUJUD</t>
  </si>
  <si>
    <t>Kode Perkiraan : 35.00.00</t>
  </si>
  <si>
    <t>Kode Perkiraan : 35.01.00</t>
  </si>
  <si>
    <t>Nama Perk :  ASET TETAP DALAM PENYELESAIAN</t>
  </si>
  <si>
    <t>Kode Perkiraan : 37.00.00</t>
  </si>
  <si>
    <t>Kode Perkiraan : 50.00.00</t>
  </si>
  <si>
    <t>Nama Perk :  KEWAJIBAN JANGKA PENDEK</t>
  </si>
  <si>
    <t>Nama Perk :  UTANG USAHA</t>
  </si>
  <si>
    <t>Kode Perkiraan : 50.01.00</t>
  </si>
  <si>
    <t>Nama Perk :  UTANG NON USAHA</t>
  </si>
  <si>
    <t>Kode Perkiraan : 50.02.00</t>
  </si>
  <si>
    <t>Nama Perk :  BEBAN YANG MASIH HARUS DIBAYAR</t>
  </si>
  <si>
    <t>Kode Perkiraan : 50.03.00</t>
  </si>
  <si>
    <t>Kode Perkiraan : 50.04.00</t>
  </si>
  <si>
    <t>Nama Perk :  UTANG PAJAK</t>
  </si>
  <si>
    <t>Kode Perkiraan : 50.06.00</t>
  </si>
  <si>
    <t>Kode Perkiraan : 70.01.00</t>
  </si>
  <si>
    <t>Nama Perk :  MODAL HIBAH</t>
  </si>
  <si>
    <t>Nama Perk : BANTUAN PEMERINTAH YANG BELUM DITETAPKAN STATUSNYA (BPYBDS)</t>
  </si>
  <si>
    <t>Kode Perkiraan : 70.02.00</t>
  </si>
  <si>
    <t>Kode Perkiraan : 70.03.00</t>
  </si>
  <si>
    <t>Nama Perk :  LABA DITAHAN/AKUMULASI KERUGIAN</t>
  </si>
  <si>
    <t>Nama Perk :  LABA (RUGI) TAHUN BERJALAN</t>
  </si>
  <si>
    <t>Kode Perkiraan : 70.05.00</t>
  </si>
  <si>
    <t>Nama Perk :  HARGA AIR (Pendapatan Air)</t>
  </si>
  <si>
    <t>Kode Perkiraan : 81.01.10</t>
  </si>
  <si>
    <t>Nama Perk :  PENDAPATAN BEBAN TETAP</t>
  </si>
  <si>
    <t>Kode Perkiraan : 81.01.20</t>
  </si>
  <si>
    <t>Nama Perk :  PENDAPATAN REKENING AIR TANGKI</t>
  </si>
  <si>
    <t>Kode Perkiraan : 81.01.30</t>
  </si>
  <si>
    <t>Nama Perk :  PENDAPATAN PENJUALAN AIR LAINNYA</t>
  </si>
  <si>
    <t>Kode Perkiraan : 81.01.90</t>
  </si>
  <si>
    <t>Nama Perk :  PENDAPATAN SAMBUNGAN BARU</t>
  </si>
  <si>
    <t>Kode Perkiraan : 81.02.10</t>
  </si>
  <si>
    <t>Nama Perk :  PENDAPATAN PENYAMBUNGAN KEMBALI</t>
  </si>
  <si>
    <t>Kode Perkiraan : 81.02.40</t>
  </si>
  <si>
    <t>Nama Perk :  PENDAPATAN DENDA</t>
  </si>
  <si>
    <t>Kode Perkiraan : 81.02.50</t>
  </si>
  <si>
    <t>Nama Perk :  PENDAPATAN PENGGANTIAN METER RUSAK</t>
  </si>
  <si>
    <t>Kode Perkiraan : 81.02.70</t>
  </si>
  <si>
    <t>Nama Perk :  PENDAPATAN PENGGANTIAN PIPA PERSIL</t>
  </si>
  <si>
    <t>Kode Perkiraan : 81.02.80</t>
  </si>
  <si>
    <t>Nama Perk :  PENDAPATAN NON AIR LAINNYA</t>
  </si>
  <si>
    <t>Kode Perkiraan : 81.02.90</t>
  </si>
  <si>
    <t>Nama Perk :  PENDAPATAN KEMITRAAN</t>
  </si>
  <si>
    <t>Kode Perkiraan : 81.03.00</t>
  </si>
  <si>
    <t>Nama Perk :  PENDAPATAN BUNGA DEPOSITO</t>
  </si>
  <si>
    <t>Nama Perk :  PENDAPATAN JASA GIRO</t>
  </si>
  <si>
    <t>Nama Perk :  RUPA-RUPA PENDAPATAN LAINNYA</t>
  </si>
  <si>
    <t>Nama Perk :  BEBAN PEGAWAI SUMBER AIR</t>
  </si>
  <si>
    <t>Kode Perkiraan : 91.01.10</t>
  </si>
  <si>
    <t>Nama Perk :  PEMAKAIAN BAHAN BAKAR SUMBER AIR</t>
  </si>
  <si>
    <t>Nama Perk :  BEBAN LISTRIK PLN SUMBER AIR</t>
  </si>
  <si>
    <t>Nama Perk :  BEBAN PEMAKAIAN BAHAN PEMBANTU SUMBER AIR</t>
  </si>
  <si>
    <t>Nama Perk :  RUPA-RUPA BEBAN OPERASI SUMBER AIR</t>
  </si>
  <si>
    <t>Nama Perk :  PEMELIHARAAN ALAT PEMBANGKIT TENAGA</t>
  </si>
  <si>
    <t>Nama Perk :  PEMELIHARAAN ALAT PERPOMPAAN</t>
  </si>
  <si>
    <t>Nama Perk :  PEMELIHARAAN INSTALASI SUMBER LAINNYA</t>
  </si>
  <si>
    <t>Nama Perk :  BEBAN PEGAWAI</t>
  </si>
  <si>
    <t>Kode Perkiraan : 92.01.10</t>
  </si>
  <si>
    <t>Kode Perkiraan : 92.01.20</t>
  </si>
  <si>
    <t>Nama Perk :  PEMELIHARAAN BANGUNAN &amp; PENYEM TANAH</t>
  </si>
  <si>
    <t>Kode Perkiraan : 92.02.10</t>
  </si>
  <si>
    <t>Nama Perk :  PEMELIHARAN INSTALASI PENGOLAHAN AIR</t>
  </si>
  <si>
    <t>Kode Perkiraan : 92.02.20</t>
  </si>
  <si>
    <t>Nama Perk :  PEMELIHARAAN INSTALASI POMPA</t>
  </si>
  <si>
    <t>Nama Perk :  BEBAN PENYUSUTAN PENGOLAHAN AIR</t>
  </si>
  <si>
    <t>Kode Perkiraan : 93.01.10</t>
  </si>
  <si>
    <t>Kode Perkiraan : 93.01.20</t>
  </si>
  <si>
    <t>Kode Perkiraan : 93.01.90</t>
  </si>
  <si>
    <t>Nama Perk :  PEMELIHARAAN RESERVOIR DAN TANGKI-TANGKI</t>
  </si>
  <si>
    <t>Kode Perkiraan : 93.02.20</t>
  </si>
  <si>
    <t>Nama Perk :  PEMELIHARAAN PIPA TRANSMISI</t>
  </si>
  <si>
    <t>Kode Perkiraan : 93.02.30</t>
  </si>
  <si>
    <t>Kode Perkiraan : 93.02.50</t>
  </si>
  <si>
    <t>Nama Perk :  PEMELIHARAAN WATER METER</t>
  </si>
  <si>
    <t>Kode Perkiraan : 93.02.60</t>
  </si>
  <si>
    <t>Nama Perk :  PEMELIHARAAN TRANSMISI DAN DISTRIBUSI LAINNYA</t>
  </si>
  <si>
    <t>Kode Perkiraan : 93.02.90</t>
  </si>
  <si>
    <t>Nama Perk :  BEBAN PENYUSUTAN TRANSMISI DAN DISTRIBUSI</t>
  </si>
  <si>
    <t>Nama Perk :  BEBAN PEGAWAI BAGIAN UMUM</t>
  </si>
  <si>
    <t>Nama Perk :  BANTUAN DAN SUMBANGAN</t>
  </si>
  <si>
    <t>Nama Perk :  RUPA-RUPA BIAYA PEGAWAI</t>
  </si>
  <si>
    <t>Nama Perk :  BEBAN ALAT TULIS KANTOR DAN FOTO COPY</t>
  </si>
  <si>
    <t>Nama Perk :  BARANG -BARANG CETAKAN</t>
  </si>
  <si>
    <t>Nama Perk :  PERLENGKAPAN KOMPUTER</t>
  </si>
  <si>
    <t>Nama Perk :  BEBAN TELEPON, TELEX, TELEGRAM</t>
  </si>
  <si>
    <t>Nama Perk :  BEBAN RAPAT DAN TAMU</t>
  </si>
  <si>
    <t>Nama Perk :  BEBAN POS DAN MATERAI</t>
  </si>
  <si>
    <t>Nama Perk :  BEBAN LISTRIK/PENERANGAN</t>
  </si>
  <si>
    <t xml:space="preserve">Nama Perk :  BEBAN CLEANING SERVICE </t>
  </si>
  <si>
    <t>Nama Perk :  BEBAN PROMOSI</t>
  </si>
  <si>
    <t>Nama Perk :  RUPA-RUPA BEBAN URUSAN LANGGANAN</t>
  </si>
  <si>
    <t>Nama Perk :  PEMELIHARAAN KENDARAAN</t>
  </si>
  <si>
    <t>Nama Perk :  PEMELIHARAAN TAMAN DAN LAPANG</t>
  </si>
  <si>
    <t>Nama Perk :  BEBAN IURAN BERLANGGANAN</t>
  </si>
  <si>
    <t>Nama Perk :  BEBAN BADAN PENGAWAS</t>
  </si>
  <si>
    <t>Nama Perk : BEBAN  PERJALANAN DINAS</t>
  </si>
  <si>
    <t>Nama Perk :  BEBAN JASA PROFESIONAL</t>
  </si>
  <si>
    <t>Nama Perk :  BEBAN SEWA</t>
  </si>
  <si>
    <t>Nama Perk :  BEBAN PAJAK PEMDA</t>
  </si>
  <si>
    <t>Nama Perk :  BEBAN UMUM LAINNYA</t>
  </si>
  <si>
    <t>Nama Perk :  PIUTANG REKENING AIR-BEBAN TETAP</t>
  </si>
  <si>
    <t>Nama Perk :  KENDARAAN/ALAT PENGANGKUTAN</t>
  </si>
  <si>
    <t>Nama Perk :  INVENTARIS/PERABOT KANTOR</t>
  </si>
  <si>
    <t>Nama Perk :  AKUM PENYST. KENDARAAN/ALAT PENGANGKUTAN</t>
  </si>
  <si>
    <t>Nama Perk :  AKUM. PENYUSUTAN IVENTARIS/PERABOT KANTOR</t>
  </si>
  <si>
    <t>Nama Perk :  AKUM. AMORTISASI ASET TAK BERWUJUD</t>
  </si>
  <si>
    <t>Nama Perk :  KEKAYAAN PEMDA YANG DIPISAHKAN</t>
  </si>
  <si>
    <t>Nama Perk :  BIAYA AIR BAKU</t>
  </si>
  <si>
    <t>Nama Perk :  BIAYA PENYUSUTAN SUMBER AIR</t>
  </si>
  <si>
    <t>Nama Perk :  Pemeliharaan Instalasi Pengolahan Lainnya</t>
  </si>
  <si>
    <t>Nama Perk :  BEBAN PEGAWAI TRANDIST</t>
  </si>
  <si>
    <t>Nama Perk :  RUPA-RUPA BIAYA OPERASI TRANDIST</t>
  </si>
  <si>
    <t xml:space="preserve">                           </t>
  </si>
  <si>
    <t>Nama Perk :  BEBAN NON OPERASIONAL</t>
  </si>
  <si>
    <t>DVUD</t>
  </si>
  <si>
    <t>B. Listrik PLN Sumber Air</t>
  </si>
  <si>
    <t>Pemby. Iuran DPD PERPAMSI Kal-Teng</t>
  </si>
  <si>
    <t>Honorarium Dewas &amp; Sekretariat Dewas</t>
  </si>
  <si>
    <t>Pemby. Gaji Bagian Adm &amp; Umum</t>
  </si>
  <si>
    <t>Pemby. Gaji Bagian Trandist</t>
  </si>
  <si>
    <t>Pemby. Gaji Bagian Produksi</t>
  </si>
  <si>
    <t>Nama Perk :  RUPA-RUPA BEBAN KANTOR (LAINNYA)</t>
  </si>
  <si>
    <t>Nama Perk :  B. PEMAKAIAN BAHAN/PERLENGKAPAN</t>
  </si>
  <si>
    <t>Nama Perk :  PEMELIHARAAN INVENTARIS KANTOR</t>
  </si>
  <si>
    <t xml:space="preserve">31 Jan </t>
  </si>
  <si>
    <t>Rekapituasi Utang Usaha Berdasarkan DVUD</t>
  </si>
  <si>
    <t>DVUD/JBK</t>
  </si>
  <si>
    <t>JU</t>
  </si>
  <si>
    <t>Piutang Rek Air berdasarkan DRD</t>
  </si>
  <si>
    <t>JRA</t>
  </si>
  <si>
    <t xml:space="preserve">01 Jan </t>
  </si>
  <si>
    <t>Saldo aAwal</t>
  </si>
  <si>
    <t xml:space="preserve">01 Jan  </t>
  </si>
  <si>
    <t>Saldo Awal</t>
  </si>
  <si>
    <t>01 Jan</t>
  </si>
  <si>
    <t>Saldo AWAL</t>
  </si>
  <si>
    <t>Nama Perk :  PERSEDIAAN BAHAN OPERASI KIMIA (TAWAS)</t>
  </si>
  <si>
    <t>Nama Perk :  PERSEDIAAN BAHAN OPERASI KIMIA (KAPORIT)</t>
  </si>
  <si>
    <t>Nama Perk :  PERSEDIAAN BAHAN OPERASI KIMIA (SODA ASH)</t>
  </si>
  <si>
    <t>Nama Perk :  PERSEDIAAN BAHAN INSTALASI</t>
  </si>
  <si>
    <t>Nama Perk :  AKUM. PENYST. INSTALASI SUMBER AIR</t>
  </si>
  <si>
    <t>Nama Perk : AKUM. PENYUSUTAN INST. PENGOLAHAN AIR</t>
  </si>
  <si>
    <t>Nama Perk :  AKUM. PENYUSUTAN JARINGAN TRANDIST</t>
  </si>
  <si>
    <t>Nama Perk :  AKUMULASI PENYUSUTAN BANGUNAN</t>
  </si>
  <si>
    <t>Nama Perk :  AKUM. PENYU. PERALATAN DAN PERLENGKAPAN</t>
  </si>
  <si>
    <t>Laba/Rugi Tahun Lalu</t>
  </si>
  <si>
    <t>Pendapatan Harga Air berdasarkan DRD</t>
  </si>
  <si>
    <t>Rekapitulasi Pendapatan SR Baru</t>
  </si>
  <si>
    <t>JPK. RNA</t>
  </si>
  <si>
    <t>Rekapitulasi Pendapatan Penyamb.Kembali</t>
  </si>
  <si>
    <t>Rekapitulasi Pendapatan Denda</t>
  </si>
  <si>
    <t>JPK.RNA</t>
  </si>
  <si>
    <t>Bunga DEPOSITO</t>
  </si>
  <si>
    <t xml:space="preserve">Pendapatan Jasa Giro Rek Koran </t>
  </si>
  <si>
    <t>Pemakaian Persdiaan</t>
  </si>
  <si>
    <t>31 Jan</t>
  </si>
  <si>
    <t>Laba/Rugi Bulan januari</t>
  </si>
  <si>
    <t>Rekap Penerimaan kas januari</t>
  </si>
  <si>
    <t>JPK/JPK.RNA/JU</t>
  </si>
  <si>
    <t>Rekap Pengeluaran kas januari</t>
  </si>
  <si>
    <t>JBK</t>
  </si>
  <si>
    <t>Rekap Perimaan Piutang bulan Januari</t>
  </si>
  <si>
    <t>Rekap Perimaan Piutang adm bulan Januari</t>
  </si>
  <si>
    <t>Piutang Adm &amp; DM berdasarkan DRD</t>
  </si>
  <si>
    <t>JPK.RA</t>
  </si>
  <si>
    <t>Pemakaian Bahan Instalasi</t>
  </si>
  <si>
    <t>JPBIK</t>
  </si>
  <si>
    <t>JPIBK</t>
  </si>
  <si>
    <t xml:space="preserve">Saldo Awal </t>
  </si>
  <si>
    <t>Nama Perk :  PENDAPATAN SUBSIDI TARIF AIR</t>
  </si>
  <si>
    <t>Pemakaian Solar Selama Sebulan</t>
  </si>
  <si>
    <t>29 Feb</t>
  </si>
  <si>
    <t>Pendapatan HA-Beban tetap berdasarkan DRD</t>
  </si>
  <si>
    <t>09 Feb</t>
  </si>
  <si>
    <t>FEBRUARI</t>
  </si>
  <si>
    <t>Nama Perk :  RUPA-RUPA BEBAN PENGOLAHAN AIR</t>
  </si>
  <si>
    <t>Penyusutan aset sumber air Januari</t>
  </si>
  <si>
    <t>Penyusutan Inst. Pengolah  Air Januari</t>
  </si>
  <si>
    <t>Penyusutan Inst. Trandist Januari</t>
  </si>
  <si>
    <t>Penyusutan Non Pabrik Air Januari</t>
  </si>
  <si>
    <t>Amortisasi Aset Tidak Berwujud</t>
  </si>
  <si>
    <t>Penyusutan Bulan Januari</t>
  </si>
  <si>
    <t>Amortisasi bulan Januari</t>
  </si>
  <si>
    <t>Penyusutan Bulan Februari</t>
  </si>
  <si>
    <t>Penyusutan aset sumber air Februari</t>
  </si>
  <si>
    <t>Penyusutan Inst. Pengolah  Air Februari</t>
  </si>
  <si>
    <t>Penyusutan Inst. Trandist Februari</t>
  </si>
  <si>
    <t>Penyusutan Non Pabrik Air Februari</t>
  </si>
  <si>
    <t>09 Mar</t>
  </si>
  <si>
    <t>MARET</t>
  </si>
  <si>
    <t>Pembelian Kaporit</t>
  </si>
  <si>
    <t>Pulsa Listrik Kantor</t>
  </si>
  <si>
    <t>Rekap Penerimaan kas Feb</t>
  </si>
  <si>
    <t>Rekap Pengeluaran kas Feb</t>
  </si>
  <si>
    <t>Rekap Penerimaan kas Mar</t>
  </si>
  <si>
    <t>Rekap Pengeluaran kas Mar</t>
  </si>
  <si>
    <t>31 Mar</t>
  </si>
  <si>
    <t>Rekap Perimaan Piutang bulan Maret</t>
  </si>
  <si>
    <t>Rekap Perimaan Piutang adm bulan Februari</t>
  </si>
  <si>
    <t>Rekap Perimaan Piutang adm bulan Maret</t>
  </si>
  <si>
    <t>Laba/Rugi Bulan Februari</t>
  </si>
  <si>
    <t>Laba/Rugi Bulan Maret</t>
  </si>
  <si>
    <t>Rekap Pendapatan Mobil Tangki</t>
  </si>
  <si>
    <t>Nama Perk :  PENDAPATAN DITERIMA DIMUKA</t>
  </si>
  <si>
    <t>Penyusutan Bulan Maret</t>
  </si>
  <si>
    <t>Penyusutan aset sumber air Maret</t>
  </si>
  <si>
    <t>Penyusutan Inst. Pengolah  Air Maret</t>
  </si>
  <si>
    <t>Penyusutan Inst. Trandist Maret</t>
  </si>
  <si>
    <t>Penyusutan Non Pabrik Air Maret</t>
  </si>
  <si>
    <t>09 April</t>
  </si>
  <si>
    <t>APRIL</t>
  </si>
  <si>
    <t>30 April</t>
  </si>
  <si>
    <t>Laba/Rugi Bulan April</t>
  </si>
  <si>
    <t>Penyusutan Inst. Pengolah  Air April</t>
  </si>
  <si>
    <t>Penyusutan Inst. Trandist April</t>
  </si>
  <si>
    <t>Penyusutan Non Pabrik Air April</t>
  </si>
  <si>
    <t>Penyusutan Bulan April</t>
  </si>
  <si>
    <t>31 Mei</t>
  </si>
  <si>
    <t>Rekap Penerimaan kas April</t>
  </si>
  <si>
    <t>Rekap Pengeluaran kas April</t>
  </si>
  <si>
    <t>Rekap Penerimaan kas Mei</t>
  </si>
  <si>
    <t>Rekap Pengeluaran kas Mei</t>
  </si>
  <si>
    <t>Rekap Perimaan Piutang bulan April</t>
  </si>
  <si>
    <t>Rekap Perimaan Piutang bulan Mei</t>
  </si>
  <si>
    <t>Rekap Perimaan Piutang adm bulan April</t>
  </si>
  <si>
    <t>Laba/Rugi Bulan Mei</t>
  </si>
  <si>
    <t>MEI</t>
  </si>
  <si>
    <t>Penyusutan Bulan Mei</t>
  </si>
  <si>
    <t>Penyusutan aset sumber air April</t>
  </si>
  <si>
    <t>Penyusutan aset sumber air Mei</t>
  </si>
  <si>
    <t>Penyusutan Inst. Pengolah  Air Mei</t>
  </si>
  <si>
    <t>Penyusutan Inst. Trandist Mei</t>
  </si>
  <si>
    <t>31 Juni</t>
  </si>
  <si>
    <t>Rekap Penerimaan kas Juni</t>
  </si>
  <si>
    <t>Rekap Pengeluaran kas Juni</t>
  </si>
  <si>
    <t>30 Juni</t>
  </si>
  <si>
    <t>Rekap Perimaan Piutang bulan Juni</t>
  </si>
  <si>
    <t>Rekap Perimaan Piutang adm bulan Mei</t>
  </si>
  <si>
    <t>30 juni</t>
  </si>
  <si>
    <t>Penyusutan Bulan Juni</t>
  </si>
  <si>
    <t>Amortisasi bulan Februari</t>
  </si>
  <si>
    <t>Laba/Rugi Bulan Juni</t>
  </si>
  <si>
    <t>JUNI</t>
  </si>
  <si>
    <t>Penyusutan aset sumber air Juni</t>
  </si>
  <si>
    <t>Penyusutan Inst. Pengolah  Air Juni</t>
  </si>
  <si>
    <t>Penyusutan Inst. Trandist Juni</t>
  </si>
  <si>
    <t>Penyusutan Non Pabrik Air Mei</t>
  </si>
  <si>
    <t>Penyusutan Non Pabrik Air Juni</t>
  </si>
  <si>
    <t>01 Juli</t>
  </si>
  <si>
    <t>31 Juli</t>
  </si>
  <si>
    <t>Rekap Penerimaan kas Juli</t>
  </si>
  <si>
    <t>Rekap Pengeluaran kas Juli</t>
  </si>
  <si>
    <t>Rekap Perimaan Piutang bulan Juli</t>
  </si>
  <si>
    <t>Rekap Perimaan Piutang adm bulan Juni</t>
  </si>
  <si>
    <t>Rekap Perimaan Piutang adm bulan Juli</t>
  </si>
  <si>
    <t>Laba/Rugi Bulan Juli</t>
  </si>
  <si>
    <t>09 Juli</t>
  </si>
  <si>
    <t>JULI</t>
  </si>
  <si>
    <t>Penyusutan aset sumber air Juli</t>
  </si>
  <si>
    <t>Penyusutan Inst. Pengolah  Air Juli</t>
  </si>
  <si>
    <t>Penyusutan Inst. Trandist Juli</t>
  </si>
  <si>
    <t>Penyusutan Bulan Juli</t>
  </si>
  <si>
    <t>31 Agust</t>
  </si>
  <si>
    <t>Rekap Penerimaan kas Agustus</t>
  </si>
  <si>
    <t>Rekap Pengeluaran kas Agustus</t>
  </si>
  <si>
    <t>31 Agustus</t>
  </si>
  <si>
    <t>Rekap Perimaan Piutang bulan Agustus</t>
  </si>
  <si>
    <t xml:space="preserve">Rekap Perimaan Piutang adm bulan Agust </t>
  </si>
  <si>
    <t xml:space="preserve">31 Agust </t>
  </si>
  <si>
    <t>Penyusutan Bulan Agust</t>
  </si>
  <si>
    <t>Laba/Rugi Bulan Agust</t>
  </si>
  <si>
    <t>AGUSTUS</t>
  </si>
  <si>
    <t>Kode Perkiraan : 93.01.30</t>
  </si>
  <si>
    <t>Nama Perk :  BEBAN BAHAN BAKAR</t>
  </si>
  <si>
    <t>Nama Perk :  PEMELIHARAAN INSTALASI</t>
  </si>
  <si>
    <t>27 Agust</t>
  </si>
  <si>
    <t>Kode Perkiraan : 92.01.30</t>
  </si>
  <si>
    <t>Nama Perk :  Pemakaian Bahan Pembantu</t>
  </si>
  <si>
    <t>Nama Perk :  PEMELIHARAAN BANGUNAN DAN PENYEMPURNAAN TANAH</t>
  </si>
  <si>
    <t>Kode Perkiraan : 91.02.10</t>
  </si>
  <si>
    <t>Penyusutan aset sumber air Agust</t>
  </si>
  <si>
    <t>Penyusutan Inst. Pengolah  Air Agust</t>
  </si>
  <si>
    <t>Penyusutan Inst. Trandist Agust</t>
  </si>
  <si>
    <t>01 Sept</t>
  </si>
  <si>
    <t>30 Sept</t>
  </si>
  <si>
    <t>Rekap Penerimaan kas September</t>
  </si>
  <si>
    <t>Rekap Pengeluaran kas September</t>
  </si>
  <si>
    <t>Rekap Perimaan Piutang adm bulan Sept</t>
  </si>
  <si>
    <t>Laba/Rugi Bulan Sept</t>
  </si>
  <si>
    <t>09 Sept</t>
  </si>
  <si>
    <t>SEPTEMBER</t>
  </si>
  <si>
    <t>Penyusutan Bulan Sept</t>
  </si>
  <si>
    <t>Penyusutan aset sumber air Sept</t>
  </si>
  <si>
    <t>Penyusutan Inst. Pengolah  Air Sept</t>
  </si>
  <si>
    <t>Penyusutan Inst. Trandist Sept</t>
  </si>
  <si>
    <t>OKTOBER</t>
  </si>
  <si>
    <t>09 Okt</t>
  </si>
  <si>
    <t>Kode Perkiraan : 96.04.00</t>
  </si>
  <si>
    <t>Nama Perk :  BEBAN PENELITIAN DAN PENGEMBANGAN</t>
  </si>
  <si>
    <t>27 Okt</t>
  </si>
  <si>
    <t>Rekap Pengeluaran kas Oktober</t>
  </si>
  <si>
    <t>Rekap Penerimaan kas Oktober</t>
  </si>
  <si>
    <t>01 Okt</t>
  </si>
  <si>
    <t>31 Okt</t>
  </si>
  <si>
    <t>JBK/JU</t>
  </si>
  <si>
    <t>Rekap Perimaan Piutang bulan September</t>
  </si>
  <si>
    <t>Rekap Perimaan Piutang adm bulan Okt</t>
  </si>
  <si>
    <t>Laba/Rugi Bulan Okt</t>
  </si>
  <si>
    <t>Penyusutan aset sumber air Okt</t>
  </si>
  <si>
    <t>Penyusutan Inst. Pengolah  Air Okt</t>
  </si>
  <si>
    <t>Penyusutan Inst. Trandist Okt</t>
  </si>
  <si>
    <t>Penyusutan Non Pabrik Air Juli</t>
  </si>
  <si>
    <t>Penyusutan Non Pabrik Air Agust</t>
  </si>
  <si>
    <t>Penyusutan Non Pabrik Air Sept</t>
  </si>
  <si>
    <t>Penyusutan Non Pabrik Air Okt</t>
  </si>
  <si>
    <t>Penyusutan Bulan Okt</t>
  </si>
  <si>
    <t>01 Nov</t>
  </si>
  <si>
    <t>30 Nov</t>
  </si>
  <si>
    <t>Rekap Penerimaan kas November</t>
  </si>
  <si>
    <t>Rekap Pengeluaran kas November</t>
  </si>
  <si>
    <t>Rekap Perimaan Piutang bulan Oktober</t>
  </si>
  <si>
    <t xml:space="preserve">Penyusutan Bulan Nov </t>
  </si>
  <si>
    <t>Penyusutan Bulan Nov</t>
  </si>
  <si>
    <t>Laba/Rugi Bulan Nov</t>
  </si>
  <si>
    <t>NOVEMBER</t>
  </si>
  <si>
    <t>Penyusutan aset sumber air Nov</t>
  </si>
  <si>
    <t>Penyusutan Inst. Pengolah  Air Nov</t>
  </si>
  <si>
    <t>Penyusutan Inst. Trandist Nov</t>
  </si>
  <si>
    <t>Nama Perk :  BEBAN PENAGIHAN REKENING</t>
  </si>
  <si>
    <t>Pemby. Rek. Telepon</t>
  </si>
  <si>
    <t>26 Jan</t>
  </si>
  <si>
    <t>Pemb. Atk dan B. Foto Copy</t>
  </si>
  <si>
    <t xml:space="preserve">Pembelian Tawas </t>
  </si>
  <si>
    <t>Pemb. Soda Ash</t>
  </si>
  <si>
    <t>Pemby. Gaji Bagian Produksi IKK KB</t>
  </si>
  <si>
    <t>Pemby. Gaji Bagian Produksi IKK Hanau</t>
  </si>
  <si>
    <t>Gaji Clening Servise</t>
  </si>
  <si>
    <t>Pemb. BBM  Pick Up IKK Hanau</t>
  </si>
  <si>
    <t>Pemakaian Persediaan ASS SR utk Perbiakan pipa</t>
  </si>
  <si>
    <t>Pemakaian Persediaan ASS SR (HANAU)</t>
  </si>
  <si>
    <t>Pemakaian Persediaan ASS SR (KB)</t>
  </si>
  <si>
    <t>02 Feb</t>
  </si>
  <si>
    <t>Penerimaan Pembayaran Piutang</t>
  </si>
  <si>
    <t>28 Feb</t>
  </si>
  <si>
    <t>08 Feb</t>
  </si>
  <si>
    <t>B. Listrik PLN Sumber Air (Hanau)</t>
  </si>
  <si>
    <t>B. Listrik PLN Sumber Air (K. Bhakti)</t>
  </si>
  <si>
    <t>Pemb. Materai @10000</t>
  </si>
  <si>
    <t>Klaim Kas Kecil Bag. Distribusi</t>
  </si>
  <si>
    <t>Pemakaian Soda Ash Pusat</t>
  </si>
  <si>
    <t>Pemakaian Soda Ash Hanau</t>
  </si>
  <si>
    <t>Pemakaian Soda Ash Kartika Bhakti</t>
  </si>
  <si>
    <t>Pemakaian Kaporit Pusat</t>
  </si>
  <si>
    <t xml:space="preserve">Pemakaian Kaporit Hanau </t>
  </si>
  <si>
    <t>Pemakaian Kaporit Kartika Bhakti</t>
  </si>
  <si>
    <t>Pemakaian Tawas Pusat</t>
  </si>
  <si>
    <t xml:space="preserve">Pemakaian Tawas Hanau </t>
  </si>
  <si>
    <t>Pemakaian Tawas Kartika Bhakti</t>
  </si>
  <si>
    <t>Pemakaian Bahan Kimia Pusat</t>
  </si>
  <si>
    <t>Pemakaian Bahan Kimia Hanau</t>
  </si>
  <si>
    <t>Pemakaian Bahan Kimia Kartika Bhakti</t>
  </si>
  <si>
    <t>01 Mei</t>
  </si>
  <si>
    <t>10 Mei</t>
  </si>
  <si>
    <t>1 Juni</t>
  </si>
  <si>
    <t xml:space="preserve">Rekapitulasi Pend. Balik Nama </t>
  </si>
  <si>
    <t>30 JUNI</t>
  </si>
  <si>
    <t>Belanja Assesories SR</t>
  </si>
  <si>
    <t>31 JULI</t>
  </si>
  <si>
    <t>Subsidi dari PEMDA SERUYAN TRIWULAN I</t>
  </si>
  <si>
    <t>AGUST</t>
  </si>
  <si>
    <t>Pemb. Kertas Rekening</t>
  </si>
  <si>
    <t>31 AGUST</t>
  </si>
  <si>
    <t>AGUSTS</t>
  </si>
  <si>
    <t>SEPT</t>
  </si>
  <si>
    <t>30 SEPT</t>
  </si>
  <si>
    <t>31 OKT</t>
  </si>
  <si>
    <t>31 Des</t>
  </si>
  <si>
    <t>Penyusutan aset sumber air Des</t>
  </si>
  <si>
    <t>Penyusutan Inst. Pengolah  Air Des</t>
  </si>
  <si>
    <t>Penyusutan Inst. Trandist Des</t>
  </si>
  <si>
    <t>DESEMBER</t>
  </si>
  <si>
    <t>30 NOV</t>
  </si>
  <si>
    <t>31 DES</t>
  </si>
  <si>
    <t>Rekap Penerimaan kas Desember</t>
  </si>
  <si>
    <t>Rekap Pengeluaran kas Desember</t>
  </si>
  <si>
    <t>01 Des</t>
  </si>
  <si>
    <t>Rekap Perimaan Piutang bulan November</t>
  </si>
  <si>
    <t>Rekap Perimaan Piutang bulan Desember</t>
  </si>
  <si>
    <t>Rekap Perimaan Piutang adm bulan Nov</t>
  </si>
  <si>
    <t>Laba/Rugi Bulan Des</t>
  </si>
  <si>
    <t>09 Des</t>
  </si>
  <si>
    <t>Nama Perk :  PEMELIHARAAN BANGUNAN</t>
  </si>
  <si>
    <t>Penyusutan Bulan Des</t>
  </si>
  <si>
    <t>Penggantian Water Meter 0 SR (Hanau)</t>
  </si>
  <si>
    <t>Dana Representatif Direktur</t>
  </si>
  <si>
    <t>Biaya Rapat Pegawai</t>
  </si>
  <si>
    <t>JANUARI</t>
  </si>
  <si>
    <t xml:space="preserve">28 Feb </t>
  </si>
  <si>
    <t>Rekap Perimaan Piutang bulan Februari</t>
  </si>
  <si>
    <t>07 Feb</t>
  </si>
  <si>
    <t>21 Feb</t>
  </si>
  <si>
    <t>27 Feb</t>
  </si>
  <si>
    <t>31 Januari</t>
  </si>
  <si>
    <t>27 Mar</t>
  </si>
  <si>
    <t>Rekapitulasi Pend. Balik Nama</t>
  </si>
  <si>
    <t>MAY</t>
  </si>
  <si>
    <t>Piutang PT POS dan Koperasi &amp; Bank Kalteng</t>
  </si>
  <si>
    <t>18 Juli</t>
  </si>
  <si>
    <t>01 Agust</t>
  </si>
  <si>
    <t>Piutang PT POS, Bank Kalteng dan Koperasi</t>
  </si>
  <si>
    <t>Nama Perk :  PEMELIHARAAN PIPA INDUK</t>
  </si>
  <si>
    <t>Penggantian Water Meter 0 SR (K. BHAKTI)</t>
  </si>
  <si>
    <t>26 Sept</t>
  </si>
  <si>
    <t>17 Okt</t>
  </si>
  <si>
    <t>DVUD/JBK/JU</t>
  </si>
  <si>
    <t>OKT</t>
  </si>
  <si>
    <t>21 Nov</t>
  </si>
  <si>
    <t>NOV</t>
  </si>
  <si>
    <t>DES</t>
  </si>
  <si>
    <t>Piutang PT POS, Koperasi &amp; Bank Kalteng</t>
  </si>
  <si>
    <t>Pembelian Dexlite 437 L</t>
  </si>
  <si>
    <t>30 Jan</t>
  </si>
  <si>
    <t>31 Jan 23</t>
  </si>
  <si>
    <t>Nama Perk :  PIUTANG BUNGA DEPOSITO</t>
  </si>
  <si>
    <t>Nama Perk :  IMBALAN PASCA KERJA</t>
  </si>
  <si>
    <t>JP</t>
  </si>
  <si>
    <t xml:space="preserve">Koreksi </t>
  </si>
  <si>
    <t>Kode Perkiraan : 13.04.00</t>
  </si>
  <si>
    <t>02 April</t>
  </si>
  <si>
    <t>03 Feb</t>
  </si>
  <si>
    <t>Pembelian Dexlite 270 L</t>
  </si>
  <si>
    <t>Pembelian Dexlite 300 L</t>
  </si>
  <si>
    <t>06 Feb</t>
  </si>
  <si>
    <t>Pembelian Dexlite 390 L</t>
  </si>
  <si>
    <t>Pembelian Dexlite 360 L</t>
  </si>
  <si>
    <t>Pembelian Dexlite 510 L</t>
  </si>
  <si>
    <t>10 Feb</t>
  </si>
  <si>
    <t>13 Feb</t>
  </si>
  <si>
    <t>Pembelian Dexlite 330 L</t>
  </si>
  <si>
    <t>14 Feb</t>
  </si>
  <si>
    <t>Pembelian Dexlite 450 L</t>
  </si>
  <si>
    <t>15 Feb</t>
  </si>
  <si>
    <t>Pembelian Dexlite 570 L</t>
  </si>
  <si>
    <t>17 Feb</t>
  </si>
  <si>
    <t>16 Feb</t>
  </si>
  <si>
    <t>Pembelian Dexlite 210 L</t>
  </si>
  <si>
    <t>20 Feb</t>
  </si>
  <si>
    <t>Pembelian Dexlite 420 L</t>
  </si>
  <si>
    <t>22 Feb</t>
  </si>
  <si>
    <t>23 Feb</t>
  </si>
  <si>
    <t>24 Feb</t>
  </si>
  <si>
    <t xml:space="preserve">Pemb. Soda Ash </t>
  </si>
  <si>
    <t>JPK-RA</t>
  </si>
  <si>
    <t>06 Mar</t>
  </si>
  <si>
    <t>13 Mar</t>
  </si>
  <si>
    <t>JPK-RNA</t>
  </si>
  <si>
    <t>Rekapitulasi Pend. Pipa SR</t>
  </si>
  <si>
    <t>Kelebihan Setoran Loket Kantor</t>
  </si>
  <si>
    <t>Klaim Belanja Kas Kecil Bag. Adm Umum</t>
  </si>
  <si>
    <t>Belanja Kas Kecil Bag. Produksi</t>
  </si>
  <si>
    <t xml:space="preserve">Pemb. Kertas Rekening </t>
  </si>
  <si>
    <t>12 Juni</t>
  </si>
  <si>
    <t>Pemby. Keamanan Kantor &amp; Tanjung Paring</t>
  </si>
  <si>
    <t>Belanja Kas Kecil IKK K. Bhakti</t>
  </si>
  <si>
    <t>Belanja Kas Kecil IKK P. Hulu</t>
  </si>
  <si>
    <t>10 Juli</t>
  </si>
  <si>
    <t>Honorarium Tim SKK dgn Kejaksaan</t>
  </si>
  <si>
    <t>30 Juli</t>
  </si>
  <si>
    <t xml:space="preserve">Pemb. Atk dan B. Foto </t>
  </si>
  <si>
    <t>29 Agust</t>
  </si>
  <si>
    <t>11 Sept</t>
  </si>
  <si>
    <t>18 Sept</t>
  </si>
  <si>
    <t/>
  </si>
  <si>
    <t>16 Okt</t>
  </si>
  <si>
    <t>Honorarium Tim Penagihan Piutang Rek. Air</t>
  </si>
  <si>
    <t>03 Nov</t>
  </si>
  <si>
    <t>13 Nov</t>
  </si>
  <si>
    <t>20 Nov</t>
  </si>
  <si>
    <t>26 Nov</t>
  </si>
  <si>
    <t>Nama Perk :  PERSEDIAAN BAHAN OPERASI KIMIA (MAGNOFLOG)</t>
  </si>
  <si>
    <t>Pemakaian Magnoflog Pusat</t>
  </si>
  <si>
    <t>Pemakaian Magnoflog Hanau</t>
  </si>
  <si>
    <t xml:space="preserve">31 Des </t>
  </si>
  <si>
    <t>13 Des</t>
  </si>
  <si>
    <t>Piutang Bunga DEPOSITO</t>
  </si>
  <si>
    <t>Kode Perkiraan : 50.07.00</t>
  </si>
  <si>
    <t>Nama Perk :  BEBAN IMBALAN PASCA KERJA</t>
  </si>
  <si>
    <t>Defisit Atas Imbalan Pasca Kerja dari DAPENMA PAMSI</t>
  </si>
  <si>
    <t>Defisit Imbalan Pasca Kerja dari DAPENMA</t>
  </si>
  <si>
    <t>Koreksi karena pot pph 21 harusnya masuk b.pph 21</t>
  </si>
  <si>
    <t>Koreksi Penyusutan</t>
  </si>
  <si>
    <t>Pendapatan Bunga Deposito blm diterima</t>
  </si>
  <si>
    <t xml:space="preserve">Penerimaan Bunga Deposito </t>
  </si>
  <si>
    <t>Perpanjangan STNK KH 8088 PW</t>
  </si>
  <si>
    <t>Service Mobil Avanza KH1407PE</t>
  </si>
  <si>
    <t>23 Jan</t>
  </si>
  <si>
    <t>Pemb. Tabung Gas 12 kg</t>
  </si>
  <si>
    <t>Biaya Penagihan Tunggakan</t>
  </si>
  <si>
    <t>Pemby. Insentife Hari Raya Keagamaan</t>
  </si>
  <si>
    <t>Pemakaian Magnoflog K. Bhakti</t>
  </si>
  <si>
    <t>Penggantian Water Meter 3 SR (Hanau)</t>
  </si>
  <si>
    <t>05 Feb</t>
  </si>
  <si>
    <t>12 Feb</t>
  </si>
  <si>
    <t>Service Avanza KH 1407PE</t>
  </si>
  <si>
    <t>Pemb. BBM Operasional Pick Up &amp; Bag. Lapangan</t>
  </si>
  <si>
    <t>Penggantian Water Meter 3 SR (K. BHAKTI)</t>
  </si>
  <si>
    <t>Penyesuaian Rek PEMDA ke Billing</t>
  </si>
  <si>
    <t>05 Mar</t>
  </si>
  <si>
    <t>26 Mar</t>
  </si>
  <si>
    <t>Pulsa Listrik loket</t>
  </si>
  <si>
    <t>25 Mar</t>
  </si>
  <si>
    <t>Pulsa Listrik Loket</t>
  </si>
  <si>
    <t>22 April</t>
  </si>
  <si>
    <t>Insentif Petugas Piket Hari Besar &amp; Cuti Bersama</t>
  </si>
  <si>
    <t>29 April</t>
  </si>
  <si>
    <t>Biaya Pembersihan area sekitar intake</t>
  </si>
  <si>
    <t>Biaya Transfer</t>
  </si>
  <si>
    <t>JPBIK/DVUD</t>
  </si>
  <si>
    <t>Penggantian Water Meter 2 SR (K. BHAKTI)</t>
  </si>
  <si>
    <t>28 Mei</t>
  </si>
  <si>
    <t>02 Mei</t>
  </si>
  <si>
    <t>06 Mei</t>
  </si>
  <si>
    <t>20 Mei</t>
  </si>
  <si>
    <t>22 Mei</t>
  </si>
  <si>
    <t>Pemby. Insentife Khusus Hari Besar</t>
  </si>
  <si>
    <t>10 Juni</t>
  </si>
  <si>
    <t>03 Juni</t>
  </si>
  <si>
    <t>11 Juni</t>
  </si>
  <si>
    <t xml:space="preserve">Biaya EVKIN BPKP Prov Kalteng TB 2023 </t>
  </si>
  <si>
    <t>13 Juni</t>
  </si>
  <si>
    <t>20 Juni</t>
  </si>
  <si>
    <t>24 Juni</t>
  </si>
  <si>
    <t>Penggantian Water Meter 1 SR (Hanau)</t>
  </si>
  <si>
    <t>01 Juni</t>
  </si>
  <si>
    <t>Service Pick Up KH 8088 PW</t>
  </si>
  <si>
    <t>08 Juli</t>
  </si>
  <si>
    <t>15 Juli</t>
  </si>
  <si>
    <t>17 Juli</t>
  </si>
  <si>
    <t>22 Juli</t>
  </si>
  <si>
    <t>Biaya Pembersihan area sekitar intake sei mitak</t>
  </si>
  <si>
    <t>26 Agust</t>
  </si>
  <si>
    <t>31 Aguts</t>
  </si>
  <si>
    <t>32 Okt</t>
  </si>
  <si>
    <t>10 Agust</t>
  </si>
  <si>
    <t>05 Agust</t>
  </si>
  <si>
    <t>Pembelian Dexlite 360 L utk Operasi T.Paring</t>
  </si>
  <si>
    <t>Insentif Petugas Loket</t>
  </si>
  <si>
    <t>Penggantian Water Meter 6 SR (K. BHAKTI)</t>
  </si>
  <si>
    <t>Piutang PT POS&amp; Bank Kalteng</t>
  </si>
  <si>
    <t>10 Sept</t>
  </si>
  <si>
    <t>30 Septemb</t>
  </si>
  <si>
    <t>06 Sept</t>
  </si>
  <si>
    <t>24 Sept</t>
  </si>
  <si>
    <t>BBM Operasinal Avanza KH1252 &amp; KH1407</t>
  </si>
  <si>
    <t>Pemb. BBM Solar Ops. Mobil Tangki</t>
  </si>
  <si>
    <t>Penggantian Water Meter 2 SR (Hanau)</t>
  </si>
  <si>
    <t>Piutang PT Bank BPD, POS</t>
  </si>
  <si>
    <t>14 Okt</t>
  </si>
  <si>
    <t>15 Okt</t>
  </si>
  <si>
    <t>pemb. Prostek,Stella,Super Pel,Tisuu Dll</t>
  </si>
  <si>
    <t>Honorarium Tim Khusus MOU Kejaksaan</t>
  </si>
  <si>
    <t>10 Nov</t>
  </si>
  <si>
    <t>Service Avanza KH 1252 PU</t>
  </si>
  <si>
    <t>Pemb. Portex, Cling isi ulang,super pel, dll</t>
  </si>
  <si>
    <t>04 Des</t>
  </si>
  <si>
    <t>12 Des</t>
  </si>
  <si>
    <t>16 Des</t>
  </si>
  <si>
    <t>17 Des</t>
  </si>
  <si>
    <t>19 Des</t>
  </si>
  <si>
    <t>23 Des</t>
  </si>
  <si>
    <t>24 Des</t>
  </si>
  <si>
    <t>Pemby. PPh 21 Gaji Bulan Des 25 &amp; Uang cuti</t>
  </si>
  <si>
    <t>Pajak Air Permukaan bulan Desember 2024</t>
  </si>
  <si>
    <t>Penggantian Water Meter 7 SR (K. BHAKTI)</t>
  </si>
  <si>
    <t>Pendapatan PPn Keluaran karena kompensasi PPn Masukan atas Pasba</t>
  </si>
  <si>
    <t>Kode Perkiraan : 91.02.20</t>
  </si>
  <si>
    <t>Kode Perkiraan : 91.02.30</t>
  </si>
  <si>
    <t>Kode Perkiraan : 91.02.40</t>
  </si>
  <si>
    <t>Kode Perkiraan : 91.03.10</t>
  </si>
  <si>
    <t>Kode Perkiraan : 91.03.40</t>
  </si>
  <si>
    <t>Nama Perk :  PEMELIHARAAN MATA AIR DAN SALURAN</t>
  </si>
  <si>
    <t>Kode Perkiraan : 91.03.60</t>
  </si>
  <si>
    <t>Kode Perkiraan : 91.03.70</t>
  </si>
  <si>
    <t>Kode Perkiraan : 91.03.80</t>
  </si>
  <si>
    <t>Kode Perkiraan : 91.03.90</t>
  </si>
  <si>
    <t>Kode Perkiraan : 91.04.00</t>
  </si>
  <si>
    <t>Kode Perkiraan : 91.05.00</t>
  </si>
  <si>
    <t>Nama Perk :  BEBAN KESEJAHTERAAN KARYAWAN PENGOLAHAN AIR</t>
  </si>
  <si>
    <t>Nama Perk :  BEBAN PAKAIAN DINAS &amp; OLGA P.AIR</t>
  </si>
  <si>
    <t>Kode Perkiraan : 92.01.40</t>
  </si>
  <si>
    <t>Nama Perk :  BEBAN PENDIDIKAN &amp; LATIHAN P. AIR</t>
  </si>
  <si>
    <t>Kode Perkiraan : 92.01.50</t>
  </si>
  <si>
    <t>Nama Perk :  BEBAN PEMBINAAN PEGAWAI P. AIR</t>
  </si>
  <si>
    <t>Nama Perk :  B. PEMAKAIAN BAHAN KIMIA</t>
  </si>
  <si>
    <t>Kode Perkiraan : 92.02.50</t>
  </si>
  <si>
    <t>Kode Perkiraan : 92.03.10</t>
  </si>
  <si>
    <t>Kode Perkiraan : 92.03.20</t>
  </si>
  <si>
    <t>Kode Perkiraan : 92.03.30</t>
  </si>
  <si>
    <t>Kode Perkiraan : 92.03.90</t>
  </si>
  <si>
    <t>Kode Perkiraan : 92.05.00</t>
  </si>
  <si>
    <t>Nama Perk :  B. KESEJAHTERAAN KARYAWAN TRANDIST</t>
  </si>
  <si>
    <t>Nama Perk :  B. PAKAIAN DINAS &amp; OLGA P. TRANDIST</t>
  </si>
  <si>
    <t>Nama Perk :  BEBAN PENDIDIKAN &amp; LATIHAN TRANDIST</t>
  </si>
  <si>
    <t>Kode Perkiraan : 93.01.40</t>
  </si>
  <si>
    <t>Kode Perkiraan : 93.01.50</t>
  </si>
  <si>
    <t>Nama Perk :  BEBAN PEMBINAAN PEGAWAI TRANDIST</t>
  </si>
  <si>
    <t>Kode Perkiraan : 93.01.60</t>
  </si>
  <si>
    <t>Kode Perkiraan : 93.01.70</t>
  </si>
  <si>
    <t>Kode Perkiraan : 93.03.00</t>
  </si>
  <si>
    <t>Kode Perkiraan : 97.01.10</t>
  </si>
  <si>
    <t>Kode Perkiraan : 97.01.20</t>
  </si>
  <si>
    <t>Nama Perk :  B. KESEJAHTERAAN KARYAWAN ADM UMUM</t>
  </si>
  <si>
    <t>Kode Perkiraan : 97.01.30</t>
  </si>
  <si>
    <t>Nama Perk :  B. PAKAIAN DINAS &amp; OLGA</t>
  </si>
  <si>
    <t>Kode Perkiraan : 97.01.40</t>
  </si>
  <si>
    <t>Nama Perk :  B. PENDIDIKAN &amp; LATIHAN ADM UMUM</t>
  </si>
  <si>
    <t>Iuran Dana Pensiun</t>
  </si>
  <si>
    <t>BPJS Kesehatan</t>
  </si>
  <si>
    <t>BPJS Ketenagakerjaan</t>
  </si>
  <si>
    <t>Kode Perkiraan : 97.01.50</t>
  </si>
  <si>
    <t>Nama Perk :  PEMBINAAN KARYAWAN ADM UMUM</t>
  </si>
  <si>
    <t>Kode Perkiraan : 97.01.60</t>
  </si>
  <si>
    <t>Kode Perkiraan : 97.01.90</t>
  </si>
  <si>
    <t>Kode Perkiraan : 97.02.10</t>
  </si>
  <si>
    <t>Kode Perkiraan : 97.02.20</t>
  </si>
  <si>
    <t>Kode Perkiraan : 97.02.30</t>
  </si>
  <si>
    <t>Kode Perkiraan : 97.02.40</t>
  </si>
  <si>
    <t>Kode Perkiraan : 97.02.50</t>
  </si>
  <si>
    <t>Kode Perkiraan : 97.02.60</t>
  </si>
  <si>
    <t>Kode Perkiraan : 97.02.70</t>
  </si>
  <si>
    <t>Kode Perkiraan : 97.02.80</t>
  </si>
  <si>
    <t>Kode Perkiraan : 97.02.90</t>
  </si>
  <si>
    <t>Kode Perkiraan : 97.03.30</t>
  </si>
  <si>
    <t>Kode Perkiraan : 97.03.70</t>
  </si>
  <si>
    <t>Kode Perkiraan : 97.03.80</t>
  </si>
  <si>
    <t>Kode Perkiraan : 97.06.10</t>
  </si>
  <si>
    <t>Kode Perkiraan : 97.06.20</t>
  </si>
  <si>
    <t>Kode Perkiraan : 97.06.30</t>
  </si>
  <si>
    <t>Kode Perkiraan : 97.06.40</t>
  </si>
  <si>
    <t>Kode Perkiraan : 97.06.50</t>
  </si>
  <si>
    <t>Kode Perkiraan : 97.07.10</t>
  </si>
  <si>
    <t>Kode Perkiraan : 97.07.20</t>
  </si>
  <si>
    <t>Kode Perkiraan : 97.07.30</t>
  </si>
  <si>
    <t>Nama Perk :  B. PENYISIHAN/PENGHAPUSAN PIUTANG</t>
  </si>
  <si>
    <t>Kode Perkiraan : 97.07.40</t>
  </si>
  <si>
    <t>Kode Perkiraan : 97.07.50</t>
  </si>
  <si>
    <t>Kode Perkiraan : 97.07.60</t>
  </si>
  <si>
    <t>Nama Perk :  BEBAN ASURANSI / KEAMANAN</t>
  </si>
  <si>
    <t>Kode Perkiraan : 97.07.70</t>
  </si>
  <si>
    <t>Kode Perkiraan : 97.07.80</t>
  </si>
  <si>
    <t>Kode Perkiraan : 97.07.90</t>
  </si>
  <si>
    <t>Kode Perkiraan : 97.08.00</t>
  </si>
  <si>
    <t>Kode Perkiraan : 97.09.00</t>
  </si>
  <si>
    <t>Nama Perk :  B. DEPRESIASI &amp; AMORTISASI UMUM</t>
  </si>
  <si>
    <t>Kode Perkiraan : 98.01.00</t>
  </si>
  <si>
    <t>06 Jan</t>
  </si>
  <si>
    <t>02 Jan</t>
  </si>
  <si>
    <t>Uang Minum IKK Hanau</t>
  </si>
  <si>
    <t>21 Jan</t>
  </si>
  <si>
    <t>Pemby. Paket Internet</t>
  </si>
  <si>
    <t>22 Jan</t>
  </si>
  <si>
    <t>Pengurasan reservoar Kap 500 M3</t>
  </si>
  <si>
    <t>Pengurasan reservoar Kap 100 M3 &amp;rehap jaringan pompa</t>
  </si>
  <si>
    <t>Pemb. Lampu</t>
  </si>
  <si>
    <t xml:space="preserve">Uang Makan </t>
  </si>
  <si>
    <t>Uang Minum IKK K. Bhakti</t>
  </si>
  <si>
    <t>Nama Perk :  BEBAN HARGA POKOK SAMBUNGAN BARU</t>
  </si>
  <si>
    <t>Kode Perkiraan : 96.00.00</t>
  </si>
  <si>
    <t>Pemasangan SR BARU 5 SR</t>
  </si>
  <si>
    <t>11 Feb</t>
  </si>
  <si>
    <t>04 Feb</t>
  </si>
  <si>
    <t>Klaim Kas Kecil Bag. HUBLANG</t>
  </si>
  <si>
    <t>Pemb. Roundap</t>
  </si>
  <si>
    <t>Pemby. Perbaikan Pompa Intake 25 HP</t>
  </si>
  <si>
    <t>Pemb. Door Closer Pintu Aula</t>
  </si>
  <si>
    <t>Biaya Pelatihan &amp; sertifikasi penyambungan pipa</t>
  </si>
  <si>
    <t>SPPD Pelatihan Hengky &amp; Zulfan ke SBY</t>
  </si>
  <si>
    <t>SPPD Pelatihan MR</t>
  </si>
  <si>
    <t>18 Feb</t>
  </si>
  <si>
    <t>Pembelian Magnoflog</t>
  </si>
  <si>
    <t>Tanah Urug &amp; Upah Perataan Tanah IKK KB</t>
  </si>
  <si>
    <t>19 Feb</t>
  </si>
  <si>
    <t>25 Feb</t>
  </si>
  <si>
    <t>27 feb</t>
  </si>
  <si>
    <t>Biaya Pembersihan Taman &amp; Lapangan</t>
  </si>
  <si>
    <t>Perbaikan Pompa Intake 11 KW</t>
  </si>
  <si>
    <t>Insentif P B/J Bahan Kimia</t>
  </si>
  <si>
    <t>03 Mar</t>
  </si>
  <si>
    <t>10 Mar</t>
  </si>
  <si>
    <t>11 Mar</t>
  </si>
  <si>
    <t>12 Mar</t>
  </si>
  <si>
    <t>17 Mar</t>
  </si>
  <si>
    <t>Biaya penggantian pompa intake</t>
  </si>
  <si>
    <t>19 Mar</t>
  </si>
  <si>
    <t>21 Maret</t>
  </si>
  <si>
    <t>Biaya Termin II (Lunas) Audit Lap Keu 2024</t>
  </si>
  <si>
    <t>Rehap Ruangan Distribusi &amp; Teras Plafon</t>
  </si>
  <si>
    <t>Biaya Pembuatan stiker PERUMDAM</t>
  </si>
  <si>
    <t>Penyesuaian Kelebihan pada pembayaran rek pelanggan via pos</t>
  </si>
  <si>
    <t>01 april</t>
  </si>
  <si>
    <t xml:space="preserve">09 April </t>
  </si>
  <si>
    <t>Pemb. Pembersihan keperluan cleaning service</t>
  </si>
  <si>
    <t>Pemb Spanduk Perumdam</t>
  </si>
  <si>
    <t>Pem. Oli dan Pylog</t>
  </si>
  <si>
    <t>Pemb. Mesin Chain Saw Maestrow</t>
  </si>
  <si>
    <t>10 April</t>
  </si>
  <si>
    <t>Pemby. PPh 21 Gaji Bulan Maret 25</t>
  </si>
  <si>
    <t>Rehap Ruangan Teknik Distribusi</t>
  </si>
  <si>
    <t>Pemby. Iklan Ucapan Hari Raya 1446 H</t>
  </si>
  <si>
    <t>Pemb. Demolition Hammer 1306 Makita</t>
  </si>
  <si>
    <t>Pemb. Alat Penangkal Petir</t>
  </si>
  <si>
    <t>14 April</t>
  </si>
  <si>
    <t>SPPD. An. Kardi,Obi,Bagus ke Hanau</t>
  </si>
  <si>
    <t>15 April</t>
  </si>
  <si>
    <t>Iuran TV Kabel Bulan Maret -April</t>
  </si>
  <si>
    <t>15 Apriul</t>
  </si>
  <si>
    <t>SPPD An. Radiun,Tri M,Lulu,Boman ke P. Bun</t>
  </si>
  <si>
    <t>21 April</t>
  </si>
  <si>
    <t xml:space="preserve">Pemb. Bingkai Foto </t>
  </si>
  <si>
    <t>21 april</t>
  </si>
  <si>
    <t>SPPD An. Syahdan, soni ke P. Hulu</t>
  </si>
  <si>
    <t>Biaya Service Avanza KH1252 PU &amp; KH1407</t>
  </si>
  <si>
    <t>23 April</t>
  </si>
  <si>
    <t>Biaya Pembersihan sekitar IPA IKK K. Bhakti</t>
  </si>
  <si>
    <t>24 April</t>
  </si>
  <si>
    <t>28 April</t>
  </si>
  <si>
    <t>Iuran Anggota B. Perpamsi APRIL</t>
  </si>
  <si>
    <t>BBm Avanza KH 1407 PE &amp; KH 1252 PU</t>
  </si>
  <si>
    <t>Pajak Air Permukaan Bulan Jan - Maret 2025</t>
  </si>
  <si>
    <t>Insentif Hari Besar keagamaan &amp; Cuti Bersama</t>
  </si>
  <si>
    <t>Pemby. PPh 21 Gaji Bulan April 25</t>
  </si>
  <si>
    <t>Pemb. Senter</t>
  </si>
  <si>
    <t>Biaya pemindahan bahan kimia</t>
  </si>
  <si>
    <t>Belanja Assesories (water Meter)</t>
  </si>
  <si>
    <t>Penggantian Water Meter 38 SR</t>
  </si>
  <si>
    <t>15 Mei</t>
  </si>
  <si>
    <t xml:space="preserve">Koreksi DRD April Pusat </t>
  </si>
  <si>
    <t>Jurnal Pembalik Atas Pembayaran Utang</t>
  </si>
  <si>
    <t>Koreksi DRD April Pusat</t>
  </si>
  <si>
    <t xml:space="preserve">09 Mei </t>
  </si>
  <si>
    <t>Kelebihan setoran SETDA</t>
  </si>
  <si>
    <t>Perpanjangan STNK KH 1407 PE</t>
  </si>
  <si>
    <t>Pemb. Cat Ruangan Distribusi</t>
  </si>
  <si>
    <t>Pemb. Bahan keperluan ruangan Distribusi</t>
  </si>
  <si>
    <t>Pemb. Karpet utk R. Distribusi</t>
  </si>
  <si>
    <t>Biaya Service Avanza KH1252 PU</t>
  </si>
  <si>
    <t>05 Mei</t>
  </si>
  <si>
    <t>SPPD An. Radiun, Imey,Norhalis ke P. Hulu</t>
  </si>
  <si>
    <t>09 Mei</t>
  </si>
  <si>
    <t>Pajak Air Permukaan Bulan April '25</t>
  </si>
  <si>
    <t>Pembuatan Stiker K3</t>
  </si>
  <si>
    <t>14 Mei</t>
  </si>
  <si>
    <t>Biaya Inhouse Training RPAM Sampit</t>
  </si>
  <si>
    <t>SPPD Pelatihan M Obi &amp; Bagus ke Sampit</t>
  </si>
  <si>
    <t>SPPD An. Hendri &amp; halimah ke IKK Samuda</t>
  </si>
  <si>
    <t>SPPD An. Tri &amp; Kardi ke Sampit</t>
  </si>
  <si>
    <t>Biaya Partisipasi Kaos Koperasi Polda</t>
  </si>
  <si>
    <t>SPPD An. Hariono &amp; Agus ke Pusat</t>
  </si>
  <si>
    <t>19 Mei</t>
  </si>
  <si>
    <t>Servise Pompa Distribusi</t>
  </si>
  <si>
    <t>Pem. WD-40, Busi,Vanbelt</t>
  </si>
  <si>
    <t>Pemb. Mesin Pompa Air utk Bahan Kimia'</t>
  </si>
  <si>
    <t>Pemb. Bibit &amp; Pupuk</t>
  </si>
  <si>
    <t>26 Mei</t>
  </si>
  <si>
    <t>Pemb. Kunci pIntu</t>
  </si>
  <si>
    <t>27 Mei</t>
  </si>
  <si>
    <t>Iuran Anggota B. Perpamsi MEI</t>
  </si>
  <si>
    <t>27 Mei'</t>
  </si>
  <si>
    <t>23 Mei</t>
  </si>
  <si>
    <t>Pemb. Suku cadang perbaikan Genset</t>
  </si>
  <si>
    <t>Pemb. Kunci2 peralatan perbaikan &amp; alkon'</t>
  </si>
  <si>
    <t>Pemb. 1 Unit AC 2 PK DAIKIN</t>
  </si>
  <si>
    <t>Pemb. Tanah &amp;  perataan tanah</t>
  </si>
  <si>
    <t>Pemb. Regulator selang gas</t>
  </si>
  <si>
    <t xml:space="preserve">Pemb. Bola voly </t>
  </si>
  <si>
    <t>Pemb. Net</t>
  </si>
  <si>
    <t>Pemasangan SR BARU 9 SR</t>
  </si>
  <si>
    <t>Penggantian Water Meter 47 SR</t>
  </si>
  <si>
    <t>Penggantian Water Meter 9 SR (K. BHAKTI)</t>
  </si>
  <si>
    <t xml:space="preserve">Piutang  PT POS </t>
  </si>
  <si>
    <t>Pemby. Rek Air PU PR blm disesuaikan di Billing</t>
  </si>
  <si>
    <t>Piutang  BANK KALTENG</t>
  </si>
  <si>
    <t>SPPD An. Kholis,Hengki,Kusnul ke Pusat</t>
  </si>
  <si>
    <t>SPPD An. Radiun,Bagus,Sony ke P. Raya</t>
  </si>
  <si>
    <t>Service Pick Up KH 8629 PH</t>
  </si>
  <si>
    <t>04 Juni</t>
  </si>
  <si>
    <t>Pemby. PPh 21 Gaji Bulan Mei 25</t>
  </si>
  <si>
    <t>Insentife Panitia Penysunan Lap. Keu</t>
  </si>
  <si>
    <t>05 Juni</t>
  </si>
  <si>
    <t>SPPD An. Kardi,Bagus,Liza ke P. Raya</t>
  </si>
  <si>
    <t>Pemb. Kain Trol 1 Inc</t>
  </si>
  <si>
    <t>Iuran TV Kabel Bulan Mei-Juni</t>
  </si>
  <si>
    <t>SPPD An. Riza &amp; Elga ke P. Hulu</t>
  </si>
  <si>
    <t>Ultrasonic Flow Mter</t>
  </si>
  <si>
    <t>Insentif Panitia P B/J U.Flowmeter</t>
  </si>
  <si>
    <t>Insentif Panitia P B/J Water Meter  1/2 "</t>
  </si>
  <si>
    <t>SPPD An. Mahfud &amp; Khalis Ke P. Hulu</t>
  </si>
  <si>
    <t>Pajak Air Permukaan Bulan Mei 2025</t>
  </si>
  <si>
    <t>Lemari Kabinet R. Teknik</t>
  </si>
  <si>
    <t>Pemb. 3 buah meja R.Distribusi</t>
  </si>
  <si>
    <t>Perbaikan CCTV</t>
  </si>
  <si>
    <t>SPPD An. Tri M,Sujoko,Ayu ke P. Hulu</t>
  </si>
  <si>
    <t>Pemb. Pita Printer</t>
  </si>
  <si>
    <t>17 Juni</t>
  </si>
  <si>
    <t>SPPD Pembelajaran di Sampit An. Lingga,Bunga,Citra</t>
  </si>
  <si>
    <t>Alat Semprot Cat</t>
  </si>
  <si>
    <t>18 Juni</t>
  </si>
  <si>
    <t>Iklan Publikasi Pemberitaan di Portal Zona Kalimantan</t>
  </si>
  <si>
    <t>23 Juni</t>
  </si>
  <si>
    <t>Pemb. Roundap &amp; Solusi</t>
  </si>
  <si>
    <t xml:space="preserve">24 Juni </t>
  </si>
  <si>
    <t xml:space="preserve">26 Juni </t>
  </si>
  <si>
    <t>26 Juni</t>
  </si>
  <si>
    <t xml:space="preserve">Insentif Petugas Piket Hari Besar </t>
  </si>
  <si>
    <t xml:space="preserve">Insentife Hari Besar </t>
  </si>
  <si>
    <t>Pemb. Tinta Epson 664</t>
  </si>
  <si>
    <t>Pemb. Bahan utk perbaikan distribusi</t>
  </si>
  <si>
    <t>Pemb. Stop kran Ball Valve</t>
  </si>
  <si>
    <t>Pemb. Bahan utk pembuatan Lap. Volly</t>
  </si>
  <si>
    <t>Pemby tunjangan kesejahteraan</t>
  </si>
  <si>
    <t>Tunjangan Kesejahteraan</t>
  </si>
  <si>
    <t>Tunjangan kesejahteraan</t>
  </si>
  <si>
    <t>Pembuatan selebaran kenaikan tarif</t>
  </si>
  <si>
    <t>Pemby. PPh 21 Gaji Bulan Juni 25</t>
  </si>
  <si>
    <t>SPPD An. Tri M,Lulu,Agung ke P. Raya</t>
  </si>
  <si>
    <t>SPPD Ann. Kholis &amp; Agus ke Pusat</t>
  </si>
  <si>
    <t>Iuran Anggota B. Perpamsi JUNI</t>
  </si>
  <si>
    <t>Pemasangan SR BARU 6 SR</t>
  </si>
  <si>
    <t>Penggantian Water Meter 104 SR</t>
  </si>
  <si>
    <t>Penerimaan Pembayaran Piutang Bank Kalteng</t>
  </si>
  <si>
    <t>Penerimaan Pembayaran Piutang Mitra</t>
  </si>
  <si>
    <t>Penambahan Jaringan 2" Jl. Ayani &amp; Gang H. Abuk</t>
  </si>
  <si>
    <t xml:space="preserve">18 Juli </t>
  </si>
  <si>
    <t>Kelebihan Setoran PEMDA</t>
  </si>
  <si>
    <t xml:space="preserve">Karangan Bunga HUT Bhayangkari </t>
  </si>
  <si>
    <t>03 Juli</t>
  </si>
  <si>
    <t>04 Juli</t>
  </si>
  <si>
    <t>SPPD An. Eddy &amp; Syahdan ke T. Paring</t>
  </si>
  <si>
    <t>Perpanjangan STNK Motor KH6266 &amp; KH4055</t>
  </si>
  <si>
    <t>07 Juli</t>
  </si>
  <si>
    <t>Pemb. Tinta Printer</t>
  </si>
  <si>
    <t>SPPD An. Radiun, Tri M,Kardi,Lulu ke P. Bun</t>
  </si>
  <si>
    <t>Pajak Air Permukaan Bulan Juni 2025</t>
  </si>
  <si>
    <t xml:space="preserve">10 Juli </t>
  </si>
  <si>
    <t>Karangan Bunga HUT Perumdam P. Bun</t>
  </si>
  <si>
    <t>14  Juli</t>
  </si>
  <si>
    <t>SPPD An. A. Rijali &amp; Sony ke P. Hulu</t>
  </si>
  <si>
    <t>14 Juli</t>
  </si>
  <si>
    <t>Pemb. Racun Tanaman</t>
  </si>
  <si>
    <t>Pengecatan Pipa Transmisi Intake</t>
  </si>
  <si>
    <t>Termin I Kontrak Pengurusan SIPA</t>
  </si>
  <si>
    <t>SPPD An. Kardi,Bagus ke Hanau</t>
  </si>
  <si>
    <t>21 Juli</t>
  </si>
  <si>
    <t>Uang Harian Diklat VIA online</t>
  </si>
  <si>
    <t>Pemb. Kayu Ulin utk perbaikan jembatan pipa</t>
  </si>
  <si>
    <t>Pemb. Baut</t>
  </si>
  <si>
    <t>23 Juli</t>
  </si>
  <si>
    <t>24 Juli</t>
  </si>
  <si>
    <t>Biaya Service HP BM</t>
  </si>
  <si>
    <t>28 Juli</t>
  </si>
  <si>
    <t>Gaji Direktur &amp; Pegawai Bag. Umum</t>
  </si>
  <si>
    <t>29 Juli</t>
  </si>
  <si>
    <t>PBB Kantor Sei Mitak Tahun 2025</t>
  </si>
  <si>
    <t>Iuran Anggota B. Perpamsi JULI</t>
  </si>
  <si>
    <t>Pemby. PPh 21 Gaji Bulan Juli 2025</t>
  </si>
  <si>
    <t>Pemby . Listrik Kantor</t>
  </si>
  <si>
    <t>Pemb. BBM  Pick Up IKK Hanau &amp; Lapangan</t>
  </si>
  <si>
    <t>Pemb. Air Radiator Genset</t>
  </si>
  <si>
    <t>Pemb. Cat &amp; Kunci Pintu Rumah Jaga IKK KB</t>
  </si>
  <si>
    <t>Pemb. Stop kran 1/2 Inc</t>
  </si>
  <si>
    <t>Pemb. Cat utk Pipa Transmisi Intake</t>
  </si>
  <si>
    <t>Pemb. Bambu utk pemasangan umbul-umbul</t>
  </si>
  <si>
    <t>Penggantian Water Meter  57 SR</t>
  </si>
  <si>
    <t>Pemasangan SR BARU 15 SR</t>
  </si>
  <si>
    <t>SPPD Diklat M Shobirin ke Bekasi</t>
  </si>
  <si>
    <t>Pengecatan Pipa Intake T.Paring</t>
  </si>
  <si>
    <t>01 Agus</t>
  </si>
  <si>
    <t>Pemb. Lampu Sorot</t>
  </si>
  <si>
    <t>Spanduk HUT RI 80 &amp; HUT Seruyan 23</t>
  </si>
  <si>
    <t xml:space="preserve">04 Agust </t>
  </si>
  <si>
    <t>SPPD Pelatihan P.Air di PKY AN. Hariono &amp; Hendri</t>
  </si>
  <si>
    <t>04 Agust</t>
  </si>
  <si>
    <t>SPPD Pendataan Calon Pelanggan di Wil K. Pembuang</t>
  </si>
  <si>
    <t>Pemb. Karangan Bunga HUT Seruyan 23</t>
  </si>
  <si>
    <t xml:space="preserve">05 Agust </t>
  </si>
  <si>
    <t>Iuran TV Kabel Bulan Juli-Agust</t>
  </si>
  <si>
    <t>07 Agust</t>
  </si>
  <si>
    <t>Pemb Seragam &amp; Sepatu Pawai</t>
  </si>
  <si>
    <t xml:space="preserve">07 Agust </t>
  </si>
  <si>
    <t>Pemb Topi+Bordir</t>
  </si>
  <si>
    <t>Pemby. Iklan Ucapan HUT Seruyan 23</t>
  </si>
  <si>
    <t>08 Agust</t>
  </si>
  <si>
    <t>SPPD An. Tri M &amp; Lulu ke Sampit</t>
  </si>
  <si>
    <t>Pemb. Kabel Listrik IKK KB</t>
  </si>
  <si>
    <t>11 Agust</t>
  </si>
  <si>
    <t>Pemb. Celana Pawai</t>
  </si>
  <si>
    <t xml:space="preserve">11 Agust </t>
  </si>
  <si>
    <t>Pemb. Tinta Epson 664 &amp; 003</t>
  </si>
  <si>
    <t xml:space="preserve">13 Agust </t>
  </si>
  <si>
    <t>Pemby. Air Permukaan Periode Bulan Juli 2025</t>
  </si>
  <si>
    <t>15 Agust</t>
  </si>
  <si>
    <t>19 Agust</t>
  </si>
  <si>
    <t>SPPD An. Radiun, Tri M,Monica ke P. Hulu</t>
  </si>
  <si>
    <t>SPPD An.Kardi,Bagus,Sony ke P. Raya</t>
  </si>
  <si>
    <t xml:space="preserve">19 Agust </t>
  </si>
  <si>
    <t xml:space="preserve">Pemb. Kain Baju Seragam </t>
  </si>
  <si>
    <t>Pemb. Kain Seragam Pegawai</t>
  </si>
  <si>
    <t>20 Agust</t>
  </si>
  <si>
    <t>Pengiriman Kain Seragam</t>
  </si>
  <si>
    <t>Pemby. Kegiatan Pawai Karnaval HUT RI 80</t>
  </si>
  <si>
    <t>Pembuatan Mobil Hias Pawai</t>
  </si>
  <si>
    <t>25 Agust</t>
  </si>
  <si>
    <t>SPPD An. Radiun, Jawi ke P. Raya</t>
  </si>
  <si>
    <t>SPPD An. Joko S,Jefly ke IKK PH</t>
  </si>
  <si>
    <t>Pemby. Perbaikan CPU, Lap Top &amp; Printer</t>
  </si>
  <si>
    <t>Pemb. Printer Termal &amp; UPS</t>
  </si>
  <si>
    <t>Insentif khusus hari besar</t>
  </si>
  <si>
    <t xml:space="preserve">26 Agust </t>
  </si>
  <si>
    <t>Pemb. Falshdist 16 GB</t>
  </si>
  <si>
    <t>Pemb. Peralatan utk perbaikan distribusi</t>
  </si>
  <si>
    <t>Perpanjangan STNK motor KH5060PY</t>
  </si>
  <si>
    <t>Uang Psah Pegawai An. Anastasya</t>
  </si>
  <si>
    <t xml:space="preserve">Iuran Anggota B. Perpamsi Agust </t>
  </si>
  <si>
    <t xml:space="preserve">27 Agust </t>
  </si>
  <si>
    <t>Service Mobil Pick Up KH 8529 PH</t>
  </si>
  <si>
    <t>Pemasangan CCTV Loket Mulyono&amp;Kantor</t>
  </si>
  <si>
    <t>28 Agust</t>
  </si>
  <si>
    <t>Pemby. PPh 21 Gaji Bulan Agustus 25</t>
  </si>
  <si>
    <t>Pemby. PBB Loket Mulyono</t>
  </si>
  <si>
    <t>Penggantian Water Meter 10 SR (Hanau)</t>
  </si>
  <si>
    <t xml:space="preserve">Koreksi DRD Agustus Pusat </t>
  </si>
  <si>
    <t>22 Sept</t>
  </si>
  <si>
    <t>Rekapitulasi Pend. Pipa SR dr KTR DPUPR</t>
  </si>
  <si>
    <t>Kelebihan Setoran IKK Hanau</t>
  </si>
  <si>
    <t>02 Sept</t>
  </si>
  <si>
    <t>Karangan Bunga Hari Lahir Kejaksaan</t>
  </si>
  <si>
    <t>03 Sept</t>
  </si>
  <si>
    <t>Termin II Kontrak Pengurusan SIPA</t>
  </si>
  <si>
    <t>Pemb. Bahan utk Perbaikan pipa Intake</t>
  </si>
  <si>
    <t>Pemb oksigen &amp; ongkos kirim</t>
  </si>
  <si>
    <t>Pemby Uang Pisah Pegawai An. Soni</t>
  </si>
  <si>
    <t>03 Serpt</t>
  </si>
  <si>
    <t>Sewa klotok utk ke intake T. Paring</t>
  </si>
  <si>
    <t>SPPD ke T. Paring Perbaikan Pompa</t>
  </si>
  <si>
    <t>04 Sept</t>
  </si>
  <si>
    <t>Pemb. Mesin Pompa SHIMIZU IKK PH</t>
  </si>
  <si>
    <t>SPPD An. Kardi &amp; Bagus ke Sampit</t>
  </si>
  <si>
    <t>SPPD An. Obi &amp; Anton ke Sampit</t>
  </si>
  <si>
    <t>Pembelian Peralatan kerja kunci sock, palu, dll</t>
  </si>
  <si>
    <t>Tabung Gas 12 kg</t>
  </si>
  <si>
    <t>Perbaikan internet tanjung paring</t>
  </si>
  <si>
    <t>Konsumsi Rapat Tarif 2026</t>
  </si>
  <si>
    <t>15 Sept</t>
  </si>
  <si>
    <t>SPPD AN. Hariono &amp; Agus ke P. Bun</t>
  </si>
  <si>
    <t>16 Sept</t>
  </si>
  <si>
    <t>Rehap Intake Sei Mitak</t>
  </si>
  <si>
    <t>Pemb. Breaker MCCB 100 A 3P</t>
  </si>
  <si>
    <t>Perbaikan Kopel Dinamo Pompa Transidt P. HUlu</t>
  </si>
  <si>
    <t>16 sept</t>
  </si>
  <si>
    <t>Pembelian Ban Holer &amp; Kawat Las perbaikan pompa P. HULU</t>
  </si>
  <si>
    <t>17 Sept</t>
  </si>
  <si>
    <t>Pemb. Oli Mesin Avanza KH 1407 PE</t>
  </si>
  <si>
    <t>B. Kalibrasi Bosh Pump Genset T. Paring</t>
  </si>
  <si>
    <t xml:space="preserve"> SPPD An. Kardi &amp; Anton ke Sampit</t>
  </si>
  <si>
    <t>Service HP BM</t>
  </si>
  <si>
    <t>SPPD An. Haryanto &amp; Sarwadi ke P. Bun</t>
  </si>
  <si>
    <t>SPPD An. Radiun,Kardi,Bagus ke P. Bun</t>
  </si>
  <si>
    <t xml:space="preserve">Pemb. Air Minum Pegawai </t>
  </si>
  <si>
    <t>Pemb. Flas dist &amp; Pita Printer</t>
  </si>
  <si>
    <t>SPPD An. Radiun,Kardi,Lulu,Imey ke P. Raya</t>
  </si>
  <si>
    <t>SPPD Diklat Madya Sujoko ke P. Raya</t>
  </si>
  <si>
    <t>SPPD Dilat Madya Hariono ke P. Raya</t>
  </si>
  <si>
    <t>Biaya Kontribusi Diklat Madya</t>
  </si>
  <si>
    <t>B. Kontribusi Diklat Madya</t>
  </si>
  <si>
    <t>29 Sept</t>
  </si>
  <si>
    <t>Iuran Anggota B. Perpamsi Sept</t>
  </si>
  <si>
    <t>Pemby. PPh 21 Gaji Bulan Sept 25</t>
  </si>
  <si>
    <t>29 sept</t>
  </si>
  <si>
    <t>Perbaikan Jaringan Wifi Kantor</t>
  </si>
  <si>
    <t>Pemb. Pompa Shimuzu Pusat</t>
  </si>
  <si>
    <t>Pemb. Seal Tape</t>
  </si>
  <si>
    <t>Pemby. Air Permukaan Periode Bulan Agustus 2025</t>
  </si>
  <si>
    <t>Pemb. Bahan Pengecatan IPA K. Bhakti</t>
  </si>
  <si>
    <t>Pemby. Biaya Pengecatan IPA &amp; Servoar IKK KB</t>
  </si>
  <si>
    <t xml:space="preserve">Biaya Pengecatan IPA &amp; Reservoar Pusat </t>
  </si>
  <si>
    <t xml:space="preserve">Rehap Ruangan Dewas </t>
  </si>
  <si>
    <t>Rehap Ruangan Direktur</t>
  </si>
  <si>
    <t>Penggantian Water Meter 18 SR</t>
  </si>
  <si>
    <t>Penggantian Water Meter 11 SR (Hanau)</t>
  </si>
  <si>
    <t>Pemasangan SR BARU 13 SR</t>
  </si>
  <si>
    <t>10 Okt</t>
  </si>
  <si>
    <t>Pembuatan Spanduk Serah Terima Direktur</t>
  </si>
  <si>
    <t>Konsumsi Rapat Serah Terima Direktur</t>
  </si>
  <si>
    <t>13 Okt</t>
  </si>
  <si>
    <t>SPPD An. A. Rijali &amp; Boman ke Hanau</t>
  </si>
  <si>
    <t>Biaya Pengecatan Ruangan umum</t>
  </si>
  <si>
    <t>Pemb. 2 buah HP utk CMS Bendahara&amp;Direktur</t>
  </si>
  <si>
    <t>14 Sept</t>
  </si>
  <si>
    <t>Pemb. MCB &amp; Phose perbaikan pompa intake</t>
  </si>
  <si>
    <t>Service Kendaraan KH 1252 PU</t>
  </si>
  <si>
    <t>Pemb. White board</t>
  </si>
  <si>
    <t>Pemb. Oli utk mesin intake T. Paring</t>
  </si>
  <si>
    <t>Perpanjangan STNK Motor Operasional pegawai</t>
  </si>
  <si>
    <t>SPPD An. Bagus Puji ke P. Raya</t>
  </si>
  <si>
    <t>20 Okt</t>
  </si>
  <si>
    <t>21 Okt</t>
  </si>
  <si>
    <t>Pemby. Air Permukaan Periode Bulan Sept 2025</t>
  </si>
  <si>
    <t>SPPD An. Tri M &amp; Lulu ke P. Raya</t>
  </si>
  <si>
    <t>Pemb. Sepatu Boots</t>
  </si>
  <si>
    <t>SPPD An. Bagus ke P. Raya</t>
  </si>
  <si>
    <t>SPPD An. Afirus,TR M,Elga ke Banyuwangi</t>
  </si>
  <si>
    <t>Pemb. Bearing &amp; paku utk intake T. Paring</t>
  </si>
  <si>
    <t>SPPD An. Agung &amp; Hendri ke Sampit</t>
  </si>
  <si>
    <t>28 Okt</t>
  </si>
  <si>
    <t>Pemby. Biaya pemindahan Assesories</t>
  </si>
  <si>
    <t>29 Okt</t>
  </si>
  <si>
    <t>Iuran Anggota B. Perpamsi Okt</t>
  </si>
  <si>
    <t>08 Okt</t>
  </si>
  <si>
    <t>Koreksi DRD Sept Pusat</t>
  </si>
  <si>
    <t>Pemby. Rek Air Kantor DPKAD blm disesuaikan di Billing</t>
  </si>
  <si>
    <t>Penggantian Water Meter 49 SR</t>
  </si>
  <si>
    <t>JPK-RA/JU</t>
  </si>
  <si>
    <t>07 Nov</t>
  </si>
  <si>
    <t>JPK. RNA/JU</t>
  </si>
  <si>
    <t>28 Nov</t>
  </si>
  <si>
    <t>Kelebihan setoran IKK Hanau</t>
  </si>
  <si>
    <t>Biaya pengantaran pompa intake</t>
  </si>
  <si>
    <t>Bantuan Dana Pelantikan Batamad</t>
  </si>
  <si>
    <t>05 Nov</t>
  </si>
  <si>
    <t>11 Nov</t>
  </si>
  <si>
    <t>Iuran Anggota B. Perpamsi Nov</t>
  </si>
  <si>
    <t>SPPD Afirus ke P. Raya</t>
  </si>
  <si>
    <t>SPPD A. Sujoko &amp; Boman ke P. Hulu</t>
  </si>
  <si>
    <t>SPPD An. Eddy Naton &amp; Syahdan ke P. Hulu</t>
  </si>
  <si>
    <t>Pemb. Bahan Perbaikan Atap IPA</t>
  </si>
  <si>
    <t>Biaya perbaikan atap IPA</t>
  </si>
  <si>
    <t>12 Nov</t>
  </si>
  <si>
    <t>Perbaikan Pompa Intake 18,5 KW</t>
  </si>
  <si>
    <t>Pemb. Kulkas utk IKK K. Bhakti</t>
  </si>
  <si>
    <t>Biaya Uji Kualitas Air</t>
  </si>
  <si>
    <t>17 Nov</t>
  </si>
  <si>
    <t>18 Nov</t>
  </si>
  <si>
    <t>Konsumsi Rapat Rancangan Perbup SOTK</t>
  </si>
  <si>
    <t>Pemby. Air Permukaan Periode Bulan Okt 2025</t>
  </si>
  <si>
    <t>19 Nov</t>
  </si>
  <si>
    <t>Pemb. Jasa Pengabdian Pjs. Direktur An. Radiun</t>
  </si>
  <si>
    <t>Spanduk MOU dgn Kejaksaan</t>
  </si>
  <si>
    <t>Konsumsi MOU Kejakasaan</t>
  </si>
  <si>
    <t>Kontribusi &amp; SPPD Bintek Tingkat Madya AN. Sujoko &amp; Hariono</t>
  </si>
  <si>
    <t>24 Nov</t>
  </si>
  <si>
    <t>Pemby. PPh 21 Gaji Bulan oktober 2025</t>
  </si>
  <si>
    <t>25 Nov</t>
  </si>
  <si>
    <t>Bantuan Solidaritas Palestina</t>
  </si>
  <si>
    <t>27 Nov</t>
  </si>
  <si>
    <t>Pemb. Bearing Pompa Hanau</t>
  </si>
  <si>
    <t>Pemb. Tinta Epson 003</t>
  </si>
  <si>
    <t>NOVEM</t>
  </si>
  <si>
    <t>Pemby. PPh 21 Gaji Bulan Nov 25</t>
  </si>
  <si>
    <t>Insentif PB/J Ass Pipa</t>
  </si>
  <si>
    <t>SPPD Bimtek Ke BANJAR An. Afirus, Hariyanto, Tri M, Kardi, Lulu</t>
  </si>
  <si>
    <t>SPPD Pelatihan An. M. Shobirin ke Banjar</t>
  </si>
  <si>
    <t>SPPD An. Afirus ke SBY</t>
  </si>
  <si>
    <t>Penggantian Water Meter 51 SR</t>
  </si>
  <si>
    <t>Piutang PT Bank Kalteng</t>
  </si>
  <si>
    <t>10 Des</t>
  </si>
  <si>
    <t>11 Des</t>
  </si>
  <si>
    <t>Subsidi dari PEMDA SERUYAN TRIWULAN II &amp; III</t>
  </si>
  <si>
    <t>Subsidi dari PEMDA SERUYAN TRIWULAN IV</t>
  </si>
  <si>
    <t>Denda Keterlambatan kontrak bahan kimia</t>
  </si>
  <si>
    <t>02 Des</t>
  </si>
  <si>
    <t>03 Des</t>
  </si>
  <si>
    <t>Pemb. Mikrotik utk jaringan internet</t>
  </si>
  <si>
    <t>'03 Des</t>
  </si>
  <si>
    <t>Iuran TV Kabel Bulan Sept-Des</t>
  </si>
  <si>
    <t>Service Mobil Tangki Avanza KH 1407 PE</t>
  </si>
  <si>
    <t>Perbaikan 2 unit pompa intake</t>
  </si>
  <si>
    <t>Partisipasi Kehormatan dr Koperasi POLDA</t>
  </si>
  <si>
    <t>Biaya kontribusi Webinar online</t>
  </si>
  <si>
    <t xml:space="preserve">Pembelian lampu utk aula </t>
  </si>
  <si>
    <t>Biaya pemasangan jaringan listrik utk lampu aula</t>
  </si>
  <si>
    <t>Perpanjangan STNK Motor Dinas</t>
  </si>
  <si>
    <t>Pemby. Air Permukaan Periode Bulan November 25</t>
  </si>
  <si>
    <t>Perbaikan Soundsystem</t>
  </si>
  <si>
    <t>Pembuatan seragam pegawai</t>
  </si>
  <si>
    <t>Pembuatan Seragam Pegawai</t>
  </si>
  <si>
    <t xml:space="preserve">10 Des </t>
  </si>
  <si>
    <t>Pembuatan Seragam pegawai</t>
  </si>
  <si>
    <t>SPPD An. Tri M, Ayu, Bagus ke P. Raya</t>
  </si>
  <si>
    <t>Biaya Partisipasi Fun Run Koni</t>
  </si>
  <si>
    <t>15 Des</t>
  </si>
  <si>
    <t>SPPD An. Hengki &amp; husnul Bimtek AI</t>
  </si>
  <si>
    <t>Kepesertaan Bimtek AI dgn LCC Termin I</t>
  </si>
  <si>
    <t>Kepesertaan Bimtek AI dgn LCC Termin II</t>
  </si>
  <si>
    <t>Pemb. Ban utk Pick Up Hanau</t>
  </si>
  <si>
    <t>Terbal utk pengiriman bahan kimia</t>
  </si>
  <si>
    <t>Uang Harian Bimtek AI di Ktr Perumdam Pusat</t>
  </si>
  <si>
    <t>Uang Harian Pelatihan AI di Ktr Perumdam</t>
  </si>
  <si>
    <t>Uang harian pelatihan Ai di Ktr Perumdam</t>
  </si>
  <si>
    <t xml:space="preserve">Biaya retribusi Kebersihan </t>
  </si>
  <si>
    <t xml:space="preserve">Konsumsi Rapat Evaluasi Kinerja bersama Sekda </t>
  </si>
  <si>
    <t>B. Pengantaran Pompa dr Sampit</t>
  </si>
  <si>
    <t>Webinar Online Ikk Hanau An. Agus S</t>
  </si>
  <si>
    <t>18 Des</t>
  </si>
  <si>
    <t>Uang Harian Bimtek /Workshop dgn YPTD PAMSI</t>
  </si>
  <si>
    <t>Uang Harian weninar An. Agus S</t>
  </si>
  <si>
    <t>SPPD An. Afirus,Tri M,Lulu,Liza ke BPKP</t>
  </si>
  <si>
    <t>SPPD An. Afirus,Kardi,Bagus,Mahfud ke Hanau</t>
  </si>
  <si>
    <t>Spanduk Ucapan Natal &amp; Tahun Baru</t>
  </si>
  <si>
    <t>29 Des</t>
  </si>
  <si>
    <t xml:space="preserve">Pemb. Stella Gantung, sunligt, protex dll </t>
  </si>
  <si>
    <t>Printer Epson L3210,Laptop HP, Lenovo</t>
  </si>
  <si>
    <t>Pulsa Listrik Loket &amp; Kantor</t>
  </si>
  <si>
    <t>B. Pemeliharan Genset</t>
  </si>
  <si>
    <t>Pemb. Bahan perbaikan panel pompa distribusi</t>
  </si>
  <si>
    <t>B. FC dan Jilid Spiral</t>
  </si>
  <si>
    <t>Uang Cuti Tahunan</t>
  </si>
  <si>
    <t xml:space="preserve">Pemb. Uang Cuti Tahunan </t>
  </si>
  <si>
    <t>Pemby. Uang Cuti Tahunan</t>
  </si>
  <si>
    <t xml:space="preserve">29 Des </t>
  </si>
  <si>
    <t>Insentif P B/J Pipa dan Assesories Pipa</t>
  </si>
  <si>
    <t xml:space="preserve">Biaya Service AC </t>
  </si>
  <si>
    <t>Pemb. Bahan2 utk perbaikan tiang spanduk</t>
  </si>
  <si>
    <t>Uang Pisah Penjaga Malam T. Paring</t>
  </si>
  <si>
    <t>Uang Purna Tugas Pegawai An. Eddy Anton</t>
  </si>
  <si>
    <t>Uang Santunan Pegawai An. Eddy Anton</t>
  </si>
  <si>
    <t>Service Radiator Avanza KH 1407 PE</t>
  </si>
  <si>
    <t xml:space="preserve">Konsumsi Rapat Evaluasi Akhir Tahun </t>
  </si>
  <si>
    <t>Pajak Air Permukaan bulan des 2025</t>
  </si>
  <si>
    <t>PPh 21 atas gaji dan uang cuti des 2025</t>
  </si>
  <si>
    <t>Upah Penambahan Jar. Distribusi Jl Kihajar D</t>
  </si>
  <si>
    <t>Upah Penambahan Jar. Distribusi jl. Abadi</t>
  </si>
  <si>
    <t>Upah Penambahan Jar. Distribusi Jl. P. Buluh</t>
  </si>
  <si>
    <t>Penambahan Jaringan 3 lokasi tsb diatas (enggunakan persediaan gudang)</t>
  </si>
  <si>
    <t>Penggantian Water Meter 0 SR</t>
  </si>
  <si>
    <t>Penggantian Water Meter 8 SR (K. BHAKTI)</t>
  </si>
  <si>
    <t>Pemasangan SR BARU 12 SR</t>
  </si>
  <si>
    <t>Koreksi Karena Penyuaian menjadi Beban PPH 21'</t>
  </si>
  <si>
    <t>Koreksi atas beban Kesejahteraan Pegawai  yg seharusnya masuk B.pph 21</t>
  </si>
  <si>
    <t>Piutang Lain-lain</t>
  </si>
  <si>
    <t xml:space="preserve">Selisih Lebih Perhitungan Penyisihan Piutang Tahun </t>
  </si>
  <si>
    <t>Beban Penyisihan Piutang usaha tahun berjalan</t>
  </si>
  <si>
    <t>Beban Penyishan Piutang Usaha Th 2025</t>
  </si>
  <si>
    <t>05 Jan</t>
  </si>
  <si>
    <t>15 Jan</t>
  </si>
  <si>
    <t>Pemby. Biaya Perpanjangan STNK Motor KH 2251 PI, KH 4995 Pg, dan Mobil Avanza KH 1252 PU</t>
  </si>
  <si>
    <t>Pemby. Biaya Perpanjangan STNK Mobil PICK UP KH 8088 PW</t>
  </si>
  <si>
    <t>19 Jan</t>
  </si>
  <si>
    <t>Pemby. Service Mobil Avanza KH 1252 PU</t>
  </si>
  <si>
    <t>Pemby. Service Mobil Pick Up KH 8088 PW (IKK Pembuang Hulu)</t>
  </si>
  <si>
    <t>28 Jan</t>
  </si>
  <si>
    <t>Pemb. BBM untuk Operasional Avanza KH 1252 PU dan KH 1407 PE Berdasarkan Surat Keputusan Direktur Perusahaan Umum Daerah Air Minum Daerah Air Minum Tirta Seruyan Nomor: 03 Tahun 2026 Tanggal 05 Hjanuari 2026</t>
  </si>
  <si>
    <t>Pemb. Pulsa Listrik Bagian Loket Pembayaran</t>
  </si>
  <si>
    <t>08 Jan</t>
  </si>
  <si>
    <t>Pembelian Pulsa Listrik Bagian Kantor</t>
  </si>
  <si>
    <t>14 Jan</t>
  </si>
  <si>
    <t>Pemb. Pulsa Listrik Bagian Kantor</t>
  </si>
  <si>
    <t>Pembelian Paket Internet Kantor, IKK Kartika Bhakti, IKK Hanau, Tanjung Paring, Mulyono</t>
  </si>
  <si>
    <t>Klaim Belanja melalui Kas Kecil Bag. Administrasi Umum</t>
  </si>
  <si>
    <t>Klaim Belanja Melalui Kas Kecil Bagian Administrasi Umum</t>
  </si>
  <si>
    <t>Pemby. Rekening Telepon/HP/Fax</t>
  </si>
  <si>
    <t>Pembay. Pembuatan Spanduk dan Brosur Kenaikan Tarif</t>
  </si>
  <si>
    <t>13 Jan</t>
  </si>
  <si>
    <t>Kelebihan Setoran Rekening Air  PT. Pos</t>
  </si>
  <si>
    <t>Pembayaran Kelebihan Setoran PT. Pos atas Kelebihan Setoran Rekening Air pada Tanggal 02 Januari 2026</t>
  </si>
  <si>
    <t>29 Jan</t>
  </si>
  <si>
    <t>Pembayaran Pajak Air Permukaan &amp; Biaya Kirim Periode Bulan Desember 2025</t>
  </si>
  <si>
    <t>Pembayaran PPH 21 Gaji Bulan Desember dan Uang Cuti Tahun 2025</t>
  </si>
  <si>
    <t>Biaya Admin/Kirim/Transfer</t>
  </si>
  <si>
    <t>Pemby. Iuran BPJS Kesehatan</t>
  </si>
  <si>
    <t xml:space="preserve">Pemby. Biaya Konsumsi </t>
  </si>
  <si>
    <t>Pemb. Air Minum Pegawai</t>
  </si>
  <si>
    <t>Pemby. Iuran DAPENMA PAMSI</t>
  </si>
  <si>
    <t>Pemby. Iuran BPJS Ketenagakerjaan</t>
  </si>
  <si>
    <t>Pemb. Air Minum Pegawai IKK Hanau</t>
  </si>
  <si>
    <t>Pemby. Biaya Konsumsi</t>
  </si>
  <si>
    <t>Pemb. Air Munum Pegawai IKK Kartika Bhakti</t>
  </si>
  <si>
    <t>Pembay. Iuan Anggota Biasa PERPAMSI Bulan Januari 2026</t>
  </si>
  <si>
    <t>Pemby. Iuran Anggota DPD PERPAMSI Provinsi Kaleng</t>
  </si>
  <si>
    <t>20 Jan</t>
  </si>
  <si>
    <t>Pemby. Pembuatan Karangan Bunga</t>
  </si>
  <si>
    <t>Pembuatan Spanduk untuk Pemberitahuan Operasional Pelayanan Air 24 Jam di Unit IKK Pembuang Hulu</t>
  </si>
  <si>
    <t xml:space="preserve">Pemby. Honorarium Tim Penguji dan Sekretariat Pelaksanaan Job Fit di Lingkungan Perusahaan Umum Daerah Air Minum Tirta Seruyan </t>
  </si>
  <si>
    <t>Pemby. Biaya Konsumsi dan Perlengkapan untuk Kegiatan Pelaksanaan Job Fit di Lingkungan Perusahaan Umm Daerah Air Minum Tirta Seruyan</t>
  </si>
  <si>
    <t>Pemby. Biaya Pengantaran Pompa Intake Kota Kuala Pembuang dan IKK Kartika Bhakti</t>
  </si>
  <si>
    <t>Pemb. Tabung Gas 12 Kg.</t>
  </si>
  <si>
    <t>Klaim Belanja melalui Kas Kecil IKK PEMBUANG HULU</t>
  </si>
  <si>
    <t>12 Jan</t>
  </si>
  <si>
    <t>Klaim Belanja Melalui Kas Kecil IKK Pembuang Hulu.</t>
  </si>
  <si>
    <t>Klaim Belanja Melalui Kas Kecil Bagian Produksi</t>
  </si>
  <si>
    <t>Pemb. Cangkul untuk Perbaikan Distribusi</t>
  </si>
  <si>
    <t>Pemby. SPPD a.n Hariono dn Hengky Muklis Samitra ke Kuala Pembuang</t>
  </si>
  <si>
    <t>Pemby. SPPD a.n. Agus Saputra dan Khusnul Siti Hatimah ke Kuala Pembuang</t>
  </si>
  <si>
    <t>Pemby. SPPD a.n. Afirus Febian, Tri Murtiani, dan Siti Maisyarah ke Sampit</t>
  </si>
  <si>
    <t>Pemby. SPPD a.n. M. Shobirin, Hendri Setiawan, dan Ayu Widya W. Ke Sampit</t>
  </si>
  <si>
    <t>Pemby. Gaji Direktur dan Pegawai Bagian Umum</t>
  </si>
  <si>
    <t xml:space="preserve">Pemby. Insentif Khusus Hari Raya Natal, Cuti Bersama Natal, Tahun Baru Masehi, dan Isra Miraj pada Perusahaan Umum DaerahAir Minum Tirta Seruyan Nomor : 32 Tahun 2025 </t>
  </si>
  <si>
    <t xml:space="preserve">Pemby. Dana Representatif Direktur </t>
  </si>
  <si>
    <t>Pemb. Konsumsi untuk Rapat Pembahasan Rencana Peraturan Bupati di Tingkat Eksekutif, yaitu tentang Organ dan Kepegawaian Perusahaan Umum Daerah Air Minum Tirta Seruyan</t>
  </si>
  <si>
    <t>Pemb. Snack Box untuk Rapat Pembahasan Rancangan Peraturan Bupati di Tingkat Eksekutif, yaitu tentang Organ dan Kepegawaian Perusahaan Umum Daerah Air Minum Tirta Seruyan</t>
  </si>
  <si>
    <t>Pemby. Biaya Cleaning Service</t>
  </si>
  <si>
    <t>Pemb. Tisu, Super Pell, Stella Gantung dll</t>
  </si>
  <si>
    <t>Pemby. Gaji Bagian Produksi IKK Pembuang Hulu</t>
  </si>
  <si>
    <t>Pemby. Biaya Penagihan Tunggakan</t>
  </si>
  <si>
    <t>Pemby. Biaya Keamanan Penjaga Malam Kantor Induk, Penjaga Malam IKK Kartika Bhakti dan Penjaga Tanjung Paring</t>
  </si>
  <si>
    <t>Pemby. Biaya Taman dan Lapangan</t>
  </si>
  <si>
    <t>Pemby. Biaya Pembersihan Area Instalasi Pengolahan L:ainnya di IKK Kartika Bhakti</t>
  </si>
  <si>
    <t>Pemby. ATK dan Fotocopy</t>
  </si>
  <si>
    <t>Pemby. ATK IKK Pembuang Hulu</t>
  </si>
  <si>
    <t>Pemb. Pita Printer dan Tinta Epson 003</t>
  </si>
  <si>
    <t>Pemb. BBM Dexlite Untuk Operasional Mobil Tangki.</t>
  </si>
  <si>
    <t>Pemb. BBM untuk Operasional Kantor dan Bagian Lapangan Mobil Pick Up KH 8529 PH Berdasarkan Surat Keputusan Direktur Perusahaan Umum Daerah Air Minum Tirta Seruyan Nomor : 03 Tahun 2026 Tanggal 05 Januari 2026</t>
  </si>
  <si>
    <t>Pemb. BBM untuk Operasional Mobil Pick Up KH 8088 PW IKK Pembuang Hulu Berdasarkan Surat Keputusan Direktur Perusahaan Umum Daerah Air Munum Tirta Seruyan Nomor : 03 Tahun 2026 Tanggal 05 Januari 2026</t>
  </si>
  <si>
    <t>Pemby. Biaya Pembersihan Area Sekitar Intake Sungai Mitak</t>
  </si>
  <si>
    <t>Pemby. Perbaikan Pompa Intake 7,5 KW / 10 HP IKK Kartika Bhakti</t>
  </si>
  <si>
    <t>10 Jan</t>
  </si>
  <si>
    <t>Pemby. PPH Gaji Bulan Januari Tahun 2026</t>
  </si>
  <si>
    <t>SPPD a.n. Afirus, Kardiansyah, dan Bagus ke PKY</t>
  </si>
  <si>
    <t>SPPD a.n. Agus dan Mahfud ke P. Hulu.</t>
  </si>
  <si>
    <t>Pembayaran Uang Pisah Pegawai Honorer dan Kontrak Perusahaan Umum Daerah Air Minum</t>
  </si>
  <si>
    <t>Pembayaran Iuran BPJS Kesehatan</t>
  </si>
  <si>
    <t>Pembayaran Biaya Konsumsi Berdasarkan Keputusan Direktur Perusahaan Daerah Air Minum Kabupaten Seruyan Nomor : 76 Tahun 2024 Tanggal 23 Desember 2024</t>
  </si>
  <si>
    <t>Pembayaran Iuran DAPENMA PAMSI</t>
  </si>
  <si>
    <t>Pembayaran Iuran BPJS Ketenagakerjaan</t>
  </si>
  <si>
    <t>Pembelian Air Minum Pegawai</t>
  </si>
  <si>
    <t>'Pembayaran Uang Pisah Pegawai Honorer dan Kontrak Perusahaan Umum Daerah Air Minum</t>
  </si>
  <si>
    <t>Pembayaran Iuran BPJS Kesehatan Pengolahan Air Pusat, IKK Kartika Bhakti, dan IKK Hanau</t>
  </si>
  <si>
    <t>Pembayaran Biaya Konsumsi Berdasarkan Keputusan Direktur Perusahaan Daerah Air Minum Kabupaten Seruyan Nomor : 76 Tahun 2024 Tanggal 23 Desember 2024 (Pusat, Kartika Bhakti, Hanau)</t>
  </si>
  <si>
    <t>Pembayaran Iuran DAPENMA PAMSI (Pusat, Kartika Bhakti, Hanau)</t>
  </si>
  <si>
    <t>Pembayaran Iuran BPJS Ketenagakerjaan (Pusat, Kartika Bhakti, Hanau)</t>
  </si>
  <si>
    <t>Pembelian Air Minum Pegawai IKK Hanau</t>
  </si>
  <si>
    <t>Pembelian Air Minum Pegawai IKK Kartika Bhakti</t>
  </si>
  <si>
    <t xml:space="preserve">'Pembelian Pulsa Listrik Bagian Kantor </t>
  </si>
  <si>
    <t>Pembelian Pulsa Listrik Bagian Kantor dan Loket Pembayaran.</t>
  </si>
  <si>
    <t>Pembelian Pulsa Listrik Bagian Kantor.</t>
  </si>
  <si>
    <t>Pembayaran Uang Pisah Penagihan Tunggakan Perumdam Tirta Seruyan.</t>
  </si>
  <si>
    <t>Pembayaran Insentif Penyusunan Rencana Kerja dan Anggaran pada Perusahaan Umum Daerah Air Minum Tirta Seruyan Tahun Anggaran 2026 Berdasarkan Keputusan Nomor : 64 Tahun 2025 Tanggal 13 Oktober 2025.</t>
  </si>
  <si>
    <t>Pembayaran Servis Speaker PERUMDAM Tirta Seruyan.</t>
  </si>
  <si>
    <t>Pembayaran Perbaikan AC + PPH 21 2,5% di Kantor PERUMDAM Tirta Seruyan</t>
  </si>
  <si>
    <t>Pembayaran Perbaikan CCTV Tanjung Paring.</t>
  </si>
  <si>
    <t>Pembayaran Instalasi Sumber Lainnya</t>
  </si>
  <si>
    <t>Pembayaran Biaya Pembersihaan Area Sekitar Intake Sungai Undang</t>
  </si>
  <si>
    <t>Pembayaran Biaya Diklat, Penginapan dan Biaya SPPD Pelatihan dan Sertifikasi Kopetensi Pengadaan Barang/Jasa Pemerintah (PBJP) Level-1 a.n. Afirus Febian, Agung Sulawahyudi, dan Sujoko ke Banjarmasin.</t>
  </si>
  <si>
    <t>Pembayaran Biaya Diklat dan Biaya SPPD Bimtek Diwajibkannya Pelaporan Perpajakan Melalui Sistem Aplikasi Cortax serta Per-11/Pj/2025 Mengenai Perhitungan SPT PPh Badan, Orang Pribadi (OP) dan SPT Masa PPN &amp; PPnBM a.n. Afirus Febian, Tri Murtiani, Lulu Decy H, dan Riza Estina S ke Banjarmasin.</t>
  </si>
  <si>
    <t>Pembelian Charger Laptop.</t>
  </si>
  <si>
    <t>Pembelian Tinta Epson 003 dan 664</t>
  </si>
  <si>
    <t>Pembayaran Rekening Telepon/HP/Fax</t>
  </si>
  <si>
    <t>Pembayaran Service Mobil Avanza KH 1407 PE</t>
  </si>
  <si>
    <t>Pembayaran Biaya Perpanjangan STNK Motor Dinas KH 2252 PI &amp; KH 2253 PI.</t>
  </si>
  <si>
    <t>Pembelian BBM Untuk Operasional  Avanza KH 1252 PU dan KH 1407 PE Berdasarkan Surat Keputusan Direktur Perusahaan Umum Daerah Air Minum Tirta Seruyan Nomor : 30 Tahun 2026 Tanggal 05 Januari 2026</t>
  </si>
  <si>
    <t>Pembelian Mesin Potong Rumput Nishikawaplatinum NBC-338</t>
  </si>
  <si>
    <t>Pembyaran Listrik Sumber Air</t>
  </si>
  <si>
    <t>Pembayaran Listrik Sumber Air IKK Pembuang Hulu</t>
  </si>
  <si>
    <t>Pembayaran Listrik Sumber Ait IKK Kartika Bhakti</t>
  </si>
  <si>
    <t>Pembayaran Jasa Audit Laporan Keuangan Per 31 Desember 2025 Termin I 50% (Lima Puluh Persen) dari Total Jasa Audit, sudah termasuk PPN 12 %, dan PPh 23 2 %</t>
  </si>
  <si>
    <t>Pembayaran Iuran Anggota Biasa PERPAMSI Bulan Februari 2026</t>
  </si>
  <si>
    <t>Pembayaran Iuran Anggota DPD PERPAMSI Provinsi KalTeng Berdasarkan Keputusan Dewan Pengurus Daerah PERPAMSI Nomor : 40/SKEP/DPD/III/2018</t>
  </si>
  <si>
    <t>Pembayaran Pajak Air Permukaan Periode Bulan Januari 2026</t>
  </si>
  <si>
    <t>Pembayaran Perawatan Server Bagian Loket Kantor</t>
  </si>
  <si>
    <t>Pembelian Lampu</t>
  </si>
  <si>
    <t>Pembayaran Pembuatan Banner bagian Hubungan Pelanggan.</t>
  </si>
  <si>
    <t>Klaim Belanja Melalui Kas Kecil Bagian Distribusi</t>
  </si>
  <si>
    <t>Pembayaran Uji Kualitas Air IKK Pembuang Hulu.</t>
  </si>
  <si>
    <t>Pembayaran Belanja Neon Box pada CV. BINTANG SAMUDRA</t>
  </si>
  <si>
    <t>Pembayaran Gaji Direktur dan Pegawai Bagian Umum.</t>
  </si>
  <si>
    <t>Pembayaran Insentif Khusus Cuti Bersama Imlek, &amp; Tahun Baru Imlek Pada</t>
  </si>
  <si>
    <t>Pembayaran Gaji Bagian Trandist</t>
  </si>
  <si>
    <t>Pembayaran Insentif Khusus Cuti Bersama Imlek, &amp; Tahun Baru Imlek Pada Perusahaan Umum Daerah Air Minum Tirta Seruyan Nomor : 04 Tahun 2026 Tanggal 05 Januari 2026</t>
  </si>
  <si>
    <t>Pembayaran Gaji Bagian Produksi</t>
  </si>
  <si>
    <t>Pembayaran Gaji Pegawai IKK Kartika Bhakti</t>
  </si>
  <si>
    <t>Pembayaran Gaji Pegawai IKK Pembuang Hulu</t>
  </si>
  <si>
    <t>Pembayaran Insentif Khusus Cuti Bersama Imlek, &amp; Tahun Baru Imlek Pada Perusahaan Umum Daerah Air Minum Tirta Seruyan Nomor : 04 Tahun 2026 Tanggal 05 Januari 2026 (Pusat, Kartika Bhakti, Hanau)</t>
  </si>
  <si>
    <t>Pembayaran Honorarium Dewan Pengawas Perusahaan Umum Daerah Air Minum Tirta Seruyan Berdasarkan Keputusan Bupati Nomor : 100.3.3.2/388/2025</t>
  </si>
  <si>
    <t>Pembayaran Dana Representatif Direktur Berdasarkan Keputusan Bupati Seruyan Nomor : 100.3.3.2/704/2024 Tanggal 10 Desember 2024</t>
  </si>
  <si>
    <t>Pembelian Konsumsi Kue Kering dan Air Minum untuk Tamu</t>
  </si>
  <si>
    <t>Pembayaran Biaya Cleaning Service</t>
  </si>
  <si>
    <t>Pembelian Wipol, Super Pell, Cling dll.</t>
  </si>
  <si>
    <t>Pembayaran Biaya Kemanan Penjaga Malam Kantor Induk, Penjaga Malam IKK Kartika Bhakti dan Penjaga Tanjung Paring (Pusat, Tanjung Paring, Kartika Bhakti)</t>
  </si>
  <si>
    <t>Pembayaran Biaya Taman &amp; Lapangan</t>
  </si>
  <si>
    <t>Pembayaran Biaya Pembersihan Area Instalasi Pengolahan Lainnya di IKK Kartika Bhakti</t>
  </si>
  <si>
    <t>Pembayaran ATK dan Fotocopy</t>
  </si>
  <si>
    <t>Pembelian BBM Dexlite untuk Operasional Mobil Tangki</t>
  </si>
  <si>
    <t>Pembelian BBM Untuk Operasional Kantor dan Bagian Lapangan Mobil Pick Up KH 8529 PH Berdasarkan Surat Keputusan Direktur Perusahaan Umum Daerah Air Minum Tirta Seruyan Nomor : 30 Tahun 2026 Tanggal 05 Januari 2026</t>
  </si>
  <si>
    <t>Pembelian BBM untuk Operasional Mobil Pick Up KH 8088 PW IKK Pembuang Hulu Berdasarkan Surat Keputusan Direktur Perusahaan Umum Daerah Air Minum Tirta Seruyan Nomor : 30 Tahun 2026 Tanggal 05 Januari 2026</t>
  </si>
  <si>
    <t xml:space="preserve">Penggantian Water Meter 12 SR </t>
  </si>
  <si>
    <t>Penggantian Water Meter 4 SR (Hanau)</t>
  </si>
  <si>
    <t>Penggantian Water Meter 72 SR</t>
  </si>
  <si>
    <t>Penggantian Water Meter 5 SR (Hanau)</t>
  </si>
  <si>
    <t>Pemasangan SR BARU 17 SR</t>
  </si>
  <si>
    <t>Pemasangan SR BARU 16 SR</t>
  </si>
  <si>
    <t>Kode Perkiraan : 70.04.00</t>
  </si>
  <si>
    <t>02 Mar</t>
  </si>
  <si>
    <t>Pembelian Pulsa Listrik Bagian Kantor dan Loket Pembayaran</t>
  </si>
  <si>
    <t>30 Mar</t>
  </si>
  <si>
    <t>Pembayaran SPPD a.n. Afirus Febian, Tri Murtiani, Lulu Decy H, &amp; Mahfud Sulistio ke Palangkaraya</t>
  </si>
  <si>
    <t>Pemayaran SPPD a.n. Haryanto ke Pembuang Hulu</t>
  </si>
  <si>
    <t>Pemayaran SPPD a.n. Shobirin &amp; Bagus Puji Laksono ke Sampit</t>
  </si>
  <si>
    <t>Pembelian Paket Internet Kantor, IKK Kartika Bhakti, IKK Hanau, Tanjung Paring, &amp; Mulyono</t>
  </si>
  <si>
    <t>Klaim Belanja Melalui Kas Kecil IKK Kartika Bhakti</t>
  </si>
  <si>
    <t>Klaim Belanja Melalui Kas Kecil IKK Pembuang Hulu</t>
  </si>
  <si>
    <t>Klaim Belanja Melalui Kas Kecil Bagian Teknik Operasional</t>
  </si>
  <si>
    <t>Pembayaran SPPD a.n. Afirus Febian, Kardiansyah, Tri Murtiani &amp; Lulu Decy H. ke Palangkaraya</t>
  </si>
  <si>
    <t>Pembayaran Service Mobil Avanza KH 1252 PU</t>
  </si>
  <si>
    <t>Pembelian BBM Untuk Operasional Avanza KH 1252 PU Berdasarkan Surat Kepuusan Direktur Perusahaan Umum Daerah Air Minum tirta Seruyan Nomor : 37 Tahun 2026 Tanggal 02 Maret 2026</t>
  </si>
  <si>
    <t>Pembelian BBM Untuk Operasional Avanza KH 1407 PE &amp; Bagian Lapangan Divisi Humas Berdasarkan Surat Kepuusan Direktur Perusahaan Umum Daerah Air Minum tirta Seruyan Nomor : 37 Tahun 2026 Tanggal 02 Maret 2026</t>
  </si>
  <si>
    <t>Pembelian 3 buah Keyboard</t>
  </si>
  <si>
    <t>Pembelian Stavolt, USB Wifi, &amp; UPS Prolink</t>
  </si>
  <si>
    <t>Pembayaran PPH Gaji Bulan Februari Tahun 2026</t>
  </si>
  <si>
    <t>Pembayaran Pajak Air Permukaan Periode Bulan Februari 2026</t>
  </si>
  <si>
    <t>Pembayaran Listri Sumber Air</t>
  </si>
  <si>
    <t>Pembayaran Listrik Sumber Air IKK Kartika Bhakti</t>
  </si>
  <si>
    <t>12 Mat</t>
  </si>
  <si>
    <t>12 Maret</t>
  </si>
  <si>
    <t>Pemabyaran Iuran Anggota Biasa PERPAMSI Bulan Februari 2026</t>
  </si>
  <si>
    <t>Pembayaran Iuran Anggota DPD PERPAMSI Provinsi Kalteng Berdasarkan Keputusan Dewan Pengawas Daerah PERPAMSI Nomor : 40/SKEP/DPD/III/2018</t>
  </si>
  <si>
    <t>Pembayaran Tunjangan Hari Raya Tahun 2025 Berdasarka Surat Keputusan Penjabat Direktur Perusahaan Daerah Air Minum Kabupaen Seruyan Nomor: 30 Tahun 2025 Tanggal 17 Maret 2025</t>
  </si>
  <si>
    <t>Pembayaran Gaji Direktur dan Pegawai Bagian Umum</t>
  </si>
  <si>
    <t>Pembayaran Gaji Bagian Transdist</t>
  </si>
  <si>
    <t>Pembayaran Insentif Khusus Cuti Bersama Hari Nyepi, Hari Suci Nyepi, Cuti Bersama Lebaran, &amp; Idul Fitri Pada Perusahaan Umum Daerah Air Minum Tirta Seruyan Nomor : 04 Tahun 2026 Tanggal 05 Janurai 2026</t>
  </si>
  <si>
    <t>Pembayaran Perbaikan Komputer &amp; Printer</t>
  </si>
  <si>
    <t>Pembelian Busi, Lem Gasket, Karbu, dll</t>
  </si>
  <si>
    <t>Pembuatan Spanduk Untuk Ucapan Selamat Hari Raya Idul Fitri</t>
  </si>
  <si>
    <t>Pemabyaran Foto Bersama Pegawai Perumdam Tirta Seruyan</t>
  </si>
  <si>
    <t>Pemeblian Isi Ulang Tabung Gas 12 Gg</t>
  </si>
  <si>
    <t>Pembayaran Insenif Panitia Pengadaan Barang dan Jasa dalam Pekerjaan Belanja Water Meter Sambungan Rumah pada Perusahaan Minum Kabupaten Seruyan Berdasarkan Kepuusan Penjabat Direkur Perusahaan Umum Daerah Air Minum Tirta Seruyan Nomor : 17 Tahun 2005 Tanggal 03 Januari 2025</t>
  </si>
  <si>
    <t>Pembayaran Insentif Panitia Pengadaan Barang dan Jasa Dalam Pekerjaan Belanja Bahan Habis Pakai (Tawas, Soda Ash, Kaporit) pada Perusahaan Minum Kabupaten Seruyan Berdasarkan Kepuusan Penjabat Direktur Perusahaan Umum Daerah Air Minum Tirta Seruyan Nomor : 17 Tahun 2025 Tanggal 03 Januari 2025</t>
  </si>
  <si>
    <t>Pembelian Air Radiator &amp; Oli Mediteran untuk Gense Tanjung Paring</t>
  </si>
  <si>
    <t>Pembayaran Biaya Pemeliharaan Genset pada Intake Tanjung Paring</t>
  </si>
  <si>
    <t>Pembelian  Tawas 16.300 Kg</t>
  </si>
  <si>
    <t>Pembelian Kaporit 660 Kg</t>
  </si>
  <si>
    <t>Pembelian Soda Ash 2000Kg</t>
  </si>
  <si>
    <t>Pembelian Tisu, Wipol, Super Pell dll.</t>
  </si>
  <si>
    <t>April</t>
  </si>
  <si>
    <t xml:space="preserve">Pembayaran Biaya Keamanan Penjaga Malam Kantor Induk, Penjaga Malam IKK Kartika Bhakti dan Penjaga Tanjung Paring </t>
  </si>
  <si>
    <t>Pemabayaran Biaya Taman dan Lapangan</t>
  </si>
  <si>
    <t>Pembayaran Biaya Pembersihan Area Sekitar Instalasi Pengolahan Lainnya di IKK Kartika Bhakti</t>
  </si>
  <si>
    <t>Pembelian Bahan-Bahan untuk Pembersihan rumput di Kantor PERUMDAM Tirta Seruyan</t>
  </si>
  <si>
    <t>Pembelian Pita Printer dan Flasdisk</t>
  </si>
  <si>
    <t>Pembelian BBM Bagian Lapangan Bagian hublang &amp; Mobil Tangki Berdasarkan Surat Kepuusan Direktur Perusahaan Umum Daerah Air Minum tirta Seruyan Nomor : 37 Tahun 2026 Tanggal 02 Maret 2026</t>
  </si>
  <si>
    <t>Pembelian BBM Bagian Lapangan Teknik Operasional &amp; Mobil Pick Up KH 8529 PH, KH 8088 PW, &amp; Bagian Lapangan Berdasarkan Surat Kepuusan Direktur Perusahaan Umum Daerah Air Minum tirta Seruyan Nomor : 37 Tahun 2026 Tanggal 02 Maret 2026</t>
  </si>
  <si>
    <t>Pembayaran Biaya Pembersihan Area Sekitar Intake Sungai Mitak</t>
  </si>
  <si>
    <t>Pembelian Pompa Shimitzu 221 BIT &amp; pompa Shimitzu 128 BIT</t>
  </si>
  <si>
    <t>Pembelian Pillow Block Bearing UCF205</t>
  </si>
  <si>
    <t>Pembelian 540 Liter Dexlite</t>
  </si>
  <si>
    <t>Pembayaran Perbaikan Panel Pompa Intake dan Survei awal tanggal 13 Maret 2026 dalam rangka Perbaikan Intake</t>
  </si>
  <si>
    <t>Pembayaran Sewa Kelotok ke Intake Tanjung Paring</t>
  </si>
  <si>
    <t>Pembelian Bahan untuk Pembersihan rumput di tanjung paring</t>
  </si>
  <si>
    <t>Pembelian Trikel Kaki Tiga 10" unuk IKK Pembuang Hulu</t>
  </si>
  <si>
    <t>Piutang PT POS, PT BANK KALTENG dan Festpay</t>
  </si>
  <si>
    <t>Kode Perkiraan : 88.00.10</t>
  </si>
  <si>
    <t>Kode Perkiraan : 88.00.20</t>
  </si>
  <si>
    <t>Kode Perkiraan : 88.00.90</t>
  </si>
  <si>
    <t>Kode Perkiraan : 88.00.30</t>
  </si>
  <si>
    <t>Kelebihan setoran Rekening Air Fastpay</t>
  </si>
  <si>
    <t>Pengembalian Kelebihan Setoran Fastpay</t>
  </si>
  <si>
    <t>31 Feb</t>
  </si>
  <si>
    <t>Piutang PT POS, PT BANK KALTENG, Koperasi dan Festpay</t>
  </si>
  <si>
    <t>Penggantian Water Meter 6 SR</t>
  </si>
  <si>
    <t>Penggantian Water Meter 8 SR (Hanau)</t>
  </si>
  <si>
    <t>Pemasangan SR BARU  7 SR</t>
  </si>
  <si>
    <t>'17 Mar</t>
  </si>
  <si>
    <t>'19 Mar</t>
  </si>
  <si>
    <t>Kelebihan setoran BPD</t>
  </si>
  <si>
    <t>04 Mar</t>
  </si>
  <si>
    <t>Kelebihan setoran Rekening Air Pos</t>
  </si>
  <si>
    <t xml:space="preserve">Pemakaian Tawas Kartika Bhakti </t>
  </si>
  <si>
    <t>Penggantian Water Meter 20 SR (K. BHAKTI)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</si>
</sst>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_-;\-* #,##0.00_-;_-* &quot;-&quot;??_-;_-@_-"/>
    <numFmt numFmtId="165" formatCode="_(* #,##0_);_(* \(#,##0\);_(* &quot;-&quot;??_);_(@_)"/>
    <numFmt numFmtId="166" formatCode="_(* #,##0.00_);_(* \(#,##0.00\);_(* &quot;-&quot;_);_(@_)"/>
  </numFmts>
  <fonts count="12" x14ac:knownFonts="1">
    <font>
      <sz val="11"/>
      <color theme="1"/>
      <name val="Calibri"/>
      <family val="2"/>
      <scheme val="minor"/>
    </font>
    <font>
      <sz val="11"/>
      <color theme="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b/>
      <sz val="8"/>
      <color theme="1"/>
      <name val="Calibri"/>
      <family val="2"/>
      <scheme val="minor"/>
    </font>
    <font>
      <b/>
      <u/>
      <sz val="9"/>
      <color theme="1"/>
      <name val="Calibri"/>
      <family val="2"/>
      <scheme val="minor"/>
    </font>
    <font>
      <sz val="9"/>
      <name val="Calibri"/>
      <family val="2"/>
      <scheme val="minor"/>
    </font>
    <font>
      <sz val="8"/>
      <name val="Calibri"/>
      <family val="2"/>
      <scheme val="minor"/>
    </font>
    <font>
      <b/>
      <i/>
      <u/>
      <sz val="9"/>
      <color theme="1"/>
      <name val="Calibri"/>
      <family val="2"/>
      <scheme val="minor"/>
    </font>
    <font>
      <b/>
      <u/>
      <sz val="9"/>
      <color rgb="FFFF0000"/>
      <name val="Calibri"/>
      <family val="2"/>
      <scheme val="minor"/>
    </font>
    <font>
      <sz val="7"/>
      <color theme="1"/>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xf numFmtId="41" fontId="1" fillId="0" borderId="0" applyFont="0" applyFill="0" applyBorder="0" applyAlignment="0" applyProtection="0"/>
    <xf numFmtId="43" fontId="1" fillId="0" borderId="0" applyFont="0" applyFill="0" applyBorder="0" applyAlignment="0" applyProtection="0"/>
  </cellStyleXfs>
  <cellXfs count="154">
    <xf numFmtId="0" fontId="0" fillId="0" borderId="0" xfId="0"/>
    <xf numFmtId="0" fontId="3" fillId="0" borderId="0" xfId="0" applyFont="1"/>
    <xf numFmtId="0" fontId="2" fillId="0" borderId="0" xfId="0" applyFont="1"/>
    <xf numFmtId="0" fontId="2" fillId="0" borderId="1" xfId="0" applyFont="1" applyBorder="1" applyAlignment="1">
      <alignment horizontal="center"/>
    </xf>
    <xf numFmtId="0" fontId="3" fillId="0" borderId="1" xfId="0" applyFont="1" applyBorder="1"/>
    <xf numFmtId="0" fontId="2" fillId="0" borderId="0" xfId="0" applyFont="1" applyAlignment="1">
      <alignment horizontal="center"/>
    </xf>
    <xf numFmtId="0" fontId="2" fillId="0" borderId="1" xfId="0" applyFont="1" applyBorder="1"/>
    <xf numFmtId="0" fontId="3" fillId="0" borderId="1" xfId="0" applyFont="1" applyBorder="1" applyAlignment="1">
      <alignment horizontal="center"/>
    </xf>
    <xf numFmtId="0" fontId="2" fillId="0" borderId="0" xfId="0" applyFont="1" applyAlignment="1">
      <alignment vertical="center"/>
    </xf>
    <xf numFmtId="0" fontId="3" fillId="0" borderId="0" xfId="0" applyFont="1" applyAlignment="1">
      <alignment horizontal="center"/>
    </xf>
    <xf numFmtId="0" fontId="3" fillId="0" borderId="5" xfId="0" applyFont="1" applyBorder="1"/>
    <xf numFmtId="0" fontId="3" fillId="0" borderId="0" xfId="0" applyFont="1" applyAlignment="1">
      <alignment horizontal="left"/>
    </xf>
    <xf numFmtId="0" fontId="2" fillId="0" borderId="0" xfId="0" applyFont="1" applyAlignment="1">
      <alignment horizontal="left"/>
    </xf>
    <xf numFmtId="41" fontId="3" fillId="0" borderId="0" xfId="1" applyFont="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horizontal="center"/>
    </xf>
    <xf numFmtId="0" fontId="3" fillId="0" borderId="1" xfId="0" quotePrefix="1" applyFont="1" applyBorder="1"/>
    <xf numFmtId="41" fontId="3" fillId="0" borderId="1" xfId="0" applyNumberFormat="1" applyFont="1" applyBorder="1"/>
    <xf numFmtId="41" fontId="3" fillId="0" borderId="1" xfId="1" applyFont="1" applyBorder="1"/>
    <xf numFmtId="41" fontId="4" fillId="0" borderId="1" xfId="1" applyFont="1" applyBorder="1"/>
    <xf numFmtId="0" fontId="3" fillId="0" borderId="3" xfId="0" quotePrefix="1" applyFont="1" applyBorder="1" applyAlignment="1">
      <alignment horizontal="left" vertical="center"/>
    </xf>
    <xf numFmtId="0" fontId="3" fillId="0" borderId="3" xfId="0" applyFont="1" applyBorder="1" applyAlignment="1">
      <alignment horizontal="left" vertical="center"/>
    </xf>
    <xf numFmtId="0" fontId="3" fillId="0" borderId="1" xfId="0" applyFont="1" applyBorder="1" applyAlignment="1">
      <alignment horizontal="left"/>
    </xf>
    <xf numFmtId="41" fontId="3" fillId="0" borderId="3" xfId="1" applyFont="1" applyBorder="1" applyAlignment="1">
      <alignment horizontal="left" vertical="center"/>
    </xf>
    <xf numFmtId="0" fontId="4" fillId="0" borderId="1" xfId="0" quotePrefix="1" applyFont="1" applyBorder="1"/>
    <xf numFmtId="0" fontId="4" fillId="0" borderId="1" xfId="0" applyFont="1" applyBorder="1"/>
    <xf numFmtId="43" fontId="3" fillId="0" borderId="1" xfId="1" applyNumberFormat="1" applyFont="1" applyBorder="1"/>
    <xf numFmtId="43" fontId="3" fillId="0" borderId="1" xfId="0" applyNumberFormat="1" applyFont="1" applyBorder="1"/>
    <xf numFmtId="0" fontId="3" fillId="0" borderId="3" xfId="0" applyFont="1" applyBorder="1" applyAlignment="1">
      <alignment horizontal="center" vertical="center"/>
    </xf>
    <xf numFmtId="41" fontId="3" fillId="0" borderId="0" xfId="0" applyNumberFormat="1" applyFont="1"/>
    <xf numFmtId="0" fontId="3" fillId="0" borderId="3" xfId="0" quotePrefix="1" applyFont="1" applyBorder="1" applyAlignment="1">
      <alignment horizontal="center" vertical="center"/>
    </xf>
    <xf numFmtId="41" fontId="3" fillId="0" borderId="1" xfId="0" applyNumberFormat="1" applyFont="1" applyBorder="1" applyAlignment="1">
      <alignment horizontal="center"/>
    </xf>
    <xf numFmtId="41" fontId="3" fillId="0" borderId="3" xfId="0" applyNumberFormat="1" applyFont="1" applyBorder="1" applyAlignment="1">
      <alignment horizontal="center" vertical="center"/>
    </xf>
    <xf numFmtId="43" fontId="2" fillId="0" borderId="1" xfId="0" applyNumberFormat="1" applyFont="1" applyBorder="1" applyAlignment="1">
      <alignment horizontal="center"/>
    </xf>
    <xf numFmtId="43" fontId="2" fillId="0" borderId="3" xfId="0" applyNumberFormat="1" applyFont="1" applyBorder="1" applyAlignment="1">
      <alignment horizontal="center" vertical="center"/>
    </xf>
    <xf numFmtId="16" fontId="3" fillId="0" borderId="1" xfId="0" quotePrefix="1" applyNumberFormat="1" applyFont="1" applyBorder="1"/>
    <xf numFmtId="0" fontId="6" fillId="0" borderId="1" xfId="0" applyFont="1" applyBorder="1" applyAlignment="1">
      <alignment horizontal="center"/>
    </xf>
    <xf numFmtId="41" fontId="3" fillId="0" borderId="0" xfId="1" applyFont="1" applyBorder="1"/>
    <xf numFmtId="43" fontId="7" fillId="0" borderId="1" xfId="1" applyNumberFormat="1" applyFont="1" applyBorder="1"/>
    <xf numFmtId="0" fontId="6" fillId="0" borderId="1" xfId="0" quotePrefix="1" applyFont="1" applyBorder="1" applyAlignment="1">
      <alignment horizontal="center"/>
    </xf>
    <xf numFmtId="165" fontId="3" fillId="0" borderId="1" xfId="0" applyNumberFormat="1" applyFont="1" applyBorder="1" applyAlignment="1">
      <alignment horizontal="left"/>
    </xf>
    <xf numFmtId="165" fontId="3" fillId="0" borderId="3" xfId="0" applyNumberFormat="1" applyFont="1" applyBorder="1" applyAlignment="1">
      <alignment horizontal="left" vertical="center"/>
    </xf>
    <xf numFmtId="0" fontId="3" fillId="0" borderId="1" xfId="0" quotePrefix="1" applyFont="1" applyBorder="1" applyAlignment="1">
      <alignment vertical="center"/>
    </xf>
    <xf numFmtId="43" fontId="3" fillId="0" borderId="1" xfId="1" applyNumberFormat="1" applyFont="1" applyBorder="1" applyAlignment="1">
      <alignment vertical="center"/>
    </xf>
    <xf numFmtId="41" fontId="3" fillId="0" borderId="1" xfId="1" applyFont="1" applyFill="1" applyBorder="1"/>
    <xf numFmtId="43" fontId="3" fillId="0" borderId="0" xfId="0" applyNumberFormat="1" applyFont="1"/>
    <xf numFmtId="43" fontId="3" fillId="0" borderId="0" xfId="1" applyNumberFormat="1" applyFont="1"/>
    <xf numFmtId="164" fontId="3" fillId="0" borderId="0" xfId="0" applyNumberFormat="1" applyFont="1"/>
    <xf numFmtId="0" fontId="6" fillId="0" borderId="1" xfId="0" quotePrefix="1" applyFont="1" applyBorder="1"/>
    <xf numFmtId="0" fontId="3" fillId="0" borderId="1" xfId="0" quotePrefix="1" applyFont="1" applyBorder="1" applyAlignment="1">
      <alignment horizontal="left"/>
    </xf>
    <xf numFmtId="0" fontId="9" fillId="0" borderId="1" xfId="0" quotePrefix="1" applyFont="1" applyBorder="1"/>
    <xf numFmtId="0" fontId="3" fillId="0" borderId="4" xfId="0" quotePrefix="1" applyFont="1" applyBorder="1"/>
    <xf numFmtId="43" fontId="3" fillId="0" borderId="3" xfId="0" applyNumberFormat="1" applyFont="1" applyBorder="1" applyAlignment="1">
      <alignment horizontal="center" vertical="center"/>
    </xf>
    <xf numFmtId="0" fontId="10" fillId="0" borderId="0" xfId="0" applyFont="1" applyAlignment="1">
      <alignment horizontal="left"/>
    </xf>
    <xf numFmtId="43" fontId="4" fillId="0" borderId="1" xfId="1" applyNumberFormat="1" applyFont="1" applyBorder="1"/>
    <xf numFmtId="0" fontId="11" fillId="0" borderId="1" xfId="0" applyFont="1" applyBorder="1"/>
    <xf numFmtId="41" fontId="2" fillId="0" borderId="1" xfId="1" applyFont="1" applyBorder="1" applyAlignment="1">
      <alignment horizontal="center"/>
    </xf>
    <xf numFmtId="43" fontId="3" fillId="0" borderId="1" xfId="1" applyNumberFormat="1" applyFont="1" applyFill="1" applyBorder="1"/>
    <xf numFmtId="3" fontId="3" fillId="0" borderId="1" xfId="0" applyNumberFormat="1" applyFont="1" applyBorder="1"/>
    <xf numFmtId="0" fontId="3" fillId="0" borderId="5" xfId="0" quotePrefix="1" applyFont="1" applyBorder="1"/>
    <xf numFmtId="41" fontId="4" fillId="0" borderId="0" xfId="1" applyFont="1"/>
    <xf numFmtId="43" fontId="3" fillId="0" borderId="0" xfId="1" applyNumberFormat="1" applyFont="1" applyBorder="1"/>
    <xf numFmtId="0" fontId="3" fillId="0" borderId="4" xfId="0" applyFont="1" applyBorder="1"/>
    <xf numFmtId="0" fontId="4" fillId="0" borderId="1" xfId="0" applyFont="1" applyBorder="1" applyAlignment="1">
      <alignment vertical="center"/>
    </xf>
    <xf numFmtId="0" fontId="3" fillId="0" borderId="6" xfId="0" quotePrefix="1" applyFont="1" applyBorder="1"/>
    <xf numFmtId="0" fontId="4" fillId="0" borderId="1" xfId="0" applyFont="1" applyBorder="1" applyAlignment="1">
      <alignment wrapText="1"/>
    </xf>
    <xf numFmtId="0" fontId="3" fillId="0" borderId="6" xfId="0" applyFont="1" applyBorder="1"/>
    <xf numFmtId="0" fontId="3" fillId="0" borderId="1" xfId="0" applyFont="1" applyBorder="1" applyAlignment="1">
      <alignment horizontal="left" vertical="center" wrapText="1"/>
    </xf>
    <xf numFmtId="0" fontId="3" fillId="0" borderId="4" xfId="0" quotePrefix="1" applyFont="1" applyBorder="1" applyAlignment="1">
      <alignment vertical="center"/>
    </xf>
    <xf numFmtId="0" fontId="3" fillId="0" borderId="1" xfId="0" quotePrefix="1" applyFont="1" applyBorder="1" applyAlignment="1">
      <alignment vertical="center" wrapText="1"/>
    </xf>
    <xf numFmtId="0" fontId="3" fillId="0" borderId="5" xfId="0" applyFont="1" applyBorder="1" applyAlignment="1">
      <alignment vertical="center"/>
    </xf>
    <xf numFmtId="41" fontId="3" fillId="0" borderId="1" xfId="1" applyFont="1" applyBorder="1" applyAlignment="1">
      <alignment vertical="center"/>
    </xf>
    <xf numFmtId="0" fontId="3" fillId="0" borderId="1" xfId="0" applyFont="1" applyBorder="1" applyAlignment="1">
      <alignment vertical="center"/>
    </xf>
    <xf numFmtId="0" fontId="3" fillId="0" borderId="1" xfId="0" quotePrefix="1" applyFont="1" applyBorder="1" applyAlignment="1">
      <alignment horizontal="left" wrapText="1"/>
    </xf>
    <xf numFmtId="0" fontId="3" fillId="0" borderId="1" xfId="0" applyFont="1" applyBorder="1" applyAlignment="1">
      <alignment horizontal="left" vertical="center"/>
    </xf>
    <xf numFmtId="0" fontId="2" fillId="0" borderId="1" xfId="0" applyFont="1" applyBorder="1" applyAlignment="1">
      <alignment vertical="center"/>
    </xf>
    <xf numFmtId="0" fontId="3" fillId="0" borderId="1" xfId="0" applyFont="1" applyBorder="1" applyAlignment="1">
      <alignment horizontal="left" wrapText="1"/>
    </xf>
    <xf numFmtId="165" fontId="3" fillId="0" borderId="1" xfId="0" applyNumberFormat="1" applyFont="1" applyBorder="1" applyAlignment="1">
      <alignment horizontal="left" vertical="center"/>
    </xf>
    <xf numFmtId="41" fontId="3" fillId="0" borderId="0" xfId="1" applyFont="1" applyFill="1"/>
    <xf numFmtId="0" fontId="3" fillId="0" borderId="1" xfId="0" applyFont="1" applyBorder="1" applyAlignment="1">
      <alignment vertical="center" wrapText="1"/>
    </xf>
    <xf numFmtId="0" fontId="3" fillId="0" borderId="0" xfId="0" applyFont="1" applyAlignment="1">
      <alignment vertical="center"/>
    </xf>
    <xf numFmtId="43" fontId="3" fillId="0" borderId="0" xfId="0" applyNumberFormat="1" applyFont="1" applyAlignment="1">
      <alignment vertical="center"/>
    </xf>
    <xf numFmtId="0" fontId="3" fillId="0" borderId="1" xfId="0" applyFont="1" applyBorder="1" applyAlignment="1">
      <alignment wrapText="1"/>
    </xf>
    <xf numFmtId="0" fontId="6" fillId="0" borderId="3" xfId="0" applyFont="1" applyBorder="1" applyAlignment="1">
      <alignment horizontal="center" vertical="center"/>
    </xf>
    <xf numFmtId="0" fontId="4" fillId="0" borderId="1" xfId="0" applyFont="1" applyBorder="1" applyAlignment="1">
      <alignment vertical="center" wrapText="1"/>
    </xf>
    <xf numFmtId="3" fontId="3" fillId="0" borderId="1" xfId="0" applyNumberFormat="1" applyFont="1" applyBorder="1" applyAlignment="1">
      <alignment horizontal="center"/>
    </xf>
    <xf numFmtId="0" fontId="3" fillId="0" borderId="1" xfId="0" quotePrefix="1" applyFont="1" applyBorder="1" applyAlignment="1">
      <alignment horizontal="left" vertical="center"/>
    </xf>
    <xf numFmtId="43" fontId="3" fillId="0" borderId="1" xfId="1" applyNumberFormat="1" applyFont="1" applyBorder="1" applyAlignment="1">
      <alignment horizontal="left" vertical="center"/>
    </xf>
    <xf numFmtId="166" fontId="3" fillId="0" borderId="1" xfId="1" applyNumberFormat="1" applyFont="1" applyBorder="1"/>
    <xf numFmtId="0" fontId="3" fillId="0" borderId="0" xfId="0" applyFont="1" applyAlignment="1">
      <alignment wrapText="1"/>
    </xf>
    <xf numFmtId="165" fontId="3" fillId="0" borderId="0" xfId="0" applyNumberFormat="1" applyFont="1"/>
    <xf numFmtId="0" fontId="2" fillId="2" borderId="0" xfId="0" applyFont="1" applyFill="1"/>
    <xf numFmtId="43" fontId="3" fillId="0" borderId="0" xfId="2" applyFont="1"/>
    <xf numFmtId="0" fontId="3" fillId="0" borderId="3" xfId="0" quotePrefix="1" applyFont="1" applyBorder="1" applyAlignment="1">
      <alignment horizontal="left" vertical="top"/>
    </xf>
    <xf numFmtId="0" fontId="6" fillId="0" borderId="4" xfId="0" quotePrefix="1" applyFont="1" applyBorder="1" applyAlignment="1">
      <alignment horizontal="center"/>
    </xf>
    <xf numFmtId="16" fontId="3" fillId="0" borderId="1" xfId="0" quotePrefix="1" applyNumberFormat="1" applyFont="1" applyBorder="1" applyAlignment="1">
      <alignment horizontal="left"/>
    </xf>
    <xf numFmtId="43" fontId="2" fillId="0" borderId="0" xfId="0" applyNumberFormat="1" applyFont="1"/>
    <xf numFmtId="0" fontId="2" fillId="0" borderId="1" xfId="0" applyFont="1" applyBorder="1" applyAlignment="1">
      <alignment horizontal="center"/>
    </xf>
    <xf numFmtId="0" fontId="3" fillId="0" borderId="0" xfId="0" applyFont="1" applyAlignment="1">
      <alignment horizontal="left"/>
    </xf>
    <xf numFmtId="0" fontId="2" fillId="0" borderId="0" xfId="0" applyFont="1" applyAlignment="1">
      <alignment horizontal="center"/>
    </xf>
    <xf numFmtId="0" fontId="2" fillId="2" borderId="0" xfId="0" applyFont="1" applyFill="1" applyAlignment="1">
      <alignment horizontal="left"/>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horizontal="center"/>
    </xf>
    <xf numFmtId="43" fontId="2" fillId="0" borderId="2" xfId="0" applyNumberFormat="1" applyFont="1" applyBorder="1" applyAlignment="1">
      <alignment horizontal="center" vertical="center"/>
    </xf>
    <xf numFmtId="43" fontId="2" fillId="0" borderId="3" xfId="0" applyNumberFormat="1" applyFont="1" applyBorder="1" applyAlignment="1">
      <alignment horizontal="center" vertical="center"/>
    </xf>
    <xf numFmtId="0" fontId="2" fillId="0" borderId="0" xfId="0" applyFont="1" applyAlignment="1">
      <alignment horizontal="left"/>
    </xf>
    <xf numFmtId="0" fontId="2" fillId="0" borderId="1" xfId="0" applyFont="1" applyBorder="1" applyAlignment="1">
      <alignment horizontal="center" vertical="center"/>
    </xf>
    <xf numFmtId="43" fontId="2" fillId="0" borderId="1" xfId="0" applyNumberFormat="1" applyFont="1" applyBorder="1" applyAlignment="1">
      <alignment horizontal="center" vertical="center"/>
    </xf>
    <xf numFmtId="0" fontId="2" fillId="0" borderId="6" xfId="0" applyFont="1" applyBorder="1" applyAlignment="1">
      <alignment horizontal="center"/>
    </xf>
    <xf numFmtId="0" fontId="5" fillId="0" borderId="4" xfId="0" applyFont="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41" fontId="2" fillId="0" borderId="4" xfId="1" applyFont="1" applyBorder="1" applyAlignment="1">
      <alignment horizontal="center"/>
    </xf>
    <xf numFmtId="41" fontId="2" fillId="0" borderId="5" xfId="1" applyFont="1" applyBorder="1" applyAlignment="1">
      <alignment horizontal="center"/>
    </xf>
    <xf numFmtId="41" fontId="2" fillId="0" borderId="2" xfId="1" applyFont="1" applyBorder="1" applyAlignment="1">
      <alignment horizontal="center" vertical="center"/>
    </xf>
    <xf numFmtId="41" fontId="2" fillId="0" borderId="3" xfId="1"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Fill="1" applyAlignment="1">
      <alignment horizontal="left"/>
    </xf>
    <xf numFmtId="0" fontId="2" fillId="0" borderId="0" xfId="0" applyFont="1" applyFill="1"/>
    <xf numFmtId="0" fontId="2" fillId="0" borderId="1" xfId="0" applyFont="1" applyFill="1" applyBorder="1" applyAlignment="1">
      <alignment horizontal="center"/>
    </xf>
    <xf numFmtId="0" fontId="3" fillId="0" borderId="0" xfId="0" applyFont="1" applyFill="1"/>
    <xf numFmtId="0" fontId="3" fillId="0" borderId="3" xfId="0" quotePrefix="1" applyFont="1" applyFill="1" applyBorder="1" applyAlignment="1">
      <alignment horizontal="center" vertical="center"/>
    </xf>
    <xf numFmtId="0" fontId="3" fillId="0" borderId="1" xfId="0" applyFont="1" applyFill="1" applyBorder="1"/>
    <xf numFmtId="0" fontId="3" fillId="0" borderId="3" xfId="0" applyFont="1" applyFill="1" applyBorder="1" applyAlignment="1">
      <alignment horizontal="center" vertical="center"/>
    </xf>
    <xf numFmtId="0" fontId="2" fillId="0" borderId="3" xfId="0" applyFont="1" applyFill="1" applyBorder="1" applyAlignment="1">
      <alignment horizontal="center" vertical="center"/>
    </xf>
    <xf numFmtId="16" fontId="3" fillId="0" borderId="3" xfId="0" quotePrefix="1" applyNumberFormat="1" applyFont="1" applyFill="1" applyBorder="1" applyAlignment="1">
      <alignment horizontal="center" vertical="center"/>
    </xf>
    <xf numFmtId="0" fontId="3" fillId="0" borderId="1" xfId="0" quotePrefix="1" applyFont="1" applyFill="1" applyBorder="1" applyAlignment="1">
      <alignment horizontal="center"/>
    </xf>
    <xf numFmtId="0" fontId="6" fillId="0" borderId="1" xfId="0" quotePrefix="1" applyFont="1" applyFill="1" applyBorder="1"/>
    <xf numFmtId="0" fontId="3" fillId="0" borderId="1" xfId="0" quotePrefix="1" applyFont="1" applyFill="1" applyBorder="1"/>
    <xf numFmtId="0" fontId="2" fillId="0" borderId="2" xfId="0" applyFont="1" applyFill="1" applyBorder="1" applyAlignment="1">
      <alignment horizontal="center" vertic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3" xfId="0" applyFont="1" applyFill="1" applyBorder="1" applyAlignment="1">
      <alignment horizontal="center" vertical="center"/>
    </xf>
    <xf numFmtId="0" fontId="6" fillId="0" borderId="1" xfId="0" quotePrefix="1" applyFont="1" applyFill="1" applyBorder="1" applyAlignment="1">
      <alignment horizontal="center"/>
    </xf>
    <xf numFmtId="16" fontId="3" fillId="0" borderId="1" xfId="0" quotePrefix="1" applyNumberFormat="1" applyFont="1" applyFill="1" applyBorder="1"/>
    <xf numFmtId="0" fontId="5" fillId="0" borderId="0" xfId="0" applyFont="1" applyFill="1" applyAlignment="1">
      <alignment horizontal="left"/>
    </xf>
    <xf numFmtId="43" fontId="3" fillId="0" borderId="1" xfId="0" applyNumberFormat="1" applyFont="1" applyFill="1" applyBorder="1"/>
    <xf numFmtId="43" fontId="3" fillId="0" borderId="3" xfId="1" applyNumberFormat="1" applyFont="1" applyFill="1" applyBorder="1" applyAlignment="1">
      <alignment horizontal="center" vertical="center"/>
    </xf>
    <xf numFmtId="0" fontId="2" fillId="0" borderId="0" xfId="0" applyFont="1" applyFill="1" applyAlignment="1">
      <alignment horizontal="center"/>
    </xf>
    <xf numFmtId="43" fontId="3" fillId="0" borderId="0" xfId="0" applyNumberFormat="1" applyFont="1" applyFill="1"/>
    <xf numFmtId="43" fontId="2" fillId="0" borderId="2" xfId="0" applyNumberFormat="1" applyFont="1" applyFill="1" applyBorder="1" applyAlignment="1">
      <alignment horizontal="center" vertical="center"/>
    </xf>
    <xf numFmtId="43" fontId="2" fillId="0" borderId="3" xfId="0" applyNumberFormat="1" applyFont="1" applyFill="1" applyBorder="1" applyAlignment="1">
      <alignment horizontal="center" vertical="center"/>
    </xf>
    <xf numFmtId="43" fontId="3" fillId="0" borderId="1" xfId="1" applyNumberFormat="1" applyFont="1" applyFill="1" applyBorder="1" applyAlignment="1">
      <alignment horizontal="center"/>
    </xf>
    <xf numFmtId="0" fontId="4" fillId="0" borderId="1" xfId="0" quotePrefix="1" applyFont="1" applyFill="1" applyBorder="1"/>
    <xf numFmtId="0" fontId="4" fillId="0" borderId="1" xfId="0" applyFont="1" applyFill="1" applyBorder="1"/>
    <xf numFmtId="41" fontId="4" fillId="0" borderId="1" xfId="1" applyFont="1" applyFill="1" applyBorder="1"/>
    <xf numFmtId="43" fontId="4" fillId="0" borderId="1" xfId="1" applyNumberFormat="1" applyFont="1" applyFill="1" applyBorder="1"/>
    <xf numFmtId="43" fontId="2" fillId="0" borderId="0" xfId="0" applyNumberFormat="1" applyFont="1" applyFill="1"/>
    <xf numFmtId="0" fontId="3" fillId="0" borderId="0" xfId="0" applyFont="1" applyFill="1" applyAlignment="1">
      <alignment horizontal="center"/>
    </xf>
  </cellXfs>
  <cellStyles count="3">
    <cellStyle name="Comma" xfId="2" builtinId="3"/>
    <cellStyle name="Comma [0]" xfId="1" builtinId="6"/>
    <cellStyle name="Normal" xfId="0" builtinId="0"/>
  </cellStyles>
  <dxfs count="0"/>
  <tableStyles count="0" defaultTableStyle="TableStyleMedium2" defaultPivotStyle="PivotStyleLight16"/>
  <colors>
    <mruColors>
      <color rgb="FFFFCCCC"/>
      <color rgb="FF99CCFF"/>
      <color rgb="FFFF9999"/>
      <color rgb="FFFFFF66"/>
      <color rgb="FF00FF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showWhiteSpace="0" view="pageLayout" zoomScaleSheetLayoutView="91" workbookViewId="0">
      <selection activeCell="A4" sqref="A4:B4"/>
    </sheetView>
  </sheetViews>
  <sheetFormatPr defaultColWidth="9.140625" defaultRowHeight="12" x14ac:dyDescent="0.2"/>
  <cols>
    <col min="1" max="1" width="9.140625" style="1" customWidth="1"/>
    <col min="2" max="2" width="27.28515625" style="1" customWidth="1"/>
    <col min="3" max="3" width="12.5703125" style="9" customWidth="1"/>
    <col min="4" max="4" width="15.85546875" style="1" customWidth="1"/>
    <col min="5" max="5" width="13.42578125" style="1" customWidth="1"/>
    <col min="6" max="6" width="14.42578125" style="47" customWidth="1"/>
    <col min="7" max="7" width="17.140625" style="13" customWidth="1"/>
    <col min="8" max="8" width="20.85546875" style="13" customWidth="1"/>
    <col min="9"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22" t="s">
        <v>13</v>
      </c>
      <c r="B4" s="122"/>
      <c r="D4" s="2" t="s">
        <v>12</v>
      </c>
    </row>
    <row r="6" spans="1:6" x14ac:dyDescent="0.2">
      <c r="A6" s="103" t="s">
        <v>3</v>
      </c>
      <c r="B6" s="103" t="s">
        <v>4</v>
      </c>
      <c r="C6" s="103" t="s">
        <v>5</v>
      </c>
      <c r="D6" s="105" t="s">
        <v>6</v>
      </c>
      <c r="E6" s="106"/>
      <c r="F6" s="107" t="s">
        <v>9</v>
      </c>
    </row>
    <row r="7" spans="1:6" x14ac:dyDescent="0.2">
      <c r="A7" s="104"/>
      <c r="B7" s="104"/>
      <c r="C7" s="104"/>
      <c r="D7" s="3" t="s">
        <v>7</v>
      </c>
      <c r="E7" s="3" t="s">
        <v>8</v>
      </c>
      <c r="F7" s="108"/>
    </row>
    <row r="8" spans="1:6" x14ac:dyDescent="0.2">
      <c r="A8" s="18" t="s">
        <v>203</v>
      </c>
      <c r="B8" s="4" t="s">
        <v>204</v>
      </c>
      <c r="C8" s="7"/>
      <c r="D8" s="20"/>
      <c r="E8" s="20"/>
      <c r="F8" s="59">
        <v>0</v>
      </c>
    </row>
    <row r="9" spans="1:6" x14ac:dyDescent="0.2">
      <c r="A9" s="18" t="s">
        <v>228</v>
      </c>
      <c r="B9" s="4" t="s">
        <v>230</v>
      </c>
      <c r="C9" s="7" t="s">
        <v>231</v>
      </c>
      <c r="D9" s="20"/>
      <c r="E9" s="20"/>
      <c r="F9" s="28">
        <f>F8+D9-E9</f>
        <v>0</v>
      </c>
    </row>
    <row r="10" spans="1:6" x14ac:dyDescent="0.2">
      <c r="A10" s="18" t="s">
        <v>228</v>
      </c>
      <c r="B10" s="4" t="s">
        <v>232</v>
      </c>
      <c r="C10" s="7" t="s">
        <v>233</v>
      </c>
      <c r="D10" s="20"/>
      <c r="E10" s="20"/>
      <c r="F10" s="28">
        <f>F9+D10-E10</f>
        <v>0</v>
      </c>
    </row>
    <row r="11" spans="1:6" x14ac:dyDescent="0.2">
      <c r="A11" s="18" t="s">
        <v>416</v>
      </c>
      <c r="B11" s="4" t="s">
        <v>265</v>
      </c>
      <c r="C11" s="7" t="s">
        <v>231</v>
      </c>
      <c r="D11" s="20"/>
      <c r="E11" s="20"/>
      <c r="F11" s="28">
        <f t="shared" ref="F11:F28" si="0">F10+D11-E11</f>
        <v>0</v>
      </c>
    </row>
    <row r="12" spans="1:6" x14ac:dyDescent="0.2">
      <c r="A12" s="18" t="s">
        <v>416</v>
      </c>
      <c r="B12" s="4" t="s">
        <v>266</v>
      </c>
      <c r="C12" s="7" t="s">
        <v>233</v>
      </c>
      <c r="D12" s="20"/>
      <c r="E12" s="20"/>
      <c r="F12" s="28">
        <f t="shared" si="0"/>
        <v>0</v>
      </c>
    </row>
    <row r="13" spans="1:6" x14ac:dyDescent="0.2">
      <c r="A13" s="18" t="s">
        <v>269</v>
      </c>
      <c r="B13" s="4" t="s">
        <v>267</v>
      </c>
      <c r="C13" s="7" t="s">
        <v>231</v>
      </c>
      <c r="D13" s="20"/>
      <c r="E13" s="20"/>
      <c r="F13" s="28">
        <f t="shared" si="0"/>
        <v>0</v>
      </c>
    </row>
    <row r="14" spans="1:6" x14ac:dyDescent="0.2">
      <c r="A14" s="18" t="s">
        <v>269</v>
      </c>
      <c r="B14" s="4" t="s">
        <v>268</v>
      </c>
      <c r="C14" s="7" t="s">
        <v>233</v>
      </c>
      <c r="D14" s="20"/>
      <c r="E14" s="20"/>
      <c r="F14" s="28">
        <f t="shared" si="0"/>
        <v>0</v>
      </c>
    </row>
    <row r="15" spans="1:6" x14ac:dyDescent="0.2">
      <c r="A15" s="18" t="s">
        <v>284</v>
      </c>
      <c r="B15" s="4" t="s">
        <v>291</v>
      </c>
      <c r="C15" s="7" t="s">
        <v>231</v>
      </c>
      <c r="D15" s="20"/>
      <c r="E15" s="20"/>
      <c r="F15" s="28">
        <f t="shared" si="0"/>
        <v>0</v>
      </c>
    </row>
    <row r="16" spans="1:6" x14ac:dyDescent="0.2">
      <c r="A16" s="18" t="s">
        <v>284</v>
      </c>
      <c r="B16" s="4" t="s">
        <v>292</v>
      </c>
      <c r="C16" s="7" t="s">
        <v>233</v>
      </c>
      <c r="D16" s="20"/>
      <c r="E16" s="20"/>
      <c r="F16" s="28">
        <f t="shared" si="0"/>
        <v>0</v>
      </c>
    </row>
    <row r="17" spans="1:6" x14ac:dyDescent="0.2">
      <c r="A17" s="18" t="s">
        <v>290</v>
      </c>
      <c r="B17" s="4" t="s">
        <v>293</v>
      </c>
      <c r="C17" s="7" t="s">
        <v>231</v>
      </c>
      <c r="D17" s="20"/>
      <c r="E17" s="20"/>
      <c r="F17" s="28">
        <f t="shared" si="0"/>
        <v>0</v>
      </c>
    </row>
    <row r="18" spans="1:6" x14ac:dyDescent="0.2">
      <c r="A18" s="18" t="s">
        <v>290</v>
      </c>
      <c r="B18" s="4" t="s">
        <v>294</v>
      </c>
      <c r="C18" s="7" t="s">
        <v>233</v>
      </c>
      <c r="D18" s="20"/>
      <c r="E18" s="20"/>
      <c r="F18" s="28">
        <f t="shared" si="0"/>
        <v>0</v>
      </c>
    </row>
    <row r="19" spans="1:6" x14ac:dyDescent="0.2">
      <c r="A19" s="18" t="s">
        <v>305</v>
      </c>
      <c r="B19" s="4" t="s">
        <v>306</v>
      </c>
      <c r="C19" s="7" t="s">
        <v>231</v>
      </c>
      <c r="D19" s="20"/>
      <c r="E19" s="20"/>
      <c r="F19" s="28">
        <f t="shared" si="0"/>
        <v>0</v>
      </c>
    </row>
    <row r="20" spans="1:6" x14ac:dyDescent="0.2">
      <c r="A20" s="18" t="s">
        <v>305</v>
      </c>
      <c r="B20" s="4" t="s">
        <v>307</v>
      </c>
      <c r="C20" s="7" t="s">
        <v>233</v>
      </c>
      <c r="D20" s="20"/>
      <c r="E20" s="20"/>
      <c r="F20" s="28">
        <f t="shared" si="0"/>
        <v>0</v>
      </c>
    </row>
    <row r="21" spans="1:6" x14ac:dyDescent="0.2">
      <c r="A21" s="18" t="s">
        <v>322</v>
      </c>
      <c r="B21" s="4" t="s">
        <v>323</v>
      </c>
      <c r="C21" s="7" t="s">
        <v>231</v>
      </c>
      <c r="D21" s="20"/>
      <c r="E21" s="20"/>
      <c r="F21" s="28">
        <f t="shared" si="0"/>
        <v>0</v>
      </c>
    </row>
    <row r="22" spans="1:6" x14ac:dyDescent="0.2">
      <c r="A22" s="18" t="s">
        <v>322</v>
      </c>
      <c r="B22" s="4" t="s">
        <v>324</v>
      </c>
      <c r="C22" s="7" t="s">
        <v>377</v>
      </c>
      <c r="D22" s="20"/>
      <c r="E22" s="20"/>
      <c r="F22" s="28">
        <f t="shared" si="0"/>
        <v>0</v>
      </c>
    </row>
    <row r="23" spans="1:6" x14ac:dyDescent="0.2">
      <c r="A23" s="18" t="s">
        <v>335</v>
      </c>
      <c r="B23" s="4" t="s">
        <v>336</v>
      </c>
      <c r="C23" s="7" t="s">
        <v>231</v>
      </c>
      <c r="D23" s="20"/>
      <c r="E23" s="20"/>
      <c r="F23" s="28">
        <f t="shared" si="0"/>
        <v>0</v>
      </c>
    </row>
    <row r="24" spans="1:6" x14ac:dyDescent="0.2">
      <c r="A24" s="18" t="s">
        <v>335</v>
      </c>
      <c r="B24" s="4" t="s">
        <v>337</v>
      </c>
      <c r="C24" s="7" t="s">
        <v>233</v>
      </c>
      <c r="D24" s="20"/>
      <c r="E24" s="20"/>
      <c r="F24" s="28">
        <f t="shared" si="0"/>
        <v>0</v>
      </c>
    </row>
    <row r="25" spans="1:6" x14ac:dyDescent="0.2">
      <c r="A25" s="18" t="s">
        <v>357</v>
      </c>
      <c r="B25" s="4" t="s">
        <v>358</v>
      </c>
      <c r="C25" s="7" t="s">
        <v>231</v>
      </c>
      <c r="D25" s="20"/>
      <c r="E25" s="20"/>
      <c r="F25" s="28">
        <f t="shared" si="0"/>
        <v>0</v>
      </c>
    </row>
    <row r="26" spans="1:6" x14ac:dyDescent="0.2">
      <c r="A26" s="18" t="s">
        <v>357</v>
      </c>
      <c r="B26" s="4" t="s">
        <v>359</v>
      </c>
      <c r="C26" s="7" t="s">
        <v>377</v>
      </c>
      <c r="D26" s="20"/>
      <c r="E26" s="20"/>
      <c r="F26" s="28">
        <f t="shared" si="0"/>
        <v>0</v>
      </c>
    </row>
    <row r="27" spans="1:6" x14ac:dyDescent="0.2">
      <c r="A27" s="18" t="s">
        <v>376</v>
      </c>
      <c r="B27" s="4" t="s">
        <v>374</v>
      </c>
      <c r="C27" s="7" t="s">
        <v>231</v>
      </c>
      <c r="D27" s="20"/>
      <c r="E27" s="20"/>
      <c r="F27" s="28">
        <f t="shared" si="0"/>
        <v>0</v>
      </c>
    </row>
    <row r="28" spans="1:6" x14ac:dyDescent="0.2">
      <c r="A28" s="18" t="s">
        <v>376</v>
      </c>
      <c r="B28" s="4" t="s">
        <v>373</v>
      </c>
      <c r="C28" s="7" t="s">
        <v>233</v>
      </c>
      <c r="D28" s="20"/>
      <c r="E28" s="20"/>
      <c r="F28" s="28">
        <f t="shared" si="0"/>
        <v>0</v>
      </c>
    </row>
    <row r="29" spans="1:6" x14ac:dyDescent="0.2">
      <c r="A29" s="18" t="s">
        <v>390</v>
      </c>
      <c r="B29" s="4" t="s">
        <v>391</v>
      </c>
      <c r="C29" s="7" t="s">
        <v>231</v>
      </c>
      <c r="D29" s="20"/>
      <c r="E29" s="20"/>
      <c r="F29" s="28">
        <f>F28+D29-E29</f>
        <v>0</v>
      </c>
    </row>
    <row r="30" spans="1:6" x14ac:dyDescent="0.2">
      <c r="A30" s="18" t="s">
        <v>390</v>
      </c>
      <c r="B30" s="4" t="s">
        <v>392</v>
      </c>
      <c r="C30" s="7" t="s">
        <v>233</v>
      </c>
      <c r="D30" s="20"/>
      <c r="E30" s="20"/>
      <c r="F30" s="28">
        <f t="shared" ref="F30:F32" si="1">F29+D30-E30</f>
        <v>0</v>
      </c>
    </row>
    <row r="31" spans="1:6" x14ac:dyDescent="0.2">
      <c r="A31" s="18" t="s">
        <v>449</v>
      </c>
      <c r="B31" s="4" t="s">
        <v>456</v>
      </c>
      <c r="C31" s="7" t="s">
        <v>231</v>
      </c>
      <c r="D31" s="20"/>
      <c r="E31" s="20"/>
      <c r="F31" s="28">
        <f t="shared" si="1"/>
        <v>0</v>
      </c>
    </row>
    <row r="32" spans="1:6" x14ac:dyDescent="0.2">
      <c r="A32" s="18" t="s">
        <v>449</v>
      </c>
      <c r="B32" s="4" t="s">
        <v>457</v>
      </c>
      <c r="C32" s="7" t="s">
        <v>377</v>
      </c>
      <c r="D32" s="20"/>
      <c r="E32" s="20"/>
      <c r="F32" s="28">
        <f t="shared" si="1"/>
        <v>0</v>
      </c>
    </row>
    <row r="33" spans="1:6" x14ac:dyDescent="0.2">
      <c r="A33" s="18"/>
      <c r="B33" s="4"/>
      <c r="C33" s="7"/>
      <c r="D33" s="20"/>
      <c r="E33" s="20"/>
      <c r="F33" s="28"/>
    </row>
    <row r="34" spans="1:6" x14ac:dyDescent="0.2">
      <c r="A34" s="18"/>
      <c r="B34" s="4"/>
      <c r="C34" s="7"/>
      <c r="D34" s="20"/>
      <c r="E34" s="20"/>
      <c r="F34" s="28"/>
    </row>
    <row r="35" spans="1:6" x14ac:dyDescent="0.2">
      <c r="A35" s="99" t="s">
        <v>10</v>
      </c>
      <c r="B35" s="99"/>
      <c r="C35" s="99"/>
      <c r="D35" s="20">
        <f>SUM(D9:D34)</f>
        <v>0</v>
      </c>
      <c r="E35" s="20">
        <f>SUM(E8:E34)</f>
        <v>0</v>
      </c>
      <c r="F35" s="28">
        <f>D35-E35</f>
        <v>0</v>
      </c>
    </row>
    <row r="36" spans="1:6" x14ac:dyDescent="0.2">
      <c r="A36" s="99" t="s">
        <v>11</v>
      </c>
      <c r="B36" s="99"/>
      <c r="C36" s="99"/>
      <c r="D36" s="20">
        <f>F8</f>
        <v>0</v>
      </c>
      <c r="E36" s="20"/>
      <c r="F36" s="28">
        <f>D36-E36</f>
        <v>0</v>
      </c>
    </row>
    <row r="37" spans="1:6" x14ac:dyDescent="0.2">
      <c r="A37" s="99" t="s">
        <v>10</v>
      </c>
      <c r="B37" s="99"/>
      <c r="C37" s="99"/>
      <c r="D37" s="20">
        <f>SUM(D35:D36)</f>
        <v>0</v>
      </c>
      <c r="E37" s="20">
        <f>SUM(E35:E36)</f>
        <v>0</v>
      </c>
      <c r="F37" s="28">
        <f>SUM(F35:F36)</f>
        <v>0</v>
      </c>
    </row>
    <row r="38" spans="1:6" x14ac:dyDescent="0.2">
      <c r="A38" s="5"/>
      <c r="B38" s="5"/>
      <c r="C38" s="5"/>
    </row>
    <row r="39" spans="1:6" x14ac:dyDescent="0.2">
      <c r="A39" s="5"/>
      <c r="B39" s="5"/>
      <c r="C39" s="5"/>
    </row>
    <row r="40" spans="1:6" x14ac:dyDescent="0.2">
      <c r="A40" s="100" t="s">
        <v>0</v>
      </c>
      <c r="B40" s="100"/>
      <c r="F40" s="48"/>
    </row>
    <row r="41" spans="1:6" x14ac:dyDescent="0.2">
      <c r="A41" s="100" t="s">
        <v>1</v>
      </c>
      <c r="B41" s="100"/>
    </row>
    <row r="42" spans="1:6" x14ac:dyDescent="0.2">
      <c r="A42" s="101" t="s">
        <v>2</v>
      </c>
      <c r="B42" s="101"/>
      <c r="C42" s="101"/>
      <c r="D42" s="101"/>
      <c r="E42" s="101"/>
      <c r="F42" s="101"/>
    </row>
    <row r="43" spans="1:6" x14ac:dyDescent="0.2">
      <c r="A43" s="109" t="s">
        <v>14</v>
      </c>
      <c r="B43" s="109"/>
      <c r="D43" s="2" t="s">
        <v>15</v>
      </c>
    </row>
    <row r="45" spans="1:6" x14ac:dyDescent="0.2">
      <c r="A45" s="110" t="s">
        <v>3</v>
      </c>
      <c r="B45" s="110" t="s">
        <v>4</v>
      </c>
      <c r="C45" s="110" t="s">
        <v>5</v>
      </c>
      <c r="D45" s="99" t="s">
        <v>6</v>
      </c>
      <c r="E45" s="99"/>
      <c r="F45" s="111" t="s">
        <v>9</v>
      </c>
    </row>
    <row r="46" spans="1:6" x14ac:dyDescent="0.2">
      <c r="A46" s="110"/>
      <c r="B46" s="110"/>
      <c r="C46" s="110"/>
      <c r="D46" s="6" t="s">
        <v>7</v>
      </c>
      <c r="E46" s="6" t="s">
        <v>8</v>
      </c>
      <c r="F46" s="111"/>
    </row>
    <row r="47" spans="1:6" x14ac:dyDescent="0.2">
      <c r="A47" s="18" t="s">
        <v>205</v>
      </c>
      <c r="B47" s="4" t="s">
        <v>206</v>
      </c>
      <c r="C47" s="7"/>
      <c r="D47" s="20">
        <v>0</v>
      </c>
      <c r="E47" s="20">
        <v>0</v>
      </c>
      <c r="F47" s="28">
        <v>0</v>
      </c>
    </row>
    <row r="48" spans="1:6" x14ac:dyDescent="0.2">
      <c r="A48" s="4"/>
      <c r="B48" s="4"/>
      <c r="C48" s="7"/>
      <c r="D48" s="20"/>
      <c r="E48" s="20"/>
      <c r="F48" s="28"/>
    </row>
    <row r="49" spans="1:6" x14ac:dyDescent="0.2">
      <c r="A49" s="4"/>
      <c r="B49" s="4"/>
      <c r="C49" s="7"/>
      <c r="D49" s="20"/>
      <c r="E49" s="20"/>
      <c r="F49" s="28"/>
    </row>
    <row r="50" spans="1:6" x14ac:dyDescent="0.2">
      <c r="A50" s="4"/>
      <c r="B50" s="4"/>
      <c r="C50" s="7"/>
      <c r="D50" s="20"/>
      <c r="E50" s="20"/>
      <c r="F50" s="28"/>
    </row>
    <row r="51" spans="1:6" x14ac:dyDescent="0.2">
      <c r="A51" s="99" t="s">
        <v>10</v>
      </c>
      <c r="B51" s="99"/>
      <c r="C51" s="99"/>
      <c r="D51" s="20">
        <f>SUM(D48:D50)</f>
        <v>0</v>
      </c>
      <c r="E51" s="20">
        <f>SUM(E48:E50)</f>
        <v>0</v>
      </c>
      <c r="F51" s="28">
        <f>D51-E51</f>
        <v>0</v>
      </c>
    </row>
    <row r="52" spans="1:6" x14ac:dyDescent="0.2">
      <c r="A52" s="99" t="s">
        <v>11</v>
      </c>
      <c r="B52" s="99"/>
      <c r="C52" s="99"/>
      <c r="D52" s="20">
        <f>F47</f>
        <v>0</v>
      </c>
      <c r="E52" s="20"/>
      <c r="F52" s="28">
        <f>D52-E52</f>
        <v>0</v>
      </c>
    </row>
    <row r="53" spans="1:6" x14ac:dyDescent="0.2">
      <c r="A53" s="99" t="s">
        <v>10</v>
      </c>
      <c r="B53" s="99"/>
      <c r="C53" s="99"/>
      <c r="D53" s="20">
        <f>SUM(D51:D52)</f>
        <v>0</v>
      </c>
      <c r="E53" s="20">
        <f>SUM(E51:E52)</f>
        <v>0</v>
      </c>
      <c r="F53" s="28">
        <f>SUM(F51:F52)</f>
        <v>0</v>
      </c>
    </row>
  </sheetData>
  <mergeCells count="24">
    <mergeCell ref="A41:B41"/>
    <mergeCell ref="A42:F42"/>
    <mergeCell ref="A43:B43"/>
    <mergeCell ref="A45:A46"/>
    <mergeCell ref="B45:B46"/>
    <mergeCell ref="C45:C46"/>
    <mergeCell ref="D45:E45"/>
    <mergeCell ref="F45:F46"/>
    <mergeCell ref="A51:C51"/>
    <mergeCell ref="A52:C52"/>
    <mergeCell ref="A53:C53"/>
    <mergeCell ref="A1:B1"/>
    <mergeCell ref="A2:B2"/>
    <mergeCell ref="A35:C35"/>
    <mergeCell ref="A36:C36"/>
    <mergeCell ref="A37:C37"/>
    <mergeCell ref="A3:F3"/>
    <mergeCell ref="A4:B4"/>
    <mergeCell ref="A6:A7"/>
    <mergeCell ref="B6:B7"/>
    <mergeCell ref="C6:C7"/>
    <mergeCell ref="D6:E6"/>
    <mergeCell ref="F6:F7"/>
    <mergeCell ref="A40:B40"/>
  </mergeCells>
  <pageMargins left="0.51181102362204722" right="0.51181102362204722" top="0.74803149606299213" bottom="0.74803149606299213" header="0.31496062992125984" footer="0.31496062992125984"/>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4"/>
  <sheetViews>
    <sheetView showWhiteSpace="0" view="pageLayout" topLeftCell="A190" workbookViewId="0">
      <selection activeCell="J17" sqref="J17"/>
    </sheetView>
  </sheetViews>
  <sheetFormatPr defaultColWidth="9.140625" defaultRowHeight="12" x14ac:dyDescent="0.2"/>
  <cols>
    <col min="1" max="1" width="9.140625" style="1"/>
    <col min="2" max="2" width="32.5703125" style="1" customWidth="1"/>
    <col min="3" max="3" width="9.5703125" style="9" customWidth="1"/>
    <col min="4" max="4" width="12.7109375" style="1" customWidth="1"/>
    <col min="5" max="5" width="13.140625" style="1" customWidth="1"/>
    <col min="6" max="6" width="13.42578125" style="1" customWidth="1"/>
    <col min="7" max="7" width="12" style="13" bestFit="1" customWidth="1"/>
    <col min="8" max="8" width="14.28515625" style="1" bestFit="1" customWidth="1"/>
    <col min="9" max="10" width="12" style="1" bestFit="1" customWidth="1"/>
    <col min="11" max="16384" width="9.140625" style="1"/>
  </cols>
  <sheetData>
    <row r="1" spans="1:7" x14ac:dyDescent="0.2">
      <c r="A1" s="100" t="s">
        <v>0</v>
      </c>
      <c r="B1" s="100"/>
    </row>
    <row r="2" spans="1:7" x14ac:dyDescent="0.2">
      <c r="A2" s="100" t="s">
        <v>1</v>
      </c>
      <c r="B2" s="100"/>
    </row>
    <row r="3" spans="1:7" x14ac:dyDescent="0.2">
      <c r="A3" s="101" t="s">
        <v>2</v>
      </c>
      <c r="B3" s="101"/>
      <c r="C3" s="101"/>
      <c r="D3" s="101"/>
      <c r="E3" s="101"/>
      <c r="F3" s="101"/>
    </row>
    <row r="4" spans="1:7" x14ac:dyDescent="0.2">
      <c r="A4" s="122" t="s">
        <v>16</v>
      </c>
      <c r="B4" s="122"/>
      <c r="D4" s="2" t="s">
        <v>17</v>
      </c>
    </row>
    <row r="6" spans="1:7" x14ac:dyDescent="0.2">
      <c r="A6" s="103" t="s">
        <v>3</v>
      </c>
      <c r="B6" s="103" t="s">
        <v>4</v>
      </c>
      <c r="C6" s="103" t="s">
        <v>5</v>
      </c>
      <c r="D6" s="105" t="s">
        <v>6</v>
      </c>
      <c r="E6" s="106"/>
      <c r="F6" s="103" t="s">
        <v>9</v>
      </c>
    </row>
    <row r="7" spans="1:7" x14ac:dyDescent="0.2">
      <c r="A7" s="104"/>
      <c r="B7" s="104"/>
      <c r="C7" s="104"/>
      <c r="D7" s="3" t="s">
        <v>7</v>
      </c>
      <c r="E7" s="3" t="s">
        <v>8</v>
      </c>
      <c r="F7" s="104"/>
    </row>
    <row r="8" spans="1:7" x14ac:dyDescent="0.2">
      <c r="A8" s="22" t="s">
        <v>203</v>
      </c>
      <c r="B8" s="23" t="s">
        <v>206</v>
      </c>
      <c r="C8" s="30"/>
      <c r="D8" s="24"/>
      <c r="E8" s="24"/>
      <c r="F8" s="25">
        <v>0</v>
      </c>
    </row>
    <row r="9" spans="1:7" x14ac:dyDescent="0.2">
      <c r="A9" s="18" t="s">
        <v>197</v>
      </c>
      <c r="B9" s="4" t="s">
        <v>201</v>
      </c>
      <c r="C9" s="7" t="s">
        <v>202</v>
      </c>
      <c r="D9" s="24"/>
      <c r="E9" s="24"/>
      <c r="F9" s="20">
        <f>F8+D9-E9</f>
        <v>0</v>
      </c>
    </row>
    <row r="10" spans="1:7" x14ac:dyDescent="0.2">
      <c r="A10" s="18" t="s">
        <v>197</v>
      </c>
      <c r="B10" s="4" t="s">
        <v>234</v>
      </c>
      <c r="C10" s="7" t="s">
        <v>237</v>
      </c>
      <c r="D10" s="24"/>
      <c r="E10" s="24"/>
      <c r="F10" s="20">
        <f>F9+D10-E10</f>
        <v>0</v>
      </c>
    </row>
    <row r="11" spans="1:7" x14ac:dyDescent="0.2">
      <c r="A11" s="18" t="s">
        <v>470</v>
      </c>
      <c r="B11" s="4" t="s">
        <v>201</v>
      </c>
      <c r="C11" s="7" t="s">
        <v>202</v>
      </c>
      <c r="D11" s="24"/>
      <c r="E11" s="24"/>
      <c r="F11" s="20">
        <f t="shared" ref="F11:F36" si="0">F10+D11-E11</f>
        <v>0</v>
      </c>
    </row>
    <row r="12" spans="1:7" x14ac:dyDescent="0.2">
      <c r="A12" s="4" t="str">
        <f>A11</f>
        <v xml:space="preserve">28 Feb </v>
      </c>
      <c r="B12" s="4" t="s">
        <v>471</v>
      </c>
      <c r="C12" s="7" t="s">
        <v>237</v>
      </c>
      <c r="D12" s="24"/>
      <c r="E12" s="24"/>
      <c r="F12" s="20">
        <f t="shared" si="0"/>
        <v>0</v>
      </c>
    </row>
    <row r="13" spans="1:7" x14ac:dyDescent="0.2">
      <c r="A13" s="18" t="s">
        <v>269</v>
      </c>
      <c r="B13" s="4" t="s">
        <v>201</v>
      </c>
      <c r="C13" s="7" t="s">
        <v>202</v>
      </c>
      <c r="D13" s="24"/>
      <c r="E13" s="24"/>
      <c r="F13" s="46">
        <f t="shared" si="0"/>
        <v>0</v>
      </c>
    </row>
    <row r="14" spans="1:7" x14ac:dyDescent="0.2">
      <c r="A14" s="18" t="s">
        <v>269</v>
      </c>
      <c r="B14" s="4" t="s">
        <v>270</v>
      </c>
      <c r="C14" s="7" t="s">
        <v>237</v>
      </c>
      <c r="D14" s="24"/>
      <c r="E14" s="24"/>
      <c r="F14" s="46">
        <f t="shared" si="0"/>
        <v>0</v>
      </c>
      <c r="G14" s="80"/>
    </row>
    <row r="15" spans="1:7" x14ac:dyDescent="0.2">
      <c r="A15" s="18" t="s">
        <v>284</v>
      </c>
      <c r="B15" s="4" t="s">
        <v>201</v>
      </c>
      <c r="C15" s="7" t="s">
        <v>202</v>
      </c>
      <c r="D15" s="24"/>
      <c r="E15" s="24"/>
      <c r="F15" s="20">
        <f t="shared" si="0"/>
        <v>0</v>
      </c>
    </row>
    <row r="16" spans="1:7" x14ac:dyDescent="0.2">
      <c r="A16" s="18" t="s">
        <v>284</v>
      </c>
      <c r="B16" s="4" t="s">
        <v>295</v>
      </c>
      <c r="C16" s="7" t="s">
        <v>237</v>
      </c>
      <c r="D16" s="24"/>
      <c r="E16" s="24"/>
      <c r="F16" s="20">
        <f t="shared" si="0"/>
        <v>0</v>
      </c>
    </row>
    <row r="17" spans="1:10" x14ac:dyDescent="0.2">
      <c r="A17" s="18" t="s">
        <v>808</v>
      </c>
      <c r="B17" s="4" t="s">
        <v>809</v>
      </c>
      <c r="C17" s="7" t="s">
        <v>202</v>
      </c>
      <c r="D17" s="20"/>
      <c r="E17" s="20"/>
      <c r="F17" s="20">
        <f t="shared" si="0"/>
        <v>0</v>
      </c>
      <c r="J17" s="31"/>
    </row>
    <row r="18" spans="1:10" x14ac:dyDescent="0.2">
      <c r="A18" s="18" t="s">
        <v>290</v>
      </c>
      <c r="B18" s="4" t="s">
        <v>201</v>
      </c>
      <c r="C18" s="7" t="s">
        <v>202</v>
      </c>
      <c r="D18" s="20"/>
      <c r="E18" s="20"/>
      <c r="F18" s="20">
        <f t="shared" si="0"/>
        <v>0</v>
      </c>
    </row>
    <row r="19" spans="1:10" x14ac:dyDescent="0.2">
      <c r="A19" s="18" t="s">
        <v>290</v>
      </c>
      <c r="B19" s="4" t="s">
        <v>296</v>
      </c>
      <c r="C19" s="7" t="s">
        <v>237</v>
      </c>
      <c r="D19" s="20"/>
      <c r="E19" s="20"/>
      <c r="F19" s="20">
        <f t="shared" si="0"/>
        <v>0</v>
      </c>
    </row>
    <row r="20" spans="1:10" x14ac:dyDescent="0.2">
      <c r="A20" s="18" t="s">
        <v>308</v>
      </c>
      <c r="B20" s="4" t="s">
        <v>201</v>
      </c>
      <c r="C20" s="7" t="s">
        <v>202</v>
      </c>
      <c r="D20" s="20"/>
      <c r="E20" s="20"/>
      <c r="F20" s="20">
        <f t="shared" si="0"/>
        <v>0</v>
      </c>
    </row>
    <row r="21" spans="1:10" x14ac:dyDescent="0.2">
      <c r="A21" s="18" t="s">
        <v>308</v>
      </c>
      <c r="B21" s="4" t="s">
        <v>309</v>
      </c>
      <c r="C21" s="7" t="s">
        <v>237</v>
      </c>
      <c r="D21" s="20"/>
      <c r="E21" s="20"/>
      <c r="F21" s="20">
        <f t="shared" si="0"/>
        <v>0</v>
      </c>
    </row>
    <row r="22" spans="1:10" x14ac:dyDescent="0.2">
      <c r="A22" s="18" t="s">
        <v>322</v>
      </c>
      <c r="B22" s="4" t="s">
        <v>201</v>
      </c>
      <c r="C22" s="7" t="s">
        <v>202</v>
      </c>
      <c r="D22" s="20"/>
      <c r="E22" s="20"/>
      <c r="F22" s="20">
        <f t="shared" si="0"/>
        <v>0</v>
      </c>
    </row>
    <row r="23" spans="1:10" x14ac:dyDescent="0.2">
      <c r="A23" s="18" t="s">
        <v>322</v>
      </c>
      <c r="B23" s="4" t="s">
        <v>325</v>
      </c>
      <c r="C23" s="7" t="s">
        <v>237</v>
      </c>
      <c r="D23" s="20"/>
      <c r="E23" s="20"/>
      <c r="F23" s="20">
        <f t="shared" si="0"/>
        <v>0</v>
      </c>
    </row>
    <row r="24" spans="1:10" x14ac:dyDescent="0.2">
      <c r="A24" s="18" t="s">
        <v>338</v>
      </c>
      <c r="B24" s="4" t="s">
        <v>201</v>
      </c>
      <c r="C24" s="7" t="s">
        <v>202</v>
      </c>
      <c r="D24" s="20"/>
      <c r="E24" s="20"/>
      <c r="F24" s="20">
        <f t="shared" si="0"/>
        <v>0</v>
      </c>
    </row>
    <row r="25" spans="1:10" x14ac:dyDescent="0.2">
      <c r="A25" s="18" t="s">
        <v>338</v>
      </c>
      <c r="B25" s="4" t="s">
        <v>339</v>
      </c>
      <c r="C25" s="7" t="s">
        <v>237</v>
      </c>
      <c r="D25" s="20"/>
      <c r="E25" s="20"/>
      <c r="F25" s="20">
        <f t="shared" si="0"/>
        <v>0</v>
      </c>
    </row>
    <row r="26" spans="1:10" x14ac:dyDescent="0.2">
      <c r="A26" s="18" t="s">
        <v>1004</v>
      </c>
      <c r="B26" s="4" t="s">
        <v>1003</v>
      </c>
      <c r="C26" s="7" t="s">
        <v>202</v>
      </c>
      <c r="D26" s="20"/>
      <c r="E26" s="20"/>
      <c r="F26" s="20">
        <f t="shared" si="0"/>
        <v>0</v>
      </c>
    </row>
    <row r="27" spans="1:10" x14ac:dyDescent="0.2">
      <c r="A27" s="18" t="s">
        <v>357</v>
      </c>
      <c r="B27" s="4" t="s">
        <v>201</v>
      </c>
      <c r="C27" s="7" t="s">
        <v>202</v>
      </c>
      <c r="D27" s="20"/>
      <c r="E27" s="20"/>
      <c r="F27" s="20">
        <f t="shared" si="0"/>
        <v>0</v>
      </c>
    </row>
    <row r="28" spans="1:10" x14ac:dyDescent="0.2">
      <c r="A28" s="18" t="s">
        <v>357</v>
      </c>
      <c r="B28" s="4" t="s">
        <v>378</v>
      </c>
      <c r="C28" s="7" t="s">
        <v>237</v>
      </c>
      <c r="D28" s="20"/>
      <c r="E28" s="20"/>
      <c r="F28" s="20">
        <f t="shared" si="0"/>
        <v>0</v>
      </c>
    </row>
    <row r="29" spans="1:10" x14ac:dyDescent="0.2">
      <c r="A29" s="18" t="s">
        <v>1090</v>
      </c>
      <c r="B29" s="4" t="s">
        <v>1003</v>
      </c>
      <c r="C29" s="7" t="s">
        <v>202</v>
      </c>
      <c r="D29" s="20"/>
      <c r="E29" s="20"/>
      <c r="F29" s="20">
        <f t="shared" si="0"/>
        <v>0</v>
      </c>
    </row>
    <row r="30" spans="1:10" x14ac:dyDescent="0.2">
      <c r="A30" s="18" t="s">
        <v>376</v>
      </c>
      <c r="B30" s="4" t="s">
        <v>201</v>
      </c>
      <c r="C30" s="7" t="s">
        <v>202</v>
      </c>
      <c r="D30" s="20"/>
      <c r="E30" s="20"/>
      <c r="F30" s="20">
        <f t="shared" si="0"/>
        <v>0</v>
      </c>
      <c r="I30" s="31">
        <f>F10+F65+F128</f>
        <v>0</v>
      </c>
    </row>
    <row r="31" spans="1:10" x14ac:dyDescent="0.2">
      <c r="A31" s="18" t="s">
        <v>376</v>
      </c>
      <c r="B31" s="4" t="s">
        <v>393</v>
      </c>
      <c r="C31" s="7" t="s">
        <v>237</v>
      </c>
      <c r="D31" s="20"/>
      <c r="E31" s="20"/>
      <c r="F31" s="20">
        <f t="shared" si="0"/>
        <v>0</v>
      </c>
    </row>
    <row r="32" spans="1:10" x14ac:dyDescent="0.2">
      <c r="A32" s="18" t="s">
        <v>390</v>
      </c>
      <c r="B32" s="4" t="s">
        <v>201</v>
      </c>
      <c r="C32" s="7" t="s">
        <v>202</v>
      </c>
      <c r="D32" s="20"/>
      <c r="E32" s="20"/>
      <c r="F32" s="20">
        <f t="shared" si="0"/>
        <v>0</v>
      </c>
    </row>
    <row r="33" spans="1:6" x14ac:dyDescent="0.2">
      <c r="A33" s="18" t="s">
        <v>390</v>
      </c>
      <c r="B33" s="4" t="s">
        <v>459</v>
      </c>
      <c r="C33" s="7" t="s">
        <v>237</v>
      </c>
      <c r="D33" s="20"/>
      <c r="E33" s="20"/>
      <c r="F33" s="20">
        <f t="shared" si="0"/>
        <v>0</v>
      </c>
    </row>
    <row r="34" spans="1:6" x14ac:dyDescent="0.2">
      <c r="A34" s="18" t="s">
        <v>449</v>
      </c>
      <c r="B34" s="4" t="s">
        <v>201</v>
      </c>
      <c r="C34" s="7" t="s">
        <v>202</v>
      </c>
      <c r="D34" s="20"/>
      <c r="E34" s="20"/>
      <c r="F34" s="20">
        <f t="shared" si="0"/>
        <v>0</v>
      </c>
    </row>
    <row r="35" spans="1:6" x14ac:dyDescent="0.2">
      <c r="A35" s="18" t="s">
        <v>449</v>
      </c>
      <c r="B35" s="4" t="s">
        <v>460</v>
      </c>
      <c r="C35" s="7" t="s">
        <v>237</v>
      </c>
      <c r="D35" s="20"/>
      <c r="E35" s="20"/>
      <c r="F35" s="20">
        <f t="shared" si="0"/>
        <v>0</v>
      </c>
    </row>
    <row r="36" spans="1:6" x14ac:dyDescent="0.2">
      <c r="A36" s="18"/>
      <c r="B36" s="4"/>
      <c r="C36" s="7"/>
      <c r="D36" s="20"/>
      <c r="E36" s="20"/>
      <c r="F36" s="20">
        <f t="shared" si="0"/>
        <v>0</v>
      </c>
    </row>
    <row r="37" spans="1:6" x14ac:dyDescent="0.2">
      <c r="A37" s="4"/>
      <c r="B37" s="4"/>
      <c r="C37" s="7"/>
      <c r="D37" s="20"/>
      <c r="E37" s="20"/>
      <c r="F37" s="20"/>
    </row>
    <row r="38" spans="1:6" x14ac:dyDescent="0.2">
      <c r="A38" s="99" t="s">
        <v>10</v>
      </c>
      <c r="B38" s="99"/>
      <c r="C38" s="99"/>
      <c r="D38" s="20">
        <f>SUM(D9:D37)</f>
        <v>0</v>
      </c>
      <c r="E38" s="20">
        <f>SUM(E9:E37)</f>
        <v>0</v>
      </c>
      <c r="F38" s="20">
        <f>D38-E38</f>
        <v>0</v>
      </c>
    </row>
    <row r="39" spans="1:6" x14ac:dyDescent="0.2">
      <c r="A39" s="99" t="s">
        <v>11</v>
      </c>
      <c r="B39" s="99"/>
      <c r="C39" s="99"/>
      <c r="D39" s="20">
        <f>F8</f>
        <v>0</v>
      </c>
      <c r="E39" s="20"/>
      <c r="F39" s="20">
        <f>D39-E39</f>
        <v>0</v>
      </c>
    </row>
    <row r="40" spans="1:6" x14ac:dyDescent="0.2">
      <c r="A40" s="99" t="s">
        <v>10</v>
      </c>
      <c r="B40" s="99"/>
      <c r="C40" s="99"/>
      <c r="D40" s="20">
        <f>SUM(D38:D39)</f>
        <v>0</v>
      </c>
      <c r="E40" s="20">
        <f>SUM(E38:E39)</f>
        <v>0</v>
      </c>
      <c r="F40" s="20">
        <f>SUM(F38:F39)</f>
        <v>0</v>
      </c>
    </row>
    <row r="49" spans="1:6" x14ac:dyDescent="0.2">
      <c r="F49" s="31"/>
    </row>
    <row r="50" spans="1:6" x14ac:dyDescent="0.2">
      <c r="E50" s="31"/>
    </row>
    <row r="51" spans="1:6" x14ac:dyDescent="0.2">
      <c r="E51" s="31"/>
      <c r="F51" s="13"/>
    </row>
    <row r="52" spans="1:6" x14ac:dyDescent="0.2">
      <c r="F52" s="31"/>
    </row>
    <row r="56" spans="1:6" x14ac:dyDescent="0.2">
      <c r="A56" s="100" t="s">
        <v>0</v>
      </c>
      <c r="B56" s="100"/>
      <c r="F56" s="31"/>
    </row>
    <row r="57" spans="1:6" x14ac:dyDescent="0.2">
      <c r="A57" s="100" t="s">
        <v>1</v>
      </c>
      <c r="B57" s="100"/>
      <c r="F57" s="31"/>
    </row>
    <row r="58" spans="1:6" x14ac:dyDescent="0.2">
      <c r="A58" s="101" t="s">
        <v>2</v>
      </c>
      <c r="B58" s="101"/>
      <c r="C58" s="101"/>
      <c r="D58" s="101"/>
      <c r="E58" s="101"/>
      <c r="F58" s="101"/>
    </row>
    <row r="59" spans="1:6" x14ac:dyDescent="0.2">
      <c r="A59" s="122" t="s">
        <v>173</v>
      </c>
      <c r="B59" s="122"/>
      <c r="D59" s="2" t="s">
        <v>17</v>
      </c>
    </row>
    <row r="60" spans="1:6" x14ac:dyDescent="0.2">
      <c r="A60" s="125"/>
      <c r="B60" s="125"/>
    </row>
    <row r="61" spans="1:6" x14ac:dyDescent="0.2">
      <c r="A61" s="103" t="s">
        <v>3</v>
      </c>
      <c r="B61" s="103" t="s">
        <v>4</v>
      </c>
      <c r="C61" s="103" t="s">
        <v>5</v>
      </c>
      <c r="D61" s="105" t="s">
        <v>6</v>
      </c>
      <c r="E61" s="106"/>
      <c r="F61" s="103" t="s">
        <v>9</v>
      </c>
    </row>
    <row r="62" spans="1:6" x14ac:dyDescent="0.2">
      <c r="A62" s="104"/>
      <c r="B62" s="104"/>
      <c r="C62" s="104"/>
      <c r="D62" s="3" t="s">
        <v>7</v>
      </c>
      <c r="E62" s="3" t="s">
        <v>8</v>
      </c>
      <c r="F62" s="104"/>
    </row>
    <row r="63" spans="1:6" x14ac:dyDescent="0.2">
      <c r="A63" s="18" t="s">
        <v>203</v>
      </c>
      <c r="B63" s="4" t="s">
        <v>206</v>
      </c>
      <c r="C63" s="7"/>
      <c r="D63" s="20"/>
      <c r="E63" s="20">
        <v>0</v>
      </c>
      <c r="F63" s="20">
        <v>0</v>
      </c>
    </row>
    <row r="64" spans="1:6" x14ac:dyDescent="0.2">
      <c r="A64" s="18" t="s">
        <v>228</v>
      </c>
      <c r="B64" s="4" t="s">
        <v>236</v>
      </c>
      <c r="C64" s="7" t="s">
        <v>202</v>
      </c>
      <c r="D64" s="20"/>
      <c r="E64" s="20"/>
      <c r="F64" s="46">
        <f>F63+D64-E64</f>
        <v>0</v>
      </c>
    </row>
    <row r="65" spans="1:6" x14ac:dyDescent="0.2">
      <c r="A65" s="4" t="str">
        <f>A64</f>
        <v>31 Jan</v>
      </c>
      <c r="B65" s="4" t="s">
        <v>235</v>
      </c>
      <c r="C65" s="7" t="s">
        <v>237</v>
      </c>
      <c r="D65" s="20"/>
      <c r="E65" s="20"/>
      <c r="F65" s="46">
        <f>F64+D65-E65</f>
        <v>0</v>
      </c>
    </row>
    <row r="66" spans="1:6" x14ac:dyDescent="0.2">
      <c r="A66" s="18" t="s">
        <v>244</v>
      </c>
      <c r="B66" s="4" t="s">
        <v>236</v>
      </c>
      <c r="C66" s="7" t="s">
        <v>202</v>
      </c>
      <c r="D66" s="20"/>
      <c r="E66" s="20"/>
      <c r="F66" s="46">
        <f t="shared" ref="F66:F88" si="1">F65+D66-E66</f>
        <v>0</v>
      </c>
    </row>
    <row r="67" spans="1:6" x14ac:dyDescent="0.2">
      <c r="A67" s="4" t="str">
        <f>A66</f>
        <v>29 Feb</v>
      </c>
      <c r="B67" s="4" t="s">
        <v>271</v>
      </c>
      <c r="C67" s="7" t="s">
        <v>237</v>
      </c>
      <c r="D67" s="20"/>
      <c r="E67" s="20"/>
      <c r="F67" s="46">
        <f t="shared" si="1"/>
        <v>0</v>
      </c>
    </row>
    <row r="68" spans="1:6" x14ac:dyDescent="0.2">
      <c r="A68" s="18" t="s">
        <v>269</v>
      </c>
      <c r="B68" s="4" t="s">
        <v>236</v>
      </c>
      <c r="C68" s="7" t="s">
        <v>202</v>
      </c>
      <c r="D68" s="20"/>
      <c r="E68" s="20"/>
      <c r="F68" s="46">
        <f t="shared" si="1"/>
        <v>0</v>
      </c>
    </row>
    <row r="69" spans="1:6" x14ac:dyDescent="0.2">
      <c r="A69" s="4" t="str">
        <f>A68</f>
        <v>31 Mar</v>
      </c>
      <c r="B69" s="4" t="s">
        <v>272</v>
      </c>
      <c r="C69" s="7" t="s">
        <v>237</v>
      </c>
      <c r="D69" s="20"/>
      <c r="E69" s="20"/>
      <c r="F69" s="46">
        <f t="shared" si="1"/>
        <v>0</v>
      </c>
    </row>
    <row r="70" spans="1:6" x14ac:dyDescent="0.2">
      <c r="A70" s="18" t="s">
        <v>284</v>
      </c>
      <c r="B70" s="4" t="s">
        <v>236</v>
      </c>
      <c r="C70" s="7" t="s">
        <v>202</v>
      </c>
      <c r="D70" s="20"/>
      <c r="E70" s="20"/>
      <c r="F70" s="20">
        <f t="shared" si="1"/>
        <v>0</v>
      </c>
    </row>
    <row r="71" spans="1:6" x14ac:dyDescent="0.2">
      <c r="A71" s="18" t="s">
        <v>284</v>
      </c>
      <c r="B71" s="4" t="s">
        <v>297</v>
      </c>
      <c r="C71" s="7" t="s">
        <v>237</v>
      </c>
      <c r="D71" s="20"/>
      <c r="E71" s="20"/>
      <c r="F71" s="20">
        <f t="shared" si="1"/>
        <v>0</v>
      </c>
    </row>
    <row r="72" spans="1:6" x14ac:dyDescent="0.2">
      <c r="A72" s="18" t="s">
        <v>290</v>
      </c>
      <c r="B72" s="4" t="s">
        <v>236</v>
      </c>
      <c r="C72" s="7" t="s">
        <v>202</v>
      </c>
      <c r="D72" s="20"/>
      <c r="E72" s="20"/>
      <c r="F72" s="20">
        <f t="shared" si="1"/>
        <v>0</v>
      </c>
    </row>
    <row r="73" spans="1:6" x14ac:dyDescent="0.2">
      <c r="A73" s="18" t="s">
        <v>290</v>
      </c>
      <c r="B73" s="4" t="s">
        <v>310</v>
      </c>
      <c r="C73" s="7" t="s">
        <v>237</v>
      </c>
      <c r="D73" s="20"/>
      <c r="E73" s="20"/>
      <c r="F73" s="20">
        <f t="shared" si="1"/>
        <v>0</v>
      </c>
    </row>
    <row r="74" spans="1:6" x14ac:dyDescent="0.2">
      <c r="A74" s="18" t="s">
        <v>308</v>
      </c>
      <c r="B74" s="4" t="s">
        <v>236</v>
      </c>
      <c r="C74" s="7" t="s">
        <v>202</v>
      </c>
      <c r="D74" s="20"/>
      <c r="E74" s="20"/>
      <c r="F74" s="20">
        <f t="shared" si="1"/>
        <v>0</v>
      </c>
    </row>
    <row r="75" spans="1:6" x14ac:dyDescent="0.2">
      <c r="A75" s="18" t="s">
        <v>308</v>
      </c>
      <c r="B75" s="4" t="s">
        <v>326</v>
      </c>
      <c r="C75" s="7" t="s">
        <v>237</v>
      </c>
      <c r="D75" s="20"/>
      <c r="E75" s="20"/>
      <c r="F75" s="20">
        <f t="shared" si="1"/>
        <v>0</v>
      </c>
    </row>
    <row r="76" spans="1:6" x14ac:dyDescent="0.2">
      <c r="A76" s="18" t="s">
        <v>322</v>
      </c>
      <c r="B76" s="4" t="s">
        <v>236</v>
      </c>
      <c r="C76" s="7" t="s">
        <v>202</v>
      </c>
      <c r="D76" s="20"/>
      <c r="E76" s="20"/>
      <c r="F76" s="20">
        <f t="shared" si="1"/>
        <v>0</v>
      </c>
    </row>
    <row r="77" spans="1:6" x14ac:dyDescent="0.2">
      <c r="A77" s="18" t="s">
        <v>322</v>
      </c>
      <c r="B77" s="4" t="s">
        <v>327</v>
      </c>
      <c r="C77" s="7" t="s">
        <v>237</v>
      </c>
      <c r="D77" s="20"/>
      <c r="E77" s="20"/>
      <c r="F77" s="20">
        <f t="shared" si="1"/>
        <v>0</v>
      </c>
    </row>
    <row r="78" spans="1:6" x14ac:dyDescent="0.2">
      <c r="A78" s="18" t="s">
        <v>335</v>
      </c>
      <c r="B78" s="4" t="s">
        <v>236</v>
      </c>
      <c r="C78" s="7" t="s">
        <v>202</v>
      </c>
      <c r="D78" s="20"/>
      <c r="E78" s="20"/>
      <c r="F78" s="20">
        <f t="shared" si="1"/>
        <v>0</v>
      </c>
    </row>
    <row r="79" spans="1:6" x14ac:dyDescent="0.2">
      <c r="A79" s="18" t="s">
        <v>335</v>
      </c>
      <c r="B79" s="4" t="s">
        <v>340</v>
      </c>
      <c r="C79" s="7" t="s">
        <v>237</v>
      </c>
      <c r="D79" s="20"/>
      <c r="E79" s="20"/>
      <c r="F79" s="20">
        <f t="shared" si="1"/>
        <v>0</v>
      </c>
    </row>
    <row r="80" spans="1:6" x14ac:dyDescent="0.2">
      <c r="A80" s="18" t="s">
        <v>357</v>
      </c>
      <c r="B80" s="4" t="s">
        <v>236</v>
      </c>
      <c r="C80" s="7" t="s">
        <v>202</v>
      </c>
      <c r="D80" s="20"/>
      <c r="E80" s="20"/>
      <c r="F80" s="20">
        <f t="shared" si="1"/>
        <v>0</v>
      </c>
    </row>
    <row r="81" spans="1:6" x14ac:dyDescent="0.2">
      <c r="A81" s="18" t="s">
        <v>357</v>
      </c>
      <c r="B81" s="4" t="s">
        <v>360</v>
      </c>
      <c r="C81" s="7" t="s">
        <v>237</v>
      </c>
      <c r="D81" s="20"/>
      <c r="E81" s="20"/>
      <c r="F81" s="20">
        <f t="shared" si="1"/>
        <v>0</v>
      </c>
    </row>
    <row r="82" spans="1:6" x14ac:dyDescent="0.2">
      <c r="A82" s="18" t="s">
        <v>376</v>
      </c>
      <c r="B82" s="4" t="s">
        <v>236</v>
      </c>
      <c r="C82" s="7" t="s">
        <v>202</v>
      </c>
      <c r="D82" s="20"/>
      <c r="E82" s="20"/>
      <c r="F82" s="20">
        <f t="shared" si="1"/>
        <v>0</v>
      </c>
    </row>
    <row r="83" spans="1:6" x14ac:dyDescent="0.2">
      <c r="A83" s="18" t="s">
        <v>376</v>
      </c>
      <c r="B83" s="4" t="s">
        <v>379</v>
      </c>
      <c r="C83" s="7" t="s">
        <v>237</v>
      </c>
      <c r="D83" s="20"/>
      <c r="E83" s="20"/>
      <c r="F83" s="20">
        <f t="shared" si="1"/>
        <v>0</v>
      </c>
    </row>
    <row r="84" spans="1:6" x14ac:dyDescent="0.2">
      <c r="A84" s="18" t="s">
        <v>390</v>
      </c>
      <c r="B84" s="4" t="s">
        <v>236</v>
      </c>
      <c r="C84" s="7" t="s">
        <v>202</v>
      </c>
      <c r="D84" s="20"/>
      <c r="E84" s="20"/>
      <c r="F84" s="20">
        <f t="shared" si="1"/>
        <v>0</v>
      </c>
    </row>
    <row r="85" spans="1:6" x14ac:dyDescent="0.2">
      <c r="A85" s="18" t="s">
        <v>390</v>
      </c>
      <c r="B85" s="4" t="s">
        <v>461</v>
      </c>
      <c r="C85" s="7" t="s">
        <v>237</v>
      </c>
      <c r="D85" s="20"/>
      <c r="E85" s="20"/>
      <c r="F85" s="20">
        <f t="shared" si="1"/>
        <v>0</v>
      </c>
    </row>
    <row r="86" spans="1:6" x14ac:dyDescent="0.2">
      <c r="A86" s="18" t="s">
        <v>449</v>
      </c>
      <c r="B86" s="4" t="s">
        <v>236</v>
      </c>
      <c r="C86" s="7" t="s">
        <v>202</v>
      </c>
      <c r="D86" s="20"/>
      <c r="E86" s="20"/>
      <c r="F86" s="20">
        <f t="shared" si="1"/>
        <v>0</v>
      </c>
    </row>
    <row r="87" spans="1:6" x14ac:dyDescent="0.2">
      <c r="A87" s="18" t="s">
        <v>449</v>
      </c>
      <c r="B87" s="4" t="s">
        <v>461</v>
      </c>
      <c r="C87" s="7" t="s">
        <v>237</v>
      </c>
      <c r="D87" s="20"/>
      <c r="E87" s="20"/>
      <c r="F87" s="20">
        <f t="shared" si="1"/>
        <v>0</v>
      </c>
    </row>
    <row r="88" spans="1:6" x14ac:dyDescent="0.2">
      <c r="A88" s="18"/>
      <c r="B88" s="4"/>
      <c r="C88" s="7"/>
      <c r="D88" s="20"/>
      <c r="E88" s="20"/>
      <c r="F88" s="20">
        <f t="shared" si="1"/>
        <v>0</v>
      </c>
    </row>
    <row r="89" spans="1:6" x14ac:dyDescent="0.2">
      <c r="A89" s="4"/>
      <c r="B89" s="4"/>
      <c r="C89" s="7"/>
      <c r="D89" s="20"/>
      <c r="E89" s="20"/>
      <c r="F89" s="20"/>
    </row>
    <row r="90" spans="1:6" x14ac:dyDescent="0.2">
      <c r="A90" s="99" t="s">
        <v>10</v>
      </c>
      <c r="B90" s="99"/>
      <c r="C90" s="99"/>
      <c r="D90" s="20">
        <f>SUM(D64:D89)</f>
        <v>0</v>
      </c>
      <c r="E90" s="20">
        <f>SUM(E64:E89)</f>
        <v>0</v>
      </c>
      <c r="F90" s="20">
        <f>D90-E90</f>
        <v>0</v>
      </c>
    </row>
    <row r="91" spans="1:6" x14ac:dyDescent="0.2">
      <c r="A91" s="99" t="s">
        <v>11</v>
      </c>
      <c r="B91" s="99"/>
      <c r="C91" s="99"/>
      <c r="D91" s="20">
        <f>F63</f>
        <v>0</v>
      </c>
      <c r="E91" s="20"/>
      <c r="F91" s="20">
        <f>D91-E91</f>
        <v>0</v>
      </c>
    </row>
    <row r="92" spans="1:6" x14ac:dyDescent="0.2">
      <c r="A92" s="99" t="s">
        <v>10</v>
      </c>
      <c r="B92" s="99"/>
      <c r="C92" s="99"/>
      <c r="D92" s="20">
        <f>SUM(D90:D91)</f>
        <v>0</v>
      </c>
      <c r="E92" s="20">
        <f>SUM(E90:E91)</f>
        <v>0</v>
      </c>
      <c r="F92" s="20">
        <f>SUM(F90:F91)</f>
        <v>0</v>
      </c>
    </row>
    <row r="94" spans="1:6" x14ac:dyDescent="0.2">
      <c r="A94" s="100" t="s">
        <v>0</v>
      </c>
      <c r="B94" s="100"/>
    </row>
    <row r="95" spans="1:6" x14ac:dyDescent="0.2">
      <c r="A95" s="100" t="s">
        <v>1</v>
      </c>
      <c r="B95" s="100"/>
    </row>
    <row r="96" spans="1:6" x14ac:dyDescent="0.2">
      <c r="A96" s="101" t="s">
        <v>2</v>
      </c>
      <c r="B96" s="101"/>
      <c r="C96" s="101"/>
      <c r="D96" s="101"/>
      <c r="E96" s="101"/>
      <c r="F96" s="101"/>
    </row>
    <row r="97" spans="1:6" x14ac:dyDescent="0.2">
      <c r="A97" s="109" t="s">
        <v>18</v>
      </c>
      <c r="B97" s="109"/>
      <c r="D97" s="2" t="s">
        <v>19</v>
      </c>
    </row>
    <row r="99" spans="1:6" x14ac:dyDescent="0.2">
      <c r="A99" s="103" t="s">
        <v>3</v>
      </c>
      <c r="B99" s="103" t="s">
        <v>4</v>
      </c>
      <c r="C99" s="103" t="s">
        <v>5</v>
      </c>
      <c r="D99" s="105" t="s">
        <v>6</v>
      </c>
      <c r="E99" s="106"/>
      <c r="F99" s="103" t="s">
        <v>9</v>
      </c>
    </row>
    <row r="100" spans="1:6" x14ac:dyDescent="0.2">
      <c r="A100" s="104"/>
      <c r="B100" s="104"/>
      <c r="C100" s="104"/>
      <c r="D100" s="3" t="s">
        <v>7</v>
      </c>
      <c r="E100" s="3" t="s">
        <v>8</v>
      </c>
      <c r="F100" s="104"/>
    </row>
    <row r="101" spans="1:6" x14ac:dyDescent="0.2">
      <c r="A101" s="4"/>
      <c r="B101" s="4"/>
      <c r="C101" s="7"/>
      <c r="D101" s="4">
        <v>0</v>
      </c>
      <c r="E101" s="4">
        <v>0</v>
      </c>
      <c r="F101" s="4">
        <f>D101+E101</f>
        <v>0</v>
      </c>
    </row>
    <row r="102" spans="1:6" x14ac:dyDescent="0.2">
      <c r="A102" s="4"/>
      <c r="B102" s="4"/>
      <c r="C102" s="7"/>
      <c r="D102" s="4"/>
      <c r="E102" s="4"/>
      <c r="F102" s="4"/>
    </row>
    <row r="103" spans="1:6" x14ac:dyDescent="0.2">
      <c r="A103" s="4"/>
      <c r="B103" s="4"/>
      <c r="C103" s="7"/>
      <c r="D103" s="4"/>
      <c r="E103" s="4"/>
      <c r="F103" s="4"/>
    </row>
    <row r="104" spans="1:6" x14ac:dyDescent="0.2">
      <c r="A104" s="4"/>
      <c r="B104" s="4"/>
      <c r="C104" s="7"/>
      <c r="D104" s="4"/>
      <c r="E104" s="4"/>
      <c r="F104" s="4"/>
    </row>
    <row r="105" spans="1:6" x14ac:dyDescent="0.2">
      <c r="A105" s="4"/>
      <c r="B105" s="4"/>
      <c r="C105" s="7"/>
      <c r="D105" s="4"/>
      <c r="E105" s="4"/>
      <c r="F105" s="4"/>
    </row>
    <row r="106" spans="1:6" x14ac:dyDescent="0.2">
      <c r="A106" s="4"/>
      <c r="B106" s="4"/>
      <c r="C106" s="7"/>
      <c r="D106" s="4"/>
      <c r="E106" s="4"/>
      <c r="F106" s="4"/>
    </row>
    <row r="107" spans="1:6" x14ac:dyDescent="0.2">
      <c r="A107" s="4"/>
      <c r="B107" s="4"/>
      <c r="C107" s="7"/>
      <c r="D107" s="4"/>
      <c r="E107" s="4"/>
      <c r="F107" s="4"/>
    </row>
    <row r="108" spans="1:6" x14ac:dyDescent="0.2">
      <c r="A108" s="4"/>
      <c r="B108" s="4"/>
      <c r="C108" s="7"/>
      <c r="D108" s="4"/>
      <c r="E108" s="4"/>
      <c r="F108" s="4"/>
    </row>
    <row r="109" spans="1:6" x14ac:dyDescent="0.2">
      <c r="A109" s="4"/>
      <c r="B109" s="4"/>
      <c r="C109" s="7"/>
      <c r="D109" s="4"/>
      <c r="E109" s="4"/>
      <c r="F109" s="4"/>
    </row>
    <row r="110" spans="1:6" x14ac:dyDescent="0.2">
      <c r="A110" s="99" t="s">
        <v>10</v>
      </c>
      <c r="B110" s="99"/>
      <c r="C110" s="99"/>
      <c r="D110" s="4">
        <f>SUM(D101:D109)</f>
        <v>0</v>
      </c>
      <c r="E110" s="4">
        <f>SUM(E101:E109)</f>
        <v>0</v>
      </c>
      <c r="F110" s="4">
        <f>D110-E110</f>
        <v>0</v>
      </c>
    </row>
    <row r="111" spans="1:6" x14ac:dyDescent="0.2">
      <c r="A111" s="99" t="s">
        <v>11</v>
      </c>
      <c r="B111" s="99"/>
      <c r="C111" s="99"/>
      <c r="D111" s="4"/>
      <c r="E111" s="4"/>
      <c r="F111" s="4">
        <f>D111-E111</f>
        <v>0</v>
      </c>
    </row>
    <row r="112" spans="1:6" x14ac:dyDescent="0.2">
      <c r="A112" s="99" t="s">
        <v>10</v>
      </c>
      <c r="B112" s="99"/>
      <c r="C112" s="99"/>
      <c r="D112" s="4">
        <f>SUM(D110:D111)</f>
        <v>0</v>
      </c>
      <c r="E112" s="4">
        <f>SUM(E110:E111)</f>
        <v>0</v>
      </c>
      <c r="F112" s="4">
        <f>SUM(F110:F111)</f>
        <v>0</v>
      </c>
    </row>
    <row r="120" spans="1:6" x14ac:dyDescent="0.2">
      <c r="A120" s="100" t="s">
        <v>0</v>
      </c>
      <c r="B120" s="100"/>
    </row>
    <row r="121" spans="1:6" x14ac:dyDescent="0.2">
      <c r="A121" s="100" t="s">
        <v>1</v>
      </c>
      <c r="B121" s="100"/>
    </row>
    <row r="122" spans="1:6" x14ac:dyDescent="0.2">
      <c r="A122" s="101" t="s">
        <v>2</v>
      </c>
      <c r="B122" s="101"/>
      <c r="C122" s="101"/>
      <c r="D122" s="101"/>
      <c r="E122" s="101"/>
      <c r="F122" s="101"/>
    </row>
    <row r="123" spans="1:6" x14ac:dyDescent="0.2">
      <c r="A123" s="122" t="s">
        <v>20</v>
      </c>
      <c r="B123" s="122"/>
      <c r="D123" s="2" t="s">
        <v>21</v>
      </c>
    </row>
    <row r="125" spans="1:6" x14ac:dyDescent="0.2">
      <c r="A125" s="103" t="s">
        <v>3</v>
      </c>
      <c r="B125" s="103" t="s">
        <v>4</v>
      </c>
      <c r="C125" s="103" t="s">
        <v>5</v>
      </c>
      <c r="D125" s="105" t="s">
        <v>6</v>
      </c>
      <c r="E125" s="106"/>
      <c r="F125" s="103" t="s">
        <v>9</v>
      </c>
    </row>
    <row r="126" spans="1:6" x14ac:dyDescent="0.2">
      <c r="A126" s="104"/>
      <c r="B126" s="104"/>
      <c r="C126" s="104"/>
      <c r="D126" s="3" t="s">
        <v>7</v>
      </c>
      <c r="E126" s="3" t="s">
        <v>8</v>
      </c>
      <c r="F126" s="104"/>
    </row>
    <row r="127" spans="1:6" x14ac:dyDescent="0.2">
      <c r="A127" s="18" t="s">
        <v>203</v>
      </c>
      <c r="B127" s="4" t="s">
        <v>208</v>
      </c>
      <c r="C127" s="7"/>
      <c r="D127" s="20"/>
      <c r="E127" s="20"/>
      <c r="F127" s="20">
        <v>0</v>
      </c>
    </row>
    <row r="128" spans="1:6" x14ac:dyDescent="0.2">
      <c r="A128" s="18" t="s">
        <v>228</v>
      </c>
      <c r="B128" s="4" t="s">
        <v>492</v>
      </c>
      <c r="C128" s="7" t="s">
        <v>200</v>
      </c>
      <c r="D128" s="20"/>
      <c r="E128" s="20">
        <v>0</v>
      </c>
      <c r="F128" s="20">
        <f>F127-E128+D128</f>
        <v>0</v>
      </c>
    </row>
    <row r="129" spans="1:6" x14ac:dyDescent="0.2">
      <c r="A129" s="18" t="s">
        <v>414</v>
      </c>
      <c r="B129" s="4" t="s">
        <v>415</v>
      </c>
      <c r="C129" s="7" t="s">
        <v>200</v>
      </c>
      <c r="D129" s="20"/>
      <c r="E129" s="20"/>
      <c r="F129" s="20">
        <f>F128-E129+D129</f>
        <v>0</v>
      </c>
    </row>
    <row r="130" spans="1:6" x14ac:dyDescent="0.2">
      <c r="A130" s="18" t="s">
        <v>743</v>
      </c>
      <c r="B130" s="4" t="s">
        <v>415</v>
      </c>
      <c r="C130" s="7" t="s">
        <v>200</v>
      </c>
      <c r="D130" s="20"/>
      <c r="E130" s="20"/>
      <c r="F130" s="20">
        <f>F129-E130+D130</f>
        <v>0</v>
      </c>
    </row>
    <row r="131" spans="1:6" x14ac:dyDescent="0.2">
      <c r="A131" s="18" t="s">
        <v>416</v>
      </c>
      <c r="B131" s="4" t="s">
        <v>1420</v>
      </c>
      <c r="C131" s="7" t="s">
        <v>200</v>
      </c>
      <c r="D131" s="20"/>
      <c r="E131" s="20"/>
      <c r="F131" s="20">
        <f t="shared" ref="F131:F153" si="2">F130-E131+D131</f>
        <v>0</v>
      </c>
    </row>
    <row r="132" spans="1:6" x14ac:dyDescent="0.2">
      <c r="A132" s="18" t="s">
        <v>1363</v>
      </c>
      <c r="B132" s="4" t="s">
        <v>415</v>
      </c>
      <c r="C132" s="7" t="s">
        <v>200</v>
      </c>
      <c r="D132" s="20"/>
      <c r="E132" s="20"/>
      <c r="F132" s="20">
        <f t="shared" si="2"/>
        <v>0</v>
      </c>
    </row>
    <row r="133" spans="1:6" x14ac:dyDescent="0.2">
      <c r="A133" s="18" t="s">
        <v>580</v>
      </c>
      <c r="B133" s="4" t="s">
        <v>415</v>
      </c>
      <c r="C133" s="7" t="s">
        <v>200</v>
      </c>
      <c r="D133" s="20"/>
      <c r="E133" s="20"/>
      <c r="F133" s="20">
        <f t="shared" si="2"/>
        <v>0</v>
      </c>
    </row>
    <row r="134" spans="1:6" x14ac:dyDescent="0.2">
      <c r="A134" s="18" t="s">
        <v>269</v>
      </c>
      <c r="B134" s="4" t="s">
        <v>1428</v>
      </c>
      <c r="C134" s="7" t="s">
        <v>200</v>
      </c>
      <c r="D134" s="20"/>
      <c r="E134" s="20"/>
      <c r="F134" s="20">
        <f>F133-E134+D134</f>
        <v>0</v>
      </c>
    </row>
    <row r="135" spans="1:6" x14ac:dyDescent="0.2">
      <c r="A135" s="18" t="s">
        <v>434</v>
      </c>
      <c r="B135" s="4" t="s">
        <v>415</v>
      </c>
      <c r="C135" s="7" t="s">
        <v>200</v>
      </c>
      <c r="D135" s="20"/>
      <c r="E135" s="20"/>
      <c r="F135" s="20">
        <f t="shared" si="2"/>
        <v>0</v>
      </c>
    </row>
    <row r="136" spans="1:6" x14ac:dyDescent="0.2">
      <c r="A136" s="18" t="s">
        <v>290</v>
      </c>
      <c r="B136" s="4" t="s">
        <v>492</v>
      </c>
      <c r="C136" s="7" t="s">
        <v>200</v>
      </c>
      <c r="D136" s="20"/>
      <c r="E136" s="20"/>
      <c r="F136" s="20">
        <f t="shared" si="2"/>
        <v>0</v>
      </c>
    </row>
    <row r="137" spans="1:6" x14ac:dyDescent="0.2">
      <c r="A137" s="18" t="s">
        <v>436</v>
      </c>
      <c r="B137" s="4" t="s">
        <v>415</v>
      </c>
      <c r="C137" s="7" t="s">
        <v>200</v>
      </c>
      <c r="D137" s="20"/>
      <c r="E137" s="20"/>
      <c r="F137" s="20">
        <f t="shared" si="2"/>
        <v>0</v>
      </c>
    </row>
    <row r="138" spans="1:6" x14ac:dyDescent="0.2">
      <c r="A138" s="18" t="s">
        <v>603</v>
      </c>
      <c r="B138" s="4" t="s">
        <v>854</v>
      </c>
      <c r="C138" s="7" t="s">
        <v>200</v>
      </c>
      <c r="D138" s="20"/>
      <c r="E138" s="20"/>
      <c r="F138" s="20">
        <f t="shared" si="2"/>
        <v>0</v>
      </c>
    </row>
    <row r="139" spans="1:6" x14ac:dyDescent="0.2">
      <c r="A139" s="18" t="s">
        <v>308</v>
      </c>
      <c r="B139" s="4" t="s">
        <v>852</v>
      </c>
      <c r="C139" s="7" t="s">
        <v>200</v>
      </c>
      <c r="D139" s="20"/>
      <c r="E139" s="20"/>
      <c r="F139" s="20">
        <f t="shared" si="2"/>
        <v>0</v>
      </c>
    </row>
    <row r="140" spans="1:6" x14ac:dyDescent="0.2">
      <c r="A140" s="18" t="s">
        <v>321</v>
      </c>
      <c r="B140" s="4" t="s">
        <v>903</v>
      </c>
      <c r="C140" s="7" t="s">
        <v>200</v>
      </c>
      <c r="D140" s="20"/>
      <c r="E140" s="20"/>
      <c r="F140" s="20">
        <f t="shared" si="2"/>
        <v>0</v>
      </c>
    </row>
    <row r="141" spans="1:6" x14ac:dyDescent="0.2">
      <c r="A141" s="18" t="s">
        <v>480</v>
      </c>
      <c r="B141" s="4" t="s">
        <v>902</v>
      </c>
      <c r="C141" s="7" t="s">
        <v>200</v>
      </c>
      <c r="D141" s="20"/>
      <c r="E141" s="20"/>
      <c r="F141" s="20">
        <f t="shared" si="2"/>
        <v>0</v>
      </c>
    </row>
    <row r="142" spans="1:6" x14ac:dyDescent="0.2">
      <c r="A142" s="18" t="s">
        <v>322</v>
      </c>
      <c r="B142" s="4" t="s">
        <v>479</v>
      </c>
      <c r="C142" s="7" t="s">
        <v>200</v>
      </c>
      <c r="D142" s="20"/>
      <c r="E142" s="20"/>
      <c r="F142" s="20">
        <f t="shared" si="2"/>
        <v>0</v>
      </c>
    </row>
    <row r="143" spans="1:6" x14ac:dyDescent="0.2">
      <c r="A143" s="18" t="s">
        <v>481</v>
      </c>
      <c r="B143" s="4" t="s">
        <v>415</v>
      </c>
      <c r="C143" s="7" t="s">
        <v>200</v>
      </c>
      <c r="D143" s="20"/>
      <c r="E143" s="20"/>
      <c r="F143" s="20">
        <f t="shared" si="2"/>
        <v>0</v>
      </c>
    </row>
    <row r="144" spans="1:6" x14ac:dyDescent="0.2">
      <c r="A144" s="18" t="s">
        <v>335</v>
      </c>
      <c r="B144" s="4" t="s">
        <v>482</v>
      </c>
      <c r="C144" s="7" t="s">
        <v>200</v>
      </c>
      <c r="D144" s="20"/>
      <c r="E144" s="20"/>
      <c r="F144" s="20">
        <f t="shared" si="2"/>
        <v>0</v>
      </c>
    </row>
    <row r="145" spans="1:6" x14ac:dyDescent="0.2">
      <c r="A145" s="18" t="s">
        <v>356</v>
      </c>
      <c r="B145" s="4" t="s">
        <v>415</v>
      </c>
      <c r="C145" s="7" t="s">
        <v>200</v>
      </c>
      <c r="D145" s="20"/>
      <c r="E145" s="20"/>
      <c r="F145" s="20">
        <f t="shared" si="2"/>
        <v>0</v>
      </c>
    </row>
    <row r="146" spans="1:6" x14ac:dyDescent="0.2">
      <c r="A146" s="18" t="s">
        <v>357</v>
      </c>
      <c r="B146" s="4" t="s">
        <v>621</v>
      </c>
      <c r="C146" s="7" t="s">
        <v>200</v>
      </c>
      <c r="D146" s="20"/>
      <c r="E146" s="20"/>
      <c r="F146" s="20">
        <f t="shared" si="2"/>
        <v>0</v>
      </c>
    </row>
    <row r="147" spans="1:6" x14ac:dyDescent="0.2">
      <c r="A147" s="18" t="s">
        <v>375</v>
      </c>
      <c r="B147" s="4" t="s">
        <v>415</v>
      </c>
      <c r="C147" s="7" t="s">
        <v>200</v>
      </c>
      <c r="D147" s="20"/>
      <c r="E147" s="20"/>
      <c r="F147" s="20">
        <f t="shared" si="2"/>
        <v>0</v>
      </c>
    </row>
    <row r="148" spans="1:6" x14ac:dyDescent="0.2">
      <c r="A148" s="18" t="s">
        <v>376</v>
      </c>
      <c r="B148" s="4" t="s">
        <v>629</v>
      </c>
      <c r="C148" s="7" t="s">
        <v>200</v>
      </c>
      <c r="D148" s="20"/>
      <c r="E148" s="20"/>
      <c r="F148" s="20">
        <f t="shared" si="2"/>
        <v>0</v>
      </c>
    </row>
    <row r="149" spans="1:6" x14ac:dyDescent="0.2">
      <c r="A149" s="18" t="s">
        <v>389</v>
      </c>
      <c r="B149" s="4" t="s">
        <v>415</v>
      </c>
      <c r="C149" s="7" t="s">
        <v>200</v>
      </c>
      <c r="D149" s="20"/>
      <c r="E149" s="20"/>
      <c r="F149" s="20">
        <f t="shared" si="2"/>
        <v>0</v>
      </c>
    </row>
    <row r="150" spans="1:6" x14ac:dyDescent="0.2">
      <c r="A150" s="18" t="s">
        <v>390</v>
      </c>
      <c r="B150" s="4" t="s">
        <v>479</v>
      </c>
      <c r="C150" s="7" t="s">
        <v>200</v>
      </c>
      <c r="D150" s="20"/>
      <c r="E150" s="20"/>
      <c r="F150" s="20">
        <f t="shared" si="2"/>
        <v>0</v>
      </c>
    </row>
    <row r="151" spans="1:6" x14ac:dyDescent="0.2">
      <c r="A151" s="18" t="s">
        <v>458</v>
      </c>
      <c r="B151" s="4" t="s">
        <v>415</v>
      </c>
      <c r="C151" s="7" t="s">
        <v>200</v>
      </c>
      <c r="D151" s="20"/>
      <c r="E151" s="20"/>
      <c r="F151" s="20">
        <f t="shared" si="2"/>
        <v>0</v>
      </c>
    </row>
    <row r="152" spans="1:6" x14ac:dyDescent="0.2">
      <c r="A152" s="18" t="s">
        <v>449</v>
      </c>
      <c r="B152" s="4" t="s">
        <v>1136</v>
      </c>
      <c r="C152" s="7" t="s">
        <v>200</v>
      </c>
      <c r="D152" s="20"/>
      <c r="E152" s="20"/>
      <c r="F152" s="20">
        <f t="shared" si="2"/>
        <v>0</v>
      </c>
    </row>
    <row r="153" spans="1:6" x14ac:dyDescent="0.2">
      <c r="A153" s="18"/>
      <c r="B153" s="4"/>
      <c r="C153" s="7"/>
      <c r="D153" s="20"/>
      <c r="E153" s="20"/>
      <c r="F153" s="20">
        <f t="shared" si="2"/>
        <v>0</v>
      </c>
    </row>
    <row r="154" spans="1:6" x14ac:dyDescent="0.2">
      <c r="A154" s="99" t="s">
        <v>10</v>
      </c>
      <c r="B154" s="99"/>
      <c r="C154" s="99"/>
      <c r="D154" s="20">
        <f>SUM(D127:D153)</f>
        <v>0</v>
      </c>
      <c r="E154" s="20">
        <f>SUM(E127:E153)</f>
        <v>0</v>
      </c>
      <c r="F154" s="20">
        <f>D154-E154</f>
        <v>0</v>
      </c>
    </row>
    <row r="155" spans="1:6" x14ac:dyDescent="0.2">
      <c r="A155" s="99" t="s">
        <v>11</v>
      </c>
      <c r="B155" s="99"/>
      <c r="C155" s="99"/>
      <c r="D155" s="20">
        <f>F127</f>
        <v>0</v>
      </c>
      <c r="E155" s="20"/>
      <c r="F155" s="20">
        <f>D155-E155</f>
        <v>0</v>
      </c>
    </row>
    <row r="156" spans="1:6" x14ac:dyDescent="0.2">
      <c r="A156" s="99" t="s">
        <v>10</v>
      </c>
      <c r="B156" s="99"/>
      <c r="C156" s="99"/>
      <c r="D156" s="20">
        <f>SUM(D154:D155)</f>
        <v>0</v>
      </c>
      <c r="E156" s="20">
        <f>SUM(E154:E155)</f>
        <v>0</v>
      </c>
      <c r="F156" s="20">
        <f>SUM(F154:F155)</f>
        <v>0</v>
      </c>
    </row>
    <row r="157" spans="1:6" x14ac:dyDescent="0.2">
      <c r="A157" s="5"/>
      <c r="B157" s="5"/>
      <c r="C157" s="5"/>
    </row>
    <row r="158" spans="1:6" x14ac:dyDescent="0.2">
      <c r="A158" s="100" t="s">
        <v>0</v>
      </c>
      <c r="B158" s="100"/>
    </row>
    <row r="159" spans="1:6" x14ac:dyDescent="0.2">
      <c r="A159" s="100" t="s">
        <v>1</v>
      </c>
      <c r="B159" s="100"/>
    </row>
    <row r="160" spans="1:6" x14ac:dyDescent="0.2">
      <c r="A160" s="101" t="s">
        <v>2</v>
      </c>
      <c r="B160" s="101"/>
      <c r="C160" s="101"/>
      <c r="D160" s="101"/>
      <c r="E160" s="101"/>
      <c r="F160" s="101"/>
    </row>
    <row r="161" spans="1:6" x14ac:dyDescent="0.2">
      <c r="A161" s="122" t="s">
        <v>496</v>
      </c>
      <c r="B161" s="122"/>
      <c r="C161" s="153"/>
      <c r="D161" s="123" t="s">
        <v>500</v>
      </c>
    </row>
    <row r="163" spans="1:6" x14ac:dyDescent="0.2">
      <c r="A163" s="103" t="s">
        <v>3</v>
      </c>
      <c r="B163" s="103" t="s">
        <v>4</v>
      </c>
      <c r="C163" s="103" t="s">
        <v>5</v>
      </c>
      <c r="D163" s="105" t="s">
        <v>6</v>
      </c>
      <c r="E163" s="106"/>
      <c r="F163" s="103" t="s">
        <v>9</v>
      </c>
    </row>
    <row r="164" spans="1:6" x14ac:dyDescent="0.2">
      <c r="A164" s="104"/>
      <c r="B164" s="104"/>
      <c r="C164" s="104"/>
      <c r="D164" s="3" t="s">
        <v>7</v>
      </c>
      <c r="E164" s="3" t="s">
        <v>8</v>
      </c>
      <c r="F164" s="104"/>
    </row>
    <row r="165" spans="1:6" x14ac:dyDescent="0.2">
      <c r="A165" s="18" t="s">
        <v>203</v>
      </c>
      <c r="B165" s="4" t="s">
        <v>208</v>
      </c>
      <c r="C165" s="7"/>
      <c r="D165" s="20"/>
      <c r="E165" s="20"/>
      <c r="F165" s="20">
        <v>0</v>
      </c>
    </row>
    <row r="166" spans="1:6" x14ac:dyDescent="0.2">
      <c r="A166" s="18" t="s">
        <v>1287</v>
      </c>
      <c r="B166" s="4" t="s">
        <v>565</v>
      </c>
      <c r="C166" s="7" t="s">
        <v>200</v>
      </c>
      <c r="D166" s="20"/>
      <c r="E166" s="20"/>
      <c r="F166" s="20">
        <f>F165-E166+D166</f>
        <v>0</v>
      </c>
    </row>
    <row r="167" spans="1:6" x14ac:dyDescent="0.2">
      <c r="A167" s="18" t="s">
        <v>449</v>
      </c>
      <c r="B167" s="4" t="s">
        <v>564</v>
      </c>
      <c r="C167" s="7" t="s">
        <v>200</v>
      </c>
      <c r="D167" s="20"/>
      <c r="E167" s="20"/>
      <c r="F167" s="20">
        <f>F166-E167+D167</f>
        <v>0</v>
      </c>
    </row>
    <row r="168" spans="1:6" x14ac:dyDescent="0.2">
      <c r="A168" s="4"/>
      <c r="B168" s="4"/>
      <c r="C168" s="7"/>
      <c r="D168" s="20"/>
      <c r="E168" s="20"/>
      <c r="F168" s="20"/>
    </row>
    <row r="169" spans="1:6" x14ac:dyDescent="0.2">
      <c r="A169" s="99" t="s">
        <v>10</v>
      </c>
      <c r="B169" s="99"/>
      <c r="C169" s="99"/>
      <c r="D169" s="20">
        <f>SUM(D165:D168)</f>
        <v>0</v>
      </c>
      <c r="E169" s="20">
        <f>SUM(E165:E168)</f>
        <v>0</v>
      </c>
      <c r="F169" s="20">
        <f>D169-E169</f>
        <v>0</v>
      </c>
    </row>
    <row r="170" spans="1:6" x14ac:dyDescent="0.2">
      <c r="A170" s="99" t="s">
        <v>11</v>
      </c>
      <c r="B170" s="99"/>
      <c r="C170" s="99"/>
      <c r="D170" s="20">
        <f>F165</f>
        <v>0</v>
      </c>
      <c r="E170" s="20"/>
      <c r="F170" s="20">
        <f>D170-E170</f>
        <v>0</v>
      </c>
    </row>
    <row r="171" spans="1:6" x14ac:dyDescent="0.2">
      <c r="A171" s="99" t="s">
        <v>10</v>
      </c>
      <c r="B171" s="99"/>
      <c r="C171" s="99"/>
      <c r="D171" s="20">
        <f>SUM(D169:D170)</f>
        <v>0</v>
      </c>
      <c r="E171" s="20">
        <f>SUM(E169:E170)</f>
        <v>0</v>
      </c>
      <c r="F171" s="20">
        <f>SUM(F169:F170)</f>
        <v>0</v>
      </c>
    </row>
    <row r="174" spans="1:6" x14ac:dyDescent="0.2">
      <c r="A174" s="100" t="s">
        <v>0</v>
      </c>
      <c r="B174" s="100"/>
      <c r="F174" s="1" t="s">
        <v>24</v>
      </c>
    </row>
    <row r="175" spans="1:6" x14ac:dyDescent="0.2">
      <c r="A175" s="100" t="s">
        <v>1</v>
      </c>
      <c r="B175" s="100"/>
    </row>
    <row r="176" spans="1:6" x14ac:dyDescent="0.2">
      <c r="A176" s="101" t="s">
        <v>2</v>
      </c>
      <c r="B176" s="101"/>
      <c r="C176" s="101"/>
      <c r="D176" s="101"/>
      <c r="E176" s="101"/>
      <c r="F176" s="101"/>
    </row>
    <row r="177" spans="1:6" x14ac:dyDescent="0.2">
      <c r="A177" s="109" t="s">
        <v>22</v>
      </c>
      <c r="B177" s="109"/>
      <c r="D177" s="2" t="s">
        <v>23</v>
      </c>
    </row>
    <row r="179" spans="1:6" x14ac:dyDescent="0.2">
      <c r="A179" s="103" t="s">
        <v>3</v>
      </c>
      <c r="B179" s="103" t="s">
        <v>4</v>
      </c>
      <c r="C179" s="103" t="s">
        <v>5</v>
      </c>
      <c r="D179" s="105" t="s">
        <v>6</v>
      </c>
      <c r="E179" s="106"/>
      <c r="F179" s="103" t="s">
        <v>9</v>
      </c>
    </row>
    <row r="180" spans="1:6" x14ac:dyDescent="0.2">
      <c r="A180" s="104"/>
      <c r="B180" s="104"/>
      <c r="C180" s="104"/>
      <c r="D180" s="3" t="s">
        <v>7</v>
      </c>
      <c r="E180" s="3" t="s">
        <v>8</v>
      </c>
      <c r="F180" s="104"/>
    </row>
    <row r="181" spans="1:6" x14ac:dyDescent="0.2">
      <c r="A181" s="18" t="s">
        <v>207</v>
      </c>
      <c r="B181" s="4" t="s">
        <v>206</v>
      </c>
      <c r="C181" s="7"/>
      <c r="D181" s="20"/>
      <c r="E181" s="20"/>
      <c r="F181" s="20">
        <v>0</v>
      </c>
    </row>
    <row r="182" spans="1:6" ht="24" x14ac:dyDescent="0.2">
      <c r="A182" s="18" t="s">
        <v>449</v>
      </c>
      <c r="B182" s="78" t="s">
        <v>1213</v>
      </c>
      <c r="C182" s="7" t="s">
        <v>200</v>
      </c>
      <c r="D182" s="20"/>
      <c r="E182" s="20"/>
      <c r="F182" s="90">
        <f>F181-D182+E182</f>
        <v>0</v>
      </c>
    </row>
    <row r="183" spans="1:6" x14ac:dyDescent="0.2">
      <c r="A183" s="4"/>
      <c r="B183" s="4"/>
      <c r="C183" s="7"/>
      <c r="D183" s="20"/>
      <c r="E183" s="20"/>
      <c r="F183" s="20"/>
    </row>
    <row r="184" spans="1:6" x14ac:dyDescent="0.2">
      <c r="A184" s="4"/>
      <c r="B184" s="4"/>
      <c r="C184" s="7"/>
      <c r="D184" s="20"/>
      <c r="E184" s="20"/>
      <c r="F184" s="20"/>
    </row>
    <row r="185" spans="1:6" x14ac:dyDescent="0.2">
      <c r="A185" s="99" t="s">
        <v>10</v>
      </c>
      <c r="B185" s="99"/>
      <c r="C185" s="99"/>
      <c r="D185" s="20">
        <f>SUM(D181:D184)</f>
        <v>0</v>
      </c>
      <c r="E185" s="20">
        <f>SUM(E181:E184)</f>
        <v>0</v>
      </c>
      <c r="F185" s="20">
        <f>D185-E185</f>
        <v>0</v>
      </c>
    </row>
    <row r="186" spans="1:6" x14ac:dyDescent="0.2">
      <c r="A186" s="99" t="s">
        <v>11</v>
      </c>
      <c r="B186" s="99"/>
      <c r="C186" s="99"/>
      <c r="D186" s="20"/>
      <c r="E186" s="20">
        <f>F181</f>
        <v>0</v>
      </c>
      <c r="F186" s="20">
        <f>D186-E186</f>
        <v>0</v>
      </c>
    </row>
    <row r="187" spans="1:6" x14ac:dyDescent="0.2">
      <c r="A187" s="99" t="s">
        <v>10</v>
      </c>
      <c r="B187" s="99"/>
      <c r="C187" s="99"/>
      <c r="D187" s="20">
        <f>SUM(D185:D186)</f>
        <v>0</v>
      </c>
      <c r="E187" s="20">
        <f>SUM(E185:E186)</f>
        <v>0</v>
      </c>
      <c r="F187" s="20">
        <f>SUM(F185:F186)</f>
        <v>0</v>
      </c>
    </row>
    <row r="196" spans="1:2" x14ac:dyDescent="0.2">
      <c r="B196" s="31">
        <f>F131-E130-E129+F67+F12</f>
        <v>0</v>
      </c>
    </row>
    <row r="197" spans="1:2" x14ac:dyDescent="0.2">
      <c r="B197" s="31"/>
    </row>
    <row r="198" spans="1:2" x14ac:dyDescent="0.2">
      <c r="B198" s="31"/>
    </row>
    <row r="200" spans="1:2" x14ac:dyDescent="0.2">
      <c r="A200" s="1" t="s">
        <v>469</v>
      </c>
      <c r="B200" s="31">
        <f>F10+F65+F128</f>
        <v>0</v>
      </c>
    </row>
    <row r="201" spans="1:2" x14ac:dyDescent="0.2">
      <c r="A201" s="1" t="s">
        <v>247</v>
      </c>
      <c r="B201" s="31">
        <f>F131+F67+F12</f>
        <v>0</v>
      </c>
    </row>
    <row r="202" spans="1:2" x14ac:dyDescent="0.2">
      <c r="A202" s="1" t="s">
        <v>262</v>
      </c>
      <c r="B202" s="31">
        <f>F134+F69+F14</f>
        <v>0</v>
      </c>
    </row>
    <row r="203" spans="1:2" x14ac:dyDescent="0.2">
      <c r="A203" s="1" t="s">
        <v>283</v>
      </c>
      <c r="B203" s="31">
        <f>F134+F71+F16</f>
        <v>0</v>
      </c>
    </row>
    <row r="204" spans="1:2" x14ac:dyDescent="0.2">
      <c r="A204" s="1" t="s">
        <v>299</v>
      </c>
      <c r="B204" s="31">
        <f>F136+F73+F19</f>
        <v>0</v>
      </c>
    </row>
    <row r="205" spans="1:2" x14ac:dyDescent="0.2">
      <c r="A205" s="1" t="s">
        <v>315</v>
      </c>
      <c r="B205" s="31">
        <f>F139+F75+F21</f>
        <v>0</v>
      </c>
    </row>
    <row r="206" spans="1:2" x14ac:dyDescent="0.2">
      <c r="A206" s="1" t="s">
        <v>330</v>
      </c>
      <c r="B206" s="31">
        <f>F142+F77+F23</f>
        <v>0</v>
      </c>
    </row>
    <row r="207" spans="1:2" x14ac:dyDescent="0.2">
      <c r="A207" s="1" t="s">
        <v>445</v>
      </c>
      <c r="B207" s="31">
        <f>F144+F79+F25</f>
        <v>0</v>
      </c>
    </row>
    <row r="208" spans="1:2" x14ac:dyDescent="0.2">
      <c r="A208" s="1" t="s">
        <v>363</v>
      </c>
      <c r="B208" s="31">
        <f>F146+F81+F28</f>
        <v>0</v>
      </c>
    </row>
    <row r="209" spans="1:2" x14ac:dyDescent="0.2">
      <c r="A209" s="1" t="s">
        <v>368</v>
      </c>
      <c r="B209" s="31">
        <f>F148+F83+F31</f>
        <v>0</v>
      </c>
    </row>
    <row r="210" spans="1:2" x14ac:dyDescent="0.2">
      <c r="A210" s="1" t="s">
        <v>490</v>
      </c>
      <c r="B210" s="31">
        <f>F150+F85+F33</f>
        <v>0</v>
      </c>
    </row>
    <row r="211" spans="1:2" x14ac:dyDescent="0.2">
      <c r="A211" s="1" t="s">
        <v>491</v>
      </c>
      <c r="B211" s="31">
        <f>F87+F35</f>
        <v>0</v>
      </c>
    </row>
    <row r="214" spans="1:2" ht="24" x14ac:dyDescent="0.2">
      <c r="A214" s="91" t="s">
        <v>1211</v>
      </c>
      <c r="B214" s="31"/>
    </row>
  </sheetData>
  <mergeCells count="72">
    <mergeCell ref="A1:B1"/>
    <mergeCell ref="A2:B2"/>
    <mergeCell ref="A3:F3"/>
    <mergeCell ref="A4:B4"/>
    <mergeCell ref="A6:A7"/>
    <mergeCell ref="B6:B7"/>
    <mergeCell ref="C6:C7"/>
    <mergeCell ref="D6:E6"/>
    <mergeCell ref="F6:F7"/>
    <mergeCell ref="A92:C92"/>
    <mergeCell ref="A56:B56"/>
    <mergeCell ref="A57:B57"/>
    <mergeCell ref="A58:F58"/>
    <mergeCell ref="A59:B59"/>
    <mergeCell ref="A61:A62"/>
    <mergeCell ref="B61:B62"/>
    <mergeCell ref="C61:C62"/>
    <mergeCell ref="D61:E61"/>
    <mergeCell ref="F61:F62"/>
    <mergeCell ref="A38:C38"/>
    <mergeCell ref="A39:C39"/>
    <mergeCell ref="A40:C40"/>
    <mergeCell ref="A90:C90"/>
    <mergeCell ref="A91:C91"/>
    <mergeCell ref="A94:B94"/>
    <mergeCell ref="A95:B95"/>
    <mergeCell ref="A96:F96"/>
    <mergeCell ref="A97:B97"/>
    <mergeCell ref="A99:A100"/>
    <mergeCell ref="B99:B100"/>
    <mergeCell ref="C99:C100"/>
    <mergeCell ref="D99:E99"/>
    <mergeCell ref="F99:F100"/>
    <mergeCell ref="A122:F122"/>
    <mergeCell ref="A123:B123"/>
    <mergeCell ref="A125:A126"/>
    <mergeCell ref="B125:B126"/>
    <mergeCell ref="C125:C126"/>
    <mergeCell ref="D125:E125"/>
    <mergeCell ref="F125:F126"/>
    <mergeCell ref="A110:C110"/>
    <mergeCell ref="A111:C111"/>
    <mergeCell ref="A112:C112"/>
    <mergeCell ref="A120:B120"/>
    <mergeCell ref="A121:B121"/>
    <mergeCell ref="A160:F160"/>
    <mergeCell ref="A161:B161"/>
    <mergeCell ref="A163:A164"/>
    <mergeCell ref="B163:B164"/>
    <mergeCell ref="C163:C164"/>
    <mergeCell ref="D163:E163"/>
    <mergeCell ref="F163:F164"/>
    <mergeCell ref="A154:C154"/>
    <mergeCell ref="A155:C155"/>
    <mergeCell ref="A156:C156"/>
    <mergeCell ref="A158:B158"/>
    <mergeCell ref="A159:B159"/>
    <mergeCell ref="D179:E179"/>
    <mergeCell ref="F179:F180"/>
    <mergeCell ref="A169:C169"/>
    <mergeCell ref="A170:C170"/>
    <mergeCell ref="A171:C171"/>
    <mergeCell ref="A174:B174"/>
    <mergeCell ref="A175:B175"/>
    <mergeCell ref="A176:F176"/>
    <mergeCell ref="A186:C186"/>
    <mergeCell ref="A187:C187"/>
    <mergeCell ref="A177:B177"/>
    <mergeCell ref="A179:A180"/>
    <mergeCell ref="B179:B180"/>
    <mergeCell ref="C179:C180"/>
    <mergeCell ref="A185:C185"/>
  </mergeCells>
  <phoneticPr fontId="8" type="noConversion"/>
  <pageMargins left="0.51181102362204722" right="0.51181102362204722" top="0.74803149606299213" bottom="0.74803149606299213" header="0.31496062992125984" footer="0.31496062992125984"/>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3"/>
  <sheetViews>
    <sheetView view="pageLayout" workbookViewId="0">
      <selection activeCell="B40" sqref="B40"/>
    </sheetView>
  </sheetViews>
  <sheetFormatPr defaultColWidth="9.140625" defaultRowHeight="12" x14ac:dyDescent="0.2"/>
  <cols>
    <col min="1" max="1" width="9.140625" style="1"/>
    <col min="2" max="2" width="32.5703125" style="1" customWidth="1"/>
    <col min="3" max="3" width="9.140625" style="1"/>
    <col min="4" max="4" width="14.140625" style="1" customWidth="1"/>
    <col min="5" max="5" width="11.5703125" style="1" customWidth="1"/>
    <col min="6" max="6" width="12.140625" style="1" customWidth="1"/>
    <col min="7"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09" t="s">
        <v>25</v>
      </c>
      <c r="B4" s="109"/>
      <c r="D4" s="2" t="s">
        <v>26</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4"/>
      <c r="B8" s="4"/>
      <c r="C8" s="4"/>
      <c r="D8" s="4">
        <v>0</v>
      </c>
      <c r="E8" s="4">
        <v>0</v>
      </c>
      <c r="F8" s="4">
        <f>D8+E8</f>
        <v>0</v>
      </c>
    </row>
    <row r="9" spans="1:6" x14ac:dyDescent="0.2">
      <c r="A9" s="4"/>
      <c r="B9" s="4"/>
      <c r="C9" s="4"/>
      <c r="D9" s="4"/>
      <c r="E9" s="4"/>
      <c r="F9" s="4"/>
    </row>
    <row r="10" spans="1:6" x14ac:dyDescent="0.2">
      <c r="A10" s="4"/>
      <c r="B10" s="4"/>
      <c r="C10" s="4"/>
      <c r="D10" s="4"/>
      <c r="E10" s="4"/>
      <c r="F10" s="4"/>
    </row>
    <row r="11" spans="1:6" x14ac:dyDescent="0.2">
      <c r="A11" s="4"/>
      <c r="B11" s="4"/>
      <c r="C11" s="4"/>
      <c r="D11" s="4"/>
      <c r="E11" s="4"/>
      <c r="F11" s="4"/>
    </row>
    <row r="12" spans="1:6" x14ac:dyDescent="0.2">
      <c r="A12" s="4"/>
      <c r="B12" s="4"/>
      <c r="C12" s="4"/>
      <c r="D12" s="4"/>
      <c r="E12" s="4"/>
      <c r="F12" s="4"/>
    </row>
    <row r="13" spans="1:6" x14ac:dyDescent="0.2">
      <c r="A13" s="4"/>
      <c r="B13" s="4"/>
      <c r="C13" s="4"/>
      <c r="D13" s="4"/>
      <c r="E13" s="4"/>
      <c r="F13" s="4"/>
    </row>
    <row r="14" spans="1:6" x14ac:dyDescent="0.2">
      <c r="A14" s="4"/>
      <c r="B14" s="4"/>
      <c r="C14" s="4"/>
      <c r="D14" s="4"/>
      <c r="E14" s="4"/>
      <c r="F14" s="4"/>
    </row>
    <row r="15" spans="1:6" x14ac:dyDescent="0.2">
      <c r="A15" s="4"/>
      <c r="B15" s="4"/>
      <c r="C15" s="4"/>
      <c r="D15" s="4"/>
      <c r="E15" s="4"/>
      <c r="F15" s="4"/>
    </row>
    <row r="16" spans="1:6" x14ac:dyDescent="0.2">
      <c r="A16" s="4"/>
      <c r="B16" s="4"/>
      <c r="C16" s="4"/>
      <c r="D16" s="4"/>
      <c r="E16" s="4"/>
      <c r="F16" s="4"/>
    </row>
    <row r="17" spans="1:6" x14ac:dyDescent="0.2">
      <c r="A17" s="99" t="s">
        <v>10</v>
      </c>
      <c r="B17" s="99"/>
      <c r="C17" s="99"/>
      <c r="D17" s="4">
        <f>SUM(D8:D16)</f>
        <v>0</v>
      </c>
      <c r="E17" s="4">
        <f>SUM(E8:E16)</f>
        <v>0</v>
      </c>
      <c r="F17" s="4">
        <f>D17-E17</f>
        <v>0</v>
      </c>
    </row>
    <row r="18" spans="1:6" x14ac:dyDescent="0.2">
      <c r="A18" s="99" t="s">
        <v>11</v>
      </c>
      <c r="B18" s="99"/>
      <c r="C18" s="99"/>
      <c r="D18" s="4"/>
      <c r="E18" s="4"/>
      <c r="F18" s="4">
        <f>D18-E18</f>
        <v>0</v>
      </c>
    </row>
    <row r="19" spans="1:6" x14ac:dyDescent="0.2">
      <c r="A19" s="99" t="s">
        <v>10</v>
      </c>
      <c r="B19" s="99"/>
      <c r="C19" s="99"/>
      <c r="D19" s="4">
        <f>SUM(D17:D18)</f>
        <v>0</v>
      </c>
      <c r="E19" s="4">
        <f>SUM(E17:E18)</f>
        <v>0</v>
      </c>
      <c r="F19" s="4">
        <f>SUM(F17:F18)</f>
        <v>0</v>
      </c>
    </row>
    <row r="21" spans="1:6" x14ac:dyDescent="0.2">
      <c r="A21" s="100" t="s">
        <v>0</v>
      </c>
      <c r="B21" s="100"/>
    </row>
    <row r="22" spans="1:6" x14ac:dyDescent="0.2">
      <c r="A22" s="100" t="s">
        <v>1</v>
      </c>
      <c r="B22" s="100"/>
    </row>
    <row r="23" spans="1:6" x14ac:dyDescent="0.2">
      <c r="A23" s="101" t="s">
        <v>2</v>
      </c>
      <c r="B23" s="101"/>
      <c r="C23" s="101"/>
      <c r="D23" s="101"/>
      <c r="E23" s="101"/>
      <c r="F23" s="101"/>
    </row>
    <row r="24" spans="1:6" x14ac:dyDescent="0.2">
      <c r="A24" s="109" t="s">
        <v>27</v>
      </c>
      <c r="B24" s="109"/>
      <c r="D24" s="2" t="s">
        <v>28</v>
      </c>
    </row>
    <row r="26" spans="1:6" x14ac:dyDescent="0.2">
      <c r="A26" s="103" t="s">
        <v>3</v>
      </c>
      <c r="B26" s="103" t="s">
        <v>4</v>
      </c>
      <c r="C26" s="103" t="s">
        <v>5</v>
      </c>
      <c r="D26" s="105" t="s">
        <v>6</v>
      </c>
      <c r="E26" s="106"/>
      <c r="F26" s="103" t="s">
        <v>9</v>
      </c>
    </row>
    <row r="27" spans="1:6" x14ac:dyDescent="0.2">
      <c r="A27" s="104"/>
      <c r="B27" s="104"/>
      <c r="C27" s="104"/>
      <c r="D27" s="3" t="s">
        <v>7</v>
      </c>
      <c r="E27" s="3" t="s">
        <v>8</v>
      </c>
      <c r="F27" s="104"/>
    </row>
    <row r="28" spans="1:6" x14ac:dyDescent="0.2">
      <c r="A28" s="4"/>
      <c r="B28" s="4"/>
      <c r="C28" s="4"/>
      <c r="D28" s="4">
        <v>0</v>
      </c>
      <c r="E28" s="4">
        <v>0</v>
      </c>
      <c r="F28" s="4">
        <f>D28+E28</f>
        <v>0</v>
      </c>
    </row>
    <row r="29" spans="1:6" x14ac:dyDescent="0.2">
      <c r="A29" s="4"/>
      <c r="B29" s="4"/>
      <c r="C29" s="4"/>
      <c r="D29" s="4"/>
      <c r="E29" s="4"/>
      <c r="F29" s="4"/>
    </row>
    <row r="30" spans="1:6" x14ac:dyDescent="0.2">
      <c r="A30" s="4"/>
      <c r="B30" s="4"/>
      <c r="C30" s="4"/>
      <c r="D30" s="4"/>
      <c r="E30" s="4"/>
      <c r="F30" s="4"/>
    </row>
    <row r="31" spans="1:6" x14ac:dyDescent="0.2">
      <c r="A31" s="4"/>
      <c r="B31" s="4"/>
      <c r="C31" s="4"/>
      <c r="D31" s="4"/>
      <c r="E31" s="4"/>
      <c r="F31" s="4"/>
    </row>
    <row r="32" spans="1:6" x14ac:dyDescent="0.2">
      <c r="A32" s="4"/>
      <c r="B32" s="4"/>
      <c r="C32" s="4"/>
      <c r="D32" s="4"/>
      <c r="E32" s="4"/>
      <c r="F32" s="4"/>
    </row>
    <row r="33" spans="1:6" x14ac:dyDescent="0.2">
      <c r="A33" s="4"/>
      <c r="B33" s="4"/>
      <c r="C33" s="4"/>
      <c r="D33" s="4"/>
      <c r="E33" s="4"/>
      <c r="F33" s="4"/>
    </row>
    <row r="34" spans="1:6" x14ac:dyDescent="0.2">
      <c r="A34" s="4"/>
      <c r="B34" s="4"/>
      <c r="C34" s="4"/>
      <c r="D34" s="4"/>
      <c r="E34" s="4"/>
      <c r="F34" s="4"/>
    </row>
    <row r="35" spans="1:6" x14ac:dyDescent="0.2">
      <c r="A35" s="4"/>
      <c r="B35" s="4"/>
      <c r="C35" s="4"/>
      <c r="D35" s="4"/>
      <c r="E35" s="4"/>
      <c r="F35" s="4"/>
    </row>
    <row r="36" spans="1:6" x14ac:dyDescent="0.2">
      <c r="A36" s="4"/>
      <c r="B36" s="4"/>
      <c r="C36" s="4"/>
      <c r="D36" s="4"/>
      <c r="E36" s="4"/>
      <c r="F36" s="4"/>
    </row>
    <row r="37" spans="1:6" x14ac:dyDescent="0.2">
      <c r="A37" s="99" t="s">
        <v>10</v>
      </c>
      <c r="B37" s="99"/>
      <c r="C37" s="99"/>
      <c r="D37" s="4">
        <f>SUM(D28:D36)</f>
        <v>0</v>
      </c>
      <c r="E37" s="4">
        <f>SUM(E28:E36)</f>
        <v>0</v>
      </c>
      <c r="F37" s="4">
        <f>D37-E37</f>
        <v>0</v>
      </c>
    </row>
    <row r="38" spans="1:6" x14ac:dyDescent="0.2">
      <c r="A38" s="99" t="s">
        <v>11</v>
      </c>
      <c r="B38" s="99"/>
      <c r="C38" s="99"/>
      <c r="D38" s="4"/>
      <c r="E38" s="4"/>
      <c r="F38" s="4">
        <f>D38-E38</f>
        <v>0</v>
      </c>
    </row>
    <row r="39" spans="1:6" x14ac:dyDescent="0.2">
      <c r="A39" s="99" t="s">
        <v>10</v>
      </c>
      <c r="B39" s="99"/>
      <c r="C39" s="99"/>
      <c r="D39" s="4">
        <f>SUM(D37:D38)</f>
        <v>0</v>
      </c>
      <c r="E39" s="4">
        <f>SUM(E37:E38)</f>
        <v>0</v>
      </c>
      <c r="F39" s="4">
        <f>SUM(F37:F38)</f>
        <v>0</v>
      </c>
    </row>
    <row r="40" spans="1:6" x14ac:dyDescent="0.2">
      <c r="A40" s="5"/>
      <c r="B40" s="5"/>
      <c r="C40" s="5"/>
    </row>
    <row r="42" spans="1:6" x14ac:dyDescent="0.2">
      <c r="A42" s="100" t="s">
        <v>0</v>
      </c>
      <c r="B42" s="100"/>
    </row>
    <row r="43" spans="1:6" x14ac:dyDescent="0.2">
      <c r="A43" s="100" t="s">
        <v>1</v>
      </c>
      <c r="B43" s="100"/>
    </row>
    <row r="44" spans="1:6" x14ac:dyDescent="0.2">
      <c r="A44" s="101" t="s">
        <v>2</v>
      </c>
      <c r="B44" s="101"/>
      <c r="C44" s="101"/>
      <c r="D44" s="101"/>
      <c r="E44" s="101"/>
      <c r="F44" s="101"/>
    </row>
    <row r="45" spans="1:6" x14ac:dyDescent="0.2">
      <c r="A45" s="109" t="s">
        <v>29</v>
      </c>
      <c r="B45" s="109"/>
      <c r="D45" s="2" t="s">
        <v>30</v>
      </c>
    </row>
    <row r="47" spans="1:6" x14ac:dyDescent="0.2">
      <c r="A47" s="103" t="s">
        <v>3</v>
      </c>
      <c r="B47" s="103" t="s">
        <v>4</v>
      </c>
      <c r="C47" s="103" t="s">
        <v>5</v>
      </c>
      <c r="D47" s="105" t="s">
        <v>6</v>
      </c>
      <c r="E47" s="106"/>
      <c r="F47" s="103" t="s">
        <v>9</v>
      </c>
    </row>
    <row r="48" spans="1:6" x14ac:dyDescent="0.2">
      <c r="A48" s="104"/>
      <c r="B48" s="104"/>
      <c r="C48" s="104"/>
      <c r="D48" s="3" t="s">
        <v>7</v>
      </c>
      <c r="E48" s="3" t="s">
        <v>8</v>
      </c>
      <c r="F48" s="104"/>
    </row>
    <row r="49" spans="1:6" x14ac:dyDescent="0.2">
      <c r="A49" s="4"/>
      <c r="B49" s="4"/>
      <c r="C49" s="4"/>
      <c r="D49" s="4">
        <v>0</v>
      </c>
      <c r="E49" s="4">
        <v>0</v>
      </c>
      <c r="F49" s="4">
        <f>D49+E49</f>
        <v>0</v>
      </c>
    </row>
    <row r="50" spans="1:6" x14ac:dyDescent="0.2">
      <c r="A50" s="4"/>
      <c r="B50" s="4"/>
      <c r="C50" s="4"/>
      <c r="D50" s="4"/>
      <c r="E50" s="4"/>
      <c r="F50" s="4"/>
    </row>
    <row r="51" spans="1:6" x14ac:dyDescent="0.2">
      <c r="A51" s="4"/>
      <c r="B51" s="4"/>
      <c r="C51" s="4"/>
      <c r="D51" s="4"/>
      <c r="E51" s="4"/>
      <c r="F51" s="4"/>
    </row>
    <row r="52" spans="1:6" x14ac:dyDescent="0.2">
      <c r="A52" s="4"/>
      <c r="B52" s="4"/>
      <c r="C52" s="4"/>
      <c r="D52" s="4"/>
      <c r="E52" s="4"/>
      <c r="F52" s="4"/>
    </row>
    <row r="53" spans="1:6" x14ac:dyDescent="0.2">
      <c r="A53" s="4"/>
      <c r="B53" s="4"/>
      <c r="C53" s="4"/>
      <c r="D53" s="4"/>
      <c r="E53" s="4"/>
      <c r="F53" s="4"/>
    </row>
    <row r="54" spans="1:6" x14ac:dyDescent="0.2">
      <c r="A54" s="4"/>
      <c r="B54" s="4"/>
      <c r="C54" s="4"/>
      <c r="D54" s="4"/>
      <c r="E54" s="4"/>
      <c r="F54" s="4"/>
    </row>
    <row r="55" spans="1:6" x14ac:dyDescent="0.2">
      <c r="A55" s="4"/>
      <c r="B55" s="4"/>
      <c r="C55" s="4"/>
      <c r="D55" s="4"/>
      <c r="E55" s="4"/>
      <c r="F55" s="4"/>
    </row>
    <row r="56" spans="1:6" x14ac:dyDescent="0.2">
      <c r="A56" s="4"/>
      <c r="B56" s="4"/>
      <c r="C56" s="4"/>
      <c r="D56" s="4"/>
      <c r="E56" s="4"/>
      <c r="F56" s="4"/>
    </row>
    <row r="57" spans="1:6" x14ac:dyDescent="0.2">
      <c r="A57" s="4"/>
      <c r="B57" s="4"/>
      <c r="C57" s="4"/>
      <c r="D57" s="4"/>
      <c r="E57" s="4"/>
      <c r="F57" s="4"/>
    </row>
    <row r="58" spans="1:6" x14ac:dyDescent="0.2">
      <c r="A58" s="99" t="s">
        <v>10</v>
      </c>
      <c r="B58" s="99"/>
      <c r="C58" s="99"/>
      <c r="D58" s="4">
        <f>SUM(D49:D57)</f>
        <v>0</v>
      </c>
      <c r="E58" s="4">
        <f>SUM(E49:E57)</f>
        <v>0</v>
      </c>
      <c r="F58" s="4">
        <f>D58-E58</f>
        <v>0</v>
      </c>
    </row>
    <row r="59" spans="1:6" x14ac:dyDescent="0.2">
      <c r="A59" s="99" t="s">
        <v>11</v>
      </c>
      <c r="B59" s="99"/>
      <c r="C59" s="99"/>
      <c r="D59" s="4"/>
      <c r="E59" s="4"/>
      <c r="F59" s="4">
        <f>D59-E59</f>
        <v>0</v>
      </c>
    </row>
    <row r="60" spans="1:6" x14ac:dyDescent="0.2">
      <c r="A60" s="99" t="s">
        <v>10</v>
      </c>
      <c r="B60" s="99"/>
      <c r="C60" s="99"/>
      <c r="D60" s="4">
        <f>SUM(D58:D59)</f>
        <v>0</v>
      </c>
      <c r="E60" s="4">
        <f>SUM(E58:E59)</f>
        <v>0</v>
      </c>
      <c r="F60" s="4">
        <f>SUM(F58:F59)</f>
        <v>0</v>
      </c>
    </row>
    <row r="65" spans="1:6" x14ac:dyDescent="0.2">
      <c r="A65" s="100" t="s">
        <v>0</v>
      </c>
      <c r="B65" s="100"/>
    </row>
    <row r="66" spans="1:6" x14ac:dyDescent="0.2">
      <c r="A66" s="100" t="s">
        <v>1</v>
      </c>
      <c r="B66" s="100"/>
    </row>
    <row r="67" spans="1:6" x14ac:dyDescent="0.2">
      <c r="A67" s="101" t="s">
        <v>2</v>
      </c>
      <c r="B67" s="101"/>
      <c r="C67" s="101"/>
      <c r="D67" s="101"/>
      <c r="E67" s="101"/>
      <c r="F67" s="101"/>
    </row>
    <row r="68" spans="1:6" x14ac:dyDescent="0.2">
      <c r="A68" s="109" t="s">
        <v>34</v>
      </c>
      <c r="B68" s="109"/>
      <c r="D68" s="2" t="s">
        <v>31</v>
      </c>
    </row>
    <row r="70" spans="1:6" x14ac:dyDescent="0.2">
      <c r="A70" s="103" t="s">
        <v>3</v>
      </c>
      <c r="B70" s="103" t="s">
        <v>4</v>
      </c>
      <c r="C70" s="103" t="s">
        <v>5</v>
      </c>
      <c r="D70" s="105" t="s">
        <v>6</v>
      </c>
      <c r="E70" s="106"/>
      <c r="F70" s="103" t="s">
        <v>9</v>
      </c>
    </row>
    <row r="71" spans="1:6" x14ac:dyDescent="0.2">
      <c r="A71" s="104"/>
      <c r="B71" s="104"/>
      <c r="C71" s="104"/>
      <c r="D71" s="3" t="s">
        <v>7</v>
      </c>
      <c r="E71" s="3" t="s">
        <v>8</v>
      </c>
      <c r="F71" s="104"/>
    </row>
    <row r="72" spans="1:6" x14ac:dyDescent="0.2">
      <c r="A72" s="4"/>
      <c r="B72" s="4"/>
      <c r="C72" s="4"/>
      <c r="D72" s="4">
        <v>0</v>
      </c>
      <c r="E72" s="4">
        <v>0</v>
      </c>
      <c r="F72" s="4">
        <f>D72+E72</f>
        <v>0</v>
      </c>
    </row>
    <row r="73" spans="1:6" x14ac:dyDescent="0.2">
      <c r="A73" s="4"/>
      <c r="B73" s="4"/>
      <c r="C73" s="4"/>
      <c r="D73" s="4"/>
      <c r="E73" s="4"/>
      <c r="F73" s="4"/>
    </row>
    <row r="74" spans="1:6" x14ac:dyDescent="0.2">
      <c r="A74" s="4"/>
      <c r="B74" s="4"/>
      <c r="C74" s="4"/>
      <c r="D74" s="4"/>
      <c r="E74" s="4"/>
      <c r="F74" s="4"/>
    </row>
    <row r="75" spans="1:6" x14ac:dyDescent="0.2">
      <c r="A75" s="4"/>
      <c r="B75" s="4"/>
      <c r="C75" s="4"/>
      <c r="D75" s="4"/>
      <c r="E75" s="4"/>
      <c r="F75" s="4"/>
    </row>
    <row r="76" spans="1:6" x14ac:dyDescent="0.2">
      <c r="A76" s="4"/>
      <c r="B76" s="4"/>
      <c r="C76" s="4"/>
      <c r="D76" s="4"/>
      <c r="E76" s="4"/>
      <c r="F76" s="4"/>
    </row>
    <row r="77" spans="1:6" x14ac:dyDescent="0.2">
      <c r="A77" s="4"/>
      <c r="B77" s="4"/>
      <c r="C77" s="4"/>
      <c r="D77" s="4"/>
      <c r="E77" s="4"/>
      <c r="F77" s="4"/>
    </row>
    <row r="78" spans="1:6" x14ac:dyDescent="0.2">
      <c r="A78" s="4"/>
      <c r="B78" s="4"/>
      <c r="C78" s="4"/>
      <c r="D78" s="4"/>
      <c r="E78" s="4"/>
      <c r="F78" s="4"/>
    </row>
    <row r="79" spans="1:6" x14ac:dyDescent="0.2">
      <c r="A79" s="4"/>
      <c r="B79" s="4"/>
      <c r="C79" s="4"/>
      <c r="D79" s="4"/>
      <c r="E79" s="4"/>
      <c r="F79" s="4"/>
    </row>
    <row r="80" spans="1:6" x14ac:dyDescent="0.2">
      <c r="A80" s="4"/>
      <c r="B80" s="4"/>
      <c r="C80" s="4"/>
      <c r="D80" s="4"/>
      <c r="E80" s="4"/>
      <c r="F80" s="4"/>
    </row>
    <row r="81" spans="1:6" x14ac:dyDescent="0.2">
      <c r="A81" s="99" t="s">
        <v>10</v>
      </c>
      <c r="B81" s="99"/>
      <c r="C81" s="99"/>
      <c r="D81" s="4">
        <f>SUM(D72:D80)</f>
        <v>0</v>
      </c>
      <c r="E81" s="4">
        <f>SUM(E72:E80)</f>
        <v>0</v>
      </c>
      <c r="F81" s="4">
        <f>D81-E81</f>
        <v>0</v>
      </c>
    </row>
    <row r="82" spans="1:6" x14ac:dyDescent="0.2">
      <c r="A82" s="99" t="s">
        <v>11</v>
      </c>
      <c r="B82" s="99"/>
      <c r="C82" s="99"/>
      <c r="D82" s="4"/>
      <c r="E82" s="4"/>
      <c r="F82" s="4">
        <f>D82-E82</f>
        <v>0</v>
      </c>
    </row>
    <row r="83" spans="1:6" x14ac:dyDescent="0.2">
      <c r="A83" s="99" t="s">
        <v>10</v>
      </c>
      <c r="B83" s="99"/>
      <c r="C83" s="99"/>
      <c r="D83" s="4">
        <f>SUM(D81:D82)</f>
        <v>0</v>
      </c>
      <c r="E83" s="4">
        <f>SUM(E81:E82)</f>
        <v>0</v>
      </c>
      <c r="F83" s="4">
        <f>SUM(F81:F82)</f>
        <v>0</v>
      </c>
    </row>
    <row r="84" spans="1:6" x14ac:dyDescent="0.2">
      <c r="A84" s="5"/>
      <c r="B84" s="5"/>
      <c r="C84" s="5"/>
    </row>
    <row r="85" spans="1:6" x14ac:dyDescent="0.2">
      <c r="A85" s="100" t="s">
        <v>0</v>
      </c>
      <c r="B85" s="100"/>
    </row>
    <row r="86" spans="1:6" x14ac:dyDescent="0.2">
      <c r="A86" s="100" t="s">
        <v>1</v>
      </c>
      <c r="B86" s="100"/>
    </row>
    <row r="87" spans="1:6" x14ac:dyDescent="0.2">
      <c r="A87" s="101" t="s">
        <v>2</v>
      </c>
      <c r="B87" s="101"/>
      <c r="C87" s="101"/>
      <c r="D87" s="101"/>
      <c r="E87" s="101"/>
      <c r="F87" s="101"/>
    </row>
    <row r="88" spans="1:6" x14ac:dyDescent="0.2">
      <c r="A88" s="109" t="s">
        <v>32</v>
      </c>
      <c r="B88" s="109"/>
      <c r="D88" s="2" t="s">
        <v>33</v>
      </c>
    </row>
    <row r="90" spans="1:6" x14ac:dyDescent="0.2">
      <c r="A90" s="103" t="s">
        <v>3</v>
      </c>
      <c r="B90" s="103" t="s">
        <v>4</v>
      </c>
      <c r="C90" s="103" t="s">
        <v>5</v>
      </c>
      <c r="D90" s="105" t="s">
        <v>6</v>
      </c>
      <c r="E90" s="106"/>
      <c r="F90" s="103" t="s">
        <v>9</v>
      </c>
    </row>
    <row r="91" spans="1:6" x14ac:dyDescent="0.2">
      <c r="A91" s="104"/>
      <c r="B91" s="104"/>
      <c r="C91" s="104"/>
      <c r="D91" s="3" t="s">
        <v>7</v>
      </c>
      <c r="E91" s="3" t="s">
        <v>8</v>
      </c>
      <c r="F91" s="104"/>
    </row>
    <row r="92" spans="1:6" x14ac:dyDescent="0.2">
      <c r="A92" s="4"/>
      <c r="B92" s="4"/>
      <c r="C92" s="4"/>
      <c r="D92" s="4">
        <v>0</v>
      </c>
      <c r="E92" s="4">
        <v>0</v>
      </c>
      <c r="F92" s="4">
        <f>D92+E92</f>
        <v>0</v>
      </c>
    </row>
    <row r="93" spans="1:6" x14ac:dyDescent="0.2">
      <c r="A93" s="4"/>
      <c r="B93" s="4"/>
      <c r="C93" s="4"/>
      <c r="D93" s="4"/>
      <c r="E93" s="4"/>
      <c r="F93" s="4"/>
    </row>
    <row r="94" spans="1:6" x14ac:dyDescent="0.2">
      <c r="A94" s="4"/>
      <c r="B94" s="4"/>
      <c r="C94" s="4"/>
      <c r="D94" s="4"/>
      <c r="E94" s="4"/>
      <c r="F94" s="4"/>
    </row>
    <row r="95" spans="1:6" x14ac:dyDescent="0.2">
      <c r="A95" s="4"/>
      <c r="B95" s="4"/>
      <c r="C95" s="4"/>
      <c r="D95" s="4"/>
      <c r="E95" s="4"/>
      <c r="F95" s="4"/>
    </row>
    <row r="96" spans="1:6" x14ac:dyDescent="0.2">
      <c r="A96" s="4"/>
      <c r="B96" s="4"/>
      <c r="C96" s="4"/>
      <c r="D96" s="4"/>
      <c r="E96" s="4"/>
      <c r="F96" s="4"/>
    </row>
    <row r="97" spans="1:6" x14ac:dyDescent="0.2">
      <c r="A97" s="4"/>
      <c r="B97" s="4"/>
      <c r="C97" s="4"/>
      <c r="D97" s="4"/>
      <c r="E97" s="4"/>
      <c r="F97" s="4"/>
    </row>
    <row r="98" spans="1:6" x14ac:dyDescent="0.2">
      <c r="A98" s="4"/>
      <c r="B98" s="4"/>
      <c r="C98" s="4"/>
      <c r="D98" s="4"/>
      <c r="E98" s="4"/>
      <c r="F98" s="4"/>
    </row>
    <row r="99" spans="1:6" x14ac:dyDescent="0.2">
      <c r="A99" s="4"/>
      <c r="B99" s="4"/>
      <c r="C99" s="4"/>
      <c r="D99" s="4"/>
      <c r="E99" s="4"/>
      <c r="F99" s="4"/>
    </row>
    <row r="100" spans="1:6" x14ac:dyDescent="0.2">
      <c r="A100" s="4"/>
      <c r="B100" s="4"/>
      <c r="C100" s="4"/>
      <c r="D100" s="4"/>
      <c r="E100" s="4"/>
      <c r="F100" s="4"/>
    </row>
    <row r="101" spans="1:6" x14ac:dyDescent="0.2">
      <c r="A101" s="99" t="s">
        <v>10</v>
      </c>
      <c r="B101" s="99"/>
      <c r="C101" s="99"/>
      <c r="D101" s="4">
        <f>SUM(D92:D100)</f>
        <v>0</v>
      </c>
      <c r="E101" s="4">
        <f>SUM(E92:E100)</f>
        <v>0</v>
      </c>
      <c r="F101" s="4">
        <f>D101-E101</f>
        <v>0</v>
      </c>
    </row>
    <row r="102" spans="1:6" x14ac:dyDescent="0.2">
      <c r="A102" s="99" t="s">
        <v>11</v>
      </c>
      <c r="B102" s="99"/>
      <c r="C102" s="99"/>
      <c r="D102" s="4"/>
      <c r="E102" s="4"/>
      <c r="F102" s="4">
        <f>D102-E102</f>
        <v>0</v>
      </c>
    </row>
    <row r="103" spans="1:6" x14ac:dyDescent="0.2">
      <c r="A103" s="99" t="s">
        <v>10</v>
      </c>
      <c r="B103" s="99"/>
      <c r="C103" s="99"/>
      <c r="D103" s="4">
        <f>SUM(D101:D102)</f>
        <v>0</v>
      </c>
      <c r="E103" s="4">
        <f>SUM(E101:E102)</f>
        <v>0</v>
      </c>
      <c r="F103" s="4">
        <f>SUM(F101:F102)</f>
        <v>0</v>
      </c>
    </row>
    <row r="105" spans="1:6" x14ac:dyDescent="0.2">
      <c r="A105" s="100" t="s">
        <v>0</v>
      </c>
      <c r="B105" s="100"/>
    </row>
    <row r="106" spans="1:6" x14ac:dyDescent="0.2">
      <c r="A106" s="100" t="s">
        <v>1</v>
      </c>
      <c r="B106" s="100"/>
    </row>
    <row r="107" spans="1:6" x14ac:dyDescent="0.2">
      <c r="A107" s="101" t="s">
        <v>2</v>
      </c>
      <c r="B107" s="101"/>
      <c r="C107" s="101"/>
      <c r="D107" s="101"/>
      <c r="E107" s="101"/>
      <c r="F107" s="101"/>
    </row>
    <row r="108" spans="1:6" x14ac:dyDescent="0.2">
      <c r="A108" s="2" t="s">
        <v>35</v>
      </c>
      <c r="B108" s="2"/>
      <c r="D108" s="2" t="s">
        <v>36</v>
      </c>
    </row>
    <row r="110" spans="1:6" x14ac:dyDescent="0.2">
      <c r="A110" s="103" t="s">
        <v>3</v>
      </c>
      <c r="B110" s="103" t="s">
        <v>4</v>
      </c>
      <c r="C110" s="103" t="s">
        <v>5</v>
      </c>
      <c r="D110" s="105" t="s">
        <v>6</v>
      </c>
      <c r="E110" s="106"/>
      <c r="F110" s="103" t="s">
        <v>9</v>
      </c>
    </row>
    <row r="111" spans="1:6" x14ac:dyDescent="0.2">
      <c r="A111" s="104"/>
      <c r="B111" s="104"/>
      <c r="C111" s="104"/>
      <c r="D111" s="3" t="s">
        <v>7</v>
      </c>
      <c r="E111" s="3" t="s">
        <v>8</v>
      </c>
      <c r="F111" s="104"/>
    </row>
    <row r="112" spans="1:6" x14ac:dyDescent="0.2">
      <c r="A112" s="4"/>
      <c r="B112" s="4"/>
      <c r="C112" s="4"/>
      <c r="D112" s="4">
        <v>0</v>
      </c>
      <c r="E112" s="4">
        <v>0</v>
      </c>
      <c r="F112" s="4">
        <f>D112+E112</f>
        <v>0</v>
      </c>
    </row>
    <row r="113" spans="1:6" x14ac:dyDescent="0.2">
      <c r="A113" s="4"/>
      <c r="B113" s="4"/>
      <c r="C113" s="4"/>
      <c r="D113" s="4"/>
      <c r="E113" s="4"/>
      <c r="F113" s="4"/>
    </row>
    <row r="114" spans="1:6" x14ac:dyDescent="0.2">
      <c r="A114" s="4"/>
      <c r="B114" s="4"/>
      <c r="C114" s="4"/>
      <c r="D114" s="4"/>
      <c r="E114" s="4"/>
      <c r="F114" s="4"/>
    </row>
    <row r="115" spans="1:6" x14ac:dyDescent="0.2">
      <c r="A115" s="4"/>
      <c r="B115" s="4"/>
      <c r="C115" s="4"/>
      <c r="D115" s="4"/>
      <c r="E115" s="4"/>
      <c r="F115" s="4"/>
    </row>
    <row r="116" spans="1:6" x14ac:dyDescent="0.2">
      <c r="A116" s="4"/>
      <c r="B116" s="4"/>
      <c r="C116" s="4"/>
      <c r="D116" s="4"/>
      <c r="E116" s="4"/>
      <c r="F116" s="4"/>
    </row>
    <row r="117" spans="1:6" x14ac:dyDescent="0.2">
      <c r="A117" s="4"/>
      <c r="B117" s="4"/>
      <c r="C117" s="4"/>
      <c r="D117" s="4"/>
      <c r="E117" s="4"/>
      <c r="F117" s="4"/>
    </row>
    <row r="118" spans="1:6" x14ac:dyDescent="0.2">
      <c r="A118" s="4"/>
      <c r="B118" s="4"/>
      <c r="C118" s="4"/>
      <c r="D118" s="4"/>
      <c r="E118" s="4"/>
      <c r="F118" s="4"/>
    </row>
    <row r="119" spans="1:6" x14ac:dyDescent="0.2">
      <c r="A119" s="4"/>
      <c r="B119" s="4"/>
      <c r="C119" s="4"/>
      <c r="D119" s="4"/>
      <c r="E119" s="4"/>
      <c r="F119" s="4"/>
    </row>
    <row r="120" spans="1:6" x14ac:dyDescent="0.2">
      <c r="A120" s="4"/>
      <c r="B120" s="4"/>
      <c r="C120" s="4"/>
      <c r="D120" s="4"/>
      <c r="E120" s="4"/>
      <c r="F120" s="4"/>
    </row>
    <row r="121" spans="1:6" x14ac:dyDescent="0.2">
      <c r="A121" s="105" t="s">
        <v>10</v>
      </c>
      <c r="B121" s="112"/>
      <c r="C121" s="106"/>
      <c r="D121" s="4">
        <f>SUM(D112:D120)</f>
        <v>0</v>
      </c>
      <c r="E121" s="4">
        <f>SUM(E112:E120)</f>
        <v>0</v>
      </c>
      <c r="F121" s="4">
        <f>D121-E121</f>
        <v>0</v>
      </c>
    </row>
    <row r="122" spans="1:6" x14ac:dyDescent="0.2">
      <c r="A122" s="105" t="s">
        <v>11</v>
      </c>
      <c r="B122" s="112"/>
      <c r="C122" s="106"/>
      <c r="D122" s="4"/>
      <c r="E122" s="4"/>
      <c r="F122" s="4">
        <f>D122-E122</f>
        <v>0</v>
      </c>
    </row>
    <row r="123" spans="1:6" x14ac:dyDescent="0.2">
      <c r="A123" s="105" t="s">
        <v>10</v>
      </c>
      <c r="B123" s="112"/>
      <c r="C123" s="106"/>
      <c r="D123" s="4">
        <f>SUM(D121:D122)</f>
        <v>0</v>
      </c>
      <c r="E123" s="4">
        <f>SUM(E121:E122)</f>
        <v>0</v>
      </c>
      <c r="F123" s="4">
        <f>SUM(F121:F122)</f>
        <v>0</v>
      </c>
    </row>
  </sheetData>
  <mergeCells count="71">
    <mergeCell ref="A121:C121"/>
    <mergeCell ref="A122:C122"/>
    <mergeCell ref="A123:C123"/>
    <mergeCell ref="A110:A111"/>
    <mergeCell ref="B110:B111"/>
    <mergeCell ref="C110:C111"/>
    <mergeCell ref="D110:E110"/>
    <mergeCell ref="F110:F111"/>
    <mergeCell ref="A101:C101"/>
    <mergeCell ref="A102:C102"/>
    <mergeCell ref="A103:C103"/>
    <mergeCell ref="A105:B105"/>
    <mergeCell ref="A106:B106"/>
    <mergeCell ref="A107:F107"/>
    <mergeCell ref="F90:F91"/>
    <mergeCell ref="A81:C81"/>
    <mergeCell ref="A82:C82"/>
    <mergeCell ref="A83:C83"/>
    <mergeCell ref="A85:B85"/>
    <mergeCell ref="A86:B86"/>
    <mergeCell ref="A87:F87"/>
    <mergeCell ref="A88:B88"/>
    <mergeCell ref="A90:A91"/>
    <mergeCell ref="B90:B91"/>
    <mergeCell ref="C90:C91"/>
    <mergeCell ref="D90:E90"/>
    <mergeCell ref="F70:F71"/>
    <mergeCell ref="A58:C58"/>
    <mergeCell ref="A59:C59"/>
    <mergeCell ref="A60:C60"/>
    <mergeCell ref="A65:B65"/>
    <mergeCell ref="A66:B66"/>
    <mergeCell ref="A67:F67"/>
    <mergeCell ref="A68:B68"/>
    <mergeCell ref="A70:A71"/>
    <mergeCell ref="B70:B71"/>
    <mergeCell ref="C70:C71"/>
    <mergeCell ref="D70:E70"/>
    <mergeCell ref="F47:F48"/>
    <mergeCell ref="A37:C37"/>
    <mergeCell ref="A38:C38"/>
    <mergeCell ref="A39:C39"/>
    <mergeCell ref="A42:B42"/>
    <mergeCell ref="A43:B43"/>
    <mergeCell ref="A44:F44"/>
    <mergeCell ref="A45:B45"/>
    <mergeCell ref="A47:A48"/>
    <mergeCell ref="B47:B48"/>
    <mergeCell ref="C47:C48"/>
    <mergeCell ref="D47:E47"/>
    <mergeCell ref="F26:F27"/>
    <mergeCell ref="A17:C17"/>
    <mergeCell ref="A18:C18"/>
    <mergeCell ref="A19:C19"/>
    <mergeCell ref="A21:B21"/>
    <mergeCell ref="A22:B22"/>
    <mergeCell ref="A23:F23"/>
    <mergeCell ref="A24:B24"/>
    <mergeCell ref="A26:A27"/>
    <mergeCell ref="B26:B27"/>
    <mergeCell ref="C26:C27"/>
    <mergeCell ref="D26:E26"/>
    <mergeCell ref="A1:B1"/>
    <mergeCell ref="A2:B2"/>
    <mergeCell ref="A3:F3"/>
    <mergeCell ref="A4:B4"/>
    <mergeCell ref="A6:A7"/>
    <mergeCell ref="B6:B7"/>
    <mergeCell ref="C6:C7"/>
    <mergeCell ref="D6:E6"/>
    <mergeCell ref="F6:F7"/>
  </mergeCells>
  <pageMargins left="0.51181102362204722" right="0.51181102362204722" top="0.74803149606299213" bottom="0.74803149606299213" header="0.31496062992125984" footer="0.31496062992125984"/>
  <pageSetup paperSize="9"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70"/>
  <sheetViews>
    <sheetView view="pageLayout" topLeftCell="A109" workbookViewId="0">
      <selection activeCell="H14" sqref="H14:H15"/>
    </sheetView>
  </sheetViews>
  <sheetFormatPr defaultColWidth="9.140625" defaultRowHeight="12" x14ac:dyDescent="0.2"/>
  <cols>
    <col min="1" max="1" width="9.140625" style="1"/>
    <col min="2" max="2" width="32.7109375" style="1" customWidth="1"/>
    <col min="3" max="3" width="6.140625" style="1" customWidth="1"/>
    <col min="4" max="4" width="12.7109375" style="1" customWidth="1"/>
    <col min="5" max="5" width="13.28515625" style="1" customWidth="1"/>
    <col min="6" max="6" width="14" style="1" bestFit="1" customWidth="1"/>
    <col min="7" max="7" width="14.85546875" style="1" customWidth="1"/>
    <col min="8" max="8" width="9.140625" style="1"/>
    <col min="9" max="9" width="9.85546875" style="1" bestFit="1" customWidth="1"/>
    <col min="10" max="16384" width="9.140625" style="1"/>
  </cols>
  <sheetData>
    <row r="1" spans="1:6" x14ac:dyDescent="0.2">
      <c r="A1" s="11" t="s">
        <v>0</v>
      </c>
      <c r="B1" s="11"/>
    </row>
    <row r="2" spans="1:6" x14ac:dyDescent="0.2">
      <c r="A2" s="11" t="s">
        <v>1</v>
      </c>
      <c r="B2" s="11"/>
    </row>
    <row r="3" spans="1:6" x14ac:dyDescent="0.2">
      <c r="A3" s="5" t="s">
        <v>2</v>
      </c>
      <c r="B3" s="5"/>
      <c r="C3" s="5"/>
      <c r="D3" s="5"/>
      <c r="E3" s="5"/>
      <c r="F3" s="5"/>
    </row>
    <row r="4" spans="1:6" x14ac:dyDescent="0.2">
      <c r="A4" s="12" t="s">
        <v>209</v>
      </c>
      <c r="B4" s="12"/>
      <c r="D4" s="2" t="s">
        <v>37</v>
      </c>
    </row>
    <row r="6" spans="1:6" x14ac:dyDescent="0.2">
      <c r="A6" s="14" t="s">
        <v>3</v>
      </c>
      <c r="B6" s="14" t="s">
        <v>4</v>
      </c>
      <c r="C6" s="14" t="s">
        <v>5</v>
      </c>
      <c r="D6" s="16" t="s">
        <v>6</v>
      </c>
      <c r="E6" s="17"/>
      <c r="F6" s="14" t="s">
        <v>9</v>
      </c>
    </row>
    <row r="7" spans="1:6" x14ac:dyDescent="0.2">
      <c r="A7" s="15"/>
      <c r="B7" s="15"/>
      <c r="C7" s="15"/>
      <c r="D7" s="3" t="s">
        <v>7</v>
      </c>
      <c r="E7" s="3" t="s">
        <v>8</v>
      </c>
      <c r="F7" s="15"/>
    </row>
    <row r="8" spans="1:6" x14ac:dyDescent="0.2">
      <c r="A8" s="18" t="s">
        <v>203</v>
      </c>
      <c r="B8" s="4" t="s">
        <v>206</v>
      </c>
      <c r="C8" s="4"/>
      <c r="D8" s="20">
        <v>0</v>
      </c>
      <c r="E8" s="20">
        <v>0</v>
      </c>
      <c r="F8" s="46">
        <v>0</v>
      </c>
    </row>
    <row r="9" spans="1:6" x14ac:dyDescent="0.2">
      <c r="A9" s="18" t="s">
        <v>228</v>
      </c>
      <c r="B9" s="4" t="s">
        <v>428</v>
      </c>
      <c r="C9" s="4" t="s">
        <v>239</v>
      </c>
      <c r="D9" s="20"/>
      <c r="E9" s="20"/>
      <c r="F9" s="20">
        <f>F8+D9-E9</f>
        <v>0</v>
      </c>
    </row>
    <row r="10" spans="1:6" x14ac:dyDescent="0.2">
      <c r="A10" s="18"/>
      <c r="B10" s="4" t="s">
        <v>429</v>
      </c>
      <c r="C10" s="4" t="s">
        <v>239</v>
      </c>
      <c r="D10" s="20"/>
      <c r="E10" s="20"/>
      <c r="F10" s="20">
        <f t="shared" ref="F10:F26" si="0">F9+D10-E10</f>
        <v>0</v>
      </c>
    </row>
    <row r="11" spans="1:6" x14ac:dyDescent="0.2">
      <c r="A11" s="18"/>
      <c r="B11" s="4" t="s">
        <v>430</v>
      </c>
      <c r="C11" s="4" t="s">
        <v>239</v>
      </c>
      <c r="D11" s="20"/>
      <c r="E11" s="20"/>
      <c r="F11" s="20">
        <f t="shared" si="0"/>
        <v>0</v>
      </c>
    </row>
    <row r="12" spans="1:6" x14ac:dyDescent="0.2">
      <c r="A12" s="37" t="s">
        <v>416</v>
      </c>
      <c r="B12" s="4" t="s">
        <v>428</v>
      </c>
      <c r="C12" s="4" t="s">
        <v>239</v>
      </c>
      <c r="D12" s="20"/>
      <c r="E12" s="20"/>
      <c r="F12" s="20">
        <f t="shared" si="0"/>
        <v>0</v>
      </c>
    </row>
    <row r="13" spans="1:6" x14ac:dyDescent="0.2">
      <c r="A13" s="18"/>
      <c r="B13" s="4" t="s">
        <v>429</v>
      </c>
      <c r="C13" s="4" t="s">
        <v>239</v>
      </c>
      <c r="D13" s="20"/>
      <c r="E13" s="20"/>
      <c r="F13" s="20">
        <f t="shared" si="0"/>
        <v>0</v>
      </c>
    </row>
    <row r="14" spans="1:6" x14ac:dyDescent="0.2">
      <c r="A14" s="18"/>
      <c r="B14" s="4" t="s">
        <v>430</v>
      </c>
      <c r="C14" s="4" t="s">
        <v>239</v>
      </c>
      <c r="D14" s="20"/>
      <c r="E14" s="20"/>
      <c r="F14" s="20">
        <f t="shared" si="0"/>
        <v>0</v>
      </c>
    </row>
    <row r="15" spans="1:6" x14ac:dyDescent="0.2">
      <c r="A15" s="18" t="s">
        <v>527</v>
      </c>
      <c r="B15" s="4" t="s">
        <v>1400</v>
      </c>
      <c r="C15" s="4" t="s">
        <v>187</v>
      </c>
      <c r="D15" s="20"/>
      <c r="E15" s="20"/>
      <c r="F15" s="20">
        <f t="shared" si="0"/>
        <v>0</v>
      </c>
    </row>
    <row r="16" spans="1:6" x14ac:dyDescent="0.2">
      <c r="A16" s="18" t="s">
        <v>269</v>
      </c>
      <c r="B16" s="4" t="s">
        <v>428</v>
      </c>
      <c r="C16" s="4" t="s">
        <v>239</v>
      </c>
      <c r="D16" s="20"/>
      <c r="E16" s="20"/>
      <c r="F16" s="20">
        <f t="shared" si="0"/>
        <v>0</v>
      </c>
    </row>
    <row r="17" spans="1:7" x14ac:dyDescent="0.2">
      <c r="A17" s="18"/>
      <c r="B17" s="4" t="s">
        <v>429</v>
      </c>
      <c r="C17" s="4" t="s">
        <v>239</v>
      </c>
      <c r="D17" s="20"/>
      <c r="E17" s="20"/>
      <c r="F17" s="20">
        <f t="shared" si="0"/>
        <v>0</v>
      </c>
    </row>
    <row r="18" spans="1:7" x14ac:dyDescent="0.2">
      <c r="A18" s="18"/>
      <c r="B18" s="4" t="s">
        <v>430</v>
      </c>
      <c r="C18" s="4" t="s">
        <v>239</v>
      </c>
      <c r="D18" s="20"/>
      <c r="E18" s="20"/>
      <c r="F18" s="20">
        <f t="shared" si="0"/>
        <v>0</v>
      </c>
    </row>
    <row r="19" spans="1:7" x14ac:dyDescent="0.2">
      <c r="A19" s="18" t="s">
        <v>284</v>
      </c>
      <c r="B19" s="4" t="s">
        <v>428</v>
      </c>
      <c r="C19" s="4" t="s">
        <v>239</v>
      </c>
      <c r="D19" s="20"/>
      <c r="E19" s="20"/>
      <c r="F19" s="20">
        <f t="shared" si="0"/>
        <v>0</v>
      </c>
    </row>
    <row r="20" spans="1:7" x14ac:dyDescent="0.2">
      <c r="A20" s="18"/>
      <c r="B20" s="4" t="s">
        <v>429</v>
      </c>
      <c r="C20" s="4" t="s">
        <v>239</v>
      </c>
      <c r="D20" s="20"/>
      <c r="E20" s="20"/>
      <c r="F20" s="20">
        <f t="shared" si="0"/>
        <v>0</v>
      </c>
    </row>
    <row r="21" spans="1:7" x14ac:dyDescent="0.2">
      <c r="A21" s="18"/>
      <c r="B21" s="4" t="s">
        <v>1437</v>
      </c>
      <c r="C21" s="4" t="s">
        <v>239</v>
      </c>
      <c r="D21" s="20"/>
      <c r="E21" s="20"/>
      <c r="F21" s="20">
        <f t="shared" si="0"/>
        <v>0</v>
      </c>
    </row>
    <row r="22" spans="1:7" x14ac:dyDescent="0.2">
      <c r="A22" s="18" t="s">
        <v>290</v>
      </c>
      <c r="B22" s="4" t="s">
        <v>428</v>
      </c>
      <c r="C22" s="4" t="s">
        <v>239</v>
      </c>
      <c r="D22" s="20"/>
      <c r="E22" s="20"/>
      <c r="F22" s="20">
        <f t="shared" si="0"/>
        <v>0</v>
      </c>
      <c r="G22" s="47"/>
    </row>
    <row r="23" spans="1:7" x14ac:dyDescent="0.2">
      <c r="A23" s="18"/>
      <c r="B23" s="4" t="s">
        <v>428</v>
      </c>
      <c r="C23" s="4" t="s">
        <v>239</v>
      </c>
      <c r="D23" s="20"/>
      <c r="E23" s="20"/>
      <c r="F23" s="20">
        <f t="shared" si="0"/>
        <v>0</v>
      </c>
    </row>
    <row r="24" spans="1:7" x14ac:dyDescent="0.2">
      <c r="A24" s="18"/>
      <c r="B24" s="4" t="s">
        <v>429</v>
      </c>
      <c r="C24" s="4" t="s">
        <v>239</v>
      </c>
      <c r="D24" s="20"/>
      <c r="E24" s="20"/>
      <c r="F24" s="20">
        <f t="shared" si="0"/>
        <v>0</v>
      </c>
    </row>
    <row r="25" spans="1:7" x14ac:dyDescent="0.2">
      <c r="A25" s="18"/>
      <c r="B25" s="4" t="s">
        <v>430</v>
      </c>
      <c r="C25" s="4" t="s">
        <v>239</v>
      </c>
      <c r="D25" s="20"/>
      <c r="E25" s="20"/>
      <c r="F25" s="20">
        <f t="shared" si="0"/>
        <v>0</v>
      </c>
    </row>
    <row r="26" spans="1:7" x14ac:dyDescent="0.2">
      <c r="A26" s="18" t="s">
        <v>308</v>
      </c>
      <c r="B26" s="4" t="s">
        <v>428</v>
      </c>
      <c r="C26" s="4" t="s">
        <v>239</v>
      </c>
      <c r="D26" s="20"/>
      <c r="E26" s="20"/>
      <c r="F26" s="20">
        <f t="shared" si="0"/>
        <v>0</v>
      </c>
    </row>
    <row r="27" spans="1:7" x14ac:dyDescent="0.2">
      <c r="A27" s="18"/>
      <c r="B27" s="4" t="s">
        <v>429</v>
      </c>
      <c r="C27" s="4" t="s">
        <v>239</v>
      </c>
      <c r="D27" s="20"/>
      <c r="E27" s="20"/>
      <c r="F27" s="20">
        <f t="shared" ref="F27:F51" si="1">F26+D27-E27</f>
        <v>0</v>
      </c>
    </row>
    <row r="28" spans="1:7" x14ac:dyDescent="0.2">
      <c r="A28" s="18"/>
      <c r="B28" s="4" t="s">
        <v>430</v>
      </c>
      <c r="C28" s="4" t="s">
        <v>239</v>
      </c>
      <c r="D28" s="20"/>
      <c r="E28" s="20"/>
      <c r="F28" s="20">
        <f t="shared" si="1"/>
        <v>0</v>
      </c>
    </row>
    <row r="29" spans="1:7" x14ac:dyDescent="0.2">
      <c r="A29" s="18" t="s">
        <v>925</v>
      </c>
      <c r="B29" s="4" t="s">
        <v>405</v>
      </c>
      <c r="C29" s="4" t="s">
        <v>187</v>
      </c>
      <c r="D29" s="20"/>
      <c r="E29" s="20"/>
      <c r="F29" s="20">
        <f t="shared" si="1"/>
        <v>0</v>
      </c>
    </row>
    <row r="30" spans="1:7" x14ac:dyDescent="0.2">
      <c r="A30" s="18" t="s">
        <v>322</v>
      </c>
      <c r="B30" s="4" t="s">
        <v>428</v>
      </c>
      <c r="C30" s="4" t="s">
        <v>239</v>
      </c>
      <c r="D30" s="20"/>
      <c r="E30" s="20"/>
      <c r="F30" s="20">
        <f t="shared" si="1"/>
        <v>0</v>
      </c>
    </row>
    <row r="31" spans="1:7" x14ac:dyDescent="0.2">
      <c r="A31" s="18"/>
      <c r="B31" s="4" t="s">
        <v>429</v>
      </c>
      <c r="C31" s="4" t="s">
        <v>239</v>
      </c>
      <c r="D31" s="20"/>
      <c r="E31" s="20"/>
      <c r="F31" s="20">
        <f t="shared" si="1"/>
        <v>0</v>
      </c>
    </row>
    <row r="32" spans="1:7" x14ac:dyDescent="0.2">
      <c r="A32" s="18"/>
      <c r="B32" s="4" t="s">
        <v>430</v>
      </c>
      <c r="C32" s="4" t="s">
        <v>239</v>
      </c>
      <c r="D32" s="20"/>
      <c r="E32" s="20"/>
      <c r="F32" s="20">
        <f t="shared" si="1"/>
        <v>0</v>
      </c>
    </row>
    <row r="33" spans="1:7" x14ac:dyDescent="0.2">
      <c r="A33" s="18" t="s">
        <v>335</v>
      </c>
      <c r="B33" s="4" t="s">
        <v>428</v>
      </c>
      <c r="C33" s="4" t="s">
        <v>239</v>
      </c>
      <c r="D33" s="20"/>
      <c r="E33" s="20"/>
      <c r="F33" s="20">
        <f t="shared" si="1"/>
        <v>0</v>
      </c>
    </row>
    <row r="34" spans="1:7" x14ac:dyDescent="0.2">
      <c r="A34" s="18"/>
      <c r="B34" s="4" t="s">
        <v>429</v>
      </c>
      <c r="C34" s="4" t="s">
        <v>239</v>
      </c>
      <c r="D34" s="20"/>
      <c r="E34" s="20"/>
      <c r="F34" s="20">
        <f t="shared" si="1"/>
        <v>0</v>
      </c>
    </row>
    <row r="35" spans="1:7" x14ac:dyDescent="0.2">
      <c r="A35" s="18"/>
      <c r="B35" s="4" t="s">
        <v>430</v>
      </c>
      <c r="C35" s="4" t="s">
        <v>239</v>
      </c>
      <c r="D35" s="20"/>
      <c r="E35" s="20"/>
      <c r="F35" s="20">
        <f t="shared" si="1"/>
        <v>0</v>
      </c>
    </row>
    <row r="36" spans="1:7" x14ac:dyDescent="0.2">
      <c r="A36" s="18" t="s">
        <v>357</v>
      </c>
      <c r="B36" s="4" t="s">
        <v>428</v>
      </c>
      <c r="C36" s="4" t="s">
        <v>239</v>
      </c>
      <c r="D36" s="20"/>
      <c r="E36" s="20"/>
      <c r="F36" s="20">
        <f t="shared" si="1"/>
        <v>0</v>
      </c>
    </row>
    <row r="37" spans="1:7" x14ac:dyDescent="0.2">
      <c r="A37" s="18"/>
      <c r="B37" s="4" t="s">
        <v>429</v>
      </c>
      <c r="C37" s="4" t="s">
        <v>239</v>
      </c>
      <c r="D37" s="20"/>
      <c r="E37" s="20"/>
      <c r="F37" s="20">
        <f t="shared" si="1"/>
        <v>0</v>
      </c>
    </row>
    <row r="38" spans="1:7" x14ac:dyDescent="0.2">
      <c r="A38" s="18"/>
      <c r="B38" s="4" t="s">
        <v>430</v>
      </c>
      <c r="C38" s="4" t="s">
        <v>239</v>
      </c>
      <c r="D38" s="20"/>
      <c r="E38" s="20"/>
      <c r="F38" s="20">
        <f t="shared" si="1"/>
        <v>0</v>
      </c>
    </row>
    <row r="39" spans="1:7" x14ac:dyDescent="0.2">
      <c r="A39" s="18" t="s">
        <v>376</v>
      </c>
      <c r="B39" s="4" t="s">
        <v>405</v>
      </c>
      <c r="C39" s="4" t="s">
        <v>200</v>
      </c>
      <c r="D39" s="20"/>
      <c r="E39" s="20"/>
      <c r="F39" s="20">
        <f t="shared" si="1"/>
        <v>0</v>
      </c>
    </row>
    <row r="40" spans="1:7" x14ac:dyDescent="0.2">
      <c r="A40" s="18" t="s">
        <v>376</v>
      </c>
      <c r="B40" s="4" t="s">
        <v>428</v>
      </c>
      <c r="C40" s="4" t="s">
        <v>239</v>
      </c>
      <c r="D40" s="20"/>
      <c r="E40" s="20"/>
      <c r="F40" s="20">
        <f t="shared" si="1"/>
        <v>0</v>
      </c>
    </row>
    <row r="41" spans="1:7" x14ac:dyDescent="0.2">
      <c r="A41" s="18"/>
      <c r="B41" s="4" t="s">
        <v>429</v>
      </c>
      <c r="C41" s="4" t="s">
        <v>239</v>
      </c>
      <c r="D41" s="20"/>
      <c r="E41" s="20"/>
      <c r="F41" s="20">
        <f t="shared" si="1"/>
        <v>0</v>
      </c>
    </row>
    <row r="42" spans="1:7" x14ac:dyDescent="0.2">
      <c r="A42" s="18"/>
      <c r="B42" s="4" t="s">
        <v>430</v>
      </c>
      <c r="C42" s="4" t="s">
        <v>239</v>
      </c>
      <c r="D42" s="20"/>
      <c r="E42" s="20"/>
      <c r="F42" s="20">
        <f t="shared" si="1"/>
        <v>0</v>
      </c>
      <c r="G42" s="31"/>
    </row>
    <row r="43" spans="1:7" x14ac:dyDescent="0.2">
      <c r="A43" s="18" t="s">
        <v>390</v>
      </c>
      <c r="B43" s="4" t="s">
        <v>428</v>
      </c>
      <c r="C43" s="4" t="s">
        <v>239</v>
      </c>
      <c r="D43" s="20"/>
      <c r="E43" s="20"/>
      <c r="F43" s="20">
        <f t="shared" si="1"/>
        <v>0</v>
      </c>
    </row>
    <row r="44" spans="1:7" x14ac:dyDescent="0.2">
      <c r="A44" s="18"/>
      <c r="B44" s="4" t="s">
        <v>429</v>
      </c>
      <c r="C44" s="4" t="s">
        <v>239</v>
      </c>
      <c r="D44" s="20"/>
      <c r="E44" s="20"/>
      <c r="F44" s="20">
        <f t="shared" si="1"/>
        <v>0</v>
      </c>
    </row>
    <row r="45" spans="1:7" x14ac:dyDescent="0.2">
      <c r="A45" s="18"/>
      <c r="B45" s="4" t="s">
        <v>430</v>
      </c>
      <c r="C45" s="4" t="s">
        <v>239</v>
      </c>
      <c r="D45" s="20"/>
      <c r="E45" s="20"/>
      <c r="F45" s="20">
        <f t="shared" si="1"/>
        <v>0</v>
      </c>
    </row>
    <row r="46" spans="1:7" x14ac:dyDescent="0.2">
      <c r="A46" s="18" t="s">
        <v>449</v>
      </c>
      <c r="B46" s="4" t="s">
        <v>405</v>
      </c>
      <c r="C46" s="4" t="s">
        <v>187</v>
      </c>
      <c r="D46" s="20"/>
      <c r="E46" s="20"/>
      <c r="F46" s="20">
        <f t="shared" si="1"/>
        <v>0</v>
      </c>
    </row>
    <row r="47" spans="1:7" x14ac:dyDescent="0.2">
      <c r="A47" s="18" t="s">
        <v>449</v>
      </c>
      <c r="B47" s="4" t="s">
        <v>428</v>
      </c>
      <c r="C47" s="4" t="s">
        <v>239</v>
      </c>
      <c r="D47" s="20"/>
      <c r="E47" s="20"/>
      <c r="F47" s="20">
        <f t="shared" si="1"/>
        <v>0</v>
      </c>
    </row>
    <row r="48" spans="1:7" x14ac:dyDescent="0.2">
      <c r="A48" s="18"/>
      <c r="B48" s="4" t="s">
        <v>429</v>
      </c>
      <c r="C48" s="4" t="s">
        <v>239</v>
      </c>
      <c r="D48" s="20"/>
      <c r="E48" s="20"/>
      <c r="F48" s="20">
        <f t="shared" si="1"/>
        <v>0</v>
      </c>
    </row>
    <row r="49" spans="1:6" x14ac:dyDescent="0.2">
      <c r="A49" s="18"/>
      <c r="B49" s="4" t="s">
        <v>430</v>
      </c>
      <c r="C49" s="4" t="s">
        <v>239</v>
      </c>
      <c r="D49" s="20"/>
      <c r="E49" s="20"/>
      <c r="F49" s="20">
        <f t="shared" si="1"/>
        <v>0</v>
      </c>
    </row>
    <row r="50" spans="1:6" x14ac:dyDescent="0.2">
      <c r="A50" s="18"/>
      <c r="B50" s="4"/>
      <c r="C50" s="4"/>
      <c r="D50" s="20"/>
      <c r="E50" s="20"/>
      <c r="F50" s="20">
        <f t="shared" si="1"/>
        <v>0</v>
      </c>
    </row>
    <row r="51" spans="1:6" x14ac:dyDescent="0.2">
      <c r="A51" s="18"/>
      <c r="B51" s="4"/>
      <c r="C51" s="4"/>
      <c r="D51" s="20"/>
      <c r="E51" s="20"/>
      <c r="F51" s="20">
        <f t="shared" si="1"/>
        <v>0</v>
      </c>
    </row>
    <row r="52" spans="1:6" x14ac:dyDescent="0.2">
      <c r="A52" s="18"/>
      <c r="B52" s="4"/>
      <c r="C52" s="4"/>
      <c r="D52" s="20"/>
      <c r="E52" s="20"/>
      <c r="F52" s="20"/>
    </row>
    <row r="53" spans="1:6" x14ac:dyDescent="0.2">
      <c r="A53" s="105" t="s">
        <v>10</v>
      </c>
      <c r="B53" s="112"/>
      <c r="C53" s="106"/>
      <c r="D53" s="20">
        <f>SUM(D8:D52)</f>
        <v>0</v>
      </c>
      <c r="E53" s="20">
        <f>SUM(E8:E52)</f>
        <v>0</v>
      </c>
      <c r="F53" s="20">
        <f>D53-E53</f>
        <v>0</v>
      </c>
    </row>
    <row r="54" spans="1:6" x14ac:dyDescent="0.2">
      <c r="A54" s="105" t="s">
        <v>11</v>
      </c>
      <c r="B54" s="112"/>
      <c r="C54" s="106"/>
      <c r="D54" s="20">
        <f>F8</f>
        <v>0</v>
      </c>
      <c r="E54" s="20"/>
      <c r="F54" s="20">
        <f>D54-E54</f>
        <v>0</v>
      </c>
    </row>
    <row r="55" spans="1:6" x14ac:dyDescent="0.2">
      <c r="A55" s="105" t="s">
        <v>10</v>
      </c>
      <c r="B55" s="112"/>
      <c r="C55" s="106"/>
      <c r="D55" s="20">
        <f>SUM(D53:D54)</f>
        <v>0</v>
      </c>
      <c r="E55" s="20">
        <f>SUM(E53:E54)</f>
        <v>0</v>
      </c>
      <c r="F55" s="20">
        <f>SUM(F53:F54)</f>
        <v>0</v>
      </c>
    </row>
    <row r="56" spans="1:6" x14ac:dyDescent="0.2">
      <c r="A56" s="5"/>
      <c r="B56" s="5"/>
      <c r="C56" s="5"/>
    </row>
    <row r="57" spans="1:6" x14ac:dyDescent="0.2">
      <c r="A57" s="5"/>
      <c r="B57" s="5"/>
      <c r="C57" s="5"/>
    </row>
    <row r="58" spans="1:6" x14ac:dyDescent="0.2">
      <c r="A58" s="5"/>
      <c r="B58" s="5"/>
      <c r="C58" s="5"/>
    </row>
    <row r="59" spans="1:6" x14ac:dyDescent="0.2">
      <c r="A59" s="5"/>
      <c r="B59" s="5"/>
      <c r="C59" s="5"/>
    </row>
    <row r="60" spans="1:6" x14ac:dyDescent="0.2">
      <c r="A60" s="5"/>
      <c r="B60" s="5"/>
      <c r="C60" s="5"/>
    </row>
    <row r="61" spans="1:6" x14ac:dyDescent="0.2">
      <c r="A61" s="5"/>
      <c r="B61" s="5"/>
      <c r="C61" s="5"/>
    </row>
    <row r="62" spans="1:6" x14ac:dyDescent="0.2">
      <c r="A62" s="5"/>
      <c r="B62" s="5"/>
      <c r="C62" s="5"/>
    </row>
    <row r="63" spans="1:6" x14ac:dyDescent="0.2">
      <c r="A63" s="5"/>
      <c r="B63" s="5"/>
      <c r="C63" s="5"/>
    </row>
    <row r="64" spans="1:6" x14ac:dyDescent="0.2">
      <c r="A64" s="5"/>
      <c r="B64" s="5"/>
      <c r="C64" s="5"/>
    </row>
    <row r="65" spans="1:6" x14ac:dyDescent="0.2">
      <c r="A65" s="5"/>
      <c r="B65" s="5"/>
      <c r="C65" s="5"/>
    </row>
    <row r="66" spans="1:6" x14ac:dyDescent="0.2">
      <c r="A66" s="5"/>
      <c r="B66" s="5"/>
      <c r="C66" s="5"/>
    </row>
    <row r="67" spans="1:6" x14ac:dyDescent="0.2">
      <c r="A67" s="11" t="s">
        <v>0</v>
      </c>
      <c r="B67" s="11"/>
    </row>
    <row r="68" spans="1:6" x14ac:dyDescent="0.2">
      <c r="A68" s="11" t="s">
        <v>1</v>
      </c>
      <c r="B68" s="11"/>
    </row>
    <row r="69" spans="1:6" x14ac:dyDescent="0.2">
      <c r="A69" s="5" t="s">
        <v>2</v>
      </c>
      <c r="B69" s="5"/>
      <c r="C69" s="5"/>
      <c r="D69" s="5"/>
      <c r="E69" s="5"/>
      <c r="F69" s="5"/>
    </row>
    <row r="70" spans="1:6" x14ac:dyDescent="0.2">
      <c r="A70" s="12" t="s">
        <v>210</v>
      </c>
      <c r="B70" s="12"/>
      <c r="D70" s="2" t="s">
        <v>37</v>
      </c>
    </row>
    <row r="72" spans="1:6" x14ac:dyDescent="0.2">
      <c r="A72" s="14" t="s">
        <v>3</v>
      </c>
      <c r="B72" s="14" t="s">
        <v>4</v>
      </c>
      <c r="C72" s="14" t="s">
        <v>5</v>
      </c>
      <c r="D72" s="16" t="s">
        <v>6</v>
      </c>
      <c r="E72" s="17"/>
      <c r="F72" s="14" t="s">
        <v>9</v>
      </c>
    </row>
    <row r="73" spans="1:6" x14ac:dyDescent="0.2">
      <c r="A73" s="15"/>
      <c r="B73" s="15"/>
      <c r="C73" s="15"/>
      <c r="D73" s="3" t="s">
        <v>7</v>
      </c>
      <c r="E73" s="3" t="s">
        <v>8</v>
      </c>
      <c r="F73" s="15"/>
    </row>
    <row r="74" spans="1:6" x14ac:dyDescent="0.2">
      <c r="A74" s="18" t="s">
        <v>203</v>
      </c>
      <c r="B74" s="4" t="s">
        <v>206</v>
      </c>
      <c r="C74" s="4"/>
      <c r="D74" s="20">
        <v>0</v>
      </c>
      <c r="E74" s="20">
        <v>0</v>
      </c>
      <c r="F74" s="46">
        <v>0</v>
      </c>
    </row>
    <row r="75" spans="1:6" x14ac:dyDescent="0.2">
      <c r="A75" s="18" t="s">
        <v>228</v>
      </c>
      <c r="B75" s="4" t="s">
        <v>425</v>
      </c>
      <c r="C75" s="4" t="s">
        <v>239</v>
      </c>
      <c r="D75" s="20"/>
      <c r="E75" s="20"/>
      <c r="F75" s="20">
        <f>F74+D75-E75</f>
        <v>0</v>
      </c>
    </row>
    <row r="76" spans="1:6" x14ac:dyDescent="0.2">
      <c r="A76" s="18"/>
      <c r="B76" s="4" t="s">
        <v>426</v>
      </c>
      <c r="C76" s="4" t="s">
        <v>239</v>
      </c>
      <c r="D76" s="20"/>
      <c r="E76" s="20"/>
      <c r="F76" s="20">
        <f t="shared" ref="F76:F98" si="2">F75+D76-E76</f>
        <v>0</v>
      </c>
    </row>
    <row r="77" spans="1:6" x14ac:dyDescent="0.2">
      <c r="A77" s="18"/>
      <c r="B77" s="4" t="s">
        <v>427</v>
      </c>
      <c r="C77" s="4" t="s">
        <v>239</v>
      </c>
      <c r="D77" s="20"/>
      <c r="E77" s="20"/>
      <c r="F77" s="20">
        <f t="shared" si="2"/>
        <v>0</v>
      </c>
    </row>
    <row r="78" spans="1:6" x14ac:dyDescent="0.2">
      <c r="A78" s="37" t="s">
        <v>416</v>
      </c>
      <c r="B78" s="4" t="s">
        <v>425</v>
      </c>
      <c r="C78" s="4" t="s">
        <v>239</v>
      </c>
      <c r="D78" s="20"/>
      <c r="E78" s="20"/>
      <c r="F78" s="20">
        <f t="shared" si="2"/>
        <v>0</v>
      </c>
    </row>
    <row r="79" spans="1:6" x14ac:dyDescent="0.2">
      <c r="A79" s="18"/>
      <c r="B79" s="4" t="s">
        <v>426</v>
      </c>
      <c r="C79" s="4" t="s">
        <v>239</v>
      </c>
      <c r="D79" s="20"/>
      <c r="E79" s="20"/>
      <c r="F79" s="20">
        <f t="shared" si="2"/>
        <v>0</v>
      </c>
    </row>
    <row r="80" spans="1:6" x14ac:dyDescent="0.2">
      <c r="A80" s="18"/>
      <c r="B80" s="4" t="s">
        <v>427</v>
      </c>
      <c r="C80" s="4" t="s">
        <v>239</v>
      </c>
      <c r="D80" s="20"/>
      <c r="E80" s="20"/>
      <c r="F80" s="20">
        <f t="shared" si="2"/>
        <v>0</v>
      </c>
    </row>
    <row r="81" spans="1:9" x14ac:dyDescent="0.2">
      <c r="A81" s="37" t="s">
        <v>527</v>
      </c>
      <c r="B81" s="4" t="s">
        <v>1401</v>
      </c>
      <c r="C81" s="4" t="s">
        <v>239</v>
      </c>
      <c r="D81" s="20"/>
      <c r="E81" s="20"/>
      <c r="F81" s="20">
        <f t="shared" si="2"/>
        <v>0</v>
      </c>
    </row>
    <row r="82" spans="1:9" x14ac:dyDescent="0.2">
      <c r="A82" s="37" t="s">
        <v>269</v>
      </c>
      <c r="B82" s="4" t="s">
        <v>425</v>
      </c>
      <c r="C82" s="4" t="s">
        <v>187</v>
      </c>
      <c r="D82" s="46"/>
      <c r="E82" s="20"/>
      <c r="F82" s="20">
        <f t="shared" si="2"/>
        <v>0</v>
      </c>
      <c r="G82" s="31"/>
    </row>
    <row r="83" spans="1:9" x14ac:dyDescent="0.2">
      <c r="A83" s="37"/>
      <c r="B83" s="4" t="s">
        <v>426</v>
      </c>
      <c r="C83" s="4" t="s">
        <v>239</v>
      </c>
      <c r="D83" s="20"/>
      <c r="E83" s="20"/>
      <c r="F83" s="20">
        <f t="shared" si="2"/>
        <v>0</v>
      </c>
    </row>
    <row r="84" spans="1:9" x14ac:dyDescent="0.2">
      <c r="A84" s="18"/>
      <c r="B84" s="4" t="s">
        <v>427</v>
      </c>
      <c r="C84" s="4" t="s">
        <v>239</v>
      </c>
      <c r="D84" s="20"/>
      <c r="E84" s="20"/>
      <c r="F84" s="20">
        <f t="shared" si="2"/>
        <v>0</v>
      </c>
    </row>
    <row r="85" spans="1:9" x14ac:dyDescent="0.2">
      <c r="A85" s="18" t="s">
        <v>284</v>
      </c>
      <c r="B85" s="4" t="s">
        <v>425</v>
      </c>
      <c r="C85" s="4" t="s">
        <v>239</v>
      </c>
      <c r="D85" s="20"/>
      <c r="E85" s="20"/>
      <c r="F85" s="20">
        <f t="shared" si="2"/>
        <v>0</v>
      </c>
    </row>
    <row r="86" spans="1:9" x14ac:dyDescent="0.2">
      <c r="A86" s="18"/>
      <c r="B86" s="4" t="s">
        <v>426</v>
      </c>
      <c r="C86" s="4" t="s">
        <v>239</v>
      </c>
      <c r="D86" s="20"/>
      <c r="E86" s="20"/>
      <c r="F86" s="20">
        <f t="shared" si="2"/>
        <v>0</v>
      </c>
      <c r="I86" s="31"/>
    </row>
    <row r="87" spans="1:9" x14ac:dyDescent="0.2">
      <c r="A87" s="18"/>
      <c r="B87" s="4" t="s">
        <v>427</v>
      </c>
      <c r="C87" s="4" t="s">
        <v>239</v>
      </c>
      <c r="D87" s="20"/>
      <c r="E87" s="20"/>
      <c r="F87" s="20">
        <f t="shared" si="2"/>
        <v>0</v>
      </c>
    </row>
    <row r="88" spans="1:9" x14ac:dyDescent="0.2">
      <c r="A88" s="18" t="s">
        <v>290</v>
      </c>
      <c r="B88" s="4" t="s">
        <v>427</v>
      </c>
      <c r="C88" s="4" t="s">
        <v>239</v>
      </c>
      <c r="D88" s="20"/>
      <c r="E88" s="20"/>
      <c r="F88" s="20">
        <f t="shared" si="2"/>
        <v>0</v>
      </c>
      <c r="G88" s="47"/>
    </row>
    <row r="89" spans="1:9" x14ac:dyDescent="0.2">
      <c r="A89" s="18"/>
      <c r="B89" s="4" t="s">
        <v>425</v>
      </c>
      <c r="C89" s="4" t="s">
        <v>239</v>
      </c>
      <c r="D89" s="20"/>
      <c r="E89" s="20"/>
      <c r="F89" s="20">
        <f>F88+D89-E89</f>
        <v>0</v>
      </c>
    </row>
    <row r="90" spans="1:9" x14ac:dyDescent="0.2">
      <c r="A90" s="18"/>
      <c r="B90" s="4" t="s">
        <v>426</v>
      </c>
      <c r="C90" s="4" t="s">
        <v>239</v>
      </c>
      <c r="D90" s="20"/>
      <c r="E90" s="20"/>
      <c r="F90" s="20">
        <f>F89+D90-E90</f>
        <v>0</v>
      </c>
    </row>
    <row r="91" spans="1:9" x14ac:dyDescent="0.2">
      <c r="A91" s="18"/>
      <c r="B91" s="4" t="s">
        <v>427</v>
      </c>
      <c r="C91" s="4" t="s">
        <v>239</v>
      </c>
      <c r="D91" s="20"/>
      <c r="E91" s="20"/>
      <c r="F91" s="20">
        <f>F90+D91-E91</f>
        <v>0</v>
      </c>
    </row>
    <row r="92" spans="1:9" x14ac:dyDescent="0.2">
      <c r="A92" s="18" t="s">
        <v>311</v>
      </c>
      <c r="B92" s="4" t="s">
        <v>425</v>
      </c>
      <c r="C92" s="4" t="s">
        <v>239</v>
      </c>
      <c r="D92" s="20"/>
      <c r="E92" s="20"/>
      <c r="F92" s="20">
        <f>F91+D92-E92</f>
        <v>0</v>
      </c>
    </row>
    <row r="93" spans="1:9" x14ac:dyDescent="0.2">
      <c r="A93" s="18"/>
      <c r="B93" s="4" t="s">
        <v>426</v>
      </c>
      <c r="C93" s="4" t="s">
        <v>239</v>
      </c>
      <c r="D93" s="20"/>
      <c r="E93" s="20"/>
      <c r="F93" s="20">
        <f t="shared" si="2"/>
        <v>0</v>
      </c>
    </row>
    <row r="94" spans="1:9" x14ac:dyDescent="0.2">
      <c r="A94" s="18"/>
      <c r="B94" s="4" t="s">
        <v>427</v>
      </c>
      <c r="C94" s="4" t="s">
        <v>239</v>
      </c>
      <c r="D94" s="20"/>
      <c r="E94" s="20"/>
      <c r="F94" s="20">
        <f t="shared" si="2"/>
        <v>0</v>
      </c>
    </row>
    <row r="95" spans="1:9" x14ac:dyDescent="0.2">
      <c r="A95" s="18" t="s">
        <v>925</v>
      </c>
      <c r="B95" s="4" t="s">
        <v>263</v>
      </c>
      <c r="C95" s="4" t="s">
        <v>187</v>
      </c>
      <c r="D95" s="20"/>
      <c r="E95" s="20"/>
      <c r="F95" s="20">
        <f t="shared" si="2"/>
        <v>0</v>
      </c>
    </row>
    <row r="96" spans="1:9" x14ac:dyDescent="0.2">
      <c r="A96" s="18" t="s">
        <v>322</v>
      </c>
      <c r="B96" s="4" t="s">
        <v>425</v>
      </c>
      <c r="C96" s="4" t="s">
        <v>239</v>
      </c>
      <c r="D96" s="20"/>
      <c r="E96" s="20"/>
      <c r="F96" s="20">
        <f t="shared" si="2"/>
        <v>0</v>
      </c>
    </row>
    <row r="97" spans="1:7" x14ac:dyDescent="0.2">
      <c r="A97" s="18"/>
      <c r="B97" s="4" t="s">
        <v>426</v>
      </c>
      <c r="C97" s="4" t="s">
        <v>239</v>
      </c>
      <c r="D97" s="20"/>
      <c r="E97" s="20"/>
      <c r="F97" s="20">
        <f t="shared" si="2"/>
        <v>0</v>
      </c>
    </row>
    <row r="98" spans="1:7" x14ac:dyDescent="0.2">
      <c r="A98" s="18"/>
      <c r="B98" s="4" t="s">
        <v>427</v>
      </c>
      <c r="C98" s="4" t="s">
        <v>239</v>
      </c>
      <c r="D98" s="20"/>
      <c r="E98" s="20"/>
      <c r="F98" s="20">
        <f t="shared" si="2"/>
        <v>0</v>
      </c>
    </row>
    <row r="99" spans="1:7" x14ac:dyDescent="0.2">
      <c r="A99" s="18" t="s">
        <v>335</v>
      </c>
      <c r="B99" s="4" t="s">
        <v>425</v>
      </c>
      <c r="C99" s="4" t="s">
        <v>239</v>
      </c>
      <c r="D99" s="20"/>
      <c r="E99" s="20"/>
      <c r="F99" s="20">
        <f t="shared" ref="F99:F109" si="3">F98+D99-E99</f>
        <v>0</v>
      </c>
    </row>
    <row r="100" spans="1:7" x14ac:dyDescent="0.2">
      <c r="A100" s="18"/>
      <c r="B100" s="4" t="s">
        <v>426</v>
      </c>
      <c r="C100" s="4" t="s">
        <v>239</v>
      </c>
      <c r="D100" s="20"/>
      <c r="E100" s="20"/>
      <c r="F100" s="20">
        <f t="shared" si="3"/>
        <v>0</v>
      </c>
    </row>
    <row r="101" spans="1:7" x14ac:dyDescent="0.2">
      <c r="A101" s="18"/>
      <c r="B101" s="4" t="s">
        <v>427</v>
      </c>
      <c r="C101" s="4" t="s">
        <v>239</v>
      </c>
      <c r="D101" s="20"/>
      <c r="E101" s="20"/>
      <c r="F101" s="20">
        <f t="shared" si="3"/>
        <v>0</v>
      </c>
    </row>
    <row r="102" spans="1:7" x14ac:dyDescent="0.2">
      <c r="A102" s="18" t="s">
        <v>357</v>
      </c>
      <c r="B102" s="4" t="s">
        <v>425</v>
      </c>
      <c r="C102" s="4" t="s">
        <v>239</v>
      </c>
      <c r="D102" s="20"/>
      <c r="E102" s="20"/>
      <c r="F102" s="20">
        <f t="shared" si="3"/>
        <v>0</v>
      </c>
    </row>
    <row r="103" spans="1:7" x14ac:dyDescent="0.2">
      <c r="A103" s="18"/>
      <c r="B103" s="4" t="s">
        <v>426</v>
      </c>
      <c r="C103" s="4" t="s">
        <v>239</v>
      </c>
      <c r="D103" s="20"/>
      <c r="E103" s="20"/>
      <c r="F103" s="20">
        <f t="shared" si="3"/>
        <v>0</v>
      </c>
    </row>
    <row r="104" spans="1:7" x14ac:dyDescent="0.2">
      <c r="A104" s="18"/>
      <c r="B104" s="4" t="s">
        <v>427</v>
      </c>
      <c r="C104" s="4" t="s">
        <v>239</v>
      </c>
      <c r="D104" s="20"/>
      <c r="E104" s="20"/>
      <c r="F104" s="20">
        <f t="shared" si="3"/>
        <v>0</v>
      </c>
      <c r="G104" s="31"/>
    </row>
    <row r="105" spans="1:7" x14ac:dyDescent="0.2">
      <c r="A105" s="18" t="s">
        <v>376</v>
      </c>
      <c r="B105" s="4" t="s">
        <v>263</v>
      </c>
      <c r="C105" s="4" t="s">
        <v>200</v>
      </c>
      <c r="D105" s="20"/>
      <c r="E105" s="20"/>
      <c r="F105" s="20">
        <f t="shared" si="3"/>
        <v>0</v>
      </c>
    </row>
    <row r="106" spans="1:7" x14ac:dyDescent="0.2">
      <c r="A106" s="18" t="s">
        <v>376</v>
      </c>
      <c r="B106" s="4" t="s">
        <v>425</v>
      </c>
      <c r="C106" s="4" t="s">
        <v>239</v>
      </c>
      <c r="D106" s="20"/>
      <c r="E106" s="20"/>
      <c r="F106" s="20">
        <f t="shared" si="3"/>
        <v>0</v>
      </c>
    </row>
    <row r="107" spans="1:7" x14ac:dyDescent="0.2">
      <c r="A107" s="18"/>
      <c r="B107" s="4" t="s">
        <v>426</v>
      </c>
      <c r="C107" s="4" t="s">
        <v>239</v>
      </c>
      <c r="D107" s="20"/>
      <c r="E107" s="20"/>
      <c r="F107" s="20">
        <f t="shared" si="3"/>
        <v>0</v>
      </c>
    </row>
    <row r="108" spans="1:7" x14ac:dyDescent="0.2">
      <c r="A108" s="18"/>
      <c r="B108" s="4" t="s">
        <v>427</v>
      </c>
      <c r="C108" s="4" t="s">
        <v>239</v>
      </c>
      <c r="D108" s="20"/>
      <c r="E108" s="20"/>
      <c r="F108" s="20">
        <f t="shared" si="3"/>
        <v>0</v>
      </c>
    </row>
    <row r="109" spans="1:7" x14ac:dyDescent="0.2">
      <c r="A109" s="18" t="s">
        <v>390</v>
      </c>
      <c r="B109" s="4" t="s">
        <v>425</v>
      </c>
      <c r="C109" s="4" t="s">
        <v>239</v>
      </c>
      <c r="D109" s="20"/>
      <c r="E109" s="20"/>
      <c r="F109" s="20">
        <f t="shared" si="3"/>
        <v>0</v>
      </c>
    </row>
    <row r="110" spans="1:7" x14ac:dyDescent="0.2">
      <c r="A110" s="18"/>
      <c r="B110" s="4" t="s">
        <v>426</v>
      </c>
      <c r="C110" s="4" t="s">
        <v>239</v>
      </c>
      <c r="D110" s="20"/>
      <c r="E110" s="20"/>
      <c r="F110" s="20">
        <f t="shared" ref="F110" si="4">F109+D110-E110</f>
        <v>0</v>
      </c>
    </row>
    <row r="111" spans="1:7" x14ac:dyDescent="0.2">
      <c r="A111" s="18"/>
      <c r="B111" s="4" t="s">
        <v>427</v>
      </c>
      <c r="C111" s="4" t="s">
        <v>239</v>
      </c>
      <c r="D111" s="20"/>
      <c r="E111" s="20"/>
      <c r="F111" s="20">
        <f t="shared" ref="F111:F117" si="5">F110+D111-E111</f>
        <v>0</v>
      </c>
    </row>
    <row r="112" spans="1:7" x14ac:dyDescent="0.2">
      <c r="A112" s="18" t="str">
        <f>A113</f>
        <v>31 Des</v>
      </c>
      <c r="B112" s="4" t="s">
        <v>263</v>
      </c>
      <c r="C112" s="4" t="s">
        <v>187</v>
      </c>
      <c r="D112" s="20"/>
      <c r="E112" s="20"/>
      <c r="F112" s="20">
        <f t="shared" si="5"/>
        <v>0</v>
      </c>
    </row>
    <row r="113" spans="1:7" x14ac:dyDescent="0.2">
      <c r="A113" s="18" t="s">
        <v>449</v>
      </c>
      <c r="B113" s="4" t="s">
        <v>425</v>
      </c>
      <c r="C113" s="4" t="s">
        <v>239</v>
      </c>
      <c r="D113" s="20"/>
      <c r="E113" s="20"/>
      <c r="F113" s="20">
        <f t="shared" si="5"/>
        <v>0</v>
      </c>
    </row>
    <row r="114" spans="1:7" x14ac:dyDescent="0.2">
      <c r="A114" s="18"/>
      <c r="B114" s="4" t="s">
        <v>426</v>
      </c>
      <c r="C114" s="4" t="s">
        <v>239</v>
      </c>
      <c r="D114" s="20"/>
      <c r="E114" s="20"/>
      <c r="F114" s="20">
        <f t="shared" si="5"/>
        <v>0</v>
      </c>
    </row>
    <row r="115" spans="1:7" x14ac:dyDescent="0.2">
      <c r="A115" s="18"/>
      <c r="B115" s="4" t="s">
        <v>427</v>
      </c>
      <c r="C115" s="4" t="s">
        <v>239</v>
      </c>
      <c r="D115" s="20"/>
      <c r="E115" s="20"/>
      <c r="F115" s="20">
        <f t="shared" si="5"/>
        <v>0</v>
      </c>
    </row>
    <row r="116" spans="1:7" x14ac:dyDescent="0.2">
      <c r="A116" s="4"/>
      <c r="B116" s="4"/>
      <c r="C116" s="4"/>
      <c r="D116" s="20"/>
      <c r="E116" s="20"/>
      <c r="F116" s="20">
        <f t="shared" si="5"/>
        <v>0</v>
      </c>
    </row>
    <row r="117" spans="1:7" x14ac:dyDescent="0.2">
      <c r="A117" s="4"/>
      <c r="B117" s="4"/>
      <c r="C117" s="4"/>
      <c r="D117" s="20"/>
      <c r="E117" s="20"/>
      <c r="F117" s="20">
        <f t="shared" si="5"/>
        <v>0</v>
      </c>
    </row>
    <row r="118" spans="1:7" x14ac:dyDescent="0.2">
      <c r="A118" s="4"/>
      <c r="B118" s="4"/>
      <c r="C118" s="4"/>
      <c r="D118" s="20"/>
      <c r="E118" s="20"/>
      <c r="F118" s="20"/>
    </row>
    <row r="119" spans="1:7" x14ac:dyDescent="0.2">
      <c r="A119" s="105" t="s">
        <v>10</v>
      </c>
      <c r="B119" s="112"/>
      <c r="C119" s="106"/>
      <c r="D119" s="20">
        <f>SUM(D74:D118)</f>
        <v>0</v>
      </c>
      <c r="E119" s="20">
        <f>SUM(E74:E118)</f>
        <v>0</v>
      </c>
      <c r="F119" s="20">
        <f>D119-E119</f>
        <v>0</v>
      </c>
      <c r="G119" s="31"/>
    </row>
    <row r="120" spans="1:7" x14ac:dyDescent="0.2">
      <c r="A120" s="105" t="s">
        <v>11</v>
      </c>
      <c r="B120" s="112"/>
      <c r="C120" s="106"/>
      <c r="D120" s="20">
        <f>F74</f>
        <v>0</v>
      </c>
      <c r="E120" s="20"/>
      <c r="F120" s="20">
        <f>D120-E120</f>
        <v>0</v>
      </c>
    </row>
    <row r="121" spans="1:7" x14ac:dyDescent="0.2">
      <c r="A121" s="105" t="s">
        <v>10</v>
      </c>
      <c r="B121" s="112"/>
      <c r="C121" s="106"/>
      <c r="D121" s="20">
        <f>SUM(D119:D120)</f>
        <v>0</v>
      </c>
      <c r="E121" s="20">
        <f>SUM(E119:E120)</f>
        <v>0</v>
      </c>
      <c r="F121" s="20">
        <f>SUM(F119:F120)</f>
        <v>0</v>
      </c>
    </row>
    <row r="122" spans="1:7" x14ac:dyDescent="0.2">
      <c r="A122" s="5"/>
      <c r="B122" s="5"/>
      <c r="C122" s="5"/>
    </row>
    <row r="123" spans="1:7" x14ac:dyDescent="0.2">
      <c r="A123" s="5"/>
      <c r="B123" s="5"/>
      <c r="C123" s="5"/>
    </row>
    <row r="124" spans="1:7" x14ac:dyDescent="0.2">
      <c r="B124" s="11"/>
    </row>
    <row r="125" spans="1:7" x14ac:dyDescent="0.2">
      <c r="A125" s="11"/>
      <c r="B125" s="11"/>
    </row>
    <row r="126" spans="1:7" x14ac:dyDescent="0.2">
      <c r="A126" s="11"/>
      <c r="B126" s="11"/>
    </row>
    <row r="127" spans="1:7" x14ac:dyDescent="0.2">
      <c r="A127" s="11"/>
      <c r="B127" s="11"/>
    </row>
    <row r="128" spans="1:7" x14ac:dyDescent="0.2">
      <c r="A128" s="11"/>
      <c r="B128" s="11"/>
    </row>
    <row r="129" spans="1:6" x14ac:dyDescent="0.2">
      <c r="A129" s="11"/>
      <c r="B129" s="11"/>
    </row>
    <row r="130" spans="1:6" x14ac:dyDescent="0.2">
      <c r="A130" s="11"/>
      <c r="B130" s="11"/>
    </row>
    <row r="131" spans="1:6" x14ac:dyDescent="0.2">
      <c r="A131" s="11"/>
      <c r="B131" s="11"/>
    </row>
    <row r="132" spans="1:6" x14ac:dyDescent="0.2">
      <c r="A132" s="11"/>
      <c r="B132" s="11"/>
    </row>
    <row r="133" spans="1:6" x14ac:dyDescent="0.2">
      <c r="A133" s="11"/>
      <c r="B133" s="11"/>
    </row>
    <row r="134" spans="1:6" x14ac:dyDescent="0.2">
      <c r="A134" s="11" t="s">
        <v>0</v>
      </c>
      <c r="B134" s="11"/>
    </row>
    <row r="135" spans="1:6" x14ac:dyDescent="0.2">
      <c r="A135" s="11" t="s">
        <v>1</v>
      </c>
      <c r="B135" s="11"/>
    </row>
    <row r="136" spans="1:6" x14ac:dyDescent="0.2">
      <c r="A136" s="5" t="s">
        <v>2</v>
      </c>
      <c r="B136" s="5"/>
      <c r="C136" s="5"/>
      <c r="D136" s="5"/>
      <c r="E136" s="5"/>
      <c r="F136" s="5"/>
    </row>
    <row r="137" spans="1:6" x14ac:dyDescent="0.2">
      <c r="A137" s="12" t="s">
        <v>211</v>
      </c>
      <c r="B137" s="12"/>
      <c r="D137" s="2" t="s">
        <v>37</v>
      </c>
    </row>
    <row r="139" spans="1:6" x14ac:dyDescent="0.2">
      <c r="A139" s="14" t="s">
        <v>3</v>
      </c>
      <c r="B139" s="14" t="s">
        <v>4</v>
      </c>
      <c r="C139" s="14" t="s">
        <v>5</v>
      </c>
      <c r="D139" s="16" t="s">
        <v>6</v>
      </c>
      <c r="E139" s="17"/>
      <c r="F139" s="14" t="s">
        <v>9</v>
      </c>
    </row>
    <row r="140" spans="1:6" x14ac:dyDescent="0.2">
      <c r="A140" s="15"/>
      <c r="B140" s="15"/>
      <c r="C140" s="15"/>
      <c r="D140" s="3" t="s">
        <v>7</v>
      </c>
      <c r="E140" s="3" t="s">
        <v>8</v>
      </c>
      <c r="F140" s="15"/>
    </row>
    <row r="141" spans="1:6" x14ac:dyDescent="0.2">
      <c r="A141" s="18" t="s">
        <v>203</v>
      </c>
      <c r="B141" s="4" t="s">
        <v>206</v>
      </c>
      <c r="C141" s="4"/>
      <c r="D141" s="20">
        <v>0</v>
      </c>
      <c r="E141" s="20">
        <v>0</v>
      </c>
      <c r="F141" s="46">
        <v>0</v>
      </c>
    </row>
    <row r="142" spans="1:6" x14ac:dyDescent="0.2">
      <c r="A142" s="18" t="s">
        <v>228</v>
      </c>
      <c r="B142" s="4" t="s">
        <v>422</v>
      </c>
      <c r="C142" s="4" t="s">
        <v>239</v>
      </c>
      <c r="D142" s="20"/>
      <c r="E142" s="20"/>
      <c r="F142" s="20">
        <f>F141+D142-E142</f>
        <v>0</v>
      </c>
    </row>
    <row r="143" spans="1:6" x14ac:dyDescent="0.2">
      <c r="A143" s="18"/>
      <c r="B143" s="4" t="s">
        <v>423</v>
      </c>
      <c r="C143" s="4" t="s">
        <v>239</v>
      </c>
      <c r="D143" s="20"/>
      <c r="E143" s="20"/>
      <c r="F143" s="20">
        <f t="shared" ref="F143:F176" si="6">F142+D143-E143</f>
        <v>0</v>
      </c>
    </row>
    <row r="144" spans="1:6" x14ac:dyDescent="0.2">
      <c r="A144" s="18"/>
      <c r="B144" s="4" t="s">
        <v>424</v>
      </c>
      <c r="C144" s="4" t="s">
        <v>239</v>
      </c>
      <c r="D144" s="20"/>
      <c r="E144" s="20"/>
      <c r="F144" s="20">
        <f t="shared" si="6"/>
        <v>0</v>
      </c>
    </row>
    <row r="145" spans="1:7" x14ac:dyDescent="0.2">
      <c r="A145" s="37" t="s">
        <v>416</v>
      </c>
      <c r="B145" s="4" t="s">
        <v>422</v>
      </c>
      <c r="C145" s="4" t="s">
        <v>239</v>
      </c>
      <c r="D145" s="20"/>
      <c r="E145" s="20"/>
      <c r="F145" s="20">
        <f t="shared" si="6"/>
        <v>0</v>
      </c>
    </row>
    <row r="146" spans="1:7" x14ac:dyDescent="0.2">
      <c r="A146" s="18"/>
      <c r="B146" s="4" t="s">
        <v>423</v>
      </c>
      <c r="C146" s="4" t="s">
        <v>239</v>
      </c>
      <c r="D146" s="20"/>
      <c r="E146" s="20"/>
      <c r="F146" s="20">
        <f t="shared" si="6"/>
        <v>0</v>
      </c>
    </row>
    <row r="147" spans="1:7" x14ac:dyDescent="0.2">
      <c r="A147" s="18"/>
      <c r="B147" s="4" t="s">
        <v>424</v>
      </c>
      <c r="C147" s="4" t="s">
        <v>239</v>
      </c>
      <c r="D147" s="20"/>
      <c r="E147" s="20"/>
      <c r="F147" s="20">
        <f t="shared" si="6"/>
        <v>0</v>
      </c>
    </row>
    <row r="148" spans="1:7" x14ac:dyDescent="0.2">
      <c r="A148" s="18" t="s">
        <v>527</v>
      </c>
      <c r="B148" s="4" t="s">
        <v>1402</v>
      </c>
      <c r="C148" s="4" t="s">
        <v>187</v>
      </c>
      <c r="D148" s="20"/>
      <c r="E148" s="20"/>
      <c r="F148" s="20">
        <f t="shared" si="6"/>
        <v>0</v>
      </c>
    </row>
    <row r="149" spans="1:7" x14ac:dyDescent="0.2">
      <c r="A149" s="18" t="s">
        <v>269</v>
      </c>
      <c r="B149" s="4" t="s">
        <v>422</v>
      </c>
      <c r="C149" s="4" t="s">
        <v>239</v>
      </c>
      <c r="D149" s="20"/>
      <c r="E149" s="20"/>
      <c r="F149" s="20">
        <f t="shared" si="6"/>
        <v>0</v>
      </c>
    </row>
    <row r="150" spans="1:7" x14ac:dyDescent="0.2">
      <c r="A150" s="18"/>
      <c r="B150" s="4" t="s">
        <v>423</v>
      </c>
      <c r="C150" s="4" t="s">
        <v>239</v>
      </c>
      <c r="D150" s="20"/>
      <c r="E150" s="20"/>
      <c r="F150" s="20">
        <f t="shared" si="6"/>
        <v>0</v>
      </c>
    </row>
    <row r="151" spans="1:7" x14ac:dyDescent="0.2">
      <c r="A151" s="18"/>
      <c r="B151" s="4" t="s">
        <v>424</v>
      </c>
      <c r="C151" s="4" t="s">
        <v>239</v>
      </c>
      <c r="D151" s="20"/>
      <c r="E151" s="20"/>
      <c r="F151" s="20">
        <f t="shared" si="6"/>
        <v>0</v>
      </c>
    </row>
    <row r="152" spans="1:7" x14ac:dyDescent="0.2">
      <c r="A152" s="18" t="s">
        <v>284</v>
      </c>
      <c r="B152" s="4" t="s">
        <v>422</v>
      </c>
      <c r="C152" s="4" t="s">
        <v>239</v>
      </c>
      <c r="D152" s="20"/>
      <c r="E152" s="20"/>
      <c r="F152" s="20">
        <f t="shared" si="6"/>
        <v>0</v>
      </c>
    </row>
    <row r="153" spans="1:7" x14ac:dyDescent="0.2">
      <c r="A153" s="18"/>
      <c r="B153" s="4" t="s">
        <v>423</v>
      </c>
      <c r="C153" s="4" t="s">
        <v>239</v>
      </c>
      <c r="D153" s="20"/>
      <c r="E153" s="20"/>
      <c r="F153" s="20">
        <f t="shared" si="6"/>
        <v>0</v>
      </c>
    </row>
    <row r="154" spans="1:7" x14ac:dyDescent="0.2">
      <c r="A154" s="18"/>
      <c r="B154" s="4" t="s">
        <v>424</v>
      </c>
      <c r="C154" s="4" t="s">
        <v>239</v>
      </c>
      <c r="D154" s="20"/>
      <c r="E154" s="20"/>
      <c r="F154" s="20">
        <f t="shared" si="6"/>
        <v>0</v>
      </c>
    </row>
    <row r="155" spans="1:7" x14ac:dyDescent="0.2">
      <c r="A155" s="18"/>
      <c r="B155" s="4" t="s">
        <v>424</v>
      </c>
      <c r="C155" s="4" t="s">
        <v>239</v>
      </c>
      <c r="D155" s="20"/>
      <c r="E155" s="20"/>
      <c r="F155" s="20">
        <f t="shared" si="6"/>
        <v>0</v>
      </c>
      <c r="G155" s="47"/>
    </row>
    <row r="156" spans="1:7" x14ac:dyDescent="0.2">
      <c r="A156" s="18" t="s">
        <v>290</v>
      </c>
      <c r="B156" s="4" t="s">
        <v>422</v>
      </c>
      <c r="C156" s="4" t="s">
        <v>239</v>
      </c>
      <c r="D156" s="20"/>
      <c r="E156" s="20"/>
      <c r="F156" s="20">
        <f t="shared" si="6"/>
        <v>0</v>
      </c>
    </row>
    <row r="157" spans="1:7" x14ac:dyDescent="0.2">
      <c r="A157" s="18"/>
      <c r="B157" s="4" t="s">
        <v>423</v>
      </c>
      <c r="C157" s="4" t="s">
        <v>239</v>
      </c>
      <c r="D157" s="20"/>
      <c r="E157" s="20"/>
      <c r="F157" s="20">
        <f t="shared" si="6"/>
        <v>0</v>
      </c>
    </row>
    <row r="158" spans="1:7" x14ac:dyDescent="0.2">
      <c r="A158" s="18"/>
      <c r="B158" s="4" t="s">
        <v>424</v>
      </c>
      <c r="C158" s="4" t="s">
        <v>239</v>
      </c>
      <c r="D158" s="20"/>
      <c r="E158" s="20"/>
      <c r="F158" s="20">
        <f t="shared" si="6"/>
        <v>0</v>
      </c>
    </row>
    <row r="159" spans="1:7" x14ac:dyDescent="0.2">
      <c r="A159" s="18" t="s">
        <v>308</v>
      </c>
      <c r="B159" s="4" t="s">
        <v>422</v>
      </c>
      <c r="C159" s="4" t="s">
        <v>239</v>
      </c>
      <c r="D159" s="20"/>
      <c r="E159" s="20"/>
      <c r="F159" s="20">
        <f t="shared" si="6"/>
        <v>0</v>
      </c>
    </row>
    <row r="160" spans="1:7" x14ac:dyDescent="0.2">
      <c r="A160" s="18"/>
      <c r="B160" s="4" t="s">
        <v>423</v>
      </c>
      <c r="C160" s="4" t="s">
        <v>239</v>
      </c>
      <c r="D160" s="20"/>
      <c r="E160" s="20"/>
      <c r="F160" s="20">
        <f t="shared" si="6"/>
        <v>0</v>
      </c>
    </row>
    <row r="161" spans="1:6" x14ac:dyDescent="0.2">
      <c r="A161" s="18"/>
      <c r="B161" s="4" t="s">
        <v>424</v>
      </c>
      <c r="C161" s="4" t="s">
        <v>239</v>
      </c>
      <c r="D161" s="20"/>
      <c r="E161" s="20"/>
      <c r="F161" s="20">
        <f t="shared" si="6"/>
        <v>0</v>
      </c>
    </row>
    <row r="162" spans="1:6" x14ac:dyDescent="0.2">
      <c r="A162" s="18" t="s">
        <v>925</v>
      </c>
      <c r="B162" s="4" t="s">
        <v>406</v>
      </c>
      <c r="C162" s="4" t="s">
        <v>187</v>
      </c>
      <c r="D162" s="20"/>
      <c r="E162" s="20"/>
      <c r="F162" s="20">
        <f t="shared" si="6"/>
        <v>0</v>
      </c>
    </row>
    <row r="163" spans="1:6" x14ac:dyDescent="0.2">
      <c r="A163" s="18" t="s">
        <v>322</v>
      </c>
      <c r="B163" s="4" t="s">
        <v>422</v>
      </c>
      <c r="C163" s="4" t="s">
        <v>239</v>
      </c>
      <c r="D163" s="20"/>
      <c r="E163" s="20"/>
      <c r="F163" s="20">
        <f t="shared" si="6"/>
        <v>0</v>
      </c>
    </row>
    <row r="164" spans="1:6" x14ac:dyDescent="0.2">
      <c r="A164" s="18"/>
      <c r="B164" s="4" t="s">
        <v>423</v>
      </c>
      <c r="C164" s="4" t="s">
        <v>239</v>
      </c>
      <c r="D164" s="20"/>
      <c r="E164" s="20"/>
      <c r="F164" s="20">
        <f t="shared" si="6"/>
        <v>0</v>
      </c>
    </row>
    <row r="165" spans="1:6" x14ac:dyDescent="0.2">
      <c r="A165" s="18"/>
      <c r="B165" s="4" t="s">
        <v>424</v>
      </c>
      <c r="C165" s="4" t="s">
        <v>239</v>
      </c>
      <c r="D165" s="20"/>
      <c r="E165" s="20"/>
      <c r="F165" s="20">
        <f t="shared" si="6"/>
        <v>0</v>
      </c>
    </row>
    <row r="166" spans="1:6" x14ac:dyDescent="0.2">
      <c r="A166" s="18" t="s">
        <v>335</v>
      </c>
      <c r="B166" s="4" t="s">
        <v>422</v>
      </c>
      <c r="C166" s="4" t="s">
        <v>239</v>
      </c>
      <c r="D166" s="20"/>
      <c r="E166" s="20"/>
      <c r="F166" s="20">
        <f t="shared" si="6"/>
        <v>0</v>
      </c>
    </row>
    <row r="167" spans="1:6" x14ac:dyDescent="0.2">
      <c r="A167" s="18"/>
      <c r="B167" s="4" t="s">
        <v>423</v>
      </c>
      <c r="C167" s="4" t="s">
        <v>239</v>
      </c>
      <c r="D167" s="20"/>
      <c r="E167" s="20"/>
      <c r="F167" s="20">
        <f t="shared" si="6"/>
        <v>0</v>
      </c>
    </row>
    <row r="168" spans="1:6" x14ac:dyDescent="0.2">
      <c r="A168" s="18"/>
      <c r="B168" s="4" t="s">
        <v>424</v>
      </c>
      <c r="C168" s="4" t="s">
        <v>239</v>
      </c>
      <c r="D168" s="20"/>
      <c r="E168" s="20"/>
      <c r="F168" s="20">
        <f t="shared" si="6"/>
        <v>0</v>
      </c>
    </row>
    <row r="169" spans="1:6" x14ac:dyDescent="0.2">
      <c r="A169" s="18" t="s">
        <v>357</v>
      </c>
      <c r="B169" s="4" t="s">
        <v>422</v>
      </c>
      <c r="C169" s="4" t="s">
        <v>239</v>
      </c>
      <c r="D169" s="20"/>
      <c r="E169" s="20"/>
      <c r="F169" s="20">
        <f t="shared" si="6"/>
        <v>0</v>
      </c>
    </row>
    <row r="170" spans="1:6" x14ac:dyDescent="0.2">
      <c r="A170" s="18"/>
      <c r="B170" s="4" t="s">
        <v>423</v>
      </c>
      <c r="C170" s="4" t="s">
        <v>239</v>
      </c>
      <c r="D170" s="20"/>
      <c r="E170" s="20"/>
      <c r="F170" s="20">
        <f t="shared" si="6"/>
        <v>0</v>
      </c>
    </row>
    <row r="171" spans="1:6" x14ac:dyDescent="0.2">
      <c r="A171" s="18"/>
      <c r="B171" s="4" t="s">
        <v>424</v>
      </c>
      <c r="C171" s="4" t="s">
        <v>239</v>
      </c>
      <c r="D171" s="20"/>
      <c r="E171" s="20"/>
      <c r="F171" s="20">
        <f t="shared" si="6"/>
        <v>0</v>
      </c>
    </row>
    <row r="172" spans="1:6" x14ac:dyDescent="0.2">
      <c r="A172" s="18" t="s">
        <v>376</v>
      </c>
      <c r="B172" s="4" t="s">
        <v>524</v>
      </c>
      <c r="C172" s="4" t="s">
        <v>200</v>
      </c>
      <c r="D172" s="20"/>
      <c r="E172" s="20"/>
      <c r="F172" s="20">
        <f t="shared" si="6"/>
        <v>0</v>
      </c>
    </row>
    <row r="173" spans="1:6" x14ac:dyDescent="0.2">
      <c r="A173" s="18" t="s">
        <v>376</v>
      </c>
      <c r="B173" s="4" t="s">
        <v>422</v>
      </c>
      <c r="C173" s="4" t="s">
        <v>239</v>
      </c>
      <c r="D173" s="20"/>
      <c r="E173" s="20"/>
      <c r="F173" s="20">
        <f t="shared" si="6"/>
        <v>0</v>
      </c>
    </row>
    <row r="174" spans="1:6" x14ac:dyDescent="0.2">
      <c r="A174" s="18"/>
      <c r="B174" s="4" t="s">
        <v>423</v>
      </c>
      <c r="C174" s="4" t="s">
        <v>239</v>
      </c>
      <c r="D174" s="20"/>
      <c r="E174" s="20"/>
      <c r="F174" s="20">
        <f t="shared" si="6"/>
        <v>0</v>
      </c>
    </row>
    <row r="175" spans="1:6" x14ac:dyDescent="0.2">
      <c r="A175" s="18"/>
      <c r="B175" s="4" t="s">
        <v>424</v>
      </c>
      <c r="C175" s="4" t="s">
        <v>239</v>
      </c>
      <c r="D175" s="20"/>
      <c r="E175" s="20"/>
      <c r="F175" s="20">
        <f t="shared" si="6"/>
        <v>0</v>
      </c>
    </row>
    <row r="176" spans="1:6" x14ac:dyDescent="0.2">
      <c r="A176" s="18" t="s">
        <v>390</v>
      </c>
      <c r="B176" s="4" t="s">
        <v>422</v>
      </c>
      <c r="C176" s="4" t="s">
        <v>239</v>
      </c>
      <c r="D176" s="20"/>
      <c r="E176" s="20"/>
      <c r="F176" s="20">
        <f t="shared" si="6"/>
        <v>0</v>
      </c>
    </row>
    <row r="177" spans="1:7" x14ac:dyDescent="0.2">
      <c r="A177" s="18"/>
      <c r="B177" s="4" t="s">
        <v>423</v>
      </c>
      <c r="C177" s="4" t="s">
        <v>239</v>
      </c>
      <c r="D177" s="20"/>
      <c r="E177" s="20"/>
      <c r="F177" s="20">
        <f t="shared" ref="F177:F184" si="7">F176+D177-E177</f>
        <v>0</v>
      </c>
    </row>
    <row r="178" spans="1:7" x14ac:dyDescent="0.2">
      <c r="A178" s="18"/>
      <c r="B178" s="4" t="s">
        <v>424</v>
      </c>
      <c r="C178" s="4" t="s">
        <v>239</v>
      </c>
      <c r="D178" s="20"/>
      <c r="E178" s="20"/>
      <c r="F178" s="20">
        <f t="shared" si="7"/>
        <v>0</v>
      </c>
    </row>
    <row r="179" spans="1:7" x14ac:dyDescent="0.2">
      <c r="A179" s="18" t="str">
        <f>A180</f>
        <v>31 Des</v>
      </c>
      <c r="B179" s="4" t="s">
        <v>406</v>
      </c>
      <c r="C179" s="4" t="s">
        <v>187</v>
      </c>
      <c r="D179" s="20"/>
      <c r="E179" s="20"/>
      <c r="F179" s="20">
        <f t="shared" si="7"/>
        <v>0</v>
      </c>
    </row>
    <row r="180" spans="1:7" x14ac:dyDescent="0.2">
      <c r="A180" s="18" t="s">
        <v>449</v>
      </c>
      <c r="B180" s="4" t="s">
        <v>422</v>
      </c>
      <c r="C180" s="4" t="s">
        <v>239</v>
      </c>
      <c r="D180" s="20"/>
      <c r="E180" s="20"/>
      <c r="F180" s="20">
        <f t="shared" si="7"/>
        <v>0</v>
      </c>
    </row>
    <row r="181" spans="1:7" x14ac:dyDescent="0.2">
      <c r="A181" s="18"/>
      <c r="B181" s="4" t="s">
        <v>423</v>
      </c>
      <c r="C181" s="4" t="s">
        <v>239</v>
      </c>
      <c r="D181" s="20"/>
      <c r="E181" s="20"/>
      <c r="F181" s="20">
        <f t="shared" si="7"/>
        <v>0</v>
      </c>
    </row>
    <row r="182" spans="1:7" x14ac:dyDescent="0.2">
      <c r="A182" s="18"/>
      <c r="B182" s="4" t="s">
        <v>424</v>
      </c>
      <c r="C182" s="4" t="s">
        <v>239</v>
      </c>
      <c r="D182" s="20"/>
      <c r="E182" s="20"/>
      <c r="F182" s="20">
        <f t="shared" si="7"/>
        <v>0</v>
      </c>
    </row>
    <row r="183" spans="1:7" x14ac:dyDescent="0.2">
      <c r="A183" s="18"/>
      <c r="B183" s="4"/>
      <c r="C183" s="4"/>
      <c r="D183" s="20"/>
      <c r="E183" s="20"/>
      <c r="F183" s="20">
        <f t="shared" si="7"/>
        <v>0</v>
      </c>
    </row>
    <row r="184" spans="1:7" x14ac:dyDescent="0.2">
      <c r="A184" s="18"/>
      <c r="B184" s="4"/>
      <c r="C184" s="4"/>
      <c r="D184" s="20"/>
      <c r="E184" s="20"/>
      <c r="F184" s="20">
        <f t="shared" si="7"/>
        <v>0</v>
      </c>
    </row>
    <row r="185" spans="1:7" x14ac:dyDescent="0.2">
      <c r="A185" s="4"/>
      <c r="B185" s="4"/>
      <c r="C185" s="4"/>
      <c r="D185" s="20"/>
      <c r="E185" s="20"/>
      <c r="F185" s="20"/>
    </row>
    <row r="186" spans="1:7" x14ac:dyDescent="0.2">
      <c r="A186" s="105" t="s">
        <v>10</v>
      </c>
      <c r="B186" s="112"/>
      <c r="C186" s="106"/>
      <c r="D186" s="20">
        <f>SUM(D141:D185)</f>
        <v>0</v>
      </c>
      <c r="E186" s="20">
        <f>SUM(E141:E185)</f>
        <v>0</v>
      </c>
      <c r="F186" s="20">
        <f>D186-E186</f>
        <v>0</v>
      </c>
    </row>
    <row r="187" spans="1:7" x14ac:dyDescent="0.2">
      <c r="A187" s="105" t="s">
        <v>11</v>
      </c>
      <c r="B187" s="112"/>
      <c r="C187" s="106"/>
      <c r="D187" s="20">
        <f>F141</f>
        <v>0</v>
      </c>
      <c r="E187" s="20"/>
      <c r="F187" s="20">
        <f>D187-E187</f>
        <v>0</v>
      </c>
    </row>
    <row r="188" spans="1:7" x14ac:dyDescent="0.2">
      <c r="A188" s="105" t="s">
        <v>10</v>
      </c>
      <c r="B188" s="112"/>
      <c r="C188" s="106"/>
      <c r="D188" s="20">
        <f>SUM(D186:D187)</f>
        <v>0</v>
      </c>
      <c r="E188" s="20">
        <f>SUM(E186:E187)</f>
        <v>0</v>
      </c>
      <c r="F188" s="20">
        <f>SUM(F186:F187)</f>
        <v>0</v>
      </c>
    </row>
    <row r="189" spans="1:7" x14ac:dyDescent="0.2">
      <c r="A189" s="5"/>
      <c r="B189" s="5"/>
      <c r="C189" s="5"/>
    </row>
    <row r="190" spans="1:7" x14ac:dyDescent="0.2">
      <c r="G190" s="31"/>
    </row>
    <row r="191" spans="1:7" x14ac:dyDescent="0.2">
      <c r="G191" s="47"/>
    </row>
    <row r="192" spans="1:7" x14ac:dyDescent="0.2">
      <c r="G192" s="31"/>
    </row>
    <row r="193" spans="1:7" x14ac:dyDescent="0.2">
      <c r="G193" s="31"/>
    </row>
    <row r="194" spans="1:7" x14ac:dyDescent="0.2">
      <c r="G194" s="31"/>
    </row>
    <row r="195" spans="1:7" x14ac:dyDescent="0.2">
      <c r="A195" s="11" t="s">
        <v>0</v>
      </c>
      <c r="B195" s="11"/>
      <c r="G195" s="31"/>
    </row>
    <row r="196" spans="1:7" x14ac:dyDescent="0.2">
      <c r="A196" s="11" t="s">
        <v>1</v>
      </c>
      <c r="B196" s="11"/>
      <c r="G196" s="31"/>
    </row>
    <row r="197" spans="1:7" x14ac:dyDescent="0.2">
      <c r="A197" s="5" t="s">
        <v>2</v>
      </c>
      <c r="B197" s="5"/>
      <c r="C197" s="5"/>
      <c r="D197" s="5"/>
      <c r="E197" s="5"/>
      <c r="F197" s="5"/>
      <c r="G197" s="31"/>
    </row>
    <row r="198" spans="1:7" x14ac:dyDescent="0.2">
      <c r="A198" s="12" t="s">
        <v>552</v>
      </c>
      <c r="B198" s="12"/>
      <c r="D198" s="2" t="s">
        <v>37</v>
      </c>
      <c r="G198" s="31"/>
    </row>
    <row r="199" spans="1:7" x14ac:dyDescent="0.2">
      <c r="G199" s="31"/>
    </row>
    <row r="200" spans="1:7" x14ac:dyDescent="0.2">
      <c r="A200" s="14" t="s">
        <v>3</v>
      </c>
      <c r="B200" s="14" t="s">
        <v>4</v>
      </c>
      <c r="C200" s="14" t="s">
        <v>5</v>
      </c>
      <c r="D200" s="16" t="s">
        <v>6</v>
      </c>
      <c r="E200" s="17"/>
      <c r="F200" s="14" t="s">
        <v>9</v>
      </c>
      <c r="G200" s="31"/>
    </row>
    <row r="201" spans="1:7" x14ac:dyDescent="0.2">
      <c r="A201" s="15"/>
      <c r="B201" s="15"/>
      <c r="C201" s="15"/>
      <c r="D201" s="3" t="s">
        <v>7</v>
      </c>
      <c r="E201" s="3" t="s">
        <v>8</v>
      </c>
      <c r="F201" s="15"/>
      <c r="G201" s="31"/>
    </row>
    <row r="202" spans="1:7" x14ac:dyDescent="0.2">
      <c r="A202" s="18" t="s">
        <v>203</v>
      </c>
      <c r="B202" s="4" t="s">
        <v>206</v>
      </c>
      <c r="C202" s="4"/>
      <c r="D202" s="20">
        <v>0</v>
      </c>
      <c r="E202" s="20">
        <v>0</v>
      </c>
      <c r="F202" s="46">
        <v>0</v>
      </c>
      <c r="G202" s="31"/>
    </row>
    <row r="203" spans="1:7" x14ac:dyDescent="0.2">
      <c r="A203" s="18" t="s">
        <v>228</v>
      </c>
      <c r="B203" s="4" t="s">
        <v>553</v>
      </c>
      <c r="C203" s="4" t="s">
        <v>239</v>
      </c>
      <c r="D203" s="20"/>
      <c r="E203" s="20"/>
      <c r="F203" s="20">
        <f>F202+D203-E203</f>
        <v>0</v>
      </c>
      <c r="G203" s="31"/>
    </row>
    <row r="204" spans="1:7" x14ac:dyDescent="0.2">
      <c r="A204" s="18"/>
      <c r="B204" s="4" t="s">
        <v>554</v>
      </c>
      <c r="C204" s="4" t="s">
        <v>239</v>
      </c>
      <c r="D204" s="20"/>
      <c r="E204" s="20"/>
      <c r="F204" s="20">
        <f t="shared" ref="F204:F213" si="8">F203+D204-E204</f>
        <v>0</v>
      </c>
      <c r="G204" s="31"/>
    </row>
    <row r="205" spans="1:7" x14ac:dyDescent="0.2">
      <c r="A205" s="18"/>
      <c r="B205" s="4" t="s">
        <v>572</v>
      </c>
      <c r="C205" s="4" t="s">
        <v>239</v>
      </c>
      <c r="D205" s="20"/>
      <c r="E205" s="20"/>
      <c r="F205" s="20">
        <f t="shared" si="8"/>
        <v>0</v>
      </c>
      <c r="G205" s="31"/>
    </row>
    <row r="206" spans="1:7" x14ac:dyDescent="0.2">
      <c r="A206" s="37" t="s">
        <v>416</v>
      </c>
      <c r="B206" s="4" t="s">
        <v>553</v>
      </c>
      <c r="C206" s="4" t="s">
        <v>239</v>
      </c>
      <c r="D206" s="20"/>
      <c r="E206" s="20"/>
      <c r="F206" s="20">
        <f t="shared" si="8"/>
        <v>0</v>
      </c>
      <c r="G206" s="31"/>
    </row>
    <row r="207" spans="1:7" x14ac:dyDescent="0.2">
      <c r="A207" s="18"/>
      <c r="B207" s="4" t="s">
        <v>554</v>
      </c>
      <c r="C207" s="4" t="s">
        <v>239</v>
      </c>
      <c r="D207" s="20"/>
      <c r="E207" s="20"/>
      <c r="F207" s="20">
        <f t="shared" si="8"/>
        <v>0</v>
      </c>
      <c r="G207" s="31"/>
    </row>
    <row r="208" spans="1:7" x14ac:dyDescent="0.2">
      <c r="A208" s="18"/>
      <c r="B208" s="4" t="s">
        <v>572</v>
      </c>
      <c r="C208" s="4" t="s">
        <v>239</v>
      </c>
      <c r="D208" s="20"/>
      <c r="E208" s="20"/>
      <c r="F208" s="20">
        <f t="shared" si="8"/>
        <v>0</v>
      </c>
      <c r="G208" s="31"/>
    </row>
    <row r="209" spans="1:7" x14ac:dyDescent="0.2">
      <c r="A209" s="18" t="s">
        <v>269</v>
      </c>
      <c r="B209" s="4" t="s">
        <v>553</v>
      </c>
      <c r="C209" s="4" t="s">
        <v>239</v>
      </c>
      <c r="D209" s="20"/>
      <c r="E209" s="20"/>
      <c r="F209" s="20">
        <f t="shared" si="8"/>
        <v>0</v>
      </c>
      <c r="G209" s="31"/>
    </row>
    <row r="210" spans="1:7" x14ac:dyDescent="0.2">
      <c r="A210" s="18"/>
      <c r="B210" s="4" t="s">
        <v>554</v>
      </c>
      <c r="C210" s="4" t="s">
        <v>239</v>
      </c>
      <c r="D210" s="20"/>
      <c r="E210" s="20"/>
      <c r="F210" s="20">
        <f t="shared" si="8"/>
        <v>0</v>
      </c>
      <c r="G210" s="31"/>
    </row>
    <row r="211" spans="1:7" x14ac:dyDescent="0.2">
      <c r="A211" s="18"/>
      <c r="B211" s="4" t="s">
        <v>572</v>
      </c>
      <c r="C211" s="4" t="s">
        <v>239</v>
      </c>
      <c r="D211" s="20"/>
      <c r="E211" s="20"/>
      <c r="F211" s="20">
        <f t="shared" si="8"/>
        <v>0</v>
      </c>
      <c r="G211" s="31"/>
    </row>
    <row r="212" spans="1:7" x14ac:dyDescent="0.2">
      <c r="A212" s="18" t="s">
        <v>284</v>
      </c>
      <c r="B212" s="4" t="s">
        <v>553</v>
      </c>
      <c r="C212" s="4" t="s">
        <v>239</v>
      </c>
      <c r="D212" s="20"/>
      <c r="E212" s="20"/>
      <c r="F212" s="20">
        <f t="shared" si="8"/>
        <v>0</v>
      </c>
      <c r="G212" s="31"/>
    </row>
    <row r="213" spans="1:7" x14ac:dyDescent="0.2">
      <c r="A213" s="18"/>
      <c r="B213" s="4" t="s">
        <v>554</v>
      </c>
      <c r="C213" s="4" t="s">
        <v>239</v>
      </c>
      <c r="D213" s="20"/>
      <c r="E213" s="20"/>
      <c r="F213" s="20">
        <f t="shared" si="8"/>
        <v>0</v>
      </c>
      <c r="G213" s="31"/>
    </row>
    <row r="214" spans="1:7" x14ac:dyDescent="0.2">
      <c r="A214" s="18"/>
      <c r="B214" s="4" t="s">
        <v>572</v>
      </c>
      <c r="C214" s="4" t="s">
        <v>239</v>
      </c>
      <c r="D214" s="20"/>
      <c r="E214" s="20"/>
      <c r="F214" s="20">
        <f t="shared" ref="F214" si="9">F213+D214-E214</f>
        <v>0</v>
      </c>
      <c r="G214" s="31"/>
    </row>
    <row r="215" spans="1:7" x14ac:dyDescent="0.2">
      <c r="A215" s="18" t="s">
        <v>290</v>
      </c>
      <c r="B215" s="4" t="s">
        <v>554</v>
      </c>
      <c r="C215" s="4" t="s">
        <v>239</v>
      </c>
      <c r="D215" s="20"/>
      <c r="E215" s="20"/>
      <c r="F215" s="20">
        <f t="shared" ref="F215:F217" si="10">F214+D215-E215</f>
        <v>0</v>
      </c>
      <c r="G215" s="31"/>
    </row>
    <row r="216" spans="1:7" x14ac:dyDescent="0.2">
      <c r="A216" s="18"/>
      <c r="B216" s="4" t="s">
        <v>572</v>
      </c>
      <c r="C216" s="4" t="s">
        <v>239</v>
      </c>
      <c r="D216" s="20"/>
      <c r="E216" s="20"/>
      <c r="F216" s="20">
        <f t="shared" si="10"/>
        <v>0</v>
      </c>
      <c r="G216" s="31"/>
    </row>
    <row r="217" spans="1:7" x14ac:dyDescent="0.2">
      <c r="A217" s="18" t="s">
        <v>290</v>
      </c>
      <c r="B217" s="4" t="s">
        <v>553</v>
      </c>
      <c r="C217" s="4" t="s">
        <v>239</v>
      </c>
      <c r="D217" s="20"/>
      <c r="E217" s="20"/>
      <c r="F217" s="20">
        <f t="shared" si="10"/>
        <v>0</v>
      </c>
      <c r="G217" s="31"/>
    </row>
    <row r="218" spans="1:7" x14ac:dyDescent="0.2">
      <c r="A218" s="18"/>
      <c r="B218" s="4" t="s">
        <v>554</v>
      </c>
      <c r="C218" s="4" t="s">
        <v>239</v>
      </c>
      <c r="D218" s="20"/>
      <c r="E218" s="20"/>
      <c r="F218" s="20">
        <f t="shared" ref="F218:F226" si="11">F217+D218-E218</f>
        <v>0</v>
      </c>
      <c r="G218" s="31"/>
    </row>
    <row r="219" spans="1:7" x14ac:dyDescent="0.2">
      <c r="A219" s="18"/>
      <c r="B219" s="4" t="s">
        <v>572</v>
      </c>
      <c r="C219" s="4" t="s">
        <v>239</v>
      </c>
      <c r="D219" s="20"/>
      <c r="E219" s="20"/>
      <c r="F219" s="20">
        <f t="shared" si="11"/>
        <v>0</v>
      </c>
      <c r="G219" s="31"/>
    </row>
    <row r="220" spans="1:7" x14ac:dyDescent="0.2">
      <c r="A220" s="18" t="s">
        <v>308</v>
      </c>
      <c r="B220" s="4" t="s">
        <v>553</v>
      </c>
      <c r="C220" s="4" t="s">
        <v>239</v>
      </c>
      <c r="D220" s="20"/>
      <c r="E220" s="20"/>
      <c r="F220" s="20">
        <f t="shared" si="11"/>
        <v>0</v>
      </c>
      <c r="G220" s="31"/>
    </row>
    <row r="221" spans="1:7" x14ac:dyDescent="0.2">
      <c r="A221" s="18"/>
      <c r="B221" s="4" t="s">
        <v>554</v>
      </c>
      <c r="C221" s="4" t="s">
        <v>239</v>
      </c>
      <c r="D221" s="20"/>
      <c r="E221" s="20"/>
      <c r="F221" s="20">
        <f t="shared" si="11"/>
        <v>0</v>
      </c>
      <c r="G221" s="31"/>
    </row>
    <row r="222" spans="1:7" x14ac:dyDescent="0.2">
      <c r="A222" s="18"/>
      <c r="B222" s="4" t="s">
        <v>572</v>
      </c>
      <c r="C222" s="4" t="s">
        <v>239</v>
      </c>
      <c r="D222" s="20"/>
      <c r="E222" s="20"/>
      <c r="F222" s="20">
        <f t="shared" si="11"/>
        <v>0</v>
      </c>
      <c r="G222" s="31"/>
    </row>
    <row r="223" spans="1:7" x14ac:dyDescent="0.2">
      <c r="A223" s="18" t="s">
        <v>925</v>
      </c>
      <c r="B223" s="4" t="s">
        <v>752</v>
      </c>
      <c r="C223" s="4" t="s">
        <v>187</v>
      </c>
      <c r="D223" s="20"/>
      <c r="E223" s="20"/>
      <c r="F223" s="20">
        <f t="shared" si="11"/>
        <v>0</v>
      </c>
      <c r="G223" s="31"/>
    </row>
    <row r="224" spans="1:7" x14ac:dyDescent="0.2">
      <c r="A224" s="18" t="s">
        <v>322</v>
      </c>
      <c r="B224" s="4" t="s">
        <v>553</v>
      </c>
      <c r="C224" s="4" t="s">
        <v>239</v>
      </c>
      <c r="D224" s="20"/>
      <c r="E224" s="20"/>
      <c r="F224" s="20">
        <f t="shared" si="11"/>
        <v>0</v>
      </c>
      <c r="G224" s="31"/>
    </row>
    <row r="225" spans="1:7" x14ac:dyDescent="0.2">
      <c r="A225" s="18"/>
      <c r="B225" s="4" t="s">
        <v>554</v>
      </c>
      <c r="C225" s="4" t="s">
        <v>239</v>
      </c>
      <c r="D225" s="20"/>
      <c r="E225" s="20"/>
      <c r="F225" s="20">
        <f t="shared" si="11"/>
        <v>0</v>
      </c>
      <c r="G225" s="31"/>
    </row>
    <row r="226" spans="1:7" x14ac:dyDescent="0.2">
      <c r="A226" s="18"/>
      <c r="B226" s="4" t="s">
        <v>572</v>
      </c>
      <c r="C226" s="4" t="s">
        <v>239</v>
      </c>
      <c r="D226" s="20"/>
      <c r="E226" s="20"/>
      <c r="F226" s="20">
        <f t="shared" si="11"/>
        <v>0</v>
      </c>
      <c r="G226" s="31"/>
    </row>
    <row r="227" spans="1:7" x14ac:dyDescent="0.2">
      <c r="A227" s="18" t="s">
        <v>444</v>
      </c>
      <c r="B227" s="4" t="s">
        <v>553</v>
      </c>
      <c r="C227" s="4" t="s">
        <v>239</v>
      </c>
      <c r="D227" s="20"/>
      <c r="E227" s="20"/>
      <c r="F227" s="20">
        <f t="shared" ref="F227:F228" si="12">F226+D227-E227</f>
        <v>0</v>
      </c>
      <c r="G227" s="31"/>
    </row>
    <row r="228" spans="1:7" x14ac:dyDescent="0.2">
      <c r="A228" s="18"/>
      <c r="B228" s="4" t="s">
        <v>554</v>
      </c>
      <c r="C228" s="4" t="s">
        <v>239</v>
      </c>
      <c r="D228" s="20"/>
      <c r="E228" s="20"/>
      <c r="F228" s="20">
        <f t="shared" si="12"/>
        <v>0</v>
      </c>
      <c r="G228" s="31"/>
    </row>
    <row r="229" spans="1:7" x14ac:dyDescent="0.2">
      <c r="A229" s="18"/>
      <c r="B229" s="4" t="s">
        <v>572</v>
      </c>
      <c r="C229" s="4" t="s">
        <v>239</v>
      </c>
      <c r="D229" s="20"/>
      <c r="E229" s="20"/>
      <c r="F229" s="20">
        <f t="shared" ref="F229:F244" si="13">F228+D229-E229</f>
        <v>0</v>
      </c>
      <c r="G229" s="31"/>
    </row>
    <row r="230" spans="1:7" x14ac:dyDescent="0.2">
      <c r="A230" s="18" t="s">
        <v>447</v>
      </c>
      <c r="B230" s="4" t="s">
        <v>553</v>
      </c>
      <c r="C230" s="4" t="s">
        <v>239</v>
      </c>
      <c r="D230" s="20"/>
      <c r="E230" s="20"/>
      <c r="F230" s="20">
        <f t="shared" si="13"/>
        <v>0</v>
      </c>
      <c r="G230" s="31"/>
    </row>
    <row r="231" spans="1:7" x14ac:dyDescent="0.2">
      <c r="A231" s="18"/>
      <c r="B231" s="4" t="s">
        <v>554</v>
      </c>
      <c r="C231" s="4" t="s">
        <v>239</v>
      </c>
      <c r="D231" s="20"/>
      <c r="E231" s="20"/>
      <c r="F231" s="20">
        <f t="shared" si="13"/>
        <v>0</v>
      </c>
      <c r="G231" s="31"/>
    </row>
    <row r="232" spans="1:7" x14ac:dyDescent="0.2">
      <c r="A232" s="18"/>
      <c r="B232" s="4" t="s">
        <v>572</v>
      </c>
      <c r="C232" s="4" t="s">
        <v>239</v>
      </c>
      <c r="D232" s="20"/>
      <c r="E232" s="20"/>
      <c r="F232" s="20">
        <f t="shared" si="13"/>
        <v>0</v>
      </c>
      <c r="G232" s="31"/>
    </row>
    <row r="233" spans="1:7" x14ac:dyDescent="0.2">
      <c r="A233" s="18" t="s">
        <v>376</v>
      </c>
      <c r="B233" s="4" t="s">
        <v>752</v>
      </c>
      <c r="C233" s="4" t="s">
        <v>200</v>
      </c>
      <c r="D233" s="20"/>
      <c r="E233" s="20"/>
      <c r="F233" s="20">
        <f t="shared" si="13"/>
        <v>0</v>
      </c>
      <c r="G233" s="31"/>
    </row>
    <row r="234" spans="1:7" x14ac:dyDescent="0.2">
      <c r="A234" s="18" t="s">
        <v>376</v>
      </c>
      <c r="B234" s="4" t="s">
        <v>553</v>
      </c>
      <c r="C234" s="4" t="s">
        <v>239</v>
      </c>
      <c r="D234" s="20"/>
      <c r="E234" s="20"/>
      <c r="F234" s="20">
        <f t="shared" si="13"/>
        <v>0</v>
      </c>
      <c r="G234" s="31"/>
    </row>
    <row r="235" spans="1:7" x14ac:dyDescent="0.2">
      <c r="A235" s="18"/>
      <c r="B235" s="4" t="s">
        <v>554</v>
      </c>
      <c r="C235" s="4" t="s">
        <v>239</v>
      </c>
      <c r="D235" s="20"/>
      <c r="E235" s="20"/>
      <c r="F235" s="20">
        <f t="shared" si="13"/>
        <v>0</v>
      </c>
      <c r="G235" s="31"/>
    </row>
    <row r="236" spans="1:7" x14ac:dyDescent="0.2">
      <c r="A236" s="18"/>
      <c r="B236" s="4" t="s">
        <v>572</v>
      </c>
      <c r="C236" s="4" t="s">
        <v>239</v>
      </c>
      <c r="D236" s="20"/>
      <c r="E236" s="20"/>
      <c r="F236" s="20">
        <f t="shared" si="13"/>
        <v>0</v>
      </c>
      <c r="G236" s="31"/>
    </row>
    <row r="237" spans="1:7" x14ac:dyDescent="0.2">
      <c r="A237" s="18" t="s">
        <v>390</v>
      </c>
      <c r="B237" s="4" t="s">
        <v>553</v>
      </c>
      <c r="C237" s="4" t="s">
        <v>239</v>
      </c>
      <c r="D237" s="20"/>
      <c r="E237" s="20"/>
      <c r="F237" s="20">
        <f t="shared" si="13"/>
        <v>0</v>
      </c>
      <c r="G237" s="31"/>
    </row>
    <row r="238" spans="1:7" x14ac:dyDescent="0.2">
      <c r="A238" s="18"/>
      <c r="B238" s="4" t="s">
        <v>554</v>
      </c>
      <c r="C238" s="4" t="s">
        <v>239</v>
      </c>
      <c r="D238" s="20"/>
      <c r="E238" s="20"/>
      <c r="F238" s="20">
        <f t="shared" si="13"/>
        <v>0</v>
      </c>
      <c r="G238" s="31"/>
    </row>
    <row r="239" spans="1:7" x14ac:dyDescent="0.2">
      <c r="A239" s="18"/>
      <c r="B239" s="4" t="s">
        <v>572</v>
      </c>
      <c r="C239" s="4" t="s">
        <v>239</v>
      </c>
      <c r="D239" s="20"/>
      <c r="E239" s="20"/>
      <c r="F239" s="20">
        <f t="shared" si="13"/>
        <v>0</v>
      </c>
      <c r="G239" s="31"/>
    </row>
    <row r="240" spans="1:7" x14ac:dyDescent="0.2">
      <c r="A240" s="18" t="str">
        <f>A241</f>
        <v>31 Des</v>
      </c>
      <c r="B240" s="4" t="s">
        <v>752</v>
      </c>
      <c r="C240" s="4" t="s">
        <v>187</v>
      </c>
      <c r="D240" s="20"/>
      <c r="E240" s="20"/>
      <c r="F240" s="20">
        <f t="shared" si="13"/>
        <v>0</v>
      </c>
      <c r="G240" s="31"/>
    </row>
    <row r="241" spans="1:7" x14ac:dyDescent="0.2">
      <c r="A241" s="18" t="s">
        <v>449</v>
      </c>
      <c r="B241" s="4" t="s">
        <v>553</v>
      </c>
      <c r="C241" s="4" t="s">
        <v>239</v>
      </c>
      <c r="D241" s="20"/>
      <c r="E241" s="20"/>
      <c r="F241" s="20">
        <f t="shared" si="13"/>
        <v>0</v>
      </c>
      <c r="G241" s="31"/>
    </row>
    <row r="242" spans="1:7" x14ac:dyDescent="0.2">
      <c r="A242" s="18"/>
      <c r="B242" s="4" t="s">
        <v>554</v>
      </c>
      <c r="C242" s="4" t="s">
        <v>239</v>
      </c>
      <c r="D242" s="20"/>
      <c r="E242" s="20"/>
      <c r="F242" s="20">
        <f t="shared" si="13"/>
        <v>0</v>
      </c>
      <c r="G242" s="31"/>
    </row>
    <row r="243" spans="1:7" x14ac:dyDescent="0.2">
      <c r="A243" s="18"/>
      <c r="B243" s="4" t="s">
        <v>572</v>
      </c>
      <c r="C243" s="4" t="s">
        <v>239</v>
      </c>
      <c r="D243" s="20"/>
      <c r="E243" s="20"/>
      <c r="F243" s="20">
        <f t="shared" si="13"/>
        <v>0</v>
      </c>
      <c r="G243" s="31"/>
    </row>
    <row r="244" spans="1:7" x14ac:dyDescent="0.2">
      <c r="A244" s="4"/>
      <c r="B244" s="4"/>
      <c r="C244" s="4"/>
      <c r="D244" s="20"/>
      <c r="E244" s="20"/>
      <c r="F244" s="20">
        <f t="shared" si="13"/>
        <v>0</v>
      </c>
      <c r="G244" s="31"/>
    </row>
    <row r="245" spans="1:7" x14ac:dyDescent="0.2">
      <c r="A245" s="4"/>
      <c r="B245" s="4"/>
      <c r="C245" s="4"/>
      <c r="D245" s="20"/>
      <c r="E245" s="20"/>
      <c r="F245" s="20"/>
      <c r="G245" s="31"/>
    </row>
    <row r="246" spans="1:7" x14ac:dyDescent="0.2">
      <c r="A246" s="105" t="s">
        <v>10</v>
      </c>
      <c r="B246" s="112"/>
      <c r="C246" s="106"/>
      <c r="D246" s="20">
        <f>SUM(D202:D245)</f>
        <v>0</v>
      </c>
      <c r="E246" s="20">
        <f>SUM(E202:E245)</f>
        <v>0</v>
      </c>
      <c r="F246" s="20">
        <f>D246-E246</f>
        <v>0</v>
      </c>
      <c r="G246" s="31"/>
    </row>
    <row r="247" spans="1:7" x14ac:dyDescent="0.2">
      <c r="A247" s="105" t="s">
        <v>11</v>
      </c>
      <c r="B247" s="112"/>
      <c r="C247" s="106"/>
      <c r="D247" s="20">
        <f>F202</f>
        <v>0</v>
      </c>
      <c r="E247" s="20"/>
      <c r="F247" s="20">
        <f>D247-E247</f>
        <v>0</v>
      </c>
      <c r="G247" s="31"/>
    </row>
    <row r="248" spans="1:7" x14ac:dyDescent="0.2">
      <c r="A248" s="105" t="s">
        <v>10</v>
      </c>
      <c r="B248" s="112"/>
      <c r="C248" s="106"/>
      <c r="D248" s="20">
        <f>SUM(D246:D247)</f>
        <v>0</v>
      </c>
      <c r="E248" s="20">
        <f>SUM(E246:E247)</f>
        <v>0</v>
      </c>
      <c r="F248" s="20">
        <f>SUM(F246:F247)</f>
        <v>0</v>
      </c>
      <c r="G248" s="31"/>
    </row>
    <row r="249" spans="1:7" x14ac:dyDescent="0.2">
      <c r="A249" s="5"/>
      <c r="B249" s="5"/>
      <c r="C249" s="5"/>
      <c r="G249" s="31"/>
    </row>
    <row r="250" spans="1:7" x14ac:dyDescent="0.2">
      <c r="G250" s="31"/>
    </row>
    <row r="251" spans="1:7" x14ac:dyDescent="0.2">
      <c r="A251" s="100" t="s">
        <v>0</v>
      </c>
      <c r="B251" s="100"/>
    </row>
    <row r="252" spans="1:7" x14ac:dyDescent="0.2">
      <c r="A252" s="100" t="s">
        <v>1</v>
      </c>
      <c r="B252" s="100"/>
    </row>
    <row r="253" spans="1:7" x14ac:dyDescent="0.2">
      <c r="A253" s="101" t="s">
        <v>2</v>
      </c>
      <c r="B253" s="101"/>
      <c r="C253" s="101"/>
      <c r="D253" s="101"/>
      <c r="E253" s="101"/>
      <c r="F253" s="101"/>
    </row>
    <row r="254" spans="1:7" x14ac:dyDescent="0.2">
      <c r="A254" s="109" t="s">
        <v>39</v>
      </c>
      <c r="B254" s="109"/>
      <c r="D254" s="2" t="s">
        <v>40</v>
      </c>
    </row>
    <row r="256" spans="1:7" x14ac:dyDescent="0.2">
      <c r="A256" s="103" t="s">
        <v>3</v>
      </c>
      <c r="B256" s="103" t="s">
        <v>4</v>
      </c>
      <c r="C256" s="103" t="s">
        <v>5</v>
      </c>
      <c r="D256" s="105" t="s">
        <v>6</v>
      </c>
      <c r="E256" s="106"/>
      <c r="F256" s="103" t="s">
        <v>9</v>
      </c>
    </row>
    <row r="257" spans="1:7" x14ac:dyDescent="0.2">
      <c r="A257" s="104"/>
      <c r="B257" s="104"/>
      <c r="C257" s="104"/>
      <c r="D257" s="3" t="s">
        <v>7</v>
      </c>
      <c r="E257" s="3" t="s">
        <v>8</v>
      </c>
      <c r="F257" s="104"/>
    </row>
    <row r="258" spans="1:7" x14ac:dyDescent="0.2">
      <c r="A258" s="18" t="s">
        <v>203</v>
      </c>
      <c r="B258" s="4" t="s">
        <v>206</v>
      </c>
      <c r="C258" s="4"/>
      <c r="D258" s="20">
        <v>0</v>
      </c>
      <c r="E258" s="20">
        <v>0</v>
      </c>
      <c r="F258" s="20">
        <v>0</v>
      </c>
    </row>
    <row r="259" spans="1:7" x14ac:dyDescent="0.2">
      <c r="A259" s="18" t="s">
        <v>403</v>
      </c>
      <c r="B259" s="4" t="s">
        <v>493</v>
      </c>
      <c r="C259" s="4" t="s">
        <v>187</v>
      </c>
      <c r="D259" s="20"/>
      <c r="E259" s="20"/>
      <c r="F259" s="20">
        <f>F258+D259-E259</f>
        <v>0</v>
      </c>
    </row>
    <row r="260" spans="1:7" x14ac:dyDescent="0.2">
      <c r="A260" s="18" t="s">
        <v>228</v>
      </c>
      <c r="B260" s="4" t="s">
        <v>243</v>
      </c>
      <c r="C260" s="4" t="s">
        <v>239</v>
      </c>
      <c r="D260" s="20"/>
      <c r="E260" s="20"/>
      <c r="F260" s="20">
        <f t="shared" ref="F260:F286" si="14">F259+D260-E260</f>
        <v>0</v>
      </c>
    </row>
    <row r="261" spans="1:7" x14ac:dyDescent="0.2">
      <c r="A261" s="18" t="s">
        <v>501</v>
      </c>
      <c r="B261" s="4" t="s">
        <v>503</v>
      </c>
      <c r="C261" s="4" t="s">
        <v>187</v>
      </c>
      <c r="D261" s="20"/>
      <c r="E261" s="20"/>
      <c r="F261" s="20">
        <f t="shared" si="14"/>
        <v>0</v>
      </c>
      <c r="G261" s="31"/>
    </row>
    <row r="262" spans="1:7" x14ac:dyDescent="0.2">
      <c r="A262" s="18" t="s">
        <v>502</v>
      </c>
      <c r="B262" s="4" t="s">
        <v>504</v>
      </c>
      <c r="C262" s="4" t="s">
        <v>187</v>
      </c>
      <c r="D262" s="20"/>
      <c r="E262" s="20"/>
      <c r="F262" s="20">
        <f t="shared" si="14"/>
        <v>0</v>
      </c>
    </row>
    <row r="263" spans="1:7" x14ac:dyDescent="0.2">
      <c r="A263" s="18" t="s">
        <v>505</v>
      </c>
      <c r="B263" s="4" t="s">
        <v>506</v>
      </c>
      <c r="C263" s="4" t="s">
        <v>187</v>
      </c>
      <c r="D263" s="20"/>
      <c r="E263" s="20"/>
      <c r="F263" s="20">
        <f t="shared" si="14"/>
        <v>0</v>
      </c>
    </row>
    <row r="264" spans="1:7" x14ac:dyDescent="0.2">
      <c r="A264" s="18" t="s">
        <v>505</v>
      </c>
      <c r="B264" s="4" t="s">
        <v>506</v>
      </c>
      <c r="C264" s="4" t="s">
        <v>187</v>
      </c>
      <c r="D264" s="20"/>
      <c r="E264" s="20"/>
      <c r="F264" s="20">
        <f t="shared" si="14"/>
        <v>0</v>
      </c>
    </row>
    <row r="265" spans="1:7" x14ac:dyDescent="0.2">
      <c r="A265" s="18" t="s">
        <v>472</v>
      </c>
      <c r="B265" s="4" t="s">
        <v>507</v>
      </c>
      <c r="C265" s="4" t="s">
        <v>187</v>
      </c>
      <c r="D265" s="20"/>
      <c r="E265" s="20"/>
      <c r="F265" s="20">
        <f t="shared" si="14"/>
        <v>0</v>
      </c>
    </row>
    <row r="266" spans="1:7" x14ac:dyDescent="0.2">
      <c r="A266" s="18" t="s">
        <v>417</v>
      </c>
      <c r="B266" s="4" t="s">
        <v>503</v>
      </c>
      <c r="C266" s="4" t="s">
        <v>187</v>
      </c>
      <c r="D266" s="20"/>
      <c r="E266" s="20"/>
      <c r="F266" s="20">
        <f t="shared" si="14"/>
        <v>0</v>
      </c>
    </row>
    <row r="267" spans="1:7" x14ac:dyDescent="0.2">
      <c r="A267" s="18" t="s">
        <v>246</v>
      </c>
      <c r="B267" s="4" t="s">
        <v>508</v>
      </c>
      <c r="C267" s="4" t="s">
        <v>187</v>
      </c>
      <c r="D267" s="20"/>
      <c r="E267" s="20"/>
      <c r="F267" s="20">
        <f t="shared" si="14"/>
        <v>0</v>
      </c>
    </row>
    <row r="268" spans="1:7" x14ac:dyDescent="0.2">
      <c r="A268" s="18" t="s">
        <v>509</v>
      </c>
      <c r="B268" s="4" t="s">
        <v>507</v>
      </c>
      <c r="C268" s="4" t="s">
        <v>187</v>
      </c>
      <c r="D268" s="20"/>
      <c r="E268" s="20"/>
      <c r="F268" s="20">
        <f t="shared" si="14"/>
        <v>0</v>
      </c>
    </row>
    <row r="269" spans="1:7" x14ac:dyDescent="0.2">
      <c r="A269" s="18" t="s">
        <v>510</v>
      </c>
      <c r="B269" s="4" t="s">
        <v>506</v>
      </c>
      <c r="C269" s="4" t="s">
        <v>187</v>
      </c>
      <c r="D269" s="20"/>
      <c r="E269" s="20"/>
      <c r="F269" s="20">
        <f t="shared" si="14"/>
        <v>0</v>
      </c>
    </row>
    <row r="270" spans="1:7" x14ac:dyDescent="0.2">
      <c r="A270" s="18" t="str">
        <f>A269</f>
        <v>13 Feb</v>
      </c>
      <c r="B270" s="4" t="s">
        <v>511</v>
      </c>
      <c r="C270" s="4" t="s">
        <v>187</v>
      </c>
      <c r="D270" s="20"/>
      <c r="E270" s="20"/>
      <c r="F270" s="20">
        <f t="shared" si="14"/>
        <v>0</v>
      </c>
    </row>
    <row r="271" spans="1:7" x14ac:dyDescent="0.2">
      <c r="A271" s="18" t="str">
        <f>A270</f>
        <v>13 Feb</v>
      </c>
      <c r="B271" s="4" t="s">
        <v>504</v>
      </c>
      <c r="C271" s="4" t="s">
        <v>187</v>
      </c>
      <c r="D271" s="20"/>
      <c r="E271" s="20"/>
      <c r="F271" s="20">
        <f t="shared" si="14"/>
        <v>0</v>
      </c>
    </row>
    <row r="272" spans="1:7" x14ac:dyDescent="0.2">
      <c r="A272" s="18" t="s">
        <v>512</v>
      </c>
      <c r="B272" s="4" t="s">
        <v>513</v>
      </c>
      <c r="C272" s="4" t="s">
        <v>187</v>
      </c>
      <c r="D272" s="20"/>
      <c r="E272" s="20"/>
      <c r="F272" s="20">
        <f t="shared" si="14"/>
        <v>0</v>
      </c>
    </row>
    <row r="273" spans="1:6" x14ac:dyDescent="0.2">
      <c r="A273" s="18" t="s">
        <v>514</v>
      </c>
      <c r="B273" s="4" t="s">
        <v>515</v>
      </c>
      <c r="C273" s="4" t="s">
        <v>187</v>
      </c>
      <c r="D273" s="20"/>
      <c r="E273" s="20"/>
      <c r="F273" s="20">
        <f t="shared" si="14"/>
        <v>0</v>
      </c>
    </row>
    <row r="274" spans="1:6" x14ac:dyDescent="0.2">
      <c r="A274" s="18" t="s">
        <v>517</v>
      </c>
      <c r="B274" s="4" t="s">
        <v>507</v>
      </c>
      <c r="C274" s="4" t="s">
        <v>187</v>
      </c>
      <c r="D274" s="20"/>
      <c r="E274" s="20"/>
      <c r="F274" s="20">
        <f t="shared" si="14"/>
        <v>0</v>
      </c>
    </row>
    <row r="275" spans="1:6" x14ac:dyDescent="0.2">
      <c r="A275" s="18" t="s">
        <v>516</v>
      </c>
      <c r="B275" s="4" t="s">
        <v>518</v>
      </c>
      <c r="C275" s="4" t="s">
        <v>187</v>
      </c>
      <c r="D275" s="20"/>
      <c r="E275" s="20"/>
      <c r="F275" s="20">
        <f t="shared" si="14"/>
        <v>0</v>
      </c>
    </row>
    <row r="276" spans="1:6" x14ac:dyDescent="0.2">
      <c r="A276" s="18" t="s">
        <v>519</v>
      </c>
      <c r="B276" s="4" t="s">
        <v>511</v>
      </c>
      <c r="C276" s="4" t="s">
        <v>187</v>
      </c>
      <c r="D276" s="20"/>
      <c r="E276" s="20"/>
      <c r="F276" s="20">
        <f t="shared" si="14"/>
        <v>0</v>
      </c>
    </row>
    <row r="277" spans="1:6" x14ac:dyDescent="0.2">
      <c r="A277" s="18" t="str">
        <f>A276</f>
        <v>20 Feb</v>
      </c>
      <c r="B277" s="4" t="s">
        <v>520</v>
      </c>
      <c r="C277" s="4" t="s">
        <v>187</v>
      </c>
      <c r="D277" s="20"/>
      <c r="E277" s="20"/>
      <c r="F277" s="20">
        <f t="shared" si="14"/>
        <v>0</v>
      </c>
    </row>
    <row r="278" spans="1:6" x14ac:dyDescent="0.2">
      <c r="A278" s="18" t="str">
        <f>A277</f>
        <v>20 Feb</v>
      </c>
      <c r="B278" s="4" t="s">
        <v>504</v>
      </c>
      <c r="C278" s="4" t="s">
        <v>187</v>
      </c>
      <c r="D278" s="20"/>
      <c r="E278" s="20"/>
      <c r="F278" s="20">
        <f t="shared" si="14"/>
        <v>0</v>
      </c>
    </row>
    <row r="279" spans="1:6" x14ac:dyDescent="0.2">
      <c r="A279" s="18" t="s">
        <v>473</v>
      </c>
      <c r="B279" s="4" t="s">
        <v>520</v>
      </c>
      <c r="C279" s="4" t="s">
        <v>187</v>
      </c>
      <c r="D279" s="20"/>
      <c r="E279" s="20"/>
      <c r="F279" s="20">
        <f t="shared" si="14"/>
        <v>0</v>
      </c>
    </row>
    <row r="280" spans="1:6" x14ac:dyDescent="0.2">
      <c r="A280" s="18" t="s">
        <v>521</v>
      </c>
      <c r="B280" s="4" t="s">
        <v>518</v>
      </c>
      <c r="C280" s="4" t="s">
        <v>187</v>
      </c>
      <c r="D280" s="20"/>
      <c r="E280" s="20"/>
      <c r="F280" s="20">
        <f t="shared" si="14"/>
        <v>0</v>
      </c>
    </row>
    <row r="281" spans="1:6" x14ac:dyDescent="0.2">
      <c r="A281" s="18" t="s">
        <v>522</v>
      </c>
      <c r="B281" s="4" t="s">
        <v>513</v>
      </c>
      <c r="C281" s="4" t="s">
        <v>187</v>
      </c>
      <c r="D281" s="20"/>
      <c r="E281" s="20"/>
      <c r="F281" s="20">
        <f t="shared" si="14"/>
        <v>0</v>
      </c>
    </row>
    <row r="282" spans="1:6" x14ac:dyDescent="0.2">
      <c r="A282" s="18" t="s">
        <v>523</v>
      </c>
      <c r="B282" s="4" t="s">
        <v>511</v>
      </c>
      <c r="C282" s="4" t="s">
        <v>187</v>
      </c>
      <c r="D282" s="20"/>
      <c r="E282" s="20"/>
      <c r="F282" s="20">
        <f t="shared" si="14"/>
        <v>0</v>
      </c>
    </row>
    <row r="283" spans="1:6" x14ac:dyDescent="0.2">
      <c r="A283" s="18" t="s">
        <v>474</v>
      </c>
      <c r="B283" s="4" t="s">
        <v>520</v>
      </c>
      <c r="C283" s="4" t="s">
        <v>187</v>
      </c>
      <c r="D283" s="20"/>
      <c r="E283" s="20"/>
      <c r="F283" s="20">
        <f t="shared" si="14"/>
        <v>0</v>
      </c>
    </row>
    <row r="284" spans="1:6" x14ac:dyDescent="0.2">
      <c r="A284" s="18" t="str">
        <f>A283</f>
        <v>27 Feb</v>
      </c>
      <c r="B284" s="4" t="s">
        <v>504</v>
      </c>
      <c r="C284" s="4" t="s">
        <v>187</v>
      </c>
      <c r="D284" s="20"/>
      <c r="E284" s="20"/>
      <c r="F284" s="20">
        <f t="shared" si="14"/>
        <v>0</v>
      </c>
    </row>
    <row r="285" spans="1:6" x14ac:dyDescent="0.2">
      <c r="A285" s="18" t="str">
        <f>A284</f>
        <v>27 Feb</v>
      </c>
      <c r="B285" s="4" t="s">
        <v>506</v>
      </c>
      <c r="C285" s="4" t="s">
        <v>187</v>
      </c>
      <c r="D285" s="20"/>
      <c r="E285" s="20"/>
      <c r="F285" s="20">
        <f>F284+D285-E285</f>
        <v>0</v>
      </c>
    </row>
    <row r="286" spans="1:6" x14ac:dyDescent="0.2">
      <c r="A286" s="18" t="s">
        <v>474</v>
      </c>
      <c r="B286" s="4" t="s">
        <v>243</v>
      </c>
      <c r="C286" s="4" t="s">
        <v>239</v>
      </c>
      <c r="D286" s="20"/>
      <c r="E286" s="20"/>
      <c r="F286" s="20">
        <f t="shared" si="14"/>
        <v>0</v>
      </c>
    </row>
    <row r="287" spans="1:6" x14ac:dyDescent="0.2">
      <c r="A287" s="18"/>
      <c r="B287" s="4"/>
      <c r="C287" s="4"/>
      <c r="D287" s="20"/>
      <c r="E287" s="20"/>
      <c r="F287" s="20"/>
    </row>
    <row r="288" spans="1:6" x14ac:dyDescent="0.2">
      <c r="A288" s="105" t="s">
        <v>10</v>
      </c>
      <c r="B288" s="112"/>
      <c r="C288" s="106"/>
      <c r="D288" s="20">
        <f>SUM(D258:D287)</f>
        <v>0</v>
      </c>
      <c r="E288" s="20">
        <f>SUM(E258:E287)</f>
        <v>0</v>
      </c>
      <c r="F288" s="20">
        <f>D288-E288</f>
        <v>0</v>
      </c>
    </row>
    <row r="289" spans="1:6" x14ac:dyDescent="0.2">
      <c r="A289" s="105" t="s">
        <v>11</v>
      </c>
      <c r="B289" s="112"/>
      <c r="C289" s="106"/>
      <c r="D289" s="20">
        <f>F258</f>
        <v>0</v>
      </c>
      <c r="E289" s="20"/>
      <c r="F289" s="20">
        <f>D289-E289</f>
        <v>0</v>
      </c>
    </row>
    <row r="290" spans="1:6" x14ac:dyDescent="0.2">
      <c r="A290" s="105" t="s">
        <v>10</v>
      </c>
      <c r="B290" s="112"/>
      <c r="C290" s="106"/>
      <c r="D290" s="20">
        <f>SUM(D288:D289)</f>
        <v>0</v>
      </c>
      <c r="E290" s="20">
        <f>SUM(E288:E289)</f>
        <v>0</v>
      </c>
      <c r="F290" s="20">
        <f>SUM(F288:F289)</f>
        <v>0</v>
      </c>
    </row>
    <row r="291" spans="1:6" ht="12" customHeight="1" x14ac:dyDescent="0.2"/>
    <row r="292" spans="1:6" ht="12" customHeight="1" x14ac:dyDescent="0.2"/>
    <row r="293" spans="1:6" ht="12" customHeight="1" x14ac:dyDescent="0.2"/>
    <row r="294" spans="1:6" ht="12" customHeight="1" x14ac:dyDescent="0.2"/>
    <row r="295" spans="1:6" ht="12" customHeight="1" x14ac:dyDescent="0.2"/>
    <row r="296" spans="1:6" ht="12" customHeight="1" x14ac:dyDescent="0.2"/>
    <row r="297" spans="1:6" x14ac:dyDescent="0.2">
      <c r="A297" s="100" t="s">
        <v>0</v>
      </c>
      <c r="B297" s="100"/>
    </row>
    <row r="298" spans="1:6" x14ac:dyDescent="0.2">
      <c r="A298" s="100" t="s">
        <v>1</v>
      </c>
      <c r="B298" s="100"/>
    </row>
    <row r="299" spans="1:6" x14ac:dyDescent="0.2">
      <c r="A299" s="101" t="s">
        <v>2</v>
      </c>
      <c r="B299" s="101"/>
      <c r="C299" s="101"/>
      <c r="D299" s="101"/>
      <c r="E299" s="101"/>
      <c r="F299" s="101"/>
    </row>
    <row r="300" spans="1:6" x14ac:dyDescent="0.2">
      <c r="A300" s="109" t="s">
        <v>41</v>
      </c>
      <c r="B300" s="109"/>
      <c r="D300" s="2" t="s">
        <v>42</v>
      </c>
    </row>
    <row r="302" spans="1:6" x14ac:dyDescent="0.2">
      <c r="A302" s="103" t="s">
        <v>3</v>
      </c>
      <c r="B302" s="103" t="s">
        <v>4</v>
      </c>
      <c r="C302" s="103" t="s">
        <v>5</v>
      </c>
      <c r="D302" s="105" t="s">
        <v>6</v>
      </c>
      <c r="E302" s="106"/>
      <c r="F302" s="103" t="s">
        <v>9</v>
      </c>
    </row>
    <row r="303" spans="1:6" x14ac:dyDescent="0.2">
      <c r="A303" s="104"/>
      <c r="B303" s="104"/>
      <c r="C303" s="104"/>
      <c r="D303" s="3" t="s">
        <v>7</v>
      </c>
      <c r="E303" s="3" t="s">
        <v>8</v>
      </c>
      <c r="F303" s="104"/>
    </row>
    <row r="304" spans="1:6" x14ac:dyDescent="0.2">
      <c r="A304" s="18" t="s">
        <v>203</v>
      </c>
      <c r="B304" s="4" t="s">
        <v>206</v>
      </c>
      <c r="C304" s="4"/>
      <c r="D304" s="20">
        <v>0</v>
      </c>
      <c r="E304" s="20">
        <v>0</v>
      </c>
      <c r="F304" s="20">
        <v>0</v>
      </c>
    </row>
    <row r="305" spans="1:6" x14ac:dyDescent="0.2">
      <c r="A305" s="18" t="s">
        <v>207</v>
      </c>
      <c r="B305" s="4" t="s">
        <v>227</v>
      </c>
      <c r="C305" s="4" t="s">
        <v>200</v>
      </c>
      <c r="D305" s="20"/>
      <c r="E305" s="20"/>
      <c r="F305" s="20">
        <f>F304-E305</f>
        <v>0</v>
      </c>
    </row>
    <row r="306" spans="1:6" x14ac:dyDescent="0.2">
      <c r="A306" s="4"/>
      <c r="B306" s="4"/>
      <c r="C306" s="4"/>
      <c r="D306" s="20"/>
      <c r="E306" s="20"/>
      <c r="F306" s="20"/>
    </row>
    <row r="307" spans="1:6" x14ac:dyDescent="0.2">
      <c r="A307" s="105" t="s">
        <v>10</v>
      </c>
      <c r="B307" s="112"/>
      <c r="C307" s="106"/>
      <c r="D307" s="20">
        <f>SUM(D304:D306)</f>
        <v>0</v>
      </c>
      <c r="E307" s="20">
        <f>SUM(E304:E306)</f>
        <v>0</v>
      </c>
      <c r="F307" s="20">
        <f>D307-E307</f>
        <v>0</v>
      </c>
    </row>
    <row r="308" spans="1:6" x14ac:dyDescent="0.2">
      <c r="A308" s="105" t="s">
        <v>11</v>
      </c>
      <c r="B308" s="112"/>
      <c r="C308" s="106"/>
      <c r="D308" s="20">
        <f>F304</f>
        <v>0</v>
      </c>
      <c r="E308" s="20"/>
      <c r="F308" s="20">
        <f>D308-E308</f>
        <v>0</v>
      </c>
    </row>
    <row r="309" spans="1:6" x14ac:dyDescent="0.2">
      <c r="A309" s="105" t="s">
        <v>10</v>
      </c>
      <c r="B309" s="112"/>
      <c r="C309" s="106"/>
      <c r="D309" s="20">
        <f>SUM(D307:D308)</f>
        <v>0</v>
      </c>
      <c r="E309" s="20">
        <f>SUM(E307:E308)</f>
        <v>0</v>
      </c>
      <c r="F309" s="20">
        <f>SUM(F307:F308)</f>
        <v>0</v>
      </c>
    </row>
    <row r="310" spans="1:6" ht="6.75" customHeight="1" x14ac:dyDescent="0.2">
      <c r="A310" s="5"/>
      <c r="B310" s="5"/>
      <c r="C310" s="5"/>
    </row>
    <row r="311" spans="1:6" x14ac:dyDescent="0.2">
      <c r="A311" s="100" t="s">
        <v>0</v>
      </c>
      <c r="B311" s="100"/>
    </row>
    <row r="312" spans="1:6" x14ac:dyDescent="0.2">
      <c r="A312" s="100" t="s">
        <v>1</v>
      </c>
      <c r="B312" s="100"/>
    </row>
    <row r="313" spans="1:6" x14ac:dyDescent="0.2">
      <c r="A313" s="101" t="s">
        <v>2</v>
      </c>
      <c r="B313" s="101"/>
      <c r="C313" s="101"/>
      <c r="D313" s="101"/>
      <c r="E313" s="101"/>
      <c r="F313" s="101"/>
    </row>
    <row r="314" spans="1:6" x14ac:dyDescent="0.2">
      <c r="A314" s="122" t="s">
        <v>212</v>
      </c>
      <c r="B314" s="122"/>
      <c r="C314" s="125"/>
      <c r="D314" s="123" t="s">
        <v>38</v>
      </c>
      <c r="E314" s="125"/>
      <c r="F314" s="125"/>
    </row>
    <row r="315" spans="1:6" x14ac:dyDescent="0.2">
      <c r="A315" s="125"/>
      <c r="B315" s="125"/>
      <c r="C315" s="125"/>
      <c r="D315" s="125"/>
      <c r="E315" s="125"/>
      <c r="F315" s="125"/>
    </row>
    <row r="316" spans="1:6" x14ac:dyDescent="0.2">
      <c r="A316" s="134" t="s">
        <v>3</v>
      </c>
      <c r="B316" s="134" t="s">
        <v>4</v>
      </c>
      <c r="C316" s="134" t="s">
        <v>5</v>
      </c>
      <c r="D316" s="135" t="s">
        <v>6</v>
      </c>
      <c r="E316" s="136"/>
      <c r="F316" s="134" t="s">
        <v>9</v>
      </c>
    </row>
    <row r="317" spans="1:6" x14ac:dyDescent="0.2">
      <c r="A317" s="137"/>
      <c r="B317" s="137"/>
      <c r="C317" s="137"/>
      <c r="D317" s="124" t="s">
        <v>7</v>
      </c>
      <c r="E317" s="124" t="s">
        <v>8</v>
      </c>
      <c r="F317" s="137"/>
    </row>
    <row r="318" spans="1:6" x14ac:dyDescent="0.2">
      <c r="A318" s="133" t="s">
        <v>203</v>
      </c>
      <c r="B318" s="127" t="s">
        <v>206</v>
      </c>
      <c r="C318" s="127"/>
      <c r="D318" s="46">
        <v>0</v>
      </c>
      <c r="E318" s="46">
        <v>0</v>
      </c>
      <c r="F318" s="59">
        <v>0</v>
      </c>
    </row>
    <row r="319" spans="1:6" x14ac:dyDescent="0.2">
      <c r="A319" s="18" t="s">
        <v>228</v>
      </c>
      <c r="B319" s="4" t="s">
        <v>806</v>
      </c>
      <c r="C319" s="4" t="s">
        <v>200</v>
      </c>
      <c r="D319" s="20"/>
      <c r="E319" s="20"/>
      <c r="F319" s="28">
        <f>F318+D319-E319</f>
        <v>0</v>
      </c>
    </row>
    <row r="320" spans="1:6" x14ac:dyDescent="0.2">
      <c r="A320" s="18" t="s">
        <v>228</v>
      </c>
      <c r="B320" s="4" t="s">
        <v>238</v>
      </c>
      <c r="C320" s="4" t="s">
        <v>239</v>
      </c>
      <c r="D320" s="20"/>
      <c r="E320" s="20"/>
      <c r="F320" s="28">
        <f t="shared" ref="F320:F338" si="15">F319+D320-E320</f>
        <v>0</v>
      </c>
    </row>
    <row r="321" spans="1:7" x14ac:dyDescent="0.2">
      <c r="A321" s="18" t="s">
        <v>755</v>
      </c>
      <c r="B321" s="4" t="s">
        <v>238</v>
      </c>
      <c r="C321" s="4" t="s">
        <v>239</v>
      </c>
      <c r="D321" s="20"/>
      <c r="E321" s="20"/>
      <c r="F321" s="28">
        <f t="shared" si="15"/>
        <v>0</v>
      </c>
    </row>
    <row r="322" spans="1:7" x14ac:dyDescent="0.2">
      <c r="A322" s="18" t="s">
        <v>269</v>
      </c>
      <c r="B322" s="4" t="s">
        <v>238</v>
      </c>
      <c r="C322" s="4" t="s">
        <v>239</v>
      </c>
      <c r="D322" s="20"/>
      <c r="E322" s="20"/>
      <c r="F322" s="28">
        <f t="shared" si="15"/>
        <v>0</v>
      </c>
    </row>
    <row r="323" spans="1:7" x14ac:dyDescent="0.2">
      <c r="A323" s="18" t="s">
        <v>284</v>
      </c>
      <c r="B323" s="4" t="s">
        <v>238</v>
      </c>
      <c r="C323" s="4" t="s">
        <v>239</v>
      </c>
      <c r="D323" s="20"/>
      <c r="E323" s="20"/>
      <c r="F323" s="28">
        <f t="shared" si="15"/>
        <v>0</v>
      </c>
    </row>
    <row r="324" spans="1:7" x14ac:dyDescent="0.2">
      <c r="A324" s="18" t="s">
        <v>290</v>
      </c>
      <c r="B324" s="4" t="s">
        <v>238</v>
      </c>
      <c r="C324" s="4" t="s">
        <v>239</v>
      </c>
      <c r="D324" s="20"/>
      <c r="E324" s="20"/>
      <c r="F324" s="28">
        <f t="shared" si="15"/>
        <v>0</v>
      </c>
    </row>
    <row r="325" spans="1:7" x14ac:dyDescent="0.2">
      <c r="A325" s="18" t="s">
        <v>606</v>
      </c>
      <c r="B325" s="4" t="s">
        <v>238</v>
      </c>
      <c r="C325" s="4" t="s">
        <v>239</v>
      </c>
      <c r="D325" s="20"/>
      <c r="E325" s="20"/>
      <c r="F325" s="28">
        <f t="shared" si="15"/>
        <v>0</v>
      </c>
    </row>
    <row r="326" spans="1:7" x14ac:dyDescent="0.2">
      <c r="A326" s="18" t="s">
        <v>322</v>
      </c>
      <c r="B326" s="4" t="s">
        <v>238</v>
      </c>
      <c r="C326" s="4" t="s">
        <v>239</v>
      </c>
      <c r="D326" s="20"/>
      <c r="E326" s="20"/>
      <c r="F326" s="28">
        <f t="shared" si="15"/>
        <v>0</v>
      </c>
    </row>
    <row r="327" spans="1:7" x14ac:dyDescent="0.2">
      <c r="A327" s="18" t="s">
        <v>341</v>
      </c>
      <c r="B327" s="4" t="s">
        <v>238</v>
      </c>
      <c r="C327" s="4" t="s">
        <v>239</v>
      </c>
      <c r="D327" s="20"/>
      <c r="E327" s="20"/>
      <c r="F327" s="28">
        <f t="shared" si="15"/>
        <v>0</v>
      </c>
    </row>
    <row r="328" spans="1:7" x14ac:dyDescent="0.2">
      <c r="A328" s="18" t="s">
        <v>357</v>
      </c>
      <c r="B328" s="4" t="s">
        <v>238</v>
      </c>
      <c r="C328" s="4" t="s">
        <v>239</v>
      </c>
      <c r="D328" s="20"/>
      <c r="E328" s="20"/>
      <c r="F328" s="28">
        <f t="shared" si="15"/>
        <v>0</v>
      </c>
    </row>
    <row r="329" spans="1:7" x14ac:dyDescent="0.2">
      <c r="A329" s="18" t="s">
        <v>376</v>
      </c>
      <c r="B329" s="4" t="s">
        <v>439</v>
      </c>
      <c r="C329" s="4" t="s">
        <v>200</v>
      </c>
      <c r="D329" s="20"/>
      <c r="E329" s="20"/>
      <c r="F329" s="28">
        <f t="shared" si="15"/>
        <v>0</v>
      </c>
    </row>
    <row r="330" spans="1:7" x14ac:dyDescent="0.2">
      <c r="A330" s="18" t="s">
        <v>376</v>
      </c>
      <c r="B330" s="4" t="s">
        <v>238</v>
      </c>
      <c r="C330" s="4" t="s">
        <v>239</v>
      </c>
      <c r="D330" s="20"/>
      <c r="E330" s="20"/>
      <c r="F330" s="28">
        <f t="shared" si="15"/>
        <v>0</v>
      </c>
    </row>
    <row r="331" spans="1:7" x14ac:dyDescent="0.2">
      <c r="A331" s="18" t="s">
        <v>390</v>
      </c>
      <c r="B331" s="4" t="s">
        <v>238</v>
      </c>
      <c r="C331" s="4" t="s">
        <v>239</v>
      </c>
      <c r="D331" s="20"/>
      <c r="E331" s="20"/>
      <c r="F331" s="28">
        <f t="shared" si="15"/>
        <v>0</v>
      </c>
      <c r="G331" s="31"/>
    </row>
    <row r="332" spans="1:7" x14ac:dyDescent="0.2">
      <c r="A332" s="18" t="s">
        <v>639</v>
      </c>
      <c r="B332" s="4" t="s">
        <v>439</v>
      </c>
      <c r="C332" s="4" t="s">
        <v>187</v>
      </c>
      <c r="D332" s="20"/>
      <c r="E332" s="20"/>
      <c r="F332" s="28">
        <f t="shared" si="15"/>
        <v>0</v>
      </c>
    </row>
    <row r="333" spans="1:7" x14ac:dyDescent="0.2">
      <c r="A333" s="18" t="s">
        <v>449</v>
      </c>
      <c r="B333" s="4" t="s">
        <v>238</v>
      </c>
      <c r="C333" s="4" t="s">
        <v>239</v>
      </c>
      <c r="D333" s="20"/>
      <c r="E333" s="20"/>
      <c r="F333" s="28">
        <f t="shared" si="15"/>
        <v>0</v>
      </c>
    </row>
    <row r="334" spans="1:7" x14ac:dyDescent="0.2">
      <c r="A334" s="18"/>
      <c r="B334" s="4"/>
      <c r="C334" s="4"/>
      <c r="D334" s="20"/>
      <c r="E334" s="20"/>
      <c r="F334" s="28">
        <f t="shared" si="15"/>
        <v>0</v>
      </c>
      <c r="G334" s="47"/>
    </row>
    <row r="335" spans="1:7" x14ac:dyDescent="0.2">
      <c r="A335" s="18"/>
      <c r="B335" s="4"/>
      <c r="C335" s="4"/>
      <c r="D335" s="20"/>
      <c r="E335" s="20"/>
      <c r="F335" s="28">
        <f t="shared" si="15"/>
        <v>0</v>
      </c>
    </row>
    <row r="336" spans="1:7" x14ac:dyDescent="0.2">
      <c r="A336" s="18"/>
      <c r="B336" s="4"/>
      <c r="C336" s="4"/>
      <c r="D336" s="20"/>
      <c r="E336" s="20"/>
      <c r="F336" s="28">
        <f t="shared" si="15"/>
        <v>0</v>
      </c>
    </row>
    <row r="337" spans="1:7" x14ac:dyDescent="0.2">
      <c r="A337" s="18"/>
      <c r="B337" s="4"/>
      <c r="C337" s="4"/>
      <c r="D337" s="20"/>
      <c r="E337" s="20"/>
      <c r="F337" s="28">
        <f t="shared" si="15"/>
        <v>0</v>
      </c>
      <c r="G337" s="47"/>
    </row>
    <row r="338" spans="1:7" x14ac:dyDescent="0.2">
      <c r="A338" s="18"/>
      <c r="B338" s="4"/>
      <c r="C338" s="4"/>
      <c r="D338" s="20"/>
      <c r="E338" s="20"/>
      <c r="F338" s="28">
        <f t="shared" si="15"/>
        <v>0</v>
      </c>
    </row>
    <row r="339" spans="1:7" x14ac:dyDescent="0.2">
      <c r="A339" s="18"/>
      <c r="B339" s="4"/>
      <c r="C339" s="4"/>
      <c r="D339" s="20"/>
      <c r="E339" s="20"/>
      <c r="F339" s="28">
        <f t="shared" ref="F339:F344" si="16">F338+D339-E339</f>
        <v>0</v>
      </c>
    </row>
    <row r="340" spans="1:7" x14ac:dyDescent="0.2">
      <c r="A340" s="18"/>
      <c r="B340" s="4"/>
      <c r="C340" s="4"/>
      <c r="D340" s="20"/>
      <c r="E340" s="20"/>
      <c r="F340" s="28">
        <f t="shared" si="16"/>
        <v>0</v>
      </c>
    </row>
    <row r="341" spans="1:7" x14ac:dyDescent="0.2">
      <c r="A341" s="18"/>
      <c r="B341" s="4"/>
      <c r="C341" s="4"/>
      <c r="D341" s="20"/>
      <c r="E341" s="20"/>
      <c r="F341" s="28">
        <f t="shared" si="16"/>
        <v>0</v>
      </c>
    </row>
    <row r="342" spans="1:7" x14ac:dyDescent="0.2">
      <c r="A342" s="18"/>
      <c r="B342" s="4"/>
      <c r="C342" s="4"/>
      <c r="D342" s="20"/>
      <c r="E342" s="20"/>
      <c r="F342" s="28">
        <f t="shared" si="16"/>
        <v>0</v>
      </c>
    </row>
    <row r="343" spans="1:7" x14ac:dyDescent="0.2">
      <c r="A343" s="18"/>
      <c r="B343" s="4"/>
      <c r="C343" s="4"/>
      <c r="D343" s="20"/>
      <c r="E343" s="20"/>
      <c r="F343" s="28">
        <f t="shared" si="16"/>
        <v>0</v>
      </c>
    </row>
    <row r="344" spans="1:7" x14ac:dyDescent="0.2">
      <c r="A344" s="18"/>
      <c r="B344" s="4"/>
      <c r="C344" s="4"/>
      <c r="D344" s="20"/>
      <c r="E344" s="20"/>
      <c r="F344" s="28">
        <f t="shared" si="16"/>
        <v>0</v>
      </c>
    </row>
    <row r="345" spans="1:7" x14ac:dyDescent="0.2">
      <c r="A345" s="105" t="s">
        <v>10</v>
      </c>
      <c r="B345" s="112"/>
      <c r="C345" s="106"/>
      <c r="D345" s="20">
        <f>SUM(D318:D344)</f>
        <v>0</v>
      </c>
      <c r="E345" s="20">
        <f>SUM(E318:E344)</f>
        <v>0</v>
      </c>
      <c r="F345" s="28">
        <f>D345-E345</f>
        <v>0</v>
      </c>
    </row>
    <row r="346" spans="1:7" x14ac:dyDescent="0.2">
      <c r="A346" s="105" t="s">
        <v>11</v>
      </c>
      <c r="B346" s="112"/>
      <c r="C346" s="106"/>
      <c r="D346" s="20">
        <f>F318</f>
        <v>0</v>
      </c>
      <c r="E346" s="20"/>
      <c r="F346" s="28">
        <f>D346-E346</f>
        <v>0</v>
      </c>
    </row>
    <row r="347" spans="1:7" x14ac:dyDescent="0.2">
      <c r="A347" s="105" t="s">
        <v>10</v>
      </c>
      <c r="B347" s="112"/>
      <c r="C347" s="106"/>
      <c r="D347" s="20">
        <f>SUM(D345:D346)</f>
        <v>0</v>
      </c>
      <c r="E347" s="20">
        <f>SUM(E345:E346)</f>
        <v>0</v>
      </c>
      <c r="F347" s="28">
        <f>SUM(F345:F346)</f>
        <v>0</v>
      </c>
    </row>
    <row r="348" spans="1:7" x14ac:dyDescent="0.2">
      <c r="A348" s="5"/>
      <c r="B348" s="5"/>
      <c r="C348" s="5"/>
    </row>
    <row r="349" spans="1:7" x14ac:dyDescent="0.2">
      <c r="A349" s="100" t="s">
        <v>0</v>
      </c>
      <c r="B349" s="100"/>
    </row>
    <row r="350" spans="1:7" x14ac:dyDescent="0.2">
      <c r="A350" s="100" t="s">
        <v>1</v>
      </c>
      <c r="B350" s="100"/>
    </row>
    <row r="351" spans="1:7" x14ac:dyDescent="0.2">
      <c r="A351" s="101" t="s">
        <v>2</v>
      </c>
      <c r="B351" s="101"/>
      <c r="C351" s="101"/>
      <c r="D351" s="101"/>
      <c r="E351" s="101"/>
      <c r="F351" s="101"/>
    </row>
    <row r="352" spans="1:7" x14ac:dyDescent="0.2">
      <c r="A352" s="109" t="s">
        <v>43</v>
      </c>
      <c r="B352" s="109"/>
      <c r="D352" s="2" t="s">
        <v>44</v>
      </c>
    </row>
    <row r="354" spans="1:6" x14ac:dyDescent="0.2">
      <c r="A354" s="103" t="s">
        <v>3</v>
      </c>
      <c r="B354" s="103" t="s">
        <v>4</v>
      </c>
      <c r="C354" s="103" t="s">
        <v>5</v>
      </c>
      <c r="D354" s="105" t="s">
        <v>6</v>
      </c>
      <c r="E354" s="106"/>
      <c r="F354" s="103" t="s">
        <v>9</v>
      </c>
    </row>
    <row r="355" spans="1:6" x14ac:dyDescent="0.2">
      <c r="A355" s="104"/>
      <c r="B355" s="104"/>
      <c r="C355" s="104"/>
      <c r="D355" s="3" t="s">
        <v>7</v>
      </c>
      <c r="E355" s="3" t="s">
        <v>8</v>
      </c>
      <c r="F355" s="104"/>
    </row>
    <row r="356" spans="1:6" x14ac:dyDescent="0.2">
      <c r="A356" s="4"/>
      <c r="B356" s="4"/>
      <c r="C356" s="4"/>
      <c r="D356" s="4">
        <v>0</v>
      </c>
      <c r="E356" s="4">
        <v>0</v>
      </c>
      <c r="F356" s="4">
        <f>D356+E356</f>
        <v>0</v>
      </c>
    </row>
    <row r="357" spans="1:6" x14ac:dyDescent="0.2">
      <c r="A357" s="4"/>
      <c r="B357" s="4"/>
      <c r="C357" s="4"/>
      <c r="D357" s="4"/>
      <c r="E357" s="4"/>
      <c r="F357" s="4"/>
    </row>
    <row r="358" spans="1:6" x14ac:dyDescent="0.2">
      <c r="A358" s="4"/>
      <c r="B358" s="4"/>
      <c r="C358" s="4"/>
      <c r="D358" s="4"/>
      <c r="E358" s="4"/>
      <c r="F358" s="4"/>
    </row>
    <row r="359" spans="1:6" x14ac:dyDescent="0.2">
      <c r="A359" s="4"/>
      <c r="B359" s="4"/>
      <c r="C359" s="4"/>
      <c r="D359" s="4"/>
      <c r="E359" s="4"/>
      <c r="F359" s="4"/>
    </row>
    <row r="360" spans="1:6" x14ac:dyDescent="0.2">
      <c r="A360" s="4"/>
      <c r="B360" s="4"/>
      <c r="C360" s="4"/>
      <c r="D360" s="4"/>
      <c r="E360" s="4"/>
      <c r="F360" s="4"/>
    </row>
    <row r="361" spans="1:6" x14ac:dyDescent="0.2">
      <c r="A361" s="4"/>
      <c r="B361" s="4"/>
      <c r="C361" s="4"/>
      <c r="D361" s="4"/>
      <c r="E361" s="4"/>
      <c r="F361" s="4"/>
    </row>
    <row r="362" spans="1:6" x14ac:dyDescent="0.2">
      <c r="A362" s="4"/>
      <c r="B362" s="4"/>
      <c r="C362" s="4"/>
      <c r="D362" s="4"/>
      <c r="E362" s="4"/>
      <c r="F362" s="4"/>
    </row>
    <row r="363" spans="1:6" x14ac:dyDescent="0.2">
      <c r="A363" s="4"/>
      <c r="B363" s="4"/>
      <c r="C363" s="4"/>
      <c r="D363" s="4"/>
      <c r="E363" s="4"/>
      <c r="F363" s="4"/>
    </row>
    <row r="364" spans="1:6" x14ac:dyDescent="0.2">
      <c r="A364" s="4"/>
      <c r="B364" s="4"/>
      <c r="C364" s="4"/>
      <c r="D364" s="4"/>
      <c r="E364" s="4"/>
      <c r="F364" s="4"/>
    </row>
    <row r="365" spans="1:6" x14ac:dyDescent="0.2">
      <c r="A365" s="105" t="s">
        <v>10</v>
      </c>
      <c r="B365" s="112"/>
      <c r="C365" s="106"/>
      <c r="D365" s="4">
        <f>SUM(D356:D364)</f>
        <v>0</v>
      </c>
      <c r="E365" s="4">
        <f>SUM(E356:E364)</f>
        <v>0</v>
      </c>
      <c r="F365" s="4">
        <f>D365-E365</f>
        <v>0</v>
      </c>
    </row>
    <row r="366" spans="1:6" x14ac:dyDescent="0.2">
      <c r="A366" s="105" t="s">
        <v>11</v>
      </c>
      <c r="B366" s="112"/>
      <c r="C366" s="106"/>
      <c r="D366" s="4"/>
      <c r="E366" s="4"/>
      <c r="F366" s="4">
        <f>D366-E366</f>
        <v>0</v>
      </c>
    </row>
    <row r="367" spans="1:6" x14ac:dyDescent="0.2">
      <c r="A367" s="105" t="s">
        <v>10</v>
      </c>
      <c r="B367" s="112"/>
      <c r="C367" s="106"/>
      <c r="D367" s="4">
        <f>SUM(D365:D366)</f>
        <v>0</v>
      </c>
      <c r="E367" s="4">
        <f>SUM(E365:E366)</f>
        <v>0</v>
      </c>
      <c r="F367" s="4">
        <f>SUM(F365:F366)</f>
        <v>0</v>
      </c>
    </row>
    <row r="369" spans="1:6" x14ac:dyDescent="0.2">
      <c r="A369" s="2"/>
      <c r="B369" s="98">
        <f>F321+F208+F147+F80+F14</f>
        <v>0</v>
      </c>
      <c r="C369" s="2"/>
    </row>
    <row r="370" spans="1:6" x14ac:dyDescent="0.2">
      <c r="A370" s="2"/>
      <c r="B370" s="2"/>
      <c r="C370" s="2"/>
    </row>
    <row r="371" spans="1:6" x14ac:dyDescent="0.2">
      <c r="A371" s="2" t="s">
        <v>469</v>
      </c>
      <c r="B371" s="152">
        <f>F11+F77+F144+F205+F320</f>
        <v>0</v>
      </c>
      <c r="C371" s="2"/>
      <c r="E371" s="47">
        <f>F320+F202+F141+F74+F8</f>
        <v>0</v>
      </c>
    </row>
    <row r="372" spans="1:6" x14ac:dyDescent="0.2">
      <c r="A372" s="1" t="s">
        <v>247</v>
      </c>
      <c r="B372" s="47">
        <f>F321+F208+F147+F80+F14</f>
        <v>0</v>
      </c>
      <c r="E372" s="47">
        <f>F320+F320</f>
        <v>0</v>
      </c>
    </row>
    <row r="373" spans="1:6" x14ac:dyDescent="0.2">
      <c r="A373" s="1" t="s">
        <v>262</v>
      </c>
      <c r="B373" s="47">
        <f>F322+F211+F151+F84+F18</f>
        <v>0</v>
      </c>
      <c r="E373" s="47">
        <f>F320+F202+F141+F74+F8</f>
        <v>0</v>
      </c>
    </row>
    <row r="374" spans="1:6" x14ac:dyDescent="0.2">
      <c r="A374" s="1" t="s">
        <v>283</v>
      </c>
      <c r="B374" s="47">
        <f>F323+F216+F155+F88+F22</f>
        <v>0</v>
      </c>
    </row>
    <row r="375" spans="1:6" x14ac:dyDescent="0.2">
      <c r="A375" s="1" t="s">
        <v>299</v>
      </c>
      <c r="B375" s="47">
        <f>F324+F219+F158+F91+F25</f>
        <v>0</v>
      </c>
      <c r="D375" s="47">
        <f>F321+F208+F147+F80+F14</f>
        <v>0</v>
      </c>
    </row>
    <row r="376" spans="1:6" x14ac:dyDescent="0.2">
      <c r="A376" s="1" t="s">
        <v>315</v>
      </c>
      <c r="B376" s="47">
        <f>F325+F222+F161+F94+F28</f>
        <v>0</v>
      </c>
      <c r="E376" s="47">
        <f>F11+F77+F144+F205+F320</f>
        <v>0</v>
      </c>
    </row>
    <row r="377" spans="1:6" x14ac:dyDescent="0.2">
      <c r="A377" s="1" t="s">
        <v>330</v>
      </c>
      <c r="B377" s="47">
        <f>F326+F226+F165+F98+F32</f>
        <v>0</v>
      </c>
    </row>
    <row r="378" spans="1:6" x14ac:dyDescent="0.2">
      <c r="A378" s="1" t="s">
        <v>344</v>
      </c>
      <c r="B378" s="47">
        <f>F327+F229+F168+F101+F35</f>
        <v>0</v>
      </c>
      <c r="C378" s="2"/>
      <c r="D378" s="2"/>
      <c r="E378" s="98">
        <f>F321+F208+F147+F80+F14</f>
        <v>0</v>
      </c>
      <c r="F378" s="2"/>
    </row>
    <row r="379" spans="1:6" x14ac:dyDescent="0.2">
      <c r="A379" s="1" t="s">
        <v>363</v>
      </c>
      <c r="B379" s="47">
        <f>F328+F232+F171+F104+F38</f>
        <v>0</v>
      </c>
      <c r="D379" s="2"/>
    </row>
    <row r="380" spans="1:6" x14ac:dyDescent="0.2">
      <c r="A380" s="1" t="s">
        <v>368</v>
      </c>
      <c r="B380" s="47">
        <f>F330+F236+F175+F108+F42</f>
        <v>0</v>
      </c>
    </row>
    <row r="381" spans="1:6" x14ac:dyDescent="0.2">
      <c r="A381" s="82" t="s">
        <v>397</v>
      </c>
      <c r="B381" s="83">
        <f>F331+F239+F178+F111+F45</f>
        <v>0</v>
      </c>
      <c r="C381" s="8"/>
      <c r="D381" s="2"/>
      <c r="E381" s="2"/>
      <c r="F381" s="8"/>
    </row>
    <row r="382" spans="1:6" x14ac:dyDescent="0.2">
      <c r="A382" s="82" t="s">
        <v>453</v>
      </c>
      <c r="B382" s="83">
        <f>F333+F243+F182+F115+F49</f>
        <v>0</v>
      </c>
      <c r="C382" s="8"/>
      <c r="D382" s="5"/>
      <c r="E382" s="5"/>
      <c r="F382" s="8"/>
    </row>
    <row r="383" spans="1:6" x14ac:dyDescent="0.2">
      <c r="D383" s="9"/>
      <c r="E383" s="9"/>
    </row>
    <row r="392" spans="1:3" x14ac:dyDescent="0.2">
      <c r="A392" s="2"/>
      <c r="B392" s="2"/>
      <c r="C392" s="2"/>
    </row>
    <row r="393" spans="1:3" x14ac:dyDescent="0.2">
      <c r="A393" s="2"/>
      <c r="B393" s="2"/>
      <c r="C393" s="2"/>
    </row>
    <row r="394" spans="1:3" x14ac:dyDescent="0.2">
      <c r="A394" s="2"/>
      <c r="B394" s="2"/>
      <c r="C394" s="2"/>
    </row>
    <row r="401" spans="1:6" x14ac:dyDescent="0.2">
      <c r="A401" s="2"/>
      <c r="B401" s="2"/>
      <c r="C401" s="2"/>
      <c r="D401" s="2"/>
      <c r="E401" s="2"/>
      <c r="F401" s="2"/>
    </row>
    <row r="402" spans="1:6" x14ac:dyDescent="0.2">
      <c r="A402" s="2"/>
      <c r="B402" s="2"/>
      <c r="D402" s="2"/>
    </row>
    <row r="404" spans="1:6" x14ac:dyDescent="0.2">
      <c r="A404" s="8"/>
      <c r="B404" s="8"/>
      <c r="C404" s="8"/>
      <c r="D404" s="2"/>
      <c r="E404" s="2"/>
      <c r="F404" s="8"/>
    </row>
    <row r="405" spans="1:6" x14ac:dyDescent="0.2">
      <c r="A405" s="8"/>
      <c r="B405" s="8"/>
      <c r="C405" s="8"/>
      <c r="D405" s="5"/>
      <c r="E405" s="5"/>
      <c r="F405" s="8"/>
    </row>
    <row r="406" spans="1:6" x14ac:dyDescent="0.2">
      <c r="D406" s="9"/>
      <c r="E406" s="9"/>
    </row>
    <row r="415" spans="1:6" x14ac:dyDescent="0.2">
      <c r="A415" s="2"/>
      <c r="B415" s="2"/>
      <c r="C415" s="2"/>
    </row>
    <row r="416" spans="1:6" x14ac:dyDescent="0.2">
      <c r="A416" s="2"/>
      <c r="B416" s="2"/>
      <c r="C416" s="2"/>
    </row>
    <row r="417" spans="1:6" x14ac:dyDescent="0.2">
      <c r="A417" s="2"/>
      <c r="B417" s="2"/>
      <c r="C417" s="2"/>
    </row>
    <row r="424" spans="1:6" x14ac:dyDescent="0.2">
      <c r="A424" s="2"/>
      <c r="B424" s="2"/>
      <c r="C424" s="2"/>
      <c r="D424" s="2"/>
      <c r="E424" s="2"/>
      <c r="F424" s="2"/>
    </row>
    <row r="425" spans="1:6" x14ac:dyDescent="0.2">
      <c r="A425" s="2"/>
      <c r="B425" s="2"/>
      <c r="D425" s="2"/>
    </row>
    <row r="427" spans="1:6" x14ac:dyDescent="0.2">
      <c r="A427" s="8"/>
      <c r="B427" s="8"/>
      <c r="C427" s="8"/>
      <c r="D427" s="2"/>
      <c r="E427" s="2"/>
      <c r="F427" s="8"/>
    </row>
    <row r="428" spans="1:6" x14ac:dyDescent="0.2">
      <c r="A428" s="8"/>
      <c r="B428" s="8"/>
      <c r="C428" s="8"/>
      <c r="D428" s="5"/>
      <c r="E428" s="5"/>
      <c r="F428" s="8"/>
    </row>
    <row r="429" spans="1:6" x14ac:dyDescent="0.2">
      <c r="D429" s="9"/>
      <c r="E429" s="9"/>
    </row>
    <row r="438" spans="1:6" x14ac:dyDescent="0.2">
      <c r="A438" s="2"/>
      <c r="B438" s="2"/>
      <c r="C438" s="2"/>
    </row>
    <row r="439" spans="1:6" x14ac:dyDescent="0.2">
      <c r="A439" s="2"/>
      <c r="B439" s="2"/>
      <c r="C439" s="2"/>
    </row>
    <row r="440" spans="1:6" x14ac:dyDescent="0.2">
      <c r="A440" s="2"/>
      <c r="B440" s="2"/>
      <c r="C440" s="2"/>
    </row>
    <row r="447" spans="1:6" x14ac:dyDescent="0.2">
      <c r="A447" s="2"/>
      <c r="B447" s="2"/>
      <c r="C447" s="2"/>
      <c r="D447" s="2"/>
      <c r="E447" s="2"/>
      <c r="F447" s="2"/>
    </row>
    <row r="448" spans="1:6" x14ac:dyDescent="0.2">
      <c r="A448" s="2"/>
      <c r="B448" s="2"/>
      <c r="D448" s="2"/>
    </row>
    <row r="450" spans="1:6" x14ac:dyDescent="0.2">
      <c r="A450" s="8"/>
      <c r="B450" s="8"/>
      <c r="C450" s="8"/>
      <c r="D450" s="2"/>
      <c r="E450" s="2"/>
      <c r="F450" s="8"/>
    </row>
    <row r="451" spans="1:6" x14ac:dyDescent="0.2">
      <c r="A451" s="8"/>
      <c r="B451" s="8"/>
      <c r="C451" s="8"/>
      <c r="D451" s="5"/>
      <c r="E451" s="5"/>
      <c r="F451" s="8"/>
    </row>
    <row r="452" spans="1:6" x14ac:dyDescent="0.2">
      <c r="D452" s="9"/>
      <c r="E452" s="9"/>
    </row>
    <row r="461" spans="1:6" x14ac:dyDescent="0.2">
      <c r="A461" s="2"/>
      <c r="B461" s="2"/>
      <c r="C461" s="2"/>
    </row>
    <row r="462" spans="1:6" x14ac:dyDescent="0.2">
      <c r="A462" s="2"/>
      <c r="B462" s="2"/>
      <c r="C462" s="2"/>
    </row>
    <row r="463" spans="1:6" x14ac:dyDescent="0.2">
      <c r="A463" s="2"/>
      <c r="B463" s="2"/>
      <c r="C463" s="2"/>
    </row>
    <row r="470" spans="1:6" x14ac:dyDescent="0.2">
      <c r="A470" s="2"/>
      <c r="B470" s="2"/>
      <c r="C470" s="2"/>
      <c r="D470" s="2"/>
      <c r="E470" s="2"/>
      <c r="F470" s="2"/>
    </row>
    <row r="471" spans="1:6" x14ac:dyDescent="0.2">
      <c r="A471" s="2"/>
      <c r="B471" s="2"/>
      <c r="D471" s="2"/>
    </row>
    <row r="473" spans="1:6" x14ac:dyDescent="0.2">
      <c r="A473" s="8"/>
      <c r="B473" s="8"/>
      <c r="C473" s="8"/>
      <c r="D473" s="2"/>
      <c r="E473" s="2"/>
      <c r="F473" s="8"/>
    </row>
    <row r="474" spans="1:6" x14ac:dyDescent="0.2">
      <c r="A474" s="8"/>
      <c r="B474" s="8"/>
      <c r="C474" s="8"/>
      <c r="D474" s="5"/>
      <c r="E474" s="5"/>
      <c r="F474" s="8"/>
    </row>
    <row r="475" spans="1:6" x14ac:dyDescent="0.2">
      <c r="D475" s="9"/>
      <c r="E475" s="9"/>
    </row>
    <row r="484" spans="1:6" x14ac:dyDescent="0.2">
      <c r="A484" s="2"/>
      <c r="B484" s="2"/>
      <c r="C484" s="2"/>
    </row>
    <row r="485" spans="1:6" x14ac:dyDescent="0.2">
      <c r="A485" s="2"/>
      <c r="B485" s="2"/>
      <c r="C485" s="2"/>
    </row>
    <row r="486" spans="1:6" x14ac:dyDescent="0.2">
      <c r="A486" s="2"/>
      <c r="B486" s="2"/>
      <c r="C486" s="2"/>
    </row>
    <row r="493" spans="1:6" x14ac:dyDescent="0.2">
      <c r="A493" s="2"/>
      <c r="B493" s="2"/>
      <c r="C493" s="2"/>
      <c r="D493" s="2"/>
      <c r="E493" s="2"/>
      <c r="F493" s="2"/>
    </row>
    <row r="494" spans="1:6" x14ac:dyDescent="0.2">
      <c r="A494" s="2"/>
      <c r="B494" s="2"/>
      <c r="D494" s="2"/>
    </row>
    <row r="496" spans="1:6" x14ac:dyDescent="0.2">
      <c r="A496" s="8"/>
      <c r="B496" s="8"/>
      <c r="C496" s="8"/>
      <c r="D496" s="2"/>
      <c r="E496" s="2"/>
      <c r="F496" s="8"/>
    </row>
    <row r="497" spans="1:6" x14ac:dyDescent="0.2">
      <c r="A497" s="8"/>
      <c r="B497" s="8"/>
      <c r="C497" s="8"/>
      <c r="D497" s="5"/>
      <c r="E497" s="5"/>
      <c r="F497" s="8"/>
    </row>
    <row r="498" spans="1:6" x14ac:dyDescent="0.2">
      <c r="D498" s="9"/>
      <c r="E498" s="9"/>
    </row>
    <row r="507" spans="1:6" x14ac:dyDescent="0.2">
      <c r="A507" s="2"/>
      <c r="B507" s="2"/>
      <c r="C507" s="2"/>
    </row>
    <row r="508" spans="1:6" x14ac:dyDescent="0.2">
      <c r="A508" s="2"/>
      <c r="B508" s="2"/>
      <c r="C508" s="2"/>
    </row>
    <row r="509" spans="1:6" x14ac:dyDescent="0.2">
      <c r="A509" s="2"/>
      <c r="B509" s="2"/>
      <c r="C509" s="2"/>
    </row>
    <row r="516" spans="1:6" x14ac:dyDescent="0.2">
      <c r="A516" s="2"/>
      <c r="B516" s="2"/>
      <c r="C516" s="2"/>
      <c r="D516" s="2"/>
      <c r="E516" s="2"/>
      <c r="F516" s="2"/>
    </row>
    <row r="517" spans="1:6" x14ac:dyDescent="0.2">
      <c r="A517" s="2"/>
      <c r="B517" s="2"/>
      <c r="D517" s="2"/>
    </row>
    <row r="519" spans="1:6" x14ac:dyDescent="0.2">
      <c r="A519" s="8"/>
      <c r="B519" s="8"/>
      <c r="C519" s="8"/>
      <c r="D519" s="2"/>
      <c r="E519" s="2"/>
      <c r="F519" s="8"/>
    </row>
    <row r="520" spans="1:6" x14ac:dyDescent="0.2">
      <c r="A520" s="8"/>
      <c r="B520" s="8"/>
      <c r="C520" s="8"/>
      <c r="D520" s="5"/>
      <c r="E520" s="5"/>
      <c r="F520" s="8"/>
    </row>
    <row r="521" spans="1:6" x14ac:dyDescent="0.2">
      <c r="D521" s="9"/>
      <c r="E521" s="9"/>
    </row>
    <row r="530" spans="1:6" x14ac:dyDescent="0.2">
      <c r="A530" s="2"/>
      <c r="B530" s="2"/>
      <c r="C530" s="2"/>
    </row>
    <row r="531" spans="1:6" x14ac:dyDescent="0.2">
      <c r="A531" s="2"/>
      <c r="B531" s="2"/>
      <c r="C531" s="2"/>
    </row>
    <row r="532" spans="1:6" x14ac:dyDescent="0.2">
      <c r="A532" s="2"/>
      <c r="B532" s="2"/>
      <c r="C532" s="2"/>
    </row>
    <row r="539" spans="1:6" x14ac:dyDescent="0.2">
      <c r="A539" s="2"/>
      <c r="B539" s="2"/>
      <c r="C539" s="2"/>
      <c r="D539" s="2"/>
      <c r="E539" s="2"/>
      <c r="F539" s="2"/>
    </row>
    <row r="540" spans="1:6" x14ac:dyDescent="0.2">
      <c r="A540" s="2"/>
      <c r="B540" s="2"/>
      <c r="D540" s="2"/>
    </row>
    <row r="542" spans="1:6" x14ac:dyDescent="0.2">
      <c r="A542" s="8"/>
      <c r="B542" s="8"/>
      <c r="C542" s="8"/>
      <c r="D542" s="2"/>
      <c r="E542" s="2"/>
      <c r="F542" s="8"/>
    </row>
    <row r="543" spans="1:6" x14ac:dyDescent="0.2">
      <c r="A543" s="8"/>
      <c r="B543" s="8"/>
      <c r="C543" s="8"/>
      <c r="D543" s="5"/>
      <c r="E543" s="5"/>
      <c r="F543" s="8"/>
    </row>
    <row r="544" spans="1:6" x14ac:dyDescent="0.2">
      <c r="D544" s="9"/>
      <c r="E544" s="9"/>
    </row>
    <row r="553" spans="1:3" x14ac:dyDescent="0.2">
      <c r="A553" s="2"/>
      <c r="B553" s="2"/>
      <c r="C553" s="2"/>
    </row>
    <row r="554" spans="1:3" x14ac:dyDescent="0.2">
      <c r="A554" s="2"/>
      <c r="B554" s="2"/>
      <c r="C554" s="2"/>
    </row>
    <row r="555" spans="1:3" x14ac:dyDescent="0.2">
      <c r="A555" s="2"/>
      <c r="B555" s="2"/>
      <c r="C555" s="2"/>
    </row>
    <row r="562" spans="1:6" x14ac:dyDescent="0.2">
      <c r="A562" s="2"/>
      <c r="B562" s="2"/>
      <c r="C562" s="2"/>
      <c r="D562" s="2"/>
      <c r="E562" s="2"/>
      <c r="F562" s="2"/>
    </row>
    <row r="563" spans="1:6" x14ac:dyDescent="0.2">
      <c r="A563" s="2"/>
      <c r="B563" s="2"/>
      <c r="D563" s="2"/>
    </row>
    <row r="565" spans="1:6" x14ac:dyDescent="0.2">
      <c r="A565" s="8"/>
      <c r="B565" s="8"/>
      <c r="C565" s="8"/>
      <c r="D565" s="2"/>
      <c r="E565" s="2"/>
      <c r="F565" s="8"/>
    </row>
    <row r="566" spans="1:6" x14ac:dyDescent="0.2">
      <c r="A566" s="8"/>
      <c r="B566" s="8"/>
      <c r="C566" s="8"/>
      <c r="D566" s="5"/>
      <c r="E566" s="5"/>
      <c r="F566" s="8"/>
    </row>
    <row r="567" spans="1:6" x14ac:dyDescent="0.2">
      <c r="D567" s="9"/>
      <c r="E567" s="9"/>
    </row>
    <row r="576" spans="1:6" x14ac:dyDescent="0.2">
      <c r="A576" s="2"/>
      <c r="B576" s="2"/>
      <c r="C576" s="2"/>
    </row>
    <row r="577" spans="1:6" x14ac:dyDescent="0.2">
      <c r="A577" s="2"/>
      <c r="B577" s="2"/>
      <c r="C577" s="2"/>
    </row>
    <row r="578" spans="1:6" x14ac:dyDescent="0.2">
      <c r="A578" s="2"/>
      <c r="B578" s="2"/>
      <c r="C578" s="2"/>
    </row>
    <row r="585" spans="1:6" x14ac:dyDescent="0.2">
      <c r="A585" s="2"/>
      <c r="B585" s="2"/>
      <c r="C585" s="2"/>
      <c r="D585" s="2"/>
      <c r="E585" s="2"/>
      <c r="F585" s="2"/>
    </row>
    <row r="586" spans="1:6" x14ac:dyDescent="0.2">
      <c r="A586" s="2"/>
      <c r="B586" s="2"/>
      <c r="D586" s="2"/>
    </row>
    <row r="588" spans="1:6" x14ac:dyDescent="0.2">
      <c r="A588" s="8"/>
      <c r="B588" s="8"/>
      <c r="C588" s="8"/>
      <c r="D588" s="2"/>
      <c r="E588" s="2"/>
      <c r="F588" s="8"/>
    </row>
    <row r="589" spans="1:6" x14ac:dyDescent="0.2">
      <c r="A589" s="8"/>
      <c r="B589" s="8"/>
      <c r="C589" s="8"/>
      <c r="D589" s="5"/>
      <c r="E589" s="5"/>
      <c r="F589" s="8"/>
    </row>
    <row r="590" spans="1:6" x14ac:dyDescent="0.2">
      <c r="D590" s="9"/>
      <c r="E590" s="9"/>
    </row>
    <row r="599" spans="1:6" x14ac:dyDescent="0.2">
      <c r="A599" s="2"/>
      <c r="B599" s="2"/>
      <c r="C599" s="2"/>
    </row>
    <row r="600" spans="1:6" x14ac:dyDescent="0.2">
      <c r="A600" s="2"/>
      <c r="B600" s="2"/>
      <c r="C600" s="2"/>
    </row>
    <row r="601" spans="1:6" x14ac:dyDescent="0.2">
      <c r="A601" s="2"/>
      <c r="B601" s="2"/>
      <c r="C601" s="2"/>
    </row>
    <row r="608" spans="1:6" x14ac:dyDescent="0.2">
      <c r="A608" s="2"/>
      <c r="B608" s="2"/>
      <c r="C608" s="2"/>
      <c r="D608" s="2"/>
      <c r="E608" s="2"/>
      <c r="F608" s="2"/>
    </row>
    <row r="609" spans="1:6" x14ac:dyDescent="0.2">
      <c r="A609" s="2"/>
      <c r="B609" s="2"/>
      <c r="D609" s="2"/>
    </row>
    <row r="611" spans="1:6" x14ac:dyDescent="0.2">
      <c r="A611" s="8"/>
      <c r="B611" s="8"/>
      <c r="C611" s="8"/>
      <c r="D611" s="2"/>
      <c r="E611" s="2"/>
      <c r="F611" s="8"/>
    </row>
    <row r="612" spans="1:6" x14ac:dyDescent="0.2">
      <c r="A612" s="8"/>
      <c r="B612" s="8"/>
      <c r="C612" s="8"/>
      <c r="D612" s="5"/>
      <c r="E612" s="5"/>
      <c r="F612" s="8"/>
    </row>
    <row r="613" spans="1:6" x14ac:dyDescent="0.2">
      <c r="D613" s="9"/>
      <c r="E613" s="9"/>
    </row>
    <row r="622" spans="1:6" x14ac:dyDescent="0.2">
      <c r="A622" s="2"/>
      <c r="B622" s="2"/>
      <c r="C622" s="2"/>
    </row>
    <row r="623" spans="1:6" x14ac:dyDescent="0.2">
      <c r="A623" s="2"/>
      <c r="B623" s="2"/>
      <c r="C623" s="2"/>
    </row>
    <row r="624" spans="1:6" x14ac:dyDescent="0.2">
      <c r="A624" s="2"/>
      <c r="B624" s="2"/>
      <c r="C624" s="2"/>
    </row>
    <row r="631" spans="1:6" x14ac:dyDescent="0.2">
      <c r="A631" s="2"/>
      <c r="B631" s="2"/>
      <c r="C631" s="2"/>
      <c r="D631" s="2"/>
      <c r="E631" s="2"/>
      <c r="F631" s="2"/>
    </row>
    <row r="632" spans="1:6" x14ac:dyDescent="0.2">
      <c r="A632" s="2"/>
      <c r="B632" s="2"/>
      <c r="D632" s="2"/>
    </row>
    <row r="634" spans="1:6" x14ac:dyDescent="0.2">
      <c r="A634" s="8"/>
      <c r="B634" s="8"/>
      <c r="C634" s="8"/>
      <c r="D634" s="2"/>
      <c r="E634" s="2"/>
      <c r="F634" s="8"/>
    </row>
    <row r="635" spans="1:6" x14ac:dyDescent="0.2">
      <c r="A635" s="8"/>
      <c r="B635" s="8"/>
      <c r="C635" s="8"/>
      <c r="D635" s="5"/>
      <c r="E635" s="5"/>
      <c r="F635" s="8"/>
    </row>
    <row r="636" spans="1:6" x14ac:dyDescent="0.2">
      <c r="D636" s="9"/>
      <c r="E636" s="9"/>
    </row>
    <row r="645" spans="1:6" x14ac:dyDescent="0.2">
      <c r="A645" s="2"/>
      <c r="B645" s="2"/>
      <c r="C645" s="2"/>
    </row>
    <row r="646" spans="1:6" x14ac:dyDescent="0.2">
      <c r="A646" s="2"/>
      <c r="B646" s="2"/>
      <c r="C646" s="2"/>
    </row>
    <row r="647" spans="1:6" x14ac:dyDescent="0.2">
      <c r="A647" s="2"/>
      <c r="B647" s="2"/>
      <c r="C647" s="2"/>
    </row>
    <row r="654" spans="1:6" x14ac:dyDescent="0.2">
      <c r="A654" s="2"/>
      <c r="B654" s="2"/>
      <c r="C654" s="2"/>
      <c r="D654" s="2"/>
      <c r="E654" s="2"/>
      <c r="F654" s="2"/>
    </row>
    <row r="655" spans="1:6" x14ac:dyDescent="0.2">
      <c r="A655" s="2"/>
      <c r="B655" s="2"/>
      <c r="D655" s="2"/>
    </row>
    <row r="657" spans="1:6" x14ac:dyDescent="0.2">
      <c r="A657" s="8"/>
      <c r="B657" s="8"/>
      <c r="C657" s="8"/>
      <c r="D657" s="2"/>
      <c r="E657" s="2"/>
      <c r="F657" s="8"/>
    </row>
    <row r="658" spans="1:6" x14ac:dyDescent="0.2">
      <c r="A658" s="8"/>
      <c r="B658" s="8"/>
      <c r="C658" s="8"/>
      <c r="D658" s="5"/>
      <c r="E658" s="5"/>
      <c r="F658" s="8"/>
    </row>
    <row r="659" spans="1:6" x14ac:dyDescent="0.2">
      <c r="D659" s="9"/>
      <c r="E659" s="9"/>
    </row>
    <row r="668" spans="1:6" x14ac:dyDescent="0.2">
      <c r="A668" s="2"/>
      <c r="B668" s="2"/>
      <c r="C668" s="2"/>
    </row>
    <row r="669" spans="1:6" x14ac:dyDescent="0.2">
      <c r="A669" s="2"/>
      <c r="B669" s="2"/>
      <c r="C669" s="2"/>
    </row>
    <row r="670" spans="1:6" x14ac:dyDescent="0.2">
      <c r="A670" s="2"/>
      <c r="B670" s="2"/>
      <c r="C670" s="2"/>
    </row>
  </sheetData>
  <mergeCells count="60">
    <mergeCell ref="A53:C53"/>
    <mergeCell ref="A54:C54"/>
    <mergeCell ref="A55:C55"/>
    <mergeCell ref="A251:B251"/>
    <mergeCell ref="A252:B252"/>
    <mergeCell ref="A186:C186"/>
    <mergeCell ref="A187:C187"/>
    <mergeCell ref="A188:C188"/>
    <mergeCell ref="A119:C119"/>
    <mergeCell ref="A120:C120"/>
    <mergeCell ref="A121:C121"/>
    <mergeCell ref="A246:C246"/>
    <mergeCell ref="A247:C247"/>
    <mergeCell ref="A248:C248"/>
    <mergeCell ref="A253:F253"/>
    <mergeCell ref="A288:C288"/>
    <mergeCell ref="A289:C289"/>
    <mergeCell ref="D256:E256"/>
    <mergeCell ref="F256:F257"/>
    <mergeCell ref="A290:C290"/>
    <mergeCell ref="A254:B254"/>
    <mergeCell ref="A256:A257"/>
    <mergeCell ref="B256:B257"/>
    <mergeCell ref="C256:C257"/>
    <mergeCell ref="F302:F303"/>
    <mergeCell ref="A297:B297"/>
    <mergeCell ref="A298:B298"/>
    <mergeCell ref="A299:F299"/>
    <mergeCell ref="A307:C307"/>
    <mergeCell ref="A300:B300"/>
    <mergeCell ref="A302:A303"/>
    <mergeCell ref="B302:B303"/>
    <mergeCell ref="C302:C303"/>
    <mergeCell ref="D302:E302"/>
    <mergeCell ref="A308:C308"/>
    <mergeCell ref="A309:C309"/>
    <mergeCell ref="A345:C345"/>
    <mergeCell ref="A346:C346"/>
    <mergeCell ref="A347:C347"/>
    <mergeCell ref="A311:B311"/>
    <mergeCell ref="A312:B312"/>
    <mergeCell ref="A313:F313"/>
    <mergeCell ref="A314:B314"/>
    <mergeCell ref="A316:A317"/>
    <mergeCell ref="B316:B317"/>
    <mergeCell ref="C316:C317"/>
    <mergeCell ref="D316:E316"/>
    <mergeCell ref="F316:F317"/>
    <mergeCell ref="A365:C365"/>
    <mergeCell ref="A366:C366"/>
    <mergeCell ref="A367:C367"/>
    <mergeCell ref="A352:B352"/>
    <mergeCell ref="A354:A355"/>
    <mergeCell ref="B354:B355"/>
    <mergeCell ref="C354:C355"/>
    <mergeCell ref="D354:E354"/>
    <mergeCell ref="F354:F355"/>
    <mergeCell ref="A349:B349"/>
    <mergeCell ref="A350:B350"/>
    <mergeCell ref="A351:F351"/>
  </mergeCells>
  <phoneticPr fontId="8" type="noConversion"/>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240"/>
  <sheetViews>
    <sheetView view="pageLayout" zoomScale="86" zoomScalePageLayoutView="86" workbookViewId="0">
      <selection activeCell="H19" sqref="H19"/>
    </sheetView>
  </sheetViews>
  <sheetFormatPr defaultColWidth="9.140625" defaultRowHeight="12" x14ac:dyDescent="0.2"/>
  <cols>
    <col min="1" max="1" width="7.7109375" style="1" customWidth="1"/>
    <col min="2" max="2" width="31.5703125" style="1" customWidth="1"/>
    <col min="3" max="3" width="9" style="1" customWidth="1"/>
    <col min="4" max="4" width="15.140625" style="1" customWidth="1"/>
    <col min="5" max="5" width="12.28515625" style="1" customWidth="1"/>
    <col min="6" max="6" width="16.85546875" style="47" customWidth="1"/>
    <col min="7" max="7" width="17" style="13" customWidth="1"/>
    <col min="8" max="16384" width="9.140625" style="1"/>
  </cols>
  <sheetData>
    <row r="2" spans="1:6" x14ac:dyDescent="0.2">
      <c r="A2" s="100" t="s">
        <v>0</v>
      </c>
      <c r="B2" s="100"/>
    </row>
    <row r="3" spans="1:6" x14ac:dyDescent="0.2">
      <c r="A3" s="100" t="s">
        <v>1</v>
      </c>
      <c r="B3" s="100"/>
    </row>
    <row r="4" spans="1:6" x14ac:dyDescent="0.2">
      <c r="A4" s="101" t="s">
        <v>2</v>
      </c>
      <c r="B4" s="101"/>
      <c r="C4" s="101"/>
      <c r="D4" s="101"/>
      <c r="E4" s="101"/>
      <c r="F4" s="101"/>
    </row>
    <row r="5" spans="1:6" x14ac:dyDescent="0.2">
      <c r="A5" s="122" t="s">
        <v>45</v>
      </c>
      <c r="B5" s="122"/>
      <c r="C5" s="125"/>
      <c r="D5" s="123" t="s">
        <v>46</v>
      </c>
      <c r="E5" s="125"/>
      <c r="F5" s="144"/>
    </row>
    <row r="6" spans="1:6" x14ac:dyDescent="0.2">
      <c r="A6" s="125"/>
      <c r="B6" s="125"/>
      <c r="C6" s="125"/>
      <c r="D6" s="125"/>
      <c r="E6" s="125"/>
      <c r="F6" s="144"/>
    </row>
    <row r="7" spans="1:6" x14ac:dyDescent="0.2">
      <c r="A7" s="134" t="s">
        <v>3</v>
      </c>
      <c r="B7" s="134" t="s">
        <v>4</v>
      </c>
      <c r="C7" s="134" t="s">
        <v>5</v>
      </c>
      <c r="D7" s="135" t="s">
        <v>6</v>
      </c>
      <c r="E7" s="136"/>
      <c r="F7" s="145" t="s">
        <v>9</v>
      </c>
    </row>
    <row r="8" spans="1:6" x14ac:dyDescent="0.2">
      <c r="A8" s="137"/>
      <c r="B8" s="137"/>
      <c r="C8" s="137"/>
      <c r="D8" s="124" t="s">
        <v>7</v>
      </c>
      <c r="E8" s="124" t="s">
        <v>8</v>
      </c>
      <c r="F8" s="146"/>
    </row>
    <row r="9" spans="1:6" x14ac:dyDescent="0.2">
      <c r="A9" s="133" t="s">
        <v>207</v>
      </c>
      <c r="B9" s="127" t="s">
        <v>206</v>
      </c>
      <c r="C9" s="127"/>
      <c r="D9" s="46">
        <v>0</v>
      </c>
      <c r="E9" s="46">
        <v>0</v>
      </c>
      <c r="F9" s="59">
        <v>0</v>
      </c>
    </row>
    <row r="10" spans="1:6" x14ac:dyDescent="0.2">
      <c r="A10" s="18"/>
      <c r="B10" s="4"/>
      <c r="C10" s="4" t="s">
        <v>187</v>
      </c>
      <c r="D10" s="20"/>
      <c r="E10" s="20"/>
      <c r="F10" s="28">
        <f>F9+D10</f>
        <v>0</v>
      </c>
    </row>
    <row r="11" spans="1:6" x14ac:dyDescent="0.2">
      <c r="A11" s="4"/>
      <c r="B11" s="4"/>
      <c r="C11" s="4"/>
      <c r="D11" s="20"/>
      <c r="E11" s="20"/>
      <c r="F11" s="28"/>
    </row>
    <row r="12" spans="1:6" x14ac:dyDescent="0.2">
      <c r="A12" s="4"/>
      <c r="B12" s="4"/>
      <c r="C12" s="4"/>
      <c r="D12" s="20"/>
      <c r="E12" s="20"/>
      <c r="F12" s="28"/>
    </row>
    <row r="13" spans="1:6" x14ac:dyDescent="0.2">
      <c r="A13" s="105" t="s">
        <v>10</v>
      </c>
      <c r="B13" s="112"/>
      <c r="C13" s="106"/>
      <c r="D13" s="20">
        <f>SUM(D9:D12)</f>
        <v>0</v>
      </c>
      <c r="E13" s="20">
        <f>SUM(E9:E12)</f>
        <v>0</v>
      </c>
      <c r="F13" s="28">
        <f>D13-E13</f>
        <v>0</v>
      </c>
    </row>
    <row r="14" spans="1:6" x14ac:dyDescent="0.2">
      <c r="A14" s="105" t="s">
        <v>11</v>
      </c>
      <c r="B14" s="112"/>
      <c r="C14" s="106"/>
      <c r="D14" s="20">
        <f>F9</f>
        <v>0</v>
      </c>
      <c r="E14" s="20"/>
      <c r="F14" s="28">
        <f>D14-E14</f>
        <v>0</v>
      </c>
    </row>
    <row r="15" spans="1:6" x14ac:dyDescent="0.2">
      <c r="A15" s="105" t="s">
        <v>10</v>
      </c>
      <c r="B15" s="112"/>
      <c r="C15" s="106"/>
      <c r="D15" s="20">
        <f>SUM(D13:D14)</f>
        <v>0</v>
      </c>
      <c r="E15" s="20">
        <f>SUM(E13:E14)</f>
        <v>0</v>
      </c>
      <c r="F15" s="28">
        <f>SUM(F13:F14)</f>
        <v>0</v>
      </c>
    </row>
    <row r="16" spans="1:6" x14ac:dyDescent="0.2">
      <c r="A16" s="5"/>
      <c r="B16" s="5"/>
      <c r="C16" s="5"/>
    </row>
    <row r="17" spans="1:6" x14ac:dyDescent="0.2">
      <c r="A17" s="5"/>
      <c r="B17" s="5"/>
      <c r="C17" s="5"/>
    </row>
    <row r="18" spans="1:6" x14ac:dyDescent="0.2">
      <c r="A18" s="100" t="s">
        <v>0</v>
      </c>
      <c r="B18" s="100"/>
    </row>
    <row r="19" spans="1:6" x14ac:dyDescent="0.2">
      <c r="A19" s="100" t="s">
        <v>1</v>
      </c>
      <c r="B19" s="100"/>
    </row>
    <row r="20" spans="1:6" x14ac:dyDescent="0.2">
      <c r="A20" s="101" t="s">
        <v>2</v>
      </c>
      <c r="B20" s="101"/>
      <c r="C20" s="101"/>
      <c r="D20" s="101"/>
      <c r="E20" s="101"/>
      <c r="F20" s="101"/>
    </row>
    <row r="21" spans="1:6" x14ac:dyDescent="0.2">
      <c r="A21" s="122" t="s">
        <v>47</v>
      </c>
      <c r="B21" s="122"/>
      <c r="C21" s="125"/>
      <c r="D21" s="123" t="s">
        <v>48</v>
      </c>
      <c r="E21" s="125"/>
      <c r="F21" s="144"/>
    </row>
    <row r="22" spans="1:6" x14ac:dyDescent="0.2">
      <c r="A22" s="125"/>
      <c r="B22" s="125"/>
      <c r="C22" s="125"/>
      <c r="D22" s="125"/>
      <c r="E22" s="125"/>
      <c r="F22" s="144"/>
    </row>
    <row r="23" spans="1:6" x14ac:dyDescent="0.2">
      <c r="A23" s="134" t="s">
        <v>3</v>
      </c>
      <c r="B23" s="134" t="s">
        <v>4</v>
      </c>
      <c r="C23" s="134" t="s">
        <v>5</v>
      </c>
      <c r="D23" s="135" t="s">
        <v>6</v>
      </c>
      <c r="E23" s="136"/>
      <c r="F23" s="145" t="s">
        <v>9</v>
      </c>
    </row>
    <row r="24" spans="1:6" x14ac:dyDescent="0.2">
      <c r="A24" s="137"/>
      <c r="B24" s="137"/>
      <c r="C24" s="137"/>
      <c r="D24" s="124" t="s">
        <v>7</v>
      </c>
      <c r="E24" s="124" t="s">
        <v>8</v>
      </c>
      <c r="F24" s="146"/>
    </row>
    <row r="25" spans="1:6" x14ac:dyDescent="0.2">
      <c r="A25" s="148" t="s">
        <v>207</v>
      </c>
      <c r="B25" s="149" t="s">
        <v>206</v>
      </c>
      <c r="C25" s="149"/>
      <c r="D25" s="150">
        <v>0</v>
      </c>
      <c r="E25" s="150">
        <v>0</v>
      </c>
      <c r="F25" s="151">
        <v>0</v>
      </c>
    </row>
    <row r="26" spans="1:6" x14ac:dyDescent="0.2">
      <c r="A26" s="26" t="s">
        <v>598</v>
      </c>
      <c r="B26" s="27" t="s">
        <v>866</v>
      </c>
      <c r="C26" s="27" t="s">
        <v>187</v>
      </c>
      <c r="D26" s="21"/>
      <c r="E26" s="21"/>
      <c r="F26" s="56">
        <f>F25+D26</f>
        <v>0</v>
      </c>
    </row>
    <row r="27" spans="1:6" x14ac:dyDescent="0.2">
      <c r="A27" s="26"/>
      <c r="B27" s="27"/>
      <c r="C27" s="27"/>
      <c r="D27" s="21"/>
      <c r="E27" s="21"/>
      <c r="F27" s="56">
        <f t="shared" ref="F27:F28" si="0">F26+D27</f>
        <v>0</v>
      </c>
    </row>
    <row r="28" spans="1:6" x14ac:dyDescent="0.2">
      <c r="A28" s="26"/>
      <c r="B28" s="27"/>
      <c r="C28" s="27"/>
      <c r="D28" s="21"/>
      <c r="E28" s="21"/>
      <c r="F28" s="56">
        <f t="shared" si="0"/>
        <v>0</v>
      </c>
    </row>
    <row r="29" spans="1:6" x14ac:dyDescent="0.2">
      <c r="A29" s="27"/>
      <c r="B29" s="27"/>
      <c r="C29" s="27"/>
      <c r="D29" s="21"/>
      <c r="E29" s="21"/>
      <c r="F29" s="56"/>
    </row>
    <row r="30" spans="1:6" x14ac:dyDescent="0.2">
      <c r="A30" s="27"/>
      <c r="B30" s="27"/>
      <c r="C30" s="27"/>
      <c r="D30" s="21"/>
      <c r="E30" s="21"/>
      <c r="F30" s="56"/>
    </row>
    <row r="31" spans="1:6" x14ac:dyDescent="0.2">
      <c r="A31" s="113" t="s">
        <v>10</v>
      </c>
      <c r="B31" s="114"/>
      <c r="C31" s="115"/>
      <c r="D31" s="21">
        <f>SUM(D25:D30)</f>
        <v>0</v>
      </c>
      <c r="E31" s="21">
        <f>SUM(E25:E30)</f>
        <v>0</v>
      </c>
      <c r="F31" s="56">
        <f>D31-E31</f>
        <v>0</v>
      </c>
    </row>
    <row r="32" spans="1:6" x14ac:dyDescent="0.2">
      <c r="A32" s="113" t="s">
        <v>11</v>
      </c>
      <c r="B32" s="114"/>
      <c r="C32" s="115"/>
      <c r="D32" s="21">
        <f>F25</f>
        <v>0</v>
      </c>
      <c r="E32" s="21"/>
      <c r="F32" s="56">
        <f>D32-E32</f>
        <v>0</v>
      </c>
    </row>
    <row r="33" spans="1:6" x14ac:dyDescent="0.2">
      <c r="A33" s="105" t="s">
        <v>10</v>
      </c>
      <c r="B33" s="112"/>
      <c r="C33" s="106"/>
      <c r="D33" s="20">
        <f>SUM(D31:D32)</f>
        <v>0</v>
      </c>
      <c r="E33" s="20">
        <f>SUM(E31:E32)</f>
        <v>0</v>
      </c>
      <c r="F33" s="28">
        <f>SUM(F31:F32)</f>
        <v>0</v>
      </c>
    </row>
    <row r="34" spans="1:6" x14ac:dyDescent="0.2">
      <c r="A34" s="5"/>
      <c r="B34" s="5"/>
      <c r="C34" s="5"/>
    </row>
    <row r="36" spans="1:6" x14ac:dyDescent="0.2">
      <c r="A36" s="100" t="s">
        <v>0</v>
      </c>
      <c r="B36" s="100"/>
    </row>
    <row r="37" spans="1:6" x14ac:dyDescent="0.2">
      <c r="A37" s="100" t="s">
        <v>1</v>
      </c>
      <c r="B37" s="100"/>
    </row>
    <row r="38" spans="1:6" x14ac:dyDescent="0.2">
      <c r="A38" s="101" t="s">
        <v>2</v>
      </c>
      <c r="B38" s="101"/>
      <c r="C38" s="101"/>
      <c r="D38" s="101"/>
      <c r="E38" s="101"/>
      <c r="F38" s="101"/>
    </row>
    <row r="39" spans="1:6" x14ac:dyDescent="0.2">
      <c r="A39" s="109" t="s">
        <v>49</v>
      </c>
      <c r="B39" s="109"/>
      <c r="D39" s="2" t="s">
        <v>50</v>
      </c>
    </row>
    <row r="41" spans="1:6" x14ac:dyDescent="0.2">
      <c r="A41" s="103" t="s">
        <v>3</v>
      </c>
      <c r="B41" s="103" t="s">
        <v>4</v>
      </c>
      <c r="C41" s="103" t="s">
        <v>5</v>
      </c>
      <c r="D41" s="105" t="s">
        <v>6</v>
      </c>
      <c r="E41" s="106"/>
      <c r="F41" s="107" t="s">
        <v>9</v>
      </c>
    </row>
    <row r="42" spans="1:6" x14ac:dyDescent="0.2">
      <c r="A42" s="104"/>
      <c r="B42" s="104"/>
      <c r="C42" s="104"/>
      <c r="D42" s="3" t="s">
        <v>7</v>
      </c>
      <c r="E42" s="3" t="s">
        <v>8</v>
      </c>
      <c r="F42" s="108"/>
    </row>
    <row r="43" spans="1:6" x14ac:dyDescent="0.2">
      <c r="A43" s="18" t="s">
        <v>207</v>
      </c>
      <c r="B43" s="4" t="s">
        <v>206</v>
      </c>
      <c r="C43" s="4"/>
      <c r="D43" s="20">
        <v>0</v>
      </c>
      <c r="E43" s="20">
        <v>0</v>
      </c>
      <c r="F43" s="59">
        <v>0</v>
      </c>
    </row>
    <row r="44" spans="1:6" x14ac:dyDescent="0.2">
      <c r="A44" s="18"/>
      <c r="B44" s="4"/>
      <c r="C44" s="4" t="s">
        <v>187</v>
      </c>
      <c r="D44" s="20"/>
      <c r="E44" s="20"/>
      <c r="F44" s="28">
        <f>F43+D44</f>
        <v>0</v>
      </c>
    </row>
    <row r="45" spans="1:6" x14ac:dyDescent="0.2">
      <c r="A45" s="18"/>
      <c r="B45" s="4"/>
      <c r="C45" s="4" t="s">
        <v>187</v>
      </c>
      <c r="D45" s="20"/>
      <c r="E45" s="20"/>
      <c r="F45" s="28">
        <f t="shared" ref="F45:F57" si="1">F44+D45</f>
        <v>0</v>
      </c>
    </row>
    <row r="46" spans="1:6" x14ac:dyDescent="0.2">
      <c r="A46" s="18"/>
      <c r="B46" s="4"/>
      <c r="C46" s="4" t="s">
        <v>187</v>
      </c>
      <c r="D46" s="20"/>
      <c r="E46" s="20"/>
      <c r="F46" s="28">
        <f t="shared" si="1"/>
        <v>0</v>
      </c>
    </row>
    <row r="47" spans="1:6" x14ac:dyDescent="0.2">
      <c r="A47" s="18"/>
      <c r="B47" s="4"/>
      <c r="C47" s="4" t="s">
        <v>187</v>
      </c>
      <c r="D47" s="20"/>
      <c r="E47" s="20"/>
      <c r="F47" s="28">
        <f t="shared" si="1"/>
        <v>0</v>
      </c>
    </row>
    <row r="48" spans="1:6" x14ac:dyDescent="0.2">
      <c r="A48" s="18"/>
      <c r="B48" s="4"/>
      <c r="C48" s="4" t="s">
        <v>187</v>
      </c>
      <c r="D48" s="20"/>
      <c r="E48" s="20"/>
      <c r="F48" s="28">
        <f t="shared" si="1"/>
        <v>0</v>
      </c>
    </row>
    <row r="49" spans="1:6" x14ac:dyDescent="0.2">
      <c r="A49" s="53"/>
      <c r="B49" s="4"/>
      <c r="C49" s="4" t="s">
        <v>187</v>
      </c>
      <c r="D49" s="20"/>
      <c r="E49" s="20"/>
      <c r="F49" s="28">
        <f t="shared" si="1"/>
        <v>0</v>
      </c>
    </row>
    <row r="50" spans="1:6" x14ac:dyDescent="0.2">
      <c r="A50" s="53"/>
      <c r="B50" s="4"/>
      <c r="C50" s="4" t="s">
        <v>187</v>
      </c>
      <c r="D50" s="20"/>
      <c r="E50" s="20"/>
      <c r="F50" s="28">
        <f t="shared" si="1"/>
        <v>0</v>
      </c>
    </row>
    <row r="51" spans="1:6" x14ac:dyDescent="0.2">
      <c r="A51" s="53"/>
      <c r="B51" s="4"/>
      <c r="C51" s="4" t="s">
        <v>187</v>
      </c>
      <c r="D51" s="20"/>
      <c r="E51" s="20"/>
      <c r="F51" s="28">
        <f t="shared" si="1"/>
        <v>0</v>
      </c>
    </row>
    <row r="52" spans="1:6" x14ac:dyDescent="0.2">
      <c r="A52" s="53"/>
      <c r="B52" s="4"/>
      <c r="C52" s="4" t="s">
        <v>187</v>
      </c>
      <c r="D52" s="20"/>
      <c r="E52" s="20"/>
      <c r="F52" s="28">
        <f t="shared" si="1"/>
        <v>0</v>
      </c>
    </row>
    <row r="53" spans="1:6" x14ac:dyDescent="0.2">
      <c r="A53" s="53"/>
      <c r="B53" s="4"/>
      <c r="C53" s="4" t="s">
        <v>187</v>
      </c>
      <c r="D53" s="20"/>
      <c r="E53" s="20"/>
      <c r="F53" s="28">
        <f t="shared" si="1"/>
        <v>0</v>
      </c>
    </row>
    <row r="54" spans="1:6" x14ac:dyDescent="0.2">
      <c r="A54" s="53"/>
      <c r="B54" s="4"/>
      <c r="C54" s="4" t="s">
        <v>187</v>
      </c>
      <c r="D54" s="20"/>
      <c r="E54" s="20"/>
      <c r="F54" s="28">
        <f t="shared" si="1"/>
        <v>0</v>
      </c>
    </row>
    <row r="55" spans="1:6" x14ac:dyDescent="0.2">
      <c r="A55" s="53"/>
      <c r="B55" s="4"/>
      <c r="C55" s="4" t="s">
        <v>187</v>
      </c>
      <c r="D55" s="20"/>
      <c r="E55" s="20"/>
      <c r="F55" s="28">
        <f t="shared" si="1"/>
        <v>0</v>
      </c>
    </row>
    <row r="56" spans="1:6" x14ac:dyDescent="0.2">
      <c r="A56" s="53"/>
      <c r="B56" s="4"/>
      <c r="C56" s="4" t="s">
        <v>187</v>
      </c>
      <c r="D56" s="20"/>
      <c r="E56" s="20"/>
      <c r="F56" s="28">
        <f t="shared" si="1"/>
        <v>0</v>
      </c>
    </row>
    <row r="57" spans="1:6" x14ac:dyDescent="0.2">
      <c r="A57" s="53"/>
      <c r="B57" s="4"/>
      <c r="C57" s="4" t="s">
        <v>187</v>
      </c>
      <c r="D57" s="20"/>
      <c r="E57" s="20"/>
      <c r="F57" s="28">
        <f t="shared" si="1"/>
        <v>0</v>
      </c>
    </row>
    <row r="58" spans="1:6" x14ac:dyDescent="0.2">
      <c r="A58" s="53"/>
      <c r="B58" s="4"/>
      <c r="C58" s="10"/>
      <c r="D58" s="20"/>
      <c r="E58" s="20"/>
      <c r="F58" s="28"/>
    </row>
    <row r="59" spans="1:6" x14ac:dyDescent="0.2">
      <c r="A59" s="53"/>
      <c r="B59" s="4"/>
      <c r="C59" s="10"/>
      <c r="D59" s="20"/>
      <c r="E59" s="20"/>
      <c r="F59" s="28"/>
    </row>
    <row r="60" spans="1:6" x14ac:dyDescent="0.2">
      <c r="A60" s="53"/>
      <c r="B60" s="4"/>
      <c r="C60" s="10"/>
      <c r="D60" s="20"/>
      <c r="E60" s="20"/>
      <c r="F60" s="28"/>
    </row>
    <row r="61" spans="1:6" x14ac:dyDescent="0.2">
      <c r="A61" s="53"/>
      <c r="B61" s="4"/>
      <c r="C61" s="10"/>
      <c r="D61" s="20"/>
      <c r="E61" s="20"/>
      <c r="F61" s="28"/>
    </row>
    <row r="62" spans="1:6" x14ac:dyDescent="0.2">
      <c r="A62" s="53"/>
      <c r="B62" s="4"/>
      <c r="C62" s="10"/>
      <c r="D62" s="20"/>
      <c r="E62" s="20"/>
      <c r="F62" s="28"/>
    </row>
    <row r="63" spans="1:6" x14ac:dyDescent="0.2">
      <c r="A63" s="105" t="s">
        <v>10</v>
      </c>
      <c r="B63" s="112"/>
      <c r="C63" s="106"/>
      <c r="D63" s="20">
        <f>SUM(D43:D62)</f>
        <v>0</v>
      </c>
      <c r="E63" s="20">
        <f>SUM(E43:E48)</f>
        <v>0</v>
      </c>
      <c r="F63" s="28">
        <f>D63-E63</f>
        <v>0</v>
      </c>
    </row>
    <row r="64" spans="1:6" x14ac:dyDescent="0.2">
      <c r="A64" s="105" t="s">
        <v>11</v>
      </c>
      <c r="B64" s="112"/>
      <c r="C64" s="106"/>
      <c r="D64" s="20">
        <f>F43</f>
        <v>0</v>
      </c>
      <c r="E64" s="20"/>
      <c r="F64" s="28">
        <f>D64-E64</f>
        <v>0</v>
      </c>
    </row>
    <row r="65" spans="1:6" x14ac:dyDescent="0.2">
      <c r="A65" s="105" t="s">
        <v>10</v>
      </c>
      <c r="B65" s="112"/>
      <c r="C65" s="106"/>
      <c r="D65" s="20">
        <f>SUM(D63:D64)</f>
        <v>0</v>
      </c>
      <c r="E65" s="20">
        <f>SUM(E63:E64)</f>
        <v>0</v>
      </c>
      <c r="F65" s="28">
        <f>SUM(F63:F64)</f>
        <v>0</v>
      </c>
    </row>
    <row r="79" spans="1:6" x14ac:dyDescent="0.2">
      <c r="A79" s="100" t="s">
        <v>0</v>
      </c>
      <c r="B79" s="100"/>
    </row>
    <row r="80" spans="1:6" x14ac:dyDescent="0.2">
      <c r="A80" s="100" t="s">
        <v>1</v>
      </c>
      <c r="B80" s="100"/>
    </row>
    <row r="81" spans="1:6" x14ac:dyDescent="0.2">
      <c r="A81" s="101" t="s">
        <v>2</v>
      </c>
      <c r="B81" s="101"/>
      <c r="C81" s="101"/>
      <c r="D81" s="101"/>
      <c r="E81" s="101"/>
      <c r="F81" s="101"/>
    </row>
    <row r="82" spans="1:6" x14ac:dyDescent="0.2">
      <c r="A82" s="109" t="s">
        <v>51</v>
      </c>
      <c r="B82" s="109"/>
      <c r="D82" s="2" t="s">
        <v>52</v>
      </c>
    </row>
    <row r="84" spans="1:6" x14ac:dyDescent="0.2">
      <c r="A84" s="103" t="s">
        <v>3</v>
      </c>
      <c r="B84" s="103" t="s">
        <v>4</v>
      </c>
      <c r="C84" s="103" t="s">
        <v>5</v>
      </c>
      <c r="D84" s="105" t="s">
        <v>6</v>
      </c>
      <c r="E84" s="106"/>
      <c r="F84" s="107" t="s">
        <v>9</v>
      </c>
    </row>
    <row r="85" spans="1:6" x14ac:dyDescent="0.2">
      <c r="A85" s="104"/>
      <c r="B85" s="104"/>
      <c r="C85" s="104"/>
      <c r="D85" s="3" t="s">
        <v>7</v>
      </c>
      <c r="E85" s="3" t="s">
        <v>8</v>
      </c>
      <c r="F85" s="108"/>
    </row>
    <row r="86" spans="1:6" x14ac:dyDescent="0.2">
      <c r="A86" s="18" t="s">
        <v>207</v>
      </c>
      <c r="B86" s="4" t="s">
        <v>206</v>
      </c>
      <c r="C86" s="4"/>
      <c r="D86" s="20">
        <v>0</v>
      </c>
      <c r="E86" s="20">
        <v>0</v>
      </c>
      <c r="F86" s="59">
        <v>0</v>
      </c>
    </row>
    <row r="87" spans="1:6" x14ac:dyDescent="0.2">
      <c r="A87" s="44"/>
      <c r="B87" s="81"/>
      <c r="C87" s="74" t="s">
        <v>187</v>
      </c>
      <c r="D87" s="73"/>
      <c r="E87" s="73"/>
      <c r="F87" s="45">
        <f>F86+D87</f>
        <v>0</v>
      </c>
    </row>
    <row r="88" spans="1:6" x14ac:dyDescent="0.2">
      <c r="A88" s="44"/>
      <c r="B88" s="81"/>
      <c r="C88" s="74" t="s">
        <v>187</v>
      </c>
      <c r="D88" s="73"/>
      <c r="E88" s="73"/>
      <c r="F88" s="45">
        <f t="shared" ref="F88:F89" si="2">F87+D88</f>
        <v>0</v>
      </c>
    </row>
    <row r="89" spans="1:6" x14ac:dyDescent="0.2">
      <c r="A89" s="18"/>
      <c r="B89" s="4"/>
      <c r="C89" s="74" t="s">
        <v>187</v>
      </c>
      <c r="D89" s="73"/>
      <c r="E89" s="20"/>
      <c r="F89" s="45">
        <f t="shared" si="2"/>
        <v>0</v>
      </c>
    </row>
    <row r="90" spans="1:6" x14ac:dyDescent="0.2">
      <c r="A90" s="4"/>
      <c r="B90" s="4"/>
      <c r="C90" s="4"/>
      <c r="D90" s="20"/>
      <c r="E90" s="20"/>
      <c r="F90" s="28"/>
    </row>
    <row r="91" spans="1:6" x14ac:dyDescent="0.2">
      <c r="A91" s="105" t="s">
        <v>10</v>
      </c>
      <c r="B91" s="112"/>
      <c r="C91" s="106"/>
      <c r="D91" s="20">
        <f>SUM(D86:D90)</f>
        <v>0</v>
      </c>
      <c r="E91" s="20">
        <f>SUM(E86:E90)</f>
        <v>0</v>
      </c>
      <c r="F91" s="28">
        <f>D91-E91</f>
        <v>0</v>
      </c>
    </row>
    <row r="92" spans="1:6" x14ac:dyDescent="0.2">
      <c r="A92" s="105" t="s">
        <v>11</v>
      </c>
      <c r="B92" s="112"/>
      <c r="C92" s="106"/>
      <c r="D92" s="20">
        <f>F86</f>
        <v>0</v>
      </c>
      <c r="E92" s="20"/>
      <c r="F92" s="28">
        <f>D92-E92</f>
        <v>0</v>
      </c>
    </row>
    <row r="93" spans="1:6" x14ac:dyDescent="0.2">
      <c r="A93" s="105" t="s">
        <v>10</v>
      </c>
      <c r="B93" s="112"/>
      <c r="C93" s="106"/>
      <c r="D93" s="20">
        <f>SUM(D91:D92)</f>
        <v>0</v>
      </c>
      <c r="E93" s="20">
        <f>SUM(E91:E92)</f>
        <v>0</v>
      </c>
      <c r="F93" s="28">
        <f>SUM(F91:F92)</f>
        <v>0</v>
      </c>
    </row>
    <row r="94" spans="1:6" x14ac:dyDescent="0.2">
      <c r="A94" s="5"/>
      <c r="B94" s="5"/>
      <c r="C94" s="5"/>
    </row>
    <row r="95" spans="1:6" x14ac:dyDescent="0.2">
      <c r="A95" s="100" t="s">
        <v>0</v>
      </c>
      <c r="B95" s="100"/>
    </row>
    <row r="96" spans="1:6" x14ac:dyDescent="0.2">
      <c r="A96" s="100" t="s">
        <v>1</v>
      </c>
      <c r="B96" s="100"/>
    </row>
    <row r="97" spans="1:6" x14ac:dyDescent="0.2">
      <c r="A97" s="101" t="s">
        <v>2</v>
      </c>
      <c r="B97" s="101"/>
      <c r="C97" s="101"/>
      <c r="D97" s="101"/>
      <c r="E97" s="101"/>
      <c r="F97" s="101"/>
    </row>
    <row r="98" spans="1:6" x14ac:dyDescent="0.2">
      <c r="A98" s="122" t="s">
        <v>53</v>
      </c>
      <c r="B98" s="122"/>
      <c r="C98" s="125"/>
      <c r="D98" s="123" t="s">
        <v>54</v>
      </c>
      <c r="E98" s="125"/>
      <c r="F98" s="144"/>
    </row>
    <row r="99" spans="1:6" x14ac:dyDescent="0.2">
      <c r="A99" s="125"/>
      <c r="B99" s="125"/>
      <c r="C99" s="125"/>
      <c r="D99" s="125"/>
      <c r="E99" s="125"/>
      <c r="F99" s="144"/>
    </row>
    <row r="100" spans="1:6" x14ac:dyDescent="0.2">
      <c r="A100" s="134" t="s">
        <v>3</v>
      </c>
      <c r="B100" s="134" t="s">
        <v>4</v>
      </c>
      <c r="C100" s="134" t="s">
        <v>5</v>
      </c>
      <c r="D100" s="135" t="s">
        <v>6</v>
      </c>
      <c r="E100" s="136"/>
      <c r="F100" s="145" t="s">
        <v>9</v>
      </c>
    </row>
    <row r="101" spans="1:6" x14ac:dyDescent="0.2">
      <c r="A101" s="137"/>
      <c r="B101" s="137"/>
      <c r="C101" s="137"/>
      <c r="D101" s="124" t="s">
        <v>7</v>
      </c>
      <c r="E101" s="124" t="s">
        <v>8</v>
      </c>
      <c r="F101" s="146"/>
    </row>
    <row r="102" spans="1:6" x14ac:dyDescent="0.2">
      <c r="A102" s="139" t="s">
        <v>207</v>
      </c>
      <c r="B102" s="127" t="s">
        <v>206</v>
      </c>
      <c r="C102" s="127"/>
      <c r="D102" s="147"/>
      <c r="E102" s="147"/>
      <c r="F102" s="59">
        <v>0</v>
      </c>
    </row>
    <row r="103" spans="1:6" x14ac:dyDescent="0.2">
      <c r="A103" s="18" t="s">
        <v>905</v>
      </c>
      <c r="B103" s="27" t="s">
        <v>904</v>
      </c>
      <c r="C103" s="4" t="s">
        <v>590</v>
      </c>
      <c r="D103" s="40"/>
      <c r="E103" s="28"/>
      <c r="F103" s="28">
        <f>F102+D103</f>
        <v>0</v>
      </c>
    </row>
    <row r="104" spans="1:6" x14ac:dyDescent="0.2">
      <c r="A104" s="18" t="s">
        <v>641</v>
      </c>
      <c r="B104" s="27" t="s">
        <v>1202</v>
      </c>
      <c r="C104" s="4" t="s">
        <v>590</v>
      </c>
      <c r="D104" s="28"/>
      <c r="E104" s="28"/>
      <c r="F104" s="28">
        <f>F103+D104</f>
        <v>0</v>
      </c>
    </row>
    <row r="105" spans="1:6" x14ac:dyDescent="0.2">
      <c r="A105" s="18" t="str">
        <f>A104</f>
        <v>19 Des</v>
      </c>
      <c r="B105" s="27" t="s">
        <v>1203</v>
      </c>
      <c r="C105" s="4" t="s">
        <v>590</v>
      </c>
      <c r="D105" s="28"/>
      <c r="E105" s="28"/>
      <c r="F105" s="28">
        <f>F104+D105</f>
        <v>0</v>
      </c>
    </row>
    <row r="106" spans="1:6" x14ac:dyDescent="0.2">
      <c r="A106" s="18" t="str">
        <f>A105</f>
        <v>19 Des</v>
      </c>
      <c r="B106" s="27" t="s">
        <v>1204</v>
      </c>
      <c r="C106" s="4" t="s">
        <v>590</v>
      </c>
      <c r="D106" s="28"/>
      <c r="E106" s="45"/>
      <c r="F106" s="45">
        <f>F105+D106</f>
        <v>0</v>
      </c>
    </row>
    <row r="107" spans="1:6" ht="36" x14ac:dyDescent="0.2">
      <c r="A107" s="88" t="s">
        <v>449</v>
      </c>
      <c r="B107" s="69" t="s">
        <v>1205</v>
      </c>
      <c r="C107" s="76" t="s">
        <v>239</v>
      </c>
      <c r="D107" s="89"/>
      <c r="E107" s="89"/>
      <c r="F107" s="89">
        <f>F106+D107</f>
        <v>0</v>
      </c>
    </row>
    <row r="108" spans="1:6" x14ac:dyDescent="0.2">
      <c r="A108" s="18"/>
      <c r="B108" s="4"/>
      <c r="C108" s="4" t="s">
        <v>239</v>
      </c>
      <c r="D108" s="45"/>
      <c r="E108" s="45"/>
      <c r="F108" s="45">
        <f t="shared" ref="F108:F115" si="3">F107+D108</f>
        <v>0</v>
      </c>
    </row>
    <row r="109" spans="1:6" x14ac:dyDescent="0.2">
      <c r="A109" s="44"/>
      <c r="B109" s="4"/>
      <c r="C109" s="4" t="s">
        <v>239</v>
      </c>
      <c r="D109" s="28"/>
      <c r="E109" s="28"/>
      <c r="F109" s="28">
        <f t="shared" si="3"/>
        <v>0</v>
      </c>
    </row>
    <row r="110" spans="1:6" x14ac:dyDescent="0.2">
      <c r="A110" s="18"/>
      <c r="B110" s="4"/>
      <c r="C110" s="4" t="s">
        <v>239</v>
      </c>
      <c r="D110" s="28"/>
      <c r="E110" s="28"/>
      <c r="F110" s="28">
        <f t="shared" si="3"/>
        <v>0</v>
      </c>
    </row>
    <row r="111" spans="1:6" x14ac:dyDescent="0.2">
      <c r="A111" s="18"/>
      <c r="B111" s="4"/>
      <c r="C111" s="4" t="s">
        <v>239</v>
      </c>
      <c r="D111" s="28"/>
      <c r="E111" s="28"/>
      <c r="F111" s="28">
        <f t="shared" si="3"/>
        <v>0</v>
      </c>
    </row>
    <row r="112" spans="1:6" x14ac:dyDescent="0.2">
      <c r="A112" s="18"/>
      <c r="B112" s="4"/>
      <c r="C112" s="4" t="s">
        <v>239</v>
      </c>
      <c r="D112" s="28"/>
      <c r="E112" s="28"/>
      <c r="F112" s="28">
        <f t="shared" si="3"/>
        <v>0</v>
      </c>
    </row>
    <row r="113" spans="1:6" x14ac:dyDescent="0.2">
      <c r="A113" s="18"/>
      <c r="B113" s="4"/>
      <c r="C113" s="4" t="s">
        <v>239</v>
      </c>
      <c r="D113" s="28"/>
      <c r="E113" s="28"/>
      <c r="F113" s="28">
        <f t="shared" si="3"/>
        <v>0</v>
      </c>
    </row>
    <row r="114" spans="1:6" x14ac:dyDescent="0.2">
      <c r="A114" s="18"/>
      <c r="B114" s="4"/>
      <c r="C114" s="4" t="s">
        <v>239</v>
      </c>
      <c r="D114" s="28"/>
      <c r="E114" s="28"/>
      <c r="F114" s="28">
        <f t="shared" si="3"/>
        <v>0</v>
      </c>
    </row>
    <row r="115" spans="1:6" x14ac:dyDescent="0.2">
      <c r="A115" s="18"/>
      <c r="B115" s="4"/>
      <c r="C115" s="4" t="s">
        <v>239</v>
      </c>
      <c r="D115" s="28"/>
      <c r="E115" s="28"/>
      <c r="F115" s="28">
        <f t="shared" si="3"/>
        <v>0</v>
      </c>
    </row>
    <row r="116" spans="1:6" x14ac:dyDescent="0.2">
      <c r="A116" s="18"/>
      <c r="B116" s="4"/>
      <c r="C116" s="4"/>
      <c r="D116" s="28"/>
      <c r="E116" s="28"/>
      <c r="F116" s="28"/>
    </row>
    <row r="117" spans="1:6" x14ac:dyDescent="0.2">
      <c r="A117" s="105" t="s">
        <v>10</v>
      </c>
      <c r="B117" s="112"/>
      <c r="C117" s="106"/>
      <c r="D117" s="28">
        <f>SUM(D102:D116)</f>
        <v>0</v>
      </c>
      <c r="E117" s="28">
        <f>SUM(E102:E116)</f>
        <v>0</v>
      </c>
      <c r="F117" s="28">
        <f>D117-E117</f>
        <v>0</v>
      </c>
    </row>
    <row r="118" spans="1:6" x14ac:dyDescent="0.2">
      <c r="A118" s="105" t="s">
        <v>11</v>
      </c>
      <c r="B118" s="112"/>
      <c r="C118" s="106"/>
      <c r="D118" s="28">
        <f>F102</f>
        <v>0</v>
      </c>
      <c r="E118" s="28"/>
      <c r="F118" s="28">
        <f>D118-E118</f>
        <v>0</v>
      </c>
    </row>
    <row r="119" spans="1:6" x14ac:dyDescent="0.2">
      <c r="A119" s="105" t="s">
        <v>10</v>
      </c>
      <c r="B119" s="112"/>
      <c r="C119" s="106"/>
      <c r="D119" s="28">
        <f>SUM(D117:D118)</f>
        <v>0</v>
      </c>
      <c r="E119" s="28">
        <f>SUM(E117:E118)</f>
        <v>0</v>
      </c>
      <c r="F119" s="28">
        <f>SUM(F117:F118)</f>
        <v>0</v>
      </c>
    </row>
    <row r="121" spans="1:6" x14ac:dyDescent="0.2">
      <c r="A121" s="100" t="s">
        <v>0</v>
      </c>
      <c r="B121" s="100"/>
    </row>
    <row r="122" spans="1:6" x14ac:dyDescent="0.2">
      <c r="A122" s="100" t="s">
        <v>1</v>
      </c>
      <c r="B122" s="100"/>
    </row>
    <row r="123" spans="1:6" x14ac:dyDescent="0.2">
      <c r="A123" s="101" t="s">
        <v>2</v>
      </c>
      <c r="B123" s="101"/>
      <c r="C123" s="101"/>
      <c r="D123" s="101"/>
      <c r="E123" s="101"/>
      <c r="F123" s="101"/>
    </row>
    <row r="124" spans="1:6" x14ac:dyDescent="0.2">
      <c r="A124" s="109" t="s">
        <v>55</v>
      </c>
      <c r="B124" s="109"/>
      <c r="D124" s="2" t="s">
        <v>56</v>
      </c>
    </row>
    <row r="126" spans="1:6" x14ac:dyDescent="0.2">
      <c r="A126" s="103" t="s">
        <v>3</v>
      </c>
      <c r="B126" s="103" t="s">
        <v>4</v>
      </c>
      <c r="C126" s="103" t="s">
        <v>5</v>
      </c>
      <c r="D126" s="105" t="s">
        <v>6</v>
      </c>
      <c r="E126" s="106"/>
      <c r="F126" s="107" t="s">
        <v>9</v>
      </c>
    </row>
    <row r="127" spans="1:6" x14ac:dyDescent="0.2">
      <c r="A127" s="104"/>
      <c r="B127" s="104"/>
      <c r="C127" s="104"/>
      <c r="D127" s="3" t="s">
        <v>7</v>
      </c>
      <c r="E127" s="3" t="s">
        <v>8</v>
      </c>
      <c r="F127" s="108"/>
    </row>
    <row r="128" spans="1:6" x14ac:dyDescent="0.2">
      <c r="A128" s="18" t="s">
        <v>207</v>
      </c>
      <c r="B128" s="4" t="s">
        <v>206</v>
      </c>
      <c r="C128" s="4"/>
      <c r="D128" s="20">
        <v>0</v>
      </c>
      <c r="E128" s="20">
        <v>0</v>
      </c>
      <c r="F128" s="59">
        <v>0</v>
      </c>
    </row>
    <row r="129" spans="1:6" x14ac:dyDescent="0.2">
      <c r="A129" s="18"/>
      <c r="B129" s="4"/>
      <c r="C129" s="4"/>
      <c r="D129" s="20"/>
      <c r="E129" s="20"/>
      <c r="F129" s="28">
        <f>F128+D129</f>
        <v>0</v>
      </c>
    </row>
    <row r="130" spans="1:6" x14ac:dyDescent="0.2">
      <c r="A130" s="18"/>
      <c r="B130" s="4"/>
      <c r="C130" s="4"/>
      <c r="D130" s="20"/>
      <c r="E130" s="20"/>
      <c r="F130" s="28">
        <f t="shared" ref="F130:F132" si="4">F129+D130</f>
        <v>0</v>
      </c>
    </row>
    <row r="131" spans="1:6" x14ac:dyDescent="0.2">
      <c r="A131" s="18"/>
      <c r="B131" s="4"/>
      <c r="C131" s="4"/>
      <c r="D131" s="20"/>
      <c r="E131" s="20"/>
      <c r="F131" s="28">
        <f t="shared" si="4"/>
        <v>0</v>
      </c>
    </row>
    <row r="132" spans="1:6" x14ac:dyDescent="0.2">
      <c r="A132" s="18"/>
      <c r="B132" s="4"/>
      <c r="C132" s="4"/>
      <c r="D132" s="20"/>
      <c r="E132" s="20"/>
      <c r="F132" s="28">
        <f t="shared" si="4"/>
        <v>0</v>
      </c>
    </row>
    <row r="133" spans="1:6" x14ac:dyDescent="0.2">
      <c r="A133" s="4"/>
      <c r="B133" s="4"/>
      <c r="C133" s="4"/>
      <c r="D133" s="20"/>
      <c r="E133" s="20"/>
      <c r="F133" s="28"/>
    </row>
    <row r="134" spans="1:6" x14ac:dyDescent="0.2">
      <c r="A134" s="105" t="s">
        <v>10</v>
      </c>
      <c r="B134" s="112"/>
      <c r="C134" s="106"/>
      <c r="D134" s="20">
        <f>SUM(D128:D133)</f>
        <v>0</v>
      </c>
      <c r="E134" s="20">
        <f>SUM(E128:E133)</f>
        <v>0</v>
      </c>
      <c r="F134" s="28">
        <f>D134-E134</f>
        <v>0</v>
      </c>
    </row>
    <row r="135" spans="1:6" x14ac:dyDescent="0.2">
      <c r="A135" s="105" t="s">
        <v>11</v>
      </c>
      <c r="B135" s="112"/>
      <c r="C135" s="106"/>
      <c r="D135" s="20">
        <f>F128</f>
        <v>0</v>
      </c>
      <c r="E135" s="20"/>
      <c r="F135" s="28">
        <f>D135-E135</f>
        <v>0</v>
      </c>
    </row>
    <row r="136" spans="1:6" x14ac:dyDescent="0.2">
      <c r="A136" s="105" t="s">
        <v>10</v>
      </c>
      <c r="B136" s="112"/>
      <c r="C136" s="106"/>
      <c r="D136" s="20">
        <f>SUM(D134:D135)</f>
        <v>0</v>
      </c>
      <c r="E136" s="20">
        <f>SUM(E134:E135)</f>
        <v>0</v>
      </c>
      <c r="F136" s="28">
        <f>SUM(F134:F135)</f>
        <v>0</v>
      </c>
    </row>
    <row r="147" spans="1:6" x14ac:dyDescent="0.2">
      <c r="A147" s="100" t="s">
        <v>0</v>
      </c>
      <c r="B147" s="100"/>
    </row>
    <row r="148" spans="1:6" x14ac:dyDescent="0.2">
      <c r="A148" s="100" t="s">
        <v>1</v>
      </c>
      <c r="B148" s="100"/>
    </row>
    <row r="149" spans="1:6" x14ac:dyDescent="0.2">
      <c r="A149" s="101" t="s">
        <v>2</v>
      </c>
      <c r="B149" s="101"/>
      <c r="C149" s="101"/>
      <c r="D149" s="101"/>
      <c r="E149" s="101"/>
      <c r="F149" s="101"/>
    </row>
    <row r="150" spans="1:6" x14ac:dyDescent="0.2">
      <c r="A150" s="122" t="s">
        <v>57</v>
      </c>
      <c r="B150" s="122"/>
      <c r="D150" s="2" t="s">
        <v>58</v>
      </c>
    </row>
    <row r="152" spans="1:6" x14ac:dyDescent="0.2">
      <c r="A152" s="103" t="s">
        <v>3</v>
      </c>
      <c r="B152" s="103" t="s">
        <v>4</v>
      </c>
      <c r="C152" s="103" t="s">
        <v>5</v>
      </c>
      <c r="D152" s="105" t="s">
        <v>6</v>
      </c>
      <c r="E152" s="106"/>
      <c r="F152" s="107" t="s">
        <v>9</v>
      </c>
    </row>
    <row r="153" spans="1:6" x14ac:dyDescent="0.2">
      <c r="A153" s="104"/>
      <c r="B153" s="104"/>
      <c r="C153" s="104"/>
      <c r="D153" s="3" t="s">
        <v>7</v>
      </c>
      <c r="E153" s="3" t="s">
        <v>8</v>
      </c>
      <c r="F153" s="108"/>
    </row>
    <row r="154" spans="1:6" x14ac:dyDescent="0.2">
      <c r="A154" s="18" t="s">
        <v>207</v>
      </c>
      <c r="B154" s="4" t="s">
        <v>206</v>
      </c>
      <c r="C154" s="4"/>
      <c r="D154" s="20">
        <v>0</v>
      </c>
      <c r="E154" s="20">
        <v>0</v>
      </c>
      <c r="F154" s="59">
        <v>0</v>
      </c>
    </row>
    <row r="155" spans="1:6" x14ac:dyDescent="0.2">
      <c r="A155" s="37" t="s">
        <v>282</v>
      </c>
      <c r="B155" s="18" t="s">
        <v>777</v>
      </c>
      <c r="C155" s="4" t="s">
        <v>187</v>
      </c>
      <c r="D155" s="20"/>
      <c r="E155" s="20"/>
      <c r="F155" s="28">
        <f>F154+D155</f>
        <v>0</v>
      </c>
    </row>
    <row r="156" spans="1:6" x14ac:dyDescent="0.2">
      <c r="A156" s="18" t="s">
        <v>778</v>
      </c>
      <c r="B156" s="4" t="s">
        <v>782</v>
      </c>
      <c r="C156" s="4" t="s">
        <v>187</v>
      </c>
      <c r="D156" s="20"/>
      <c r="E156" s="20"/>
      <c r="F156" s="28">
        <f t="shared" ref="F156:F158" si="5">F155+D156</f>
        <v>0</v>
      </c>
    </row>
    <row r="157" spans="1:6" x14ac:dyDescent="0.2">
      <c r="A157" s="18"/>
      <c r="B157" s="4"/>
      <c r="C157" s="4" t="s">
        <v>187</v>
      </c>
      <c r="D157" s="20"/>
      <c r="E157" s="20"/>
      <c r="F157" s="28">
        <f t="shared" si="5"/>
        <v>0</v>
      </c>
    </row>
    <row r="158" spans="1:6" x14ac:dyDescent="0.2">
      <c r="A158" s="18"/>
      <c r="B158" s="4"/>
      <c r="C158" s="4"/>
      <c r="D158" s="20"/>
      <c r="E158" s="20"/>
      <c r="F158" s="28">
        <f t="shared" si="5"/>
        <v>0</v>
      </c>
    </row>
    <row r="159" spans="1:6" x14ac:dyDescent="0.2">
      <c r="A159" s="4"/>
      <c r="B159" s="4"/>
      <c r="C159" s="4"/>
      <c r="D159" s="20"/>
      <c r="E159" s="20"/>
      <c r="F159" s="28"/>
    </row>
    <row r="160" spans="1:6" x14ac:dyDescent="0.2">
      <c r="A160" s="4"/>
      <c r="B160" s="4"/>
      <c r="C160" s="4"/>
      <c r="D160" s="20"/>
      <c r="E160" s="20"/>
      <c r="F160" s="28"/>
    </row>
    <row r="161" spans="1:6" x14ac:dyDescent="0.2">
      <c r="A161" s="105" t="s">
        <v>10</v>
      </c>
      <c r="B161" s="112"/>
      <c r="C161" s="106"/>
      <c r="D161" s="20">
        <f>SUM(D154:D160)</f>
        <v>0</v>
      </c>
      <c r="E161" s="20">
        <f>SUM(E154:E160)</f>
        <v>0</v>
      </c>
      <c r="F161" s="28">
        <f>D161-E161</f>
        <v>0</v>
      </c>
    </row>
    <row r="162" spans="1:6" x14ac:dyDescent="0.2">
      <c r="A162" s="105" t="s">
        <v>11</v>
      </c>
      <c r="B162" s="112"/>
      <c r="C162" s="106"/>
      <c r="D162" s="20">
        <f>F154</f>
        <v>0</v>
      </c>
      <c r="E162" s="20"/>
      <c r="F162" s="28">
        <f>D162-E162</f>
        <v>0</v>
      </c>
    </row>
    <row r="163" spans="1:6" x14ac:dyDescent="0.2">
      <c r="A163" s="105" t="s">
        <v>10</v>
      </c>
      <c r="B163" s="112"/>
      <c r="C163" s="106"/>
      <c r="D163" s="20">
        <f>SUM(D161:D162)</f>
        <v>0</v>
      </c>
      <c r="E163" s="20">
        <f>SUM(E161:E162)</f>
        <v>0</v>
      </c>
      <c r="F163" s="28">
        <f>SUM(F161:F162)</f>
        <v>0</v>
      </c>
    </row>
    <row r="166" spans="1:6" x14ac:dyDescent="0.2">
      <c r="A166" s="100" t="s">
        <v>0</v>
      </c>
      <c r="B166" s="100"/>
    </row>
    <row r="167" spans="1:6" x14ac:dyDescent="0.2">
      <c r="A167" s="100" t="s">
        <v>1</v>
      </c>
      <c r="B167" s="100"/>
    </row>
    <row r="168" spans="1:6" x14ac:dyDescent="0.2">
      <c r="A168" s="101" t="s">
        <v>2</v>
      </c>
      <c r="B168" s="101"/>
      <c r="C168" s="101"/>
      <c r="D168" s="101"/>
      <c r="E168" s="101"/>
      <c r="F168" s="101"/>
    </row>
    <row r="169" spans="1:6" x14ac:dyDescent="0.2">
      <c r="A169" s="109" t="s">
        <v>174</v>
      </c>
      <c r="B169" s="109"/>
      <c r="D169" s="2" t="s">
        <v>59</v>
      </c>
    </row>
    <row r="171" spans="1:6" x14ac:dyDescent="0.2">
      <c r="A171" s="103" t="s">
        <v>3</v>
      </c>
      <c r="B171" s="103" t="s">
        <v>4</v>
      </c>
      <c r="C171" s="103" t="s">
        <v>5</v>
      </c>
      <c r="D171" s="105" t="s">
        <v>6</v>
      </c>
      <c r="E171" s="106"/>
      <c r="F171" s="107" t="s">
        <v>9</v>
      </c>
    </row>
    <row r="172" spans="1:6" x14ac:dyDescent="0.2">
      <c r="A172" s="104"/>
      <c r="B172" s="104"/>
      <c r="C172" s="104"/>
      <c r="D172" s="3" t="s">
        <v>7</v>
      </c>
      <c r="E172" s="3" t="s">
        <v>8</v>
      </c>
      <c r="F172" s="108"/>
    </row>
    <row r="173" spans="1:6" x14ac:dyDescent="0.2">
      <c r="A173" s="18" t="s">
        <v>207</v>
      </c>
      <c r="B173" s="4" t="s">
        <v>206</v>
      </c>
      <c r="C173" s="4"/>
      <c r="D173" s="20">
        <v>0</v>
      </c>
      <c r="E173" s="20">
        <v>0</v>
      </c>
      <c r="F173" s="142">
        <v>0</v>
      </c>
    </row>
    <row r="174" spans="1:6" x14ac:dyDescent="0.2">
      <c r="A174" s="18"/>
      <c r="B174" s="4"/>
      <c r="C174" s="4" t="s">
        <v>187</v>
      </c>
      <c r="D174" s="20"/>
      <c r="E174" s="20">
        <v>0</v>
      </c>
      <c r="F174" s="28">
        <f>F173+D174-E174</f>
        <v>0</v>
      </c>
    </row>
    <row r="175" spans="1:6" x14ac:dyDescent="0.2">
      <c r="A175" s="18"/>
      <c r="B175" s="4"/>
      <c r="C175" s="4"/>
      <c r="D175" s="20"/>
      <c r="E175" s="20"/>
      <c r="F175" s="28">
        <f t="shared" ref="F175" si="6">F174+D175-E175</f>
        <v>0</v>
      </c>
    </row>
    <row r="176" spans="1:6" x14ac:dyDescent="0.2">
      <c r="A176" s="4"/>
      <c r="B176" s="4"/>
      <c r="C176" s="4"/>
      <c r="D176" s="20"/>
      <c r="E176" s="20"/>
      <c r="F176" s="28"/>
    </row>
    <row r="177" spans="1:6" x14ac:dyDescent="0.2">
      <c r="A177" s="4"/>
      <c r="B177" s="4"/>
      <c r="C177" s="4"/>
      <c r="D177" s="20"/>
      <c r="E177" s="20"/>
      <c r="F177" s="28"/>
    </row>
    <row r="178" spans="1:6" x14ac:dyDescent="0.2">
      <c r="A178" s="4"/>
      <c r="B178" s="4"/>
      <c r="C178" s="4"/>
      <c r="D178" s="20"/>
      <c r="E178" s="20"/>
      <c r="F178" s="28"/>
    </row>
    <row r="179" spans="1:6" x14ac:dyDescent="0.2">
      <c r="A179" s="105" t="s">
        <v>10</v>
      </c>
      <c r="B179" s="112"/>
      <c r="C179" s="106"/>
      <c r="D179" s="20">
        <f>SUM(D174:D178)</f>
        <v>0</v>
      </c>
      <c r="E179" s="20">
        <f>SUM(E174:E178)</f>
        <v>0</v>
      </c>
      <c r="F179" s="28">
        <f>D179-E179</f>
        <v>0</v>
      </c>
    </row>
    <row r="180" spans="1:6" x14ac:dyDescent="0.2">
      <c r="A180" s="105" t="s">
        <v>11</v>
      </c>
      <c r="B180" s="112"/>
      <c r="C180" s="106"/>
      <c r="D180" s="20">
        <f>F173</f>
        <v>0</v>
      </c>
      <c r="E180" s="20"/>
      <c r="F180" s="28">
        <f>D180-E180</f>
        <v>0</v>
      </c>
    </row>
    <row r="181" spans="1:6" x14ac:dyDescent="0.2">
      <c r="A181" s="105" t="s">
        <v>10</v>
      </c>
      <c r="B181" s="112"/>
      <c r="C181" s="106"/>
      <c r="D181" s="20">
        <f>SUM(D179:D180)</f>
        <v>0</v>
      </c>
      <c r="E181" s="20">
        <f>SUM(E179:E180)</f>
        <v>0</v>
      </c>
      <c r="F181" s="28">
        <f>SUM(F179:F180)</f>
        <v>0</v>
      </c>
    </row>
    <row r="183" spans="1:6" x14ac:dyDescent="0.2">
      <c r="A183" s="100" t="s">
        <v>0</v>
      </c>
      <c r="B183" s="100"/>
    </row>
    <row r="184" spans="1:6" x14ac:dyDescent="0.2">
      <c r="A184" s="100" t="s">
        <v>1</v>
      </c>
      <c r="B184" s="100"/>
    </row>
    <row r="185" spans="1:6" x14ac:dyDescent="0.2">
      <c r="A185" s="101" t="s">
        <v>2</v>
      </c>
      <c r="B185" s="101"/>
      <c r="C185" s="101"/>
      <c r="D185" s="101"/>
      <c r="E185" s="101"/>
      <c r="F185" s="101"/>
    </row>
    <row r="186" spans="1:6" x14ac:dyDescent="0.2">
      <c r="A186" s="109" t="s">
        <v>175</v>
      </c>
      <c r="B186" s="109"/>
      <c r="D186" s="2" t="s">
        <v>60</v>
      </c>
    </row>
    <row r="188" spans="1:6" x14ac:dyDescent="0.2">
      <c r="A188" s="103" t="s">
        <v>3</v>
      </c>
      <c r="B188" s="103" t="s">
        <v>4</v>
      </c>
      <c r="C188" s="103" t="s">
        <v>5</v>
      </c>
      <c r="D188" s="105" t="s">
        <v>6</v>
      </c>
      <c r="E188" s="106"/>
      <c r="F188" s="107" t="s">
        <v>9</v>
      </c>
    </row>
    <row r="189" spans="1:6" x14ac:dyDescent="0.2">
      <c r="A189" s="104"/>
      <c r="B189" s="104"/>
      <c r="C189" s="104"/>
      <c r="D189" s="3" t="s">
        <v>7</v>
      </c>
      <c r="E189" s="3" t="s">
        <v>8</v>
      </c>
      <c r="F189" s="108"/>
    </row>
    <row r="190" spans="1:6" x14ac:dyDescent="0.2">
      <c r="A190" s="37" t="s">
        <v>207</v>
      </c>
      <c r="B190" s="4" t="s">
        <v>206</v>
      </c>
      <c r="C190" s="4" t="s">
        <v>187</v>
      </c>
      <c r="D190" s="20"/>
      <c r="E190" s="20">
        <v>0</v>
      </c>
      <c r="F190" s="142">
        <v>0</v>
      </c>
    </row>
    <row r="191" spans="1:6" x14ac:dyDescent="0.2">
      <c r="A191" s="18" t="s">
        <v>523</v>
      </c>
      <c r="B191" s="27" t="s">
        <v>1335</v>
      </c>
      <c r="C191" s="4" t="s">
        <v>187</v>
      </c>
      <c r="D191" s="20"/>
      <c r="E191" s="20">
        <v>0</v>
      </c>
      <c r="F191" s="28">
        <f>F190+D191-E191</f>
        <v>0</v>
      </c>
    </row>
    <row r="192" spans="1:6" x14ac:dyDescent="0.2">
      <c r="A192" s="18" t="s">
        <v>838</v>
      </c>
      <c r="B192" s="4" t="s">
        <v>844</v>
      </c>
      <c r="C192" s="4" t="s">
        <v>187</v>
      </c>
      <c r="D192" s="20"/>
      <c r="E192" s="20"/>
      <c r="F192" s="28">
        <f>F191+D192</f>
        <v>0</v>
      </c>
    </row>
    <row r="193" spans="1:6" x14ac:dyDescent="0.2">
      <c r="A193" s="18" t="s">
        <v>534</v>
      </c>
      <c r="B193" s="4" t="s">
        <v>871</v>
      </c>
      <c r="C193" s="4" t="s">
        <v>187</v>
      </c>
      <c r="D193" s="20"/>
      <c r="E193" s="20"/>
      <c r="F193" s="28">
        <f t="shared" ref="F193:F198" si="7">F192+D193</f>
        <v>0</v>
      </c>
    </row>
    <row r="194" spans="1:6" x14ac:dyDescent="0.2">
      <c r="A194" s="18" t="s">
        <v>1181</v>
      </c>
      <c r="B194" s="4" t="s">
        <v>1183</v>
      </c>
      <c r="C194" s="4" t="s">
        <v>187</v>
      </c>
      <c r="D194" s="20"/>
      <c r="E194" s="20"/>
      <c r="F194" s="28">
        <f t="shared" si="7"/>
        <v>0</v>
      </c>
    </row>
    <row r="195" spans="1:6" x14ac:dyDescent="0.2">
      <c r="A195" s="18"/>
      <c r="B195" s="4"/>
      <c r="C195" s="4" t="s">
        <v>187</v>
      </c>
      <c r="D195" s="20"/>
      <c r="E195" s="20"/>
      <c r="F195" s="28">
        <f t="shared" si="7"/>
        <v>0</v>
      </c>
    </row>
    <row r="196" spans="1:6" x14ac:dyDescent="0.2">
      <c r="A196" s="18"/>
      <c r="B196" s="4"/>
      <c r="C196" s="4" t="s">
        <v>187</v>
      </c>
      <c r="D196" s="20"/>
      <c r="E196" s="20"/>
      <c r="F196" s="28">
        <f t="shared" si="7"/>
        <v>0</v>
      </c>
    </row>
    <row r="197" spans="1:6" x14ac:dyDescent="0.2">
      <c r="A197" s="18"/>
      <c r="B197" s="4"/>
      <c r="C197" s="4" t="s">
        <v>187</v>
      </c>
      <c r="D197" s="20"/>
      <c r="E197" s="20"/>
      <c r="F197" s="28">
        <f t="shared" si="7"/>
        <v>0</v>
      </c>
    </row>
    <row r="198" spans="1:6" x14ac:dyDescent="0.2">
      <c r="A198" s="18"/>
      <c r="B198" s="4"/>
      <c r="C198" s="4" t="s">
        <v>187</v>
      </c>
      <c r="D198" s="20"/>
      <c r="E198" s="20"/>
      <c r="F198" s="28">
        <f t="shared" si="7"/>
        <v>0</v>
      </c>
    </row>
    <row r="199" spans="1:6" x14ac:dyDescent="0.2">
      <c r="A199" s="18"/>
      <c r="B199" s="4"/>
      <c r="C199" s="4" t="s">
        <v>187</v>
      </c>
      <c r="D199" s="20"/>
      <c r="E199" s="20"/>
      <c r="F199" s="28"/>
    </row>
    <row r="200" spans="1:6" x14ac:dyDescent="0.2">
      <c r="A200" s="18"/>
      <c r="B200" s="4"/>
      <c r="C200" s="4"/>
      <c r="D200" s="20"/>
      <c r="E200" s="20"/>
      <c r="F200" s="28"/>
    </row>
    <row r="201" spans="1:6" x14ac:dyDescent="0.2">
      <c r="A201" s="18"/>
      <c r="B201" s="4"/>
      <c r="C201" s="4"/>
      <c r="D201" s="20"/>
      <c r="E201" s="20"/>
      <c r="F201" s="28"/>
    </row>
    <row r="202" spans="1:6" x14ac:dyDescent="0.2">
      <c r="A202" s="18"/>
      <c r="B202" s="4"/>
      <c r="C202" s="4"/>
      <c r="D202" s="20"/>
      <c r="E202" s="20"/>
      <c r="F202" s="28"/>
    </row>
    <row r="203" spans="1:6" x14ac:dyDescent="0.2">
      <c r="A203" s="18"/>
      <c r="B203" s="4"/>
      <c r="C203" s="4"/>
      <c r="D203" s="20"/>
      <c r="E203" s="20"/>
      <c r="F203" s="28"/>
    </row>
    <row r="204" spans="1:6" x14ac:dyDescent="0.2">
      <c r="A204" s="18"/>
      <c r="B204" s="4"/>
      <c r="C204" s="4"/>
      <c r="D204" s="20"/>
      <c r="E204" s="20"/>
      <c r="F204" s="28"/>
    </row>
    <row r="205" spans="1:6" x14ac:dyDescent="0.2">
      <c r="A205" s="4"/>
      <c r="B205" s="4"/>
      <c r="C205" s="4"/>
      <c r="D205" s="20"/>
      <c r="E205" s="20"/>
      <c r="F205" s="28"/>
    </row>
    <row r="206" spans="1:6" x14ac:dyDescent="0.2">
      <c r="A206" s="105" t="s">
        <v>10</v>
      </c>
      <c r="B206" s="112"/>
      <c r="C206" s="106"/>
      <c r="D206" s="20">
        <f>SUM(D191:D205)</f>
        <v>0</v>
      </c>
      <c r="E206" s="20">
        <f>SUM(E191:E205)</f>
        <v>0</v>
      </c>
      <c r="F206" s="28">
        <f>D206-E206</f>
        <v>0</v>
      </c>
    </row>
    <row r="207" spans="1:6" x14ac:dyDescent="0.2">
      <c r="A207" s="105" t="s">
        <v>11</v>
      </c>
      <c r="B207" s="112"/>
      <c r="C207" s="106"/>
      <c r="D207" s="20">
        <f>F190</f>
        <v>0</v>
      </c>
      <c r="E207" s="20"/>
      <c r="F207" s="28">
        <f>D207-E207</f>
        <v>0</v>
      </c>
    </row>
    <row r="208" spans="1:6" x14ac:dyDescent="0.2">
      <c r="A208" s="105" t="s">
        <v>10</v>
      </c>
      <c r="B208" s="112"/>
      <c r="C208" s="106"/>
      <c r="D208" s="20">
        <f>SUM(D206:D207)</f>
        <v>0</v>
      </c>
      <c r="E208" s="20">
        <f>SUM(E206:E207)</f>
        <v>0</v>
      </c>
      <c r="F208" s="28">
        <f>SUM(F206:F207)</f>
        <v>0</v>
      </c>
    </row>
    <row r="215" spans="1:4" x14ac:dyDescent="0.2">
      <c r="B215" s="47"/>
    </row>
    <row r="216" spans="1:4" x14ac:dyDescent="0.2">
      <c r="B216" s="47">
        <f>B221+D191</f>
        <v>0</v>
      </c>
      <c r="D216" s="47"/>
    </row>
    <row r="218" spans="1:4" x14ac:dyDescent="0.2">
      <c r="B218" s="1">
        <f>E1</f>
        <v>0</v>
      </c>
    </row>
    <row r="221" spans="1:4" x14ac:dyDescent="0.2">
      <c r="A221" s="1" t="s">
        <v>469</v>
      </c>
      <c r="B221" s="47">
        <f>F190+F173+F154+F128+F102+F86+F43+F25+F9</f>
        <v>0</v>
      </c>
    </row>
    <row r="222" spans="1:4" x14ac:dyDescent="0.2">
      <c r="A222" s="1" t="s">
        <v>247</v>
      </c>
      <c r="B222" s="47">
        <f>F191+F173+F154+F128+F102+F86+F43+F25+F9</f>
        <v>0</v>
      </c>
      <c r="D222" s="47"/>
    </row>
    <row r="223" spans="1:4" x14ac:dyDescent="0.2">
      <c r="A223" s="1" t="s">
        <v>262</v>
      </c>
      <c r="B223" s="47">
        <f>F191+F173+F154+F128+F102+F86+F43+F25+F9</f>
        <v>0</v>
      </c>
      <c r="D223" s="47"/>
    </row>
    <row r="224" spans="1:4" x14ac:dyDescent="0.2">
      <c r="A224" s="1" t="s">
        <v>283</v>
      </c>
      <c r="B224" s="47">
        <f>F191+F173+F156+F128+F102+F86+F43+F25+F9</f>
        <v>0</v>
      </c>
      <c r="D224" s="47"/>
    </row>
    <row r="225" spans="1:4" x14ac:dyDescent="0.2">
      <c r="A225" s="1" t="s">
        <v>478</v>
      </c>
      <c r="B225" s="47">
        <f>F192+F173+F156+F128+F102+F86+F43+F25+F9</f>
        <v>0</v>
      </c>
      <c r="D225" s="13"/>
    </row>
    <row r="226" spans="1:4" x14ac:dyDescent="0.2">
      <c r="A226" s="1" t="s">
        <v>315</v>
      </c>
      <c r="B226" s="47">
        <f>F193+F173+F156+F128+F102+F86+F43+F26+F9</f>
        <v>0</v>
      </c>
      <c r="D226" s="47"/>
    </row>
    <row r="227" spans="1:4" x14ac:dyDescent="0.2">
      <c r="A227" s="1" t="s">
        <v>330</v>
      </c>
      <c r="B227" s="47">
        <f>F193+F173+F156+F128+F103+F86+F43+F26+F9</f>
        <v>0</v>
      </c>
    </row>
    <row r="228" spans="1:4" x14ac:dyDescent="0.2">
      <c r="A228" s="1" t="s">
        <v>344</v>
      </c>
      <c r="B228" s="47">
        <f>F193+F173+F156+F128+F103+F86+F43+F26+F9</f>
        <v>0</v>
      </c>
    </row>
    <row r="229" spans="1:4" x14ac:dyDescent="0.2">
      <c r="A229" s="1" t="s">
        <v>446</v>
      </c>
      <c r="B229" s="47">
        <f>F193+F173+F156+F128+F103+F86+F43+F26+F9</f>
        <v>0</v>
      </c>
    </row>
    <row r="230" spans="1:4" x14ac:dyDescent="0.2">
      <c r="A230" s="1" t="s">
        <v>488</v>
      </c>
      <c r="B230" s="47">
        <f>F193+F173+F156+F128+F103+F86+F43+F26+F9</f>
        <v>0</v>
      </c>
    </row>
    <row r="231" spans="1:4" x14ac:dyDescent="0.2">
      <c r="A231" s="1" t="s">
        <v>490</v>
      </c>
      <c r="B231" s="47">
        <f>F193+F173+F156+F128+F103+F86+F43+F26+F9</f>
        <v>0</v>
      </c>
      <c r="D231" s="47"/>
    </row>
    <row r="232" spans="1:4" x14ac:dyDescent="0.2">
      <c r="A232" s="1" t="s">
        <v>491</v>
      </c>
      <c r="B232" s="47">
        <f>F194+F173+F156+F128+F107+F86+F43+F26+F9</f>
        <v>0</v>
      </c>
    </row>
    <row r="233" spans="1:4" x14ac:dyDescent="0.2">
      <c r="B233" s="13"/>
    </row>
    <row r="234" spans="1:4" x14ac:dyDescent="0.2">
      <c r="B234" s="13"/>
    </row>
    <row r="235" spans="1:4" x14ac:dyDescent="0.2">
      <c r="B235" s="13"/>
    </row>
    <row r="236" spans="1:4" x14ac:dyDescent="0.2">
      <c r="B236" s="13"/>
    </row>
    <row r="237" spans="1:4" x14ac:dyDescent="0.2">
      <c r="B237" s="13"/>
    </row>
    <row r="238" spans="1:4" x14ac:dyDescent="0.2">
      <c r="B238" s="13"/>
    </row>
    <row r="239" spans="1:4" x14ac:dyDescent="0.2">
      <c r="B239" s="13"/>
    </row>
    <row r="240" spans="1:4" x14ac:dyDescent="0.2">
      <c r="B240" s="13"/>
    </row>
  </sheetData>
  <mergeCells count="108">
    <mergeCell ref="A2:B2"/>
    <mergeCell ref="A3:B3"/>
    <mergeCell ref="A4:F4"/>
    <mergeCell ref="A13:C13"/>
    <mergeCell ref="A14:C14"/>
    <mergeCell ref="A15:C15"/>
    <mergeCell ref="A5:B5"/>
    <mergeCell ref="A7:A8"/>
    <mergeCell ref="B7:B8"/>
    <mergeCell ref="C7:C8"/>
    <mergeCell ref="D7:E7"/>
    <mergeCell ref="F7:F8"/>
    <mergeCell ref="A18:B18"/>
    <mergeCell ref="A19:B19"/>
    <mergeCell ref="A20:F20"/>
    <mergeCell ref="A31:C31"/>
    <mergeCell ref="A32:C32"/>
    <mergeCell ref="A33:C33"/>
    <mergeCell ref="A21:B21"/>
    <mergeCell ref="A23:A24"/>
    <mergeCell ref="B23:B24"/>
    <mergeCell ref="C23:C24"/>
    <mergeCell ref="D23:E23"/>
    <mergeCell ref="F23:F24"/>
    <mergeCell ref="A186:B186"/>
    <mergeCell ref="A166:B166"/>
    <mergeCell ref="A167:B167"/>
    <mergeCell ref="A168:F168"/>
    <mergeCell ref="A169:B169"/>
    <mergeCell ref="A171:A172"/>
    <mergeCell ref="B171:B172"/>
    <mergeCell ref="C171:C172"/>
    <mergeCell ref="D171:E171"/>
    <mergeCell ref="F171:F172"/>
    <mergeCell ref="A179:C179"/>
    <mergeCell ref="A180:C180"/>
    <mergeCell ref="A183:B183"/>
    <mergeCell ref="A181:C181"/>
    <mergeCell ref="A188:A189"/>
    <mergeCell ref="B188:B189"/>
    <mergeCell ref="C188:C189"/>
    <mergeCell ref="D188:E188"/>
    <mergeCell ref="F188:F189"/>
    <mergeCell ref="A206:C206"/>
    <mergeCell ref="A207:C207"/>
    <mergeCell ref="A208:C208"/>
    <mergeCell ref="A36:B36"/>
    <mergeCell ref="A37:B37"/>
    <mergeCell ref="A38:F38"/>
    <mergeCell ref="A184:B184"/>
    <mergeCell ref="A185:F185"/>
    <mergeCell ref="A63:C63"/>
    <mergeCell ref="A64:C64"/>
    <mergeCell ref="A65:C65"/>
    <mergeCell ref="A39:B39"/>
    <mergeCell ref="A41:A42"/>
    <mergeCell ref="B41:B42"/>
    <mergeCell ref="C41:C42"/>
    <mergeCell ref="D41:E41"/>
    <mergeCell ref="F41:F42"/>
    <mergeCell ref="A79:B79"/>
    <mergeCell ref="A80:B80"/>
    <mergeCell ref="A81:F81"/>
    <mergeCell ref="A91:C91"/>
    <mergeCell ref="A92:C92"/>
    <mergeCell ref="A93:C93"/>
    <mergeCell ref="A82:B82"/>
    <mergeCell ref="A84:A85"/>
    <mergeCell ref="B84:B85"/>
    <mergeCell ref="C84:C85"/>
    <mergeCell ref="D84:E84"/>
    <mergeCell ref="F84:F85"/>
    <mergeCell ref="A95:B95"/>
    <mergeCell ref="A96:B96"/>
    <mergeCell ref="A97:F97"/>
    <mergeCell ref="A117:C117"/>
    <mergeCell ref="A118:C118"/>
    <mergeCell ref="A119:C119"/>
    <mergeCell ref="A98:B98"/>
    <mergeCell ref="A100:A101"/>
    <mergeCell ref="B100:B101"/>
    <mergeCell ref="C100:C101"/>
    <mergeCell ref="D100:E100"/>
    <mergeCell ref="F100:F101"/>
    <mergeCell ref="A121:B121"/>
    <mergeCell ref="A122:B122"/>
    <mergeCell ref="A123:F123"/>
    <mergeCell ref="A134:C134"/>
    <mergeCell ref="A135:C135"/>
    <mergeCell ref="A136:C136"/>
    <mergeCell ref="A124:B124"/>
    <mergeCell ref="A126:A127"/>
    <mergeCell ref="B126:B127"/>
    <mergeCell ref="C126:C127"/>
    <mergeCell ref="D126:E126"/>
    <mergeCell ref="F126:F127"/>
    <mergeCell ref="A147:B147"/>
    <mergeCell ref="A148:B148"/>
    <mergeCell ref="A149:F149"/>
    <mergeCell ref="A161:C161"/>
    <mergeCell ref="A162:C162"/>
    <mergeCell ref="A163:C163"/>
    <mergeCell ref="A150:B150"/>
    <mergeCell ref="A152:A153"/>
    <mergeCell ref="B152:B153"/>
    <mergeCell ref="C152:C153"/>
    <mergeCell ref="D152:E152"/>
    <mergeCell ref="F152:F153"/>
  </mergeCells>
  <phoneticPr fontId="8" type="noConversion"/>
  <pageMargins left="0.51181102362204722" right="0.51181102362204722" top="0.74803149606299213" bottom="0.74803149606299213" header="0.31496062992125984" footer="0.31496062992125984"/>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19"/>
  <sheetViews>
    <sheetView showWhiteSpace="0" view="pageLayout" workbookViewId="0">
      <selection activeCell="D303" sqref="D303"/>
    </sheetView>
  </sheetViews>
  <sheetFormatPr defaultColWidth="9.140625" defaultRowHeight="12" x14ac:dyDescent="0.2"/>
  <cols>
    <col min="1" max="1" width="9.140625" style="1"/>
    <col min="2" max="2" width="32.5703125" style="1" customWidth="1"/>
    <col min="3" max="3" width="6.5703125" style="1" customWidth="1"/>
    <col min="4" max="5" width="12.42578125" style="1" customWidth="1"/>
    <col min="6" max="6" width="17.85546875" style="1" customWidth="1"/>
    <col min="7" max="7" width="9.140625" style="1"/>
    <col min="8" max="8" width="9.85546875" style="1" bestFit="1" customWidth="1"/>
    <col min="9" max="16384" width="9.140625" style="1"/>
  </cols>
  <sheetData>
    <row r="1" spans="1:8" x14ac:dyDescent="0.2">
      <c r="A1" s="100" t="s">
        <v>0</v>
      </c>
      <c r="B1" s="100"/>
    </row>
    <row r="2" spans="1:8" x14ac:dyDescent="0.2">
      <c r="A2" s="100" t="s">
        <v>1</v>
      </c>
      <c r="B2" s="100"/>
    </row>
    <row r="3" spans="1:8" x14ac:dyDescent="0.2">
      <c r="A3" s="101" t="s">
        <v>2</v>
      </c>
      <c r="B3" s="101"/>
      <c r="C3" s="101"/>
      <c r="D3" s="101"/>
      <c r="E3" s="101"/>
      <c r="F3" s="101"/>
    </row>
    <row r="4" spans="1:8" x14ac:dyDescent="0.2">
      <c r="A4" s="122" t="s">
        <v>213</v>
      </c>
      <c r="B4" s="122"/>
      <c r="C4" s="125"/>
      <c r="D4" s="123" t="s">
        <v>61</v>
      </c>
      <c r="E4" s="125"/>
      <c r="F4" s="125"/>
    </row>
    <row r="5" spans="1:8" x14ac:dyDescent="0.2">
      <c r="A5" s="125"/>
      <c r="B5" s="125"/>
      <c r="C5" s="125"/>
      <c r="D5" s="125"/>
      <c r="E5" s="125"/>
      <c r="F5" s="125"/>
    </row>
    <row r="6" spans="1:8" x14ac:dyDescent="0.2">
      <c r="A6" s="134" t="s">
        <v>3</v>
      </c>
      <c r="B6" s="134" t="s">
        <v>4</v>
      </c>
      <c r="C6" s="134" t="s">
        <v>5</v>
      </c>
      <c r="D6" s="135" t="s">
        <v>6</v>
      </c>
      <c r="E6" s="136"/>
      <c r="F6" s="134" t="s">
        <v>9</v>
      </c>
    </row>
    <row r="7" spans="1:8" x14ac:dyDescent="0.2">
      <c r="A7" s="137"/>
      <c r="B7" s="137"/>
      <c r="C7" s="137"/>
      <c r="D7" s="124" t="s">
        <v>7</v>
      </c>
      <c r="E7" s="124" t="s">
        <v>8</v>
      </c>
      <c r="F7" s="137"/>
    </row>
    <row r="8" spans="1:8" x14ac:dyDescent="0.2">
      <c r="A8" s="133" t="s">
        <v>207</v>
      </c>
      <c r="B8" s="127" t="s">
        <v>206</v>
      </c>
      <c r="C8" s="127"/>
      <c r="D8" s="46">
        <v>0</v>
      </c>
      <c r="E8" s="46">
        <v>0</v>
      </c>
      <c r="F8" s="46">
        <v>0</v>
      </c>
    </row>
    <row r="9" spans="1:8" x14ac:dyDescent="0.2">
      <c r="A9" s="18" t="s">
        <v>228</v>
      </c>
      <c r="B9" s="4" t="s">
        <v>254</v>
      </c>
      <c r="C9" s="4" t="s">
        <v>200</v>
      </c>
      <c r="D9" s="20"/>
      <c r="E9" s="20"/>
      <c r="F9" s="20">
        <f>F8+E9</f>
        <v>0</v>
      </c>
    </row>
    <row r="10" spans="1:8" x14ac:dyDescent="0.2">
      <c r="A10" s="18" t="s">
        <v>416</v>
      </c>
      <c r="B10" s="4" t="s">
        <v>256</v>
      </c>
      <c r="C10" s="4" t="s">
        <v>200</v>
      </c>
      <c r="D10" s="20"/>
      <c r="E10" s="20"/>
      <c r="F10" s="20">
        <f t="shared" ref="F10:F20" si="0">F9+E10</f>
        <v>0</v>
      </c>
    </row>
    <row r="11" spans="1:8" x14ac:dyDescent="0.2">
      <c r="A11" s="18" t="s">
        <v>269</v>
      </c>
      <c r="B11" s="4" t="s">
        <v>277</v>
      </c>
      <c r="C11" s="4" t="s">
        <v>200</v>
      </c>
      <c r="D11" s="20"/>
      <c r="E11" s="20"/>
      <c r="F11" s="20">
        <f t="shared" si="0"/>
        <v>0</v>
      </c>
    </row>
    <row r="12" spans="1:8" x14ac:dyDescent="0.2">
      <c r="A12" s="18" t="s">
        <v>284</v>
      </c>
      <c r="B12" s="4" t="s">
        <v>289</v>
      </c>
      <c r="C12" s="4" t="s">
        <v>200</v>
      </c>
      <c r="D12" s="20"/>
      <c r="E12" s="20"/>
      <c r="F12" s="20">
        <f t="shared" si="0"/>
        <v>0</v>
      </c>
      <c r="H12" s="31"/>
    </row>
    <row r="13" spans="1:8" x14ac:dyDescent="0.2">
      <c r="A13" s="18" t="s">
        <v>290</v>
      </c>
      <c r="B13" s="4" t="s">
        <v>300</v>
      </c>
      <c r="C13" s="4" t="s">
        <v>200</v>
      </c>
      <c r="D13" s="20"/>
      <c r="E13" s="20"/>
      <c r="F13" s="20">
        <f t="shared" si="0"/>
        <v>0</v>
      </c>
    </row>
    <row r="14" spans="1:8" x14ac:dyDescent="0.2">
      <c r="A14" s="18" t="s">
        <v>308</v>
      </c>
      <c r="B14" s="4" t="s">
        <v>312</v>
      </c>
      <c r="C14" s="4" t="s">
        <v>200</v>
      </c>
      <c r="D14" s="20"/>
      <c r="E14" s="20"/>
      <c r="F14" s="20">
        <f t="shared" si="0"/>
        <v>0</v>
      </c>
    </row>
    <row r="15" spans="1:8" x14ac:dyDescent="0.2">
      <c r="A15" s="18" t="s">
        <v>322</v>
      </c>
      <c r="B15" s="4" t="s">
        <v>334</v>
      </c>
      <c r="C15" s="4" t="s">
        <v>200</v>
      </c>
      <c r="D15" s="20"/>
      <c r="E15" s="20"/>
      <c r="F15" s="20">
        <f t="shared" si="0"/>
        <v>0</v>
      </c>
    </row>
    <row r="16" spans="1:8" x14ac:dyDescent="0.2">
      <c r="A16" s="18" t="s">
        <v>335</v>
      </c>
      <c r="B16" s="4" t="s">
        <v>342</v>
      </c>
      <c r="C16" s="4" t="s">
        <v>200</v>
      </c>
      <c r="D16" s="20"/>
      <c r="E16" s="20"/>
      <c r="F16" s="20">
        <f t="shared" si="0"/>
        <v>0</v>
      </c>
    </row>
    <row r="17" spans="1:6" x14ac:dyDescent="0.2">
      <c r="A17" s="18" t="s">
        <v>357</v>
      </c>
      <c r="B17" s="4" t="s">
        <v>364</v>
      </c>
      <c r="C17" s="4" t="s">
        <v>200</v>
      </c>
      <c r="D17" s="20"/>
      <c r="E17" s="20"/>
      <c r="F17" s="20">
        <f t="shared" si="0"/>
        <v>0</v>
      </c>
    </row>
    <row r="18" spans="1:6" x14ac:dyDescent="0.2">
      <c r="A18" s="18" t="s">
        <v>376</v>
      </c>
      <c r="B18" s="4" t="s">
        <v>388</v>
      </c>
      <c r="C18" s="4" t="s">
        <v>200</v>
      </c>
      <c r="D18" s="20"/>
      <c r="E18" s="20"/>
      <c r="F18" s="20">
        <f t="shared" si="0"/>
        <v>0</v>
      </c>
    </row>
    <row r="19" spans="1:6" x14ac:dyDescent="0.2">
      <c r="A19" s="18" t="s">
        <v>390</v>
      </c>
      <c r="B19" s="4" t="s">
        <v>394</v>
      </c>
      <c r="C19" s="4" t="s">
        <v>200</v>
      </c>
      <c r="D19" s="20"/>
      <c r="E19" s="20"/>
      <c r="F19" s="20">
        <f t="shared" si="0"/>
        <v>0</v>
      </c>
    </row>
    <row r="20" spans="1:6" x14ac:dyDescent="0.2">
      <c r="A20" s="18" t="s">
        <v>449</v>
      </c>
      <c r="B20" s="4" t="s">
        <v>465</v>
      </c>
      <c r="C20" s="4" t="s">
        <v>200</v>
      </c>
      <c r="D20" s="20"/>
      <c r="E20" s="20"/>
      <c r="F20" s="20">
        <f t="shared" si="0"/>
        <v>0</v>
      </c>
    </row>
    <row r="21" spans="1:6" x14ac:dyDescent="0.2">
      <c r="A21" s="53"/>
      <c r="B21" s="4"/>
      <c r="C21" s="10"/>
      <c r="D21" s="20"/>
      <c r="E21" s="20"/>
      <c r="F21" s="20"/>
    </row>
    <row r="22" spans="1:6" x14ac:dyDescent="0.2">
      <c r="A22" s="105" t="s">
        <v>10</v>
      </c>
      <c r="B22" s="112"/>
      <c r="C22" s="106"/>
      <c r="D22" s="20">
        <f>SUM(D8:D20)</f>
        <v>0</v>
      </c>
      <c r="E22" s="20">
        <f>SUM(E8:E20)</f>
        <v>0</v>
      </c>
      <c r="F22" s="20">
        <f>D22-E22</f>
        <v>0</v>
      </c>
    </row>
    <row r="23" spans="1:6" x14ac:dyDescent="0.2">
      <c r="A23" s="105" t="s">
        <v>11</v>
      </c>
      <c r="B23" s="112"/>
      <c r="C23" s="106"/>
      <c r="D23" s="20">
        <v>0</v>
      </c>
      <c r="E23" s="20">
        <f>F8</f>
        <v>0</v>
      </c>
      <c r="F23" s="20">
        <f>D23-E23</f>
        <v>0</v>
      </c>
    </row>
    <row r="24" spans="1:6" x14ac:dyDescent="0.2">
      <c r="A24" s="105" t="s">
        <v>10</v>
      </c>
      <c r="B24" s="112"/>
      <c r="C24" s="106"/>
      <c r="D24" s="20">
        <f>SUM(D22:D23)</f>
        <v>0</v>
      </c>
      <c r="E24" s="20">
        <f>SUM(E22:E23)</f>
        <v>0</v>
      </c>
      <c r="F24" s="20">
        <f>SUM(F22:F23)</f>
        <v>0</v>
      </c>
    </row>
    <row r="26" spans="1:6" x14ac:dyDescent="0.2">
      <c r="A26" s="100" t="s">
        <v>0</v>
      </c>
      <c r="B26" s="100"/>
    </row>
    <row r="27" spans="1:6" x14ac:dyDescent="0.2">
      <c r="A27" s="100" t="s">
        <v>1</v>
      </c>
      <c r="B27" s="100"/>
    </row>
    <row r="28" spans="1:6" x14ac:dyDescent="0.2">
      <c r="A28" s="143" t="s">
        <v>2</v>
      </c>
      <c r="B28" s="143"/>
      <c r="C28" s="143"/>
      <c r="D28" s="143"/>
      <c r="E28" s="143"/>
      <c r="F28" s="143"/>
    </row>
    <row r="29" spans="1:6" x14ac:dyDescent="0.2">
      <c r="A29" s="122" t="s">
        <v>62</v>
      </c>
      <c r="B29" s="122"/>
      <c r="C29" s="125"/>
      <c r="D29" s="123" t="s">
        <v>63</v>
      </c>
      <c r="E29" s="125"/>
      <c r="F29" s="125"/>
    </row>
    <row r="30" spans="1:6" x14ac:dyDescent="0.2">
      <c r="A30" s="125"/>
      <c r="B30" s="125"/>
      <c r="C30" s="125"/>
      <c r="D30" s="125"/>
      <c r="E30" s="125"/>
      <c r="F30" s="125"/>
    </row>
    <row r="31" spans="1:6" x14ac:dyDescent="0.2">
      <c r="A31" s="134" t="s">
        <v>3</v>
      </c>
      <c r="B31" s="134" t="s">
        <v>4</v>
      </c>
      <c r="C31" s="134" t="s">
        <v>5</v>
      </c>
      <c r="D31" s="135" t="s">
        <v>6</v>
      </c>
      <c r="E31" s="136"/>
      <c r="F31" s="134" t="s">
        <v>9</v>
      </c>
    </row>
    <row r="32" spans="1:6" x14ac:dyDescent="0.2">
      <c r="A32" s="137"/>
      <c r="B32" s="137"/>
      <c r="C32" s="137"/>
      <c r="D32" s="124" t="s">
        <v>7</v>
      </c>
      <c r="E32" s="124" t="s">
        <v>8</v>
      </c>
      <c r="F32" s="137"/>
    </row>
    <row r="33" spans="1:6" x14ac:dyDescent="0.2">
      <c r="A33" s="133" t="s">
        <v>207</v>
      </c>
      <c r="B33" s="127" t="s">
        <v>206</v>
      </c>
      <c r="C33" s="127"/>
      <c r="D33" s="46">
        <v>0</v>
      </c>
      <c r="E33" s="46">
        <v>0</v>
      </c>
      <c r="F33" s="46">
        <v>0</v>
      </c>
    </row>
    <row r="34" spans="1:6" x14ac:dyDescent="0.2">
      <c r="A34" s="18" t="s">
        <v>228</v>
      </c>
      <c r="B34" s="4" t="s">
        <v>254</v>
      </c>
      <c r="C34" s="4" t="s">
        <v>200</v>
      </c>
      <c r="D34" s="20"/>
      <c r="E34" s="20"/>
      <c r="F34" s="20">
        <f>F33+E34</f>
        <v>0</v>
      </c>
    </row>
    <row r="35" spans="1:6" x14ac:dyDescent="0.2">
      <c r="A35" s="18" t="s">
        <v>244</v>
      </c>
      <c r="B35" s="4" t="s">
        <v>256</v>
      </c>
      <c r="C35" s="4" t="s">
        <v>200</v>
      </c>
      <c r="D35" s="20"/>
      <c r="E35" s="20"/>
      <c r="F35" s="20">
        <f t="shared" ref="F35:F45" si="1">F34+E35</f>
        <v>0</v>
      </c>
    </row>
    <row r="36" spans="1:6" x14ac:dyDescent="0.2">
      <c r="A36" s="18" t="s">
        <v>269</v>
      </c>
      <c r="B36" s="4" t="s">
        <v>277</v>
      </c>
      <c r="C36" s="4" t="s">
        <v>200</v>
      </c>
      <c r="D36" s="20"/>
      <c r="E36" s="20"/>
      <c r="F36" s="20">
        <f t="shared" si="1"/>
        <v>0</v>
      </c>
    </row>
    <row r="37" spans="1:6" x14ac:dyDescent="0.2">
      <c r="A37" s="18" t="s">
        <v>284</v>
      </c>
      <c r="B37" s="4" t="s">
        <v>289</v>
      </c>
      <c r="C37" s="4" t="s">
        <v>200</v>
      </c>
      <c r="D37" s="20"/>
      <c r="E37" s="20"/>
      <c r="F37" s="20">
        <f t="shared" si="1"/>
        <v>0</v>
      </c>
    </row>
    <row r="38" spans="1:6" x14ac:dyDescent="0.2">
      <c r="A38" s="18" t="s">
        <v>290</v>
      </c>
      <c r="B38" s="4" t="s">
        <v>300</v>
      </c>
      <c r="C38" s="4" t="s">
        <v>200</v>
      </c>
      <c r="D38" s="20"/>
      <c r="E38" s="20"/>
      <c r="F38" s="20">
        <f t="shared" si="1"/>
        <v>0</v>
      </c>
    </row>
    <row r="39" spans="1:6" x14ac:dyDescent="0.2">
      <c r="A39" s="18" t="s">
        <v>308</v>
      </c>
      <c r="B39" s="4" t="s">
        <v>312</v>
      </c>
      <c r="C39" s="4" t="s">
        <v>200</v>
      </c>
      <c r="D39" s="20"/>
      <c r="E39" s="20"/>
      <c r="F39" s="20">
        <f t="shared" si="1"/>
        <v>0</v>
      </c>
    </row>
    <row r="40" spans="1:6" x14ac:dyDescent="0.2">
      <c r="A40" s="18" t="s">
        <v>322</v>
      </c>
      <c r="B40" s="4" t="s">
        <v>334</v>
      </c>
      <c r="C40" s="4" t="s">
        <v>200</v>
      </c>
      <c r="D40" s="20"/>
      <c r="E40" s="20"/>
      <c r="F40" s="20">
        <f t="shared" si="1"/>
        <v>0</v>
      </c>
    </row>
    <row r="41" spans="1:6" x14ac:dyDescent="0.2">
      <c r="A41" s="18" t="s">
        <v>335</v>
      </c>
      <c r="B41" s="4" t="s">
        <v>342</v>
      </c>
      <c r="C41" s="4" t="s">
        <v>200</v>
      </c>
      <c r="D41" s="20"/>
      <c r="E41" s="20"/>
      <c r="F41" s="20">
        <f t="shared" si="1"/>
        <v>0</v>
      </c>
    </row>
    <row r="42" spans="1:6" x14ac:dyDescent="0.2">
      <c r="A42" s="18" t="s">
        <v>357</v>
      </c>
      <c r="B42" s="4" t="s">
        <v>364</v>
      </c>
      <c r="C42" s="4" t="s">
        <v>200</v>
      </c>
      <c r="D42" s="20"/>
      <c r="E42" s="20"/>
      <c r="F42" s="20">
        <f t="shared" si="1"/>
        <v>0</v>
      </c>
    </row>
    <row r="43" spans="1:6" x14ac:dyDescent="0.2">
      <c r="A43" s="18" t="s">
        <v>376</v>
      </c>
      <c r="B43" s="4" t="s">
        <v>388</v>
      </c>
      <c r="C43" s="4" t="s">
        <v>200</v>
      </c>
      <c r="D43" s="20"/>
      <c r="E43" s="20"/>
      <c r="F43" s="20">
        <f t="shared" si="1"/>
        <v>0</v>
      </c>
    </row>
    <row r="44" spans="1:6" x14ac:dyDescent="0.2">
      <c r="A44" s="18" t="s">
        <v>390</v>
      </c>
      <c r="B44" s="4" t="s">
        <v>394</v>
      </c>
      <c r="C44" s="4" t="s">
        <v>200</v>
      </c>
      <c r="D44" s="20"/>
      <c r="E44" s="20"/>
      <c r="F44" s="20">
        <f t="shared" si="1"/>
        <v>0</v>
      </c>
    </row>
    <row r="45" spans="1:6" x14ac:dyDescent="0.2">
      <c r="A45" s="18" t="s">
        <v>449</v>
      </c>
      <c r="B45" s="4" t="s">
        <v>465</v>
      </c>
      <c r="C45" s="4" t="s">
        <v>200</v>
      </c>
      <c r="D45" s="20"/>
      <c r="E45" s="20"/>
      <c r="F45" s="20">
        <f t="shared" si="1"/>
        <v>0</v>
      </c>
    </row>
    <row r="46" spans="1:6" x14ac:dyDescent="0.2">
      <c r="A46" s="53"/>
      <c r="B46" s="4"/>
      <c r="C46" s="10"/>
      <c r="D46" s="20"/>
      <c r="E46" s="20"/>
      <c r="F46" s="20"/>
    </row>
    <row r="47" spans="1:6" x14ac:dyDescent="0.2">
      <c r="A47" s="105" t="s">
        <v>10</v>
      </c>
      <c r="B47" s="112"/>
      <c r="C47" s="106"/>
      <c r="D47" s="20">
        <f>SUM(D33:D45)</f>
        <v>0</v>
      </c>
      <c r="E47" s="20">
        <f>SUM(E33:E46)</f>
        <v>0</v>
      </c>
      <c r="F47" s="20">
        <f>D47-E47</f>
        <v>0</v>
      </c>
    </row>
    <row r="48" spans="1:6" x14ac:dyDescent="0.2">
      <c r="A48" s="105" t="s">
        <v>11</v>
      </c>
      <c r="B48" s="112"/>
      <c r="C48" s="106"/>
      <c r="D48" s="20">
        <v>0</v>
      </c>
      <c r="E48" s="20">
        <f>F33</f>
        <v>0</v>
      </c>
      <c r="F48" s="20">
        <f>D48-E48</f>
        <v>0</v>
      </c>
    </row>
    <row r="49" spans="1:6" x14ac:dyDescent="0.2">
      <c r="A49" s="105" t="s">
        <v>10</v>
      </c>
      <c r="B49" s="112"/>
      <c r="C49" s="106"/>
      <c r="D49" s="20">
        <f>SUM(D47:D48)</f>
        <v>0</v>
      </c>
      <c r="E49" s="20">
        <f>SUM(E47:E48)</f>
        <v>0</v>
      </c>
      <c r="F49" s="20">
        <f>SUM(F47:F48)</f>
        <v>0</v>
      </c>
    </row>
    <row r="65" spans="1:6" x14ac:dyDescent="0.2">
      <c r="A65" s="100" t="s">
        <v>0</v>
      </c>
      <c r="B65" s="100"/>
    </row>
    <row r="66" spans="1:6" x14ac:dyDescent="0.2">
      <c r="A66" s="100" t="s">
        <v>1</v>
      </c>
      <c r="B66" s="100"/>
    </row>
    <row r="67" spans="1:6" x14ac:dyDescent="0.2">
      <c r="A67" s="101" t="s">
        <v>2</v>
      </c>
      <c r="B67" s="101"/>
      <c r="C67" s="101"/>
      <c r="D67" s="101"/>
      <c r="E67" s="101"/>
      <c r="F67" s="101"/>
    </row>
    <row r="68" spans="1:6" x14ac:dyDescent="0.2">
      <c r="A68" s="122" t="s">
        <v>214</v>
      </c>
      <c r="B68" s="122"/>
      <c r="C68" s="125"/>
      <c r="D68" s="123" t="s">
        <v>64</v>
      </c>
      <c r="E68" s="125"/>
      <c r="F68" s="125"/>
    </row>
    <row r="69" spans="1:6" x14ac:dyDescent="0.2">
      <c r="A69" s="125"/>
      <c r="B69" s="125"/>
      <c r="C69" s="125"/>
      <c r="D69" s="125"/>
      <c r="E69" s="125"/>
      <c r="F69" s="125"/>
    </row>
    <row r="70" spans="1:6" x14ac:dyDescent="0.2">
      <c r="A70" s="134" t="s">
        <v>3</v>
      </c>
      <c r="B70" s="134" t="s">
        <v>4</v>
      </c>
      <c r="C70" s="134" t="s">
        <v>5</v>
      </c>
      <c r="D70" s="135" t="s">
        <v>6</v>
      </c>
      <c r="E70" s="136"/>
      <c r="F70" s="134" t="s">
        <v>9</v>
      </c>
    </row>
    <row r="71" spans="1:6" x14ac:dyDescent="0.2">
      <c r="A71" s="137"/>
      <c r="B71" s="137"/>
      <c r="C71" s="137"/>
      <c r="D71" s="124" t="s">
        <v>7</v>
      </c>
      <c r="E71" s="124" t="s">
        <v>8</v>
      </c>
      <c r="F71" s="137"/>
    </row>
    <row r="72" spans="1:6" x14ac:dyDescent="0.2">
      <c r="A72" s="133" t="s">
        <v>207</v>
      </c>
      <c r="B72" s="127" t="s">
        <v>206</v>
      </c>
      <c r="C72" s="127"/>
      <c r="D72" s="46">
        <v>0</v>
      </c>
      <c r="E72" s="46">
        <v>0</v>
      </c>
      <c r="F72" s="46">
        <v>0</v>
      </c>
    </row>
    <row r="73" spans="1:6" x14ac:dyDescent="0.2">
      <c r="A73" s="18" t="s">
        <v>228</v>
      </c>
      <c r="B73" s="4" t="s">
        <v>254</v>
      </c>
      <c r="C73" s="4" t="s">
        <v>200</v>
      </c>
      <c r="D73" s="20"/>
      <c r="E73" s="20"/>
      <c r="F73" s="20">
        <f>F72+E73</f>
        <v>0</v>
      </c>
    </row>
    <row r="74" spans="1:6" x14ac:dyDescent="0.2">
      <c r="A74" s="18" t="s">
        <v>244</v>
      </c>
      <c r="B74" s="4" t="s">
        <v>256</v>
      </c>
      <c r="C74" s="4" t="s">
        <v>200</v>
      </c>
      <c r="D74" s="20"/>
      <c r="E74" s="20"/>
      <c r="F74" s="20">
        <f t="shared" ref="F74:F84" si="2">F73+E74</f>
        <v>0</v>
      </c>
    </row>
    <row r="75" spans="1:6" x14ac:dyDescent="0.2">
      <c r="A75" s="18" t="s">
        <v>269</v>
      </c>
      <c r="B75" s="4" t="s">
        <v>277</v>
      </c>
      <c r="C75" s="4" t="s">
        <v>200</v>
      </c>
      <c r="D75" s="20"/>
      <c r="E75" s="20"/>
      <c r="F75" s="20">
        <f t="shared" si="2"/>
        <v>0</v>
      </c>
    </row>
    <row r="76" spans="1:6" x14ac:dyDescent="0.2">
      <c r="A76" s="18" t="s">
        <v>284</v>
      </c>
      <c r="B76" s="4" t="s">
        <v>289</v>
      </c>
      <c r="C76" s="4" t="s">
        <v>200</v>
      </c>
      <c r="D76" s="20"/>
      <c r="E76" s="20"/>
      <c r="F76" s="20">
        <f t="shared" si="2"/>
        <v>0</v>
      </c>
    </row>
    <row r="77" spans="1:6" x14ac:dyDescent="0.2">
      <c r="A77" s="18" t="s">
        <v>290</v>
      </c>
      <c r="B77" s="4" t="s">
        <v>300</v>
      </c>
      <c r="C77" s="4" t="s">
        <v>200</v>
      </c>
      <c r="D77" s="20"/>
      <c r="E77" s="20"/>
      <c r="F77" s="20">
        <f t="shared" si="2"/>
        <v>0</v>
      </c>
    </row>
    <row r="78" spans="1:6" x14ac:dyDescent="0.2">
      <c r="A78" s="18" t="s">
        <v>308</v>
      </c>
      <c r="B78" s="4" t="s">
        <v>312</v>
      </c>
      <c r="C78" s="4" t="s">
        <v>200</v>
      </c>
      <c r="D78" s="20"/>
      <c r="E78" s="20"/>
      <c r="F78" s="20">
        <f t="shared" si="2"/>
        <v>0</v>
      </c>
    </row>
    <row r="79" spans="1:6" x14ac:dyDescent="0.2">
      <c r="A79" s="18" t="s">
        <v>322</v>
      </c>
      <c r="B79" s="4" t="s">
        <v>334</v>
      </c>
      <c r="C79" s="4" t="s">
        <v>200</v>
      </c>
      <c r="D79" s="20"/>
      <c r="E79" s="20"/>
      <c r="F79" s="20">
        <f t="shared" si="2"/>
        <v>0</v>
      </c>
    </row>
    <row r="80" spans="1:6" x14ac:dyDescent="0.2">
      <c r="A80" s="18" t="s">
        <v>335</v>
      </c>
      <c r="B80" s="4" t="s">
        <v>342</v>
      </c>
      <c r="C80" s="4" t="s">
        <v>200</v>
      </c>
      <c r="D80" s="20"/>
      <c r="E80" s="20"/>
      <c r="F80" s="20">
        <f t="shared" si="2"/>
        <v>0</v>
      </c>
    </row>
    <row r="81" spans="1:6" x14ac:dyDescent="0.2">
      <c r="A81" s="18" t="s">
        <v>357</v>
      </c>
      <c r="B81" s="4" t="s">
        <v>364</v>
      </c>
      <c r="C81" s="4" t="s">
        <v>200</v>
      </c>
      <c r="D81" s="20"/>
      <c r="E81" s="20"/>
      <c r="F81" s="20">
        <f t="shared" si="2"/>
        <v>0</v>
      </c>
    </row>
    <row r="82" spans="1:6" x14ac:dyDescent="0.2">
      <c r="A82" s="18" t="s">
        <v>376</v>
      </c>
      <c r="B82" s="4" t="s">
        <v>388</v>
      </c>
      <c r="C82" s="4" t="s">
        <v>200</v>
      </c>
      <c r="D82" s="20"/>
      <c r="E82" s="20"/>
      <c r="F82" s="20">
        <f t="shared" si="2"/>
        <v>0</v>
      </c>
    </row>
    <row r="83" spans="1:6" x14ac:dyDescent="0.2">
      <c r="A83" s="18" t="s">
        <v>390</v>
      </c>
      <c r="B83" s="4" t="s">
        <v>394</v>
      </c>
      <c r="C83" s="4" t="s">
        <v>200</v>
      </c>
      <c r="D83" s="20"/>
      <c r="E83" s="20"/>
      <c r="F83" s="20">
        <f t="shared" si="2"/>
        <v>0</v>
      </c>
    </row>
    <row r="84" spans="1:6" x14ac:dyDescent="0.2">
      <c r="A84" s="18" t="s">
        <v>449</v>
      </c>
      <c r="B84" s="4" t="s">
        <v>465</v>
      </c>
      <c r="C84" s="4" t="s">
        <v>200</v>
      </c>
      <c r="D84" s="20"/>
      <c r="E84" s="20"/>
      <c r="F84" s="20">
        <f t="shared" si="2"/>
        <v>0</v>
      </c>
    </row>
    <row r="85" spans="1:6" x14ac:dyDescent="0.2">
      <c r="A85" s="4"/>
      <c r="B85" s="4"/>
      <c r="C85" s="4"/>
      <c r="D85" s="20"/>
      <c r="E85" s="20"/>
      <c r="F85" s="20"/>
    </row>
    <row r="86" spans="1:6" x14ac:dyDescent="0.2">
      <c r="A86" s="105" t="s">
        <v>10</v>
      </c>
      <c r="B86" s="112"/>
      <c r="C86" s="106"/>
      <c r="D86" s="20">
        <f>SUM(D72:D85)</f>
        <v>0</v>
      </c>
      <c r="E86" s="20">
        <f>SUM(E72:E85)</f>
        <v>0</v>
      </c>
      <c r="F86" s="20">
        <f>D86-E86</f>
        <v>0</v>
      </c>
    </row>
    <row r="87" spans="1:6" x14ac:dyDescent="0.2">
      <c r="A87" s="105" t="s">
        <v>11</v>
      </c>
      <c r="B87" s="112"/>
      <c r="C87" s="106"/>
      <c r="D87" s="20">
        <v>0</v>
      </c>
      <c r="E87" s="20">
        <f>F72</f>
        <v>0</v>
      </c>
      <c r="F87" s="20">
        <f>D87-E87</f>
        <v>0</v>
      </c>
    </row>
    <row r="88" spans="1:6" x14ac:dyDescent="0.2">
      <c r="A88" s="105" t="s">
        <v>10</v>
      </c>
      <c r="B88" s="112"/>
      <c r="C88" s="106"/>
      <c r="D88" s="20">
        <f>SUM(D86:D87)</f>
        <v>0</v>
      </c>
      <c r="E88" s="20">
        <f>SUM(E86:E87)</f>
        <v>0</v>
      </c>
      <c r="F88" s="20">
        <f>SUM(F86:F87)</f>
        <v>0</v>
      </c>
    </row>
    <row r="94" spans="1:6" x14ac:dyDescent="0.2">
      <c r="A94" s="100" t="s">
        <v>0</v>
      </c>
      <c r="B94" s="100"/>
    </row>
    <row r="95" spans="1:6" x14ac:dyDescent="0.2">
      <c r="A95" s="100" t="s">
        <v>1</v>
      </c>
      <c r="B95" s="100"/>
    </row>
    <row r="96" spans="1:6" x14ac:dyDescent="0.2">
      <c r="A96" s="101" t="s">
        <v>2</v>
      </c>
      <c r="B96" s="101"/>
      <c r="C96" s="101"/>
      <c r="D96" s="101"/>
      <c r="E96" s="101"/>
      <c r="F96" s="101"/>
    </row>
    <row r="97" spans="1:6" x14ac:dyDescent="0.2">
      <c r="A97" s="122" t="s">
        <v>215</v>
      </c>
      <c r="B97" s="122"/>
      <c r="C97" s="125"/>
      <c r="D97" s="123" t="s">
        <v>65</v>
      </c>
      <c r="E97" s="125"/>
      <c r="F97" s="125"/>
    </row>
    <row r="98" spans="1:6" x14ac:dyDescent="0.2">
      <c r="A98" s="125"/>
      <c r="B98" s="125"/>
      <c r="C98" s="125"/>
      <c r="D98" s="125"/>
      <c r="E98" s="125"/>
      <c r="F98" s="125"/>
    </row>
    <row r="99" spans="1:6" x14ac:dyDescent="0.2">
      <c r="A99" s="134" t="s">
        <v>3</v>
      </c>
      <c r="B99" s="134" t="s">
        <v>4</v>
      </c>
      <c r="C99" s="134" t="s">
        <v>5</v>
      </c>
      <c r="D99" s="135" t="s">
        <v>6</v>
      </c>
      <c r="E99" s="136"/>
      <c r="F99" s="134" t="s">
        <v>9</v>
      </c>
    </row>
    <row r="100" spans="1:6" x14ac:dyDescent="0.2">
      <c r="A100" s="137"/>
      <c r="B100" s="137"/>
      <c r="C100" s="137"/>
      <c r="D100" s="124" t="s">
        <v>7</v>
      </c>
      <c r="E100" s="124" t="s">
        <v>8</v>
      </c>
      <c r="F100" s="137"/>
    </row>
    <row r="101" spans="1:6" x14ac:dyDescent="0.2">
      <c r="A101" s="133" t="s">
        <v>207</v>
      </c>
      <c r="B101" s="127" t="s">
        <v>206</v>
      </c>
      <c r="C101" s="127"/>
      <c r="D101" s="46">
        <v>0</v>
      </c>
      <c r="E101" s="46">
        <v>0</v>
      </c>
      <c r="F101" s="46">
        <v>0</v>
      </c>
    </row>
    <row r="102" spans="1:6" x14ac:dyDescent="0.2">
      <c r="A102" s="18" t="s">
        <v>228</v>
      </c>
      <c r="B102" s="4" t="s">
        <v>254</v>
      </c>
      <c r="C102" s="4" t="s">
        <v>200</v>
      </c>
      <c r="D102" s="20"/>
      <c r="E102" s="20"/>
      <c r="F102" s="20">
        <f>F101+E102</f>
        <v>0</v>
      </c>
    </row>
    <row r="103" spans="1:6" x14ac:dyDescent="0.2">
      <c r="A103" s="18" t="s">
        <v>244</v>
      </c>
      <c r="B103" s="4" t="s">
        <v>256</v>
      </c>
      <c r="C103" s="4" t="s">
        <v>200</v>
      </c>
      <c r="D103" s="20"/>
      <c r="E103" s="20"/>
      <c r="F103" s="20">
        <f t="shared" ref="F103:F113" si="3">F102+E103</f>
        <v>0</v>
      </c>
    </row>
    <row r="104" spans="1:6" x14ac:dyDescent="0.2">
      <c r="A104" s="18" t="s">
        <v>269</v>
      </c>
      <c r="B104" s="4" t="s">
        <v>277</v>
      </c>
      <c r="C104" s="4" t="s">
        <v>200</v>
      </c>
      <c r="D104" s="20"/>
      <c r="E104" s="20"/>
      <c r="F104" s="20">
        <f t="shared" si="3"/>
        <v>0</v>
      </c>
    </row>
    <row r="105" spans="1:6" x14ac:dyDescent="0.2">
      <c r="A105" s="18" t="s">
        <v>284</v>
      </c>
      <c r="B105" s="4" t="s">
        <v>289</v>
      </c>
      <c r="C105" s="4" t="s">
        <v>200</v>
      </c>
      <c r="D105" s="20"/>
      <c r="E105" s="20"/>
      <c r="F105" s="20">
        <f t="shared" si="3"/>
        <v>0</v>
      </c>
    </row>
    <row r="106" spans="1:6" x14ac:dyDescent="0.2">
      <c r="A106" s="18" t="s">
        <v>290</v>
      </c>
      <c r="B106" s="4" t="s">
        <v>300</v>
      </c>
      <c r="C106" s="4" t="s">
        <v>200</v>
      </c>
      <c r="D106" s="20"/>
      <c r="E106" s="20"/>
      <c r="F106" s="20">
        <f t="shared" si="3"/>
        <v>0</v>
      </c>
    </row>
    <row r="107" spans="1:6" x14ac:dyDescent="0.2">
      <c r="A107" s="18" t="s">
        <v>308</v>
      </c>
      <c r="B107" s="4" t="s">
        <v>312</v>
      </c>
      <c r="C107" s="4" t="s">
        <v>200</v>
      </c>
      <c r="D107" s="20"/>
      <c r="E107" s="20"/>
      <c r="F107" s="20">
        <f t="shared" si="3"/>
        <v>0</v>
      </c>
    </row>
    <row r="108" spans="1:6" x14ac:dyDescent="0.2">
      <c r="A108" s="18" t="s">
        <v>322</v>
      </c>
      <c r="B108" s="4" t="s">
        <v>334</v>
      </c>
      <c r="C108" s="4" t="s">
        <v>200</v>
      </c>
      <c r="D108" s="20"/>
      <c r="E108" s="20"/>
      <c r="F108" s="20">
        <f t="shared" si="3"/>
        <v>0</v>
      </c>
    </row>
    <row r="109" spans="1:6" x14ac:dyDescent="0.2">
      <c r="A109" s="18" t="s">
        <v>335</v>
      </c>
      <c r="B109" s="4" t="s">
        <v>342</v>
      </c>
      <c r="C109" s="4" t="s">
        <v>200</v>
      </c>
      <c r="D109" s="20"/>
      <c r="E109" s="20"/>
      <c r="F109" s="20">
        <f t="shared" si="3"/>
        <v>0</v>
      </c>
    </row>
    <row r="110" spans="1:6" x14ac:dyDescent="0.2">
      <c r="A110" s="18" t="s">
        <v>357</v>
      </c>
      <c r="B110" s="4" t="s">
        <v>364</v>
      </c>
      <c r="C110" s="4" t="s">
        <v>200</v>
      </c>
      <c r="D110" s="20"/>
      <c r="E110" s="20"/>
      <c r="F110" s="20">
        <f t="shared" si="3"/>
        <v>0</v>
      </c>
    </row>
    <row r="111" spans="1:6" x14ac:dyDescent="0.2">
      <c r="A111" s="18" t="s">
        <v>376</v>
      </c>
      <c r="B111" s="4" t="s">
        <v>388</v>
      </c>
      <c r="C111" s="4" t="s">
        <v>200</v>
      </c>
      <c r="D111" s="20"/>
      <c r="E111" s="20"/>
      <c r="F111" s="20">
        <f t="shared" si="3"/>
        <v>0</v>
      </c>
    </row>
    <row r="112" spans="1:6" x14ac:dyDescent="0.2">
      <c r="A112" s="18" t="s">
        <v>390</v>
      </c>
      <c r="B112" s="4" t="s">
        <v>394</v>
      </c>
      <c r="C112" s="4" t="s">
        <v>200</v>
      </c>
      <c r="D112" s="20"/>
      <c r="E112" s="20"/>
      <c r="F112" s="20">
        <f t="shared" si="3"/>
        <v>0</v>
      </c>
    </row>
    <row r="113" spans="1:7" x14ac:dyDescent="0.2">
      <c r="A113" s="18" t="s">
        <v>449</v>
      </c>
      <c r="B113" s="4" t="s">
        <v>465</v>
      </c>
      <c r="C113" s="4" t="s">
        <v>200</v>
      </c>
      <c r="D113" s="20"/>
      <c r="E113" s="20"/>
      <c r="F113" s="20">
        <f t="shared" si="3"/>
        <v>0</v>
      </c>
      <c r="G113" s="31"/>
    </row>
    <row r="114" spans="1:7" x14ac:dyDescent="0.2">
      <c r="A114" s="4"/>
      <c r="B114" s="4"/>
      <c r="C114" s="4"/>
      <c r="D114" s="20"/>
      <c r="E114" s="20"/>
      <c r="F114" s="20"/>
    </row>
    <row r="115" spans="1:7" x14ac:dyDescent="0.2">
      <c r="A115" s="105" t="s">
        <v>10</v>
      </c>
      <c r="B115" s="112"/>
      <c r="C115" s="106"/>
      <c r="D115" s="20">
        <f>SUM(D101:D114)</f>
        <v>0</v>
      </c>
      <c r="E115" s="20">
        <f>SUM(E101:E114)</f>
        <v>0</v>
      </c>
      <c r="F115" s="20">
        <f>D115-E115</f>
        <v>0</v>
      </c>
    </row>
    <row r="116" spans="1:7" x14ac:dyDescent="0.2">
      <c r="A116" s="105" t="s">
        <v>11</v>
      </c>
      <c r="B116" s="112"/>
      <c r="C116" s="106"/>
      <c r="D116" s="20">
        <v>0</v>
      </c>
      <c r="E116" s="20">
        <f>F101</f>
        <v>0</v>
      </c>
      <c r="F116" s="20">
        <f>D116-E116</f>
        <v>0</v>
      </c>
    </row>
    <row r="117" spans="1:7" x14ac:dyDescent="0.2">
      <c r="A117" s="105" t="s">
        <v>10</v>
      </c>
      <c r="B117" s="112"/>
      <c r="C117" s="106"/>
      <c r="D117" s="20">
        <f>SUM(D115:D116)</f>
        <v>0</v>
      </c>
      <c r="E117" s="20">
        <f>SUM(E115:E116)</f>
        <v>0</v>
      </c>
      <c r="F117" s="20">
        <f>SUM(F115:F116)</f>
        <v>0</v>
      </c>
    </row>
    <row r="118" spans="1:7" x14ac:dyDescent="0.2">
      <c r="A118" s="5"/>
      <c r="B118" s="5"/>
      <c r="C118" s="5"/>
    </row>
    <row r="119" spans="1:7" x14ac:dyDescent="0.2">
      <c r="A119" s="5"/>
      <c r="B119" s="5"/>
      <c r="C119" s="5"/>
    </row>
    <row r="120" spans="1:7" x14ac:dyDescent="0.2">
      <c r="A120" s="5"/>
      <c r="B120" s="5"/>
      <c r="C120" s="5"/>
    </row>
    <row r="121" spans="1:7" x14ac:dyDescent="0.2">
      <c r="A121" s="5"/>
      <c r="B121" s="5"/>
      <c r="C121" s="5"/>
    </row>
    <row r="122" spans="1:7" x14ac:dyDescent="0.2">
      <c r="A122" s="5"/>
      <c r="B122" s="5"/>
      <c r="C122" s="5"/>
    </row>
    <row r="123" spans="1:7" x14ac:dyDescent="0.2">
      <c r="A123" s="5"/>
      <c r="B123" s="5"/>
      <c r="C123" s="5"/>
    </row>
    <row r="124" spans="1:7" x14ac:dyDescent="0.2">
      <c r="A124" s="5"/>
      <c r="B124" s="5"/>
      <c r="C124" s="5"/>
    </row>
    <row r="125" spans="1:7" x14ac:dyDescent="0.2">
      <c r="A125" s="5"/>
      <c r="B125" s="5"/>
      <c r="C125" s="5"/>
    </row>
    <row r="126" spans="1:7" x14ac:dyDescent="0.2">
      <c r="A126" s="5"/>
      <c r="B126" s="5"/>
      <c r="C126" s="5"/>
    </row>
    <row r="127" spans="1:7" x14ac:dyDescent="0.2">
      <c r="A127" s="5"/>
      <c r="B127" s="5"/>
      <c r="C127" s="5"/>
    </row>
    <row r="128" spans="1:7" x14ac:dyDescent="0.2">
      <c r="A128" s="5"/>
      <c r="B128" s="5"/>
      <c r="C128" s="5"/>
    </row>
    <row r="129" spans="1:6" x14ac:dyDescent="0.2">
      <c r="A129" s="100" t="s">
        <v>0</v>
      </c>
      <c r="B129" s="100"/>
    </row>
    <row r="130" spans="1:6" x14ac:dyDescent="0.2">
      <c r="A130" s="100" t="s">
        <v>1</v>
      </c>
      <c r="B130" s="100"/>
    </row>
    <row r="131" spans="1:6" x14ac:dyDescent="0.2">
      <c r="A131" s="101" t="s">
        <v>2</v>
      </c>
      <c r="B131" s="101"/>
      <c r="C131" s="101"/>
      <c r="D131" s="101"/>
      <c r="E131" s="101"/>
      <c r="F131" s="101"/>
    </row>
    <row r="132" spans="1:6" x14ac:dyDescent="0.2">
      <c r="A132" s="122" t="s">
        <v>216</v>
      </c>
      <c r="B132" s="122"/>
      <c r="C132" s="125"/>
      <c r="D132" s="123" t="s">
        <v>66</v>
      </c>
      <c r="E132" s="125"/>
      <c r="F132" s="125"/>
    </row>
    <row r="133" spans="1:6" x14ac:dyDescent="0.2">
      <c r="A133" s="125"/>
      <c r="B133" s="125"/>
      <c r="C133" s="125"/>
      <c r="D133" s="125"/>
      <c r="E133" s="125"/>
      <c r="F133" s="125"/>
    </row>
    <row r="134" spans="1:6" x14ac:dyDescent="0.2">
      <c r="A134" s="134" t="s">
        <v>3</v>
      </c>
      <c r="B134" s="134" t="s">
        <v>4</v>
      </c>
      <c r="C134" s="134" t="s">
        <v>5</v>
      </c>
      <c r="D134" s="135" t="s">
        <v>6</v>
      </c>
      <c r="E134" s="136"/>
      <c r="F134" s="134" t="s">
        <v>9</v>
      </c>
    </row>
    <row r="135" spans="1:6" x14ac:dyDescent="0.2">
      <c r="A135" s="137"/>
      <c r="B135" s="137"/>
      <c r="C135" s="137"/>
      <c r="D135" s="124" t="s">
        <v>7</v>
      </c>
      <c r="E135" s="124" t="s">
        <v>8</v>
      </c>
      <c r="F135" s="137"/>
    </row>
    <row r="136" spans="1:6" x14ac:dyDescent="0.2">
      <c r="A136" s="133" t="s">
        <v>207</v>
      </c>
      <c r="B136" s="127" t="s">
        <v>206</v>
      </c>
      <c r="C136" s="127"/>
      <c r="D136" s="46">
        <v>0</v>
      </c>
      <c r="E136" s="46">
        <v>0</v>
      </c>
      <c r="F136" s="46">
        <v>0</v>
      </c>
    </row>
    <row r="137" spans="1:6" x14ac:dyDescent="0.2">
      <c r="A137" s="18" t="s">
        <v>228</v>
      </c>
      <c r="B137" s="4" t="s">
        <v>254</v>
      </c>
      <c r="C137" s="4" t="s">
        <v>200</v>
      </c>
      <c r="D137" s="20"/>
      <c r="E137" s="20"/>
      <c r="F137" s="20">
        <f>F136+E137</f>
        <v>0</v>
      </c>
    </row>
    <row r="138" spans="1:6" x14ac:dyDescent="0.2">
      <c r="A138" s="18" t="s">
        <v>244</v>
      </c>
      <c r="B138" s="4" t="s">
        <v>256</v>
      </c>
      <c r="C138" s="4" t="s">
        <v>200</v>
      </c>
      <c r="D138" s="20"/>
      <c r="E138" s="20"/>
      <c r="F138" s="20">
        <f t="shared" ref="F138:F149" si="4">F137+E138</f>
        <v>0</v>
      </c>
    </row>
    <row r="139" spans="1:6" x14ac:dyDescent="0.2">
      <c r="A139" s="18" t="s">
        <v>269</v>
      </c>
      <c r="B139" s="4" t="s">
        <v>277</v>
      </c>
      <c r="C139" s="4" t="s">
        <v>200</v>
      </c>
      <c r="D139" s="20"/>
      <c r="E139" s="20"/>
      <c r="F139" s="20">
        <f t="shared" si="4"/>
        <v>0</v>
      </c>
    </row>
    <row r="140" spans="1:6" x14ac:dyDescent="0.2">
      <c r="A140" s="18" t="s">
        <v>284</v>
      </c>
      <c r="B140" s="4" t="s">
        <v>289</v>
      </c>
      <c r="C140" s="4" t="s">
        <v>200</v>
      </c>
      <c r="D140" s="20"/>
      <c r="E140" s="20"/>
      <c r="F140" s="20">
        <f t="shared" si="4"/>
        <v>0</v>
      </c>
    </row>
    <row r="141" spans="1:6" x14ac:dyDescent="0.2">
      <c r="A141" s="18" t="s">
        <v>290</v>
      </c>
      <c r="B141" s="4" t="s">
        <v>300</v>
      </c>
      <c r="C141" s="4" t="s">
        <v>200</v>
      </c>
      <c r="D141" s="20"/>
      <c r="E141" s="20"/>
      <c r="F141" s="20">
        <f t="shared" si="4"/>
        <v>0</v>
      </c>
    </row>
    <row r="142" spans="1:6" x14ac:dyDescent="0.2">
      <c r="A142" s="18" t="s">
        <v>308</v>
      </c>
      <c r="B142" s="4" t="s">
        <v>312</v>
      </c>
      <c r="C142" s="4" t="s">
        <v>200</v>
      </c>
      <c r="D142" s="20"/>
      <c r="E142" s="20"/>
      <c r="F142" s="20">
        <f t="shared" si="4"/>
        <v>0</v>
      </c>
    </row>
    <row r="143" spans="1:6" x14ac:dyDescent="0.2">
      <c r="A143" s="18" t="s">
        <v>322</v>
      </c>
      <c r="B143" s="4" t="s">
        <v>334</v>
      </c>
      <c r="C143" s="4" t="s">
        <v>200</v>
      </c>
      <c r="D143" s="20"/>
      <c r="E143" s="20"/>
      <c r="F143" s="20">
        <f t="shared" si="4"/>
        <v>0</v>
      </c>
    </row>
    <row r="144" spans="1:6" x14ac:dyDescent="0.2">
      <c r="A144" s="18" t="s">
        <v>335</v>
      </c>
      <c r="B144" s="4" t="s">
        <v>342</v>
      </c>
      <c r="C144" s="4" t="s">
        <v>200</v>
      </c>
      <c r="D144" s="20"/>
      <c r="E144" s="20"/>
      <c r="F144" s="20">
        <f t="shared" si="4"/>
        <v>0</v>
      </c>
    </row>
    <row r="145" spans="1:6" x14ac:dyDescent="0.2">
      <c r="A145" s="18" t="s">
        <v>357</v>
      </c>
      <c r="B145" s="4" t="s">
        <v>364</v>
      </c>
      <c r="C145" s="4" t="s">
        <v>200</v>
      </c>
      <c r="D145" s="20"/>
      <c r="E145" s="20"/>
      <c r="F145" s="20">
        <f t="shared" si="4"/>
        <v>0</v>
      </c>
    </row>
    <row r="146" spans="1:6" x14ac:dyDescent="0.2">
      <c r="A146" s="18" t="s">
        <v>376</v>
      </c>
      <c r="B146" s="4" t="s">
        <v>388</v>
      </c>
      <c r="C146" s="4" t="s">
        <v>200</v>
      </c>
      <c r="D146" s="20"/>
      <c r="E146" s="20"/>
      <c r="F146" s="20">
        <f t="shared" si="4"/>
        <v>0</v>
      </c>
    </row>
    <row r="147" spans="1:6" x14ac:dyDescent="0.2">
      <c r="A147" s="18" t="s">
        <v>390</v>
      </c>
      <c r="B147" s="4" t="s">
        <v>394</v>
      </c>
      <c r="C147" s="4" t="s">
        <v>200</v>
      </c>
      <c r="D147" s="20"/>
      <c r="E147" s="20"/>
      <c r="F147" s="20">
        <f t="shared" si="4"/>
        <v>0</v>
      </c>
    </row>
    <row r="148" spans="1:6" x14ac:dyDescent="0.2">
      <c r="A148" s="18" t="s">
        <v>449</v>
      </c>
      <c r="B148" s="4" t="s">
        <v>465</v>
      </c>
      <c r="C148" s="4" t="s">
        <v>200</v>
      </c>
      <c r="D148" s="20"/>
      <c r="E148" s="20"/>
      <c r="F148" s="20">
        <f t="shared" si="4"/>
        <v>0</v>
      </c>
    </row>
    <row r="149" spans="1:6" x14ac:dyDescent="0.2">
      <c r="A149" s="4"/>
      <c r="B149" s="4"/>
      <c r="C149" s="4"/>
      <c r="D149" s="20"/>
      <c r="E149" s="20"/>
      <c r="F149" s="20">
        <f t="shared" si="4"/>
        <v>0</v>
      </c>
    </row>
    <row r="150" spans="1:6" x14ac:dyDescent="0.2">
      <c r="A150" s="105" t="s">
        <v>10</v>
      </c>
      <c r="B150" s="112"/>
      <c r="C150" s="106"/>
      <c r="D150" s="20">
        <f>SUM(D136:D149)</f>
        <v>0</v>
      </c>
      <c r="E150" s="20">
        <f>SUM(E136:E149)</f>
        <v>0</v>
      </c>
      <c r="F150" s="20">
        <f>D150-E150</f>
        <v>0</v>
      </c>
    </row>
    <row r="151" spans="1:6" x14ac:dyDescent="0.2">
      <c r="A151" s="105" t="s">
        <v>11</v>
      </c>
      <c r="B151" s="112"/>
      <c r="C151" s="106"/>
      <c r="D151" s="20">
        <v>0</v>
      </c>
      <c r="E151" s="20">
        <f>F136</f>
        <v>0</v>
      </c>
      <c r="F151" s="20">
        <f>D151-E151</f>
        <v>0</v>
      </c>
    </row>
    <row r="152" spans="1:6" x14ac:dyDescent="0.2">
      <c r="A152" s="105" t="s">
        <v>10</v>
      </c>
      <c r="B152" s="112"/>
      <c r="C152" s="106"/>
      <c r="D152" s="20">
        <f>SUM(D150:D151)</f>
        <v>0</v>
      </c>
      <c r="E152" s="20">
        <f>SUM(E150:E151)</f>
        <v>0</v>
      </c>
      <c r="F152" s="20">
        <f>SUM(F150:F151)</f>
        <v>0</v>
      </c>
    </row>
    <row r="154" spans="1:6" x14ac:dyDescent="0.2">
      <c r="A154" s="100" t="s">
        <v>0</v>
      </c>
      <c r="B154" s="100"/>
    </row>
    <row r="155" spans="1:6" x14ac:dyDescent="0.2">
      <c r="A155" s="100" t="s">
        <v>1</v>
      </c>
      <c r="B155" s="100"/>
    </row>
    <row r="156" spans="1:6" x14ac:dyDescent="0.2">
      <c r="A156" s="101" t="s">
        <v>2</v>
      </c>
      <c r="B156" s="101"/>
      <c r="C156" s="101"/>
      <c r="D156" s="101"/>
      <c r="E156" s="101"/>
      <c r="F156" s="101"/>
    </row>
    <row r="157" spans="1:6" x14ac:dyDescent="0.2">
      <c r="A157" s="122" t="s">
        <v>217</v>
      </c>
      <c r="B157" s="122"/>
      <c r="C157" s="125"/>
      <c r="D157" s="123" t="s">
        <v>67</v>
      </c>
      <c r="E157" s="125"/>
      <c r="F157" s="125"/>
    </row>
    <row r="158" spans="1:6" x14ac:dyDescent="0.2">
      <c r="A158" s="125"/>
      <c r="B158" s="125"/>
      <c r="C158" s="125"/>
      <c r="D158" s="125"/>
      <c r="E158" s="125"/>
      <c r="F158" s="125"/>
    </row>
    <row r="159" spans="1:6" x14ac:dyDescent="0.2">
      <c r="A159" s="134" t="s">
        <v>3</v>
      </c>
      <c r="B159" s="134" t="s">
        <v>4</v>
      </c>
      <c r="C159" s="134" t="s">
        <v>5</v>
      </c>
      <c r="D159" s="135" t="s">
        <v>6</v>
      </c>
      <c r="E159" s="136"/>
      <c r="F159" s="134" t="s">
        <v>9</v>
      </c>
    </row>
    <row r="160" spans="1:6" x14ac:dyDescent="0.2">
      <c r="A160" s="137"/>
      <c r="B160" s="137"/>
      <c r="C160" s="137"/>
      <c r="D160" s="124" t="s">
        <v>7</v>
      </c>
      <c r="E160" s="124" t="s">
        <v>8</v>
      </c>
      <c r="F160" s="137"/>
    </row>
    <row r="161" spans="1:6" x14ac:dyDescent="0.2">
      <c r="A161" s="133" t="s">
        <v>207</v>
      </c>
      <c r="B161" s="127" t="s">
        <v>206</v>
      </c>
      <c r="C161" s="127"/>
      <c r="D161" s="46">
        <v>0</v>
      </c>
      <c r="E161" s="46">
        <v>0</v>
      </c>
      <c r="F161" s="46">
        <v>0</v>
      </c>
    </row>
    <row r="162" spans="1:6" x14ac:dyDescent="0.2">
      <c r="A162" s="133" t="s">
        <v>228</v>
      </c>
      <c r="B162" s="127" t="s">
        <v>254</v>
      </c>
      <c r="C162" s="127" t="s">
        <v>200</v>
      </c>
      <c r="D162" s="46"/>
      <c r="E162" s="46"/>
      <c r="F162" s="46">
        <f>F161+E162</f>
        <v>0</v>
      </c>
    </row>
    <row r="163" spans="1:6" x14ac:dyDescent="0.2">
      <c r="A163" s="18" t="s">
        <v>244</v>
      </c>
      <c r="B163" s="4" t="s">
        <v>256</v>
      </c>
      <c r="C163" s="4" t="s">
        <v>200</v>
      </c>
      <c r="D163" s="20"/>
      <c r="E163" s="20"/>
      <c r="F163" s="20">
        <f t="shared" ref="F163:F173" si="5">F162+E163</f>
        <v>0</v>
      </c>
    </row>
    <row r="164" spans="1:6" x14ac:dyDescent="0.2">
      <c r="A164" s="18" t="s">
        <v>269</v>
      </c>
      <c r="B164" s="4" t="s">
        <v>277</v>
      </c>
      <c r="C164" s="4" t="s">
        <v>200</v>
      </c>
      <c r="D164" s="20"/>
      <c r="E164" s="20"/>
      <c r="F164" s="20">
        <f t="shared" si="5"/>
        <v>0</v>
      </c>
    </row>
    <row r="165" spans="1:6" x14ac:dyDescent="0.2">
      <c r="A165" s="18" t="s">
        <v>284</v>
      </c>
      <c r="B165" s="4" t="s">
        <v>289</v>
      </c>
      <c r="C165" s="4" t="s">
        <v>200</v>
      </c>
      <c r="D165" s="20"/>
      <c r="E165" s="20"/>
      <c r="F165" s="20">
        <f t="shared" si="5"/>
        <v>0</v>
      </c>
    </row>
    <row r="166" spans="1:6" x14ac:dyDescent="0.2">
      <c r="A166" s="18" t="s">
        <v>290</v>
      </c>
      <c r="B166" s="4" t="s">
        <v>300</v>
      </c>
      <c r="C166" s="4" t="s">
        <v>200</v>
      </c>
      <c r="D166" s="20"/>
      <c r="E166" s="20"/>
      <c r="F166" s="20">
        <f t="shared" si="5"/>
        <v>0</v>
      </c>
    </row>
    <row r="167" spans="1:6" x14ac:dyDescent="0.2">
      <c r="A167" s="18" t="s">
        <v>308</v>
      </c>
      <c r="B167" s="4" t="s">
        <v>312</v>
      </c>
      <c r="C167" s="4" t="s">
        <v>200</v>
      </c>
      <c r="D167" s="20"/>
      <c r="E167" s="20"/>
      <c r="F167" s="20">
        <f t="shared" si="5"/>
        <v>0</v>
      </c>
    </row>
    <row r="168" spans="1:6" x14ac:dyDescent="0.2">
      <c r="A168" s="18" t="s">
        <v>322</v>
      </c>
      <c r="B168" s="4" t="s">
        <v>334</v>
      </c>
      <c r="C168" s="4" t="s">
        <v>200</v>
      </c>
      <c r="D168" s="20"/>
      <c r="E168" s="20"/>
      <c r="F168" s="20">
        <f t="shared" si="5"/>
        <v>0</v>
      </c>
    </row>
    <row r="169" spans="1:6" x14ac:dyDescent="0.2">
      <c r="A169" s="18" t="s">
        <v>335</v>
      </c>
      <c r="B169" s="4" t="s">
        <v>342</v>
      </c>
      <c r="C169" s="4" t="s">
        <v>200</v>
      </c>
      <c r="D169" s="20"/>
      <c r="E169" s="20"/>
      <c r="F169" s="20">
        <f t="shared" si="5"/>
        <v>0</v>
      </c>
    </row>
    <row r="170" spans="1:6" x14ac:dyDescent="0.2">
      <c r="A170" s="18" t="s">
        <v>357</v>
      </c>
      <c r="B170" s="4" t="s">
        <v>364</v>
      </c>
      <c r="C170" s="4" t="s">
        <v>200</v>
      </c>
      <c r="D170" s="20"/>
      <c r="E170" s="20"/>
      <c r="F170" s="20">
        <f t="shared" si="5"/>
        <v>0</v>
      </c>
    </row>
    <row r="171" spans="1:6" x14ac:dyDescent="0.2">
      <c r="A171" s="18" t="s">
        <v>376</v>
      </c>
      <c r="B171" s="4" t="s">
        <v>388</v>
      </c>
      <c r="C171" s="4" t="s">
        <v>200</v>
      </c>
      <c r="D171" s="20"/>
      <c r="E171" s="20"/>
      <c r="F171" s="20">
        <f t="shared" si="5"/>
        <v>0</v>
      </c>
    </row>
    <row r="172" spans="1:6" x14ac:dyDescent="0.2">
      <c r="A172" s="18" t="s">
        <v>390</v>
      </c>
      <c r="B172" s="4" t="s">
        <v>394</v>
      </c>
      <c r="C172" s="4" t="s">
        <v>200</v>
      </c>
      <c r="D172" s="20"/>
      <c r="E172" s="20"/>
      <c r="F172" s="20">
        <f t="shared" si="5"/>
        <v>0</v>
      </c>
    </row>
    <row r="173" spans="1:6" x14ac:dyDescent="0.2">
      <c r="A173" s="18" t="s">
        <v>449</v>
      </c>
      <c r="B173" s="4" t="s">
        <v>465</v>
      </c>
      <c r="C173" s="4" t="s">
        <v>200</v>
      </c>
      <c r="D173" s="20"/>
      <c r="E173" s="20"/>
      <c r="F173" s="20">
        <f t="shared" si="5"/>
        <v>0</v>
      </c>
    </row>
    <row r="174" spans="1:6" x14ac:dyDescent="0.2">
      <c r="A174" s="4"/>
      <c r="B174" s="4"/>
      <c r="C174" s="4"/>
      <c r="D174" s="20"/>
      <c r="E174" s="20"/>
      <c r="F174" s="20"/>
    </row>
    <row r="175" spans="1:6" x14ac:dyDescent="0.2">
      <c r="A175" s="105" t="s">
        <v>10</v>
      </c>
      <c r="B175" s="112"/>
      <c r="C175" s="106"/>
      <c r="D175" s="20">
        <f>SUM(D161:D174)</f>
        <v>0</v>
      </c>
      <c r="E175" s="20">
        <f>SUM(E161:E174)</f>
        <v>0</v>
      </c>
      <c r="F175" s="20">
        <f>D175-E175</f>
        <v>0</v>
      </c>
    </row>
    <row r="176" spans="1:6" x14ac:dyDescent="0.2">
      <c r="A176" s="105" t="s">
        <v>11</v>
      </c>
      <c r="B176" s="112"/>
      <c r="C176" s="106"/>
      <c r="D176" s="20">
        <v>0</v>
      </c>
      <c r="E176" s="20">
        <f>F161</f>
        <v>0</v>
      </c>
      <c r="F176" s="20">
        <f>D176-E176</f>
        <v>0</v>
      </c>
    </row>
    <row r="177" spans="1:6" x14ac:dyDescent="0.2">
      <c r="A177" s="105" t="s">
        <v>10</v>
      </c>
      <c r="B177" s="112"/>
      <c r="C177" s="106"/>
      <c r="D177" s="20">
        <f>SUM(D175:D176)</f>
        <v>0</v>
      </c>
      <c r="E177" s="20">
        <f>SUM(E175:E176)</f>
        <v>0</v>
      </c>
      <c r="F177" s="20">
        <f>SUM(F175:F176)</f>
        <v>0</v>
      </c>
    </row>
    <row r="178" spans="1:6" x14ac:dyDescent="0.2">
      <c r="A178" s="5"/>
      <c r="B178" s="5"/>
      <c r="C178" s="5"/>
    </row>
    <row r="179" spans="1:6" x14ac:dyDescent="0.2">
      <c r="A179" s="5"/>
      <c r="B179" s="5"/>
      <c r="C179" s="5"/>
    </row>
    <row r="180" spans="1:6" x14ac:dyDescent="0.2">
      <c r="A180" s="5"/>
      <c r="B180" s="5"/>
      <c r="C180" s="5"/>
    </row>
    <row r="181" spans="1:6" x14ac:dyDescent="0.2">
      <c r="A181" s="5"/>
      <c r="B181" s="5"/>
      <c r="C181" s="5"/>
    </row>
    <row r="193" spans="1:7" x14ac:dyDescent="0.2">
      <c r="A193" s="100" t="s">
        <v>0</v>
      </c>
      <c r="B193" s="100"/>
    </row>
    <row r="194" spans="1:7" x14ac:dyDescent="0.2">
      <c r="A194" s="100" t="s">
        <v>1</v>
      </c>
      <c r="B194" s="100"/>
    </row>
    <row r="195" spans="1:7" x14ac:dyDescent="0.2">
      <c r="A195" s="101" t="s">
        <v>2</v>
      </c>
      <c r="B195" s="101"/>
      <c r="C195" s="101"/>
      <c r="D195" s="101"/>
      <c r="E195" s="101"/>
      <c r="F195" s="101"/>
    </row>
    <row r="196" spans="1:7" x14ac:dyDescent="0.2">
      <c r="A196" s="122" t="s">
        <v>176</v>
      </c>
      <c r="B196" s="122"/>
      <c r="D196" s="2" t="s">
        <v>68</v>
      </c>
    </row>
    <row r="198" spans="1:7" x14ac:dyDescent="0.2">
      <c r="A198" s="103" t="s">
        <v>3</v>
      </c>
      <c r="B198" s="103" t="s">
        <v>4</v>
      </c>
      <c r="C198" s="103" t="s">
        <v>5</v>
      </c>
      <c r="D198" s="105" t="s">
        <v>6</v>
      </c>
      <c r="E198" s="106"/>
      <c r="F198" s="103" t="s">
        <v>9</v>
      </c>
    </row>
    <row r="199" spans="1:7" x14ac:dyDescent="0.2">
      <c r="A199" s="104"/>
      <c r="B199" s="104"/>
      <c r="C199" s="104"/>
      <c r="D199" s="3" t="s">
        <v>7</v>
      </c>
      <c r="E199" s="3" t="s">
        <v>8</v>
      </c>
      <c r="F199" s="104"/>
    </row>
    <row r="200" spans="1:7" x14ac:dyDescent="0.2">
      <c r="A200" s="18" t="s">
        <v>207</v>
      </c>
      <c r="B200" s="4" t="s">
        <v>206</v>
      </c>
      <c r="C200" s="4"/>
      <c r="D200" s="20">
        <v>0</v>
      </c>
      <c r="E200" s="20">
        <v>0</v>
      </c>
      <c r="F200" s="46">
        <v>0</v>
      </c>
    </row>
    <row r="201" spans="1:7" x14ac:dyDescent="0.2">
      <c r="A201" s="18" t="s">
        <v>228</v>
      </c>
      <c r="B201" s="4" t="s">
        <v>254</v>
      </c>
      <c r="C201" s="4" t="s">
        <v>200</v>
      </c>
      <c r="D201" s="20"/>
      <c r="E201" s="20"/>
      <c r="F201" s="20">
        <f>F200+E201</f>
        <v>0</v>
      </c>
    </row>
    <row r="202" spans="1:7" x14ac:dyDescent="0.2">
      <c r="A202" s="18" t="s">
        <v>244</v>
      </c>
      <c r="B202" s="4" t="s">
        <v>256</v>
      </c>
      <c r="C202" s="4" t="s">
        <v>200</v>
      </c>
      <c r="D202" s="20"/>
      <c r="E202" s="20"/>
      <c r="F202" s="20">
        <f t="shared" ref="F202:F212" si="6">F201+E202</f>
        <v>0</v>
      </c>
    </row>
    <row r="203" spans="1:7" x14ac:dyDescent="0.2">
      <c r="A203" s="18" t="s">
        <v>269</v>
      </c>
      <c r="B203" s="4" t="s">
        <v>277</v>
      </c>
      <c r="C203" s="4" t="s">
        <v>200</v>
      </c>
      <c r="D203" s="20"/>
      <c r="E203" s="20"/>
      <c r="F203" s="20">
        <f t="shared" si="6"/>
        <v>0</v>
      </c>
      <c r="G203" s="31"/>
    </row>
    <row r="204" spans="1:7" x14ac:dyDescent="0.2">
      <c r="A204" s="18" t="s">
        <v>284</v>
      </c>
      <c r="B204" s="4" t="s">
        <v>289</v>
      </c>
      <c r="C204" s="4" t="s">
        <v>200</v>
      </c>
      <c r="D204" s="20"/>
      <c r="E204" s="20"/>
      <c r="F204" s="20">
        <f t="shared" si="6"/>
        <v>0</v>
      </c>
    </row>
    <row r="205" spans="1:7" x14ac:dyDescent="0.2">
      <c r="A205" s="18" t="s">
        <v>290</v>
      </c>
      <c r="B205" s="4" t="s">
        <v>300</v>
      </c>
      <c r="C205" s="4" t="s">
        <v>200</v>
      </c>
      <c r="D205" s="20"/>
      <c r="E205" s="20"/>
      <c r="F205" s="20">
        <f t="shared" si="6"/>
        <v>0</v>
      </c>
    </row>
    <row r="206" spans="1:7" x14ac:dyDescent="0.2">
      <c r="A206" s="18" t="s">
        <v>308</v>
      </c>
      <c r="B206" s="4" t="s">
        <v>312</v>
      </c>
      <c r="C206" s="4" t="s">
        <v>200</v>
      </c>
      <c r="D206" s="20"/>
      <c r="E206" s="20"/>
      <c r="F206" s="20">
        <f t="shared" si="6"/>
        <v>0</v>
      </c>
    </row>
    <row r="207" spans="1:7" x14ac:dyDescent="0.2">
      <c r="A207" s="18" t="s">
        <v>322</v>
      </c>
      <c r="B207" s="4" t="s">
        <v>334</v>
      </c>
      <c r="C207" s="4" t="s">
        <v>200</v>
      </c>
      <c r="D207" s="20"/>
      <c r="E207" s="20"/>
      <c r="F207" s="20">
        <f t="shared" si="6"/>
        <v>0</v>
      </c>
    </row>
    <row r="208" spans="1:7" x14ac:dyDescent="0.2">
      <c r="A208" s="18" t="s">
        <v>335</v>
      </c>
      <c r="B208" s="4" t="s">
        <v>342</v>
      </c>
      <c r="C208" s="4" t="s">
        <v>200</v>
      </c>
      <c r="D208" s="20"/>
      <c r="E208" s="20"/>
      <c r="F208" s="20">
        <f t="shared" si="6"/>
        <v>0</v>
      </c>
    </row>
    <row r="209" spans="1:6" x14ac:dyDescent="0.2">
      <c r="A209" s="18" t="s">
        <v>357</v>
      </c>
      <c r="B209" s="4" t="s">
        <v>364</v>
      </c>
      <c r="C209" s="4" t="s">
        <v>200</v>
      </c>
      <c r="D209" s="20"/>
      <c r="E209" s="20"/>
      <c r="F209" s="20">
        <f t="shared" si="6"/>
        <v>0</v>
      </c>
    </row>
    <row r="210" spans="1:6" x14ac:dyDescent="0.2">
      <c r="A210" s="18" t="s">
        <v>376</v>
      </c>
      <c r="B210" s="4" t="s">
        <v>388</v>
      </c>
      <c r="C210" s="4" t="s">
        <v>200</v>
      </c>
      <c r="D210" s="20"/>
      <c r="E210" s="20"/>
      <c r="F210" s="20">
        <f t="shared" si="6"/>
        <v>0</v>
      </c>
    </row>
    <row r="211" spans="1:6" x14ac:dyDescent="0.2">
      <c r="A211" s="18" t="s">
        <v>390</v>
      </c>
      <c r="B211" s="4" t="s">
        <v>394</v>
      </c>
      <c r="C211" s="4" t="s">
        <v>200</v>
      </c>
      <c r="D211" s="20"/>
      <c r="E211" s="20"/>
      <c r="F211" s="20">
        <f t="shared" si="6"/>
        <v>0</v>
      </c>
    </row>
    <row r="212" spans="1:6" x14ac:dyDescent="0.2">
      <c r="A212" s="18" t="s">
        <v>449</v>
      </c>
      <c r="B212" s="4" t="s">
        <v>465</v>
      </c>
      <c r="C212" s="4" t="s">
        <v>200</v>
      </c>
      <c r="D212" s="20"/>
      <c r="E212" s="20"/>
      <c r="F212" s="20">
        <f t="shared" si="6"/>
        <v>0</v>
      </c>
    </row>
    <row r="213" spans="1:6" x14ac:dyDescent="0.2">
      <c r="A213" s="4"/>
      <c r="B213" s="4"/>
      <c r="C213" s="4"/>
      <c r="D213" s="20"/>
      <c r="E213" s="20"/>
      <c r="F213" s="20"/>
    </row>
    <row r="214" spans="1:6" x14ac:dyDescent="0.2">
      <c r="A214" s="105" t="s">
        <v>10</v>
      </c>
      <c r="B214" s="112"/>
      <c r="C214" s="106"/>
      <c r="D214" s="20">
        <f>SUM(D200:D213)</f>
        <v>0</v>
      </c>
      <c r="E214" s="20">
        <f>SUM(E200:E213)</f>
        <v>0</v>
      </c>
      <c r="F214" s="20">
        <f>D214-E214</f>
        <v>0</v>
      </c>
    </row>
    <row r="215" spans="1:6" x14ac:dyDescent="0.2">
      <c r="A215" s="105" t="s">
        <v>11</v>
      </c>
      <c r="B215" s="112"/>
      <c r="C215" s="106"/>
      <c r="D215" s="20">
        <v>0</v>
      </c>
      <c r="E215" s="20">
        <f>F200</f>
        <v>0</v>
      </c>
      <c r="F215" s="20">
        <f>D215-E215</f>
        <v>0</v>
      </c>
    </row>
    <row r="216" spans="1:6" x14ac:dyDescent="0.2">
      <c r="A216" s="105" t="s">
        <v>10</v>
      </c>
      <c r="B216" s="112"/>
      <c r="C216" s="106"/>
      <c r="D216" s="20">
        <f>SUM(D214:D215)</f>
        <v>0</v>
      </c>
      <c r="E216" s="20">
        <f>SUM(E214:E215)</f>
        <v>0</v>
      </c>
      <c r="F216" s="20">
        <f>SUM(F214:F215)</f>
        <v>0</v>
      </c>
    </row>
    <row r="221" spans="1:6" x14ac:dyDescent="0.2">
      <c r="A221" s="100" t="s">
        <v>0</v>
      </c>
      <c r="B221" s="100"/>
    </row>
    <row r="222" spans="1:6" x14ac:dyDescent="0.2">
      <c r="A222" s="100" t="s">
        <v>1</v>
      </c>
      <c r="B222" s="100"/>
    </row>
    <row r="223" spans="1:6" x14ac:dyDescent="0.2">
      <c r="A223" s="101" t="s">
        <v>2</v>
      </c>
      <c r="B223" s="101"/>
      <c r="C223" s="101"/>
      <c r="D223" s="101"/>
      <c r="E223" s="101"/>
      <c r="F223" s="101"/>
    </row>
    <row r="224" spans="1:6" x14ac:dyDescent="0.2">
      <c r="A224" s="122" t="s">
        <v>177</v>
      </c>
      <c r="B224" s="122"/>
      <c r="C224" s="125"/>
      <c r="D224" s="123" t="s">
        <v>69</v>
      </c>
      <c r="E224" s="125"/>
      <c r="F224" s="125"/>
    </row>
    <row r="225" spans="1:6" x14ac:dyDescent="0.2">
      <c r="A225" s="125"/>
      <c r="B225" s="125"/>
      <c r="C225" s="125"/>
      <c r="D225" s="125"/>
      <c r="E225" s="125"/>
      <c r="F225" s="125"/>
    </row>
    <row r="226" spans="1:6" x14ac:dyDescent="0.2">
      <c r="A226" s="134" t="s">
        <v>3</v>
      </c>
      <c r="B226" s="134" t="s">
        <v>4</v>
      </c>
      <c r="C226" s="134" t="s">
        <v>5</v>
      </c>
      <c r="D226" s="135" t="s">
        <v>6</v>
      </c>
      <c r="E226" s="136"/>
      <c r="F226" s="134" t="s">
        <v>9</v>
      </c>
    </row>
    <row r="227" spans="1:6" x14ac:dyDescent="0.2">
      <c r="A227" s="137"/>
      <c r="B227" s="137"/>
      <c r="C227" s="137"/>
      <c r="D227" s="124" t="s">
        <v>7</v>
      </c>
      <c r="E227" s="124" t="s">
        <v>8</v>
      </c>
      <c r="F227" s="137"/>
    </row>
    <row r="228" spans="1:6" x14ac:dyDescent="0.2">
      <c r="A228" s="133" t="s">
        <v>207</v>
      </c>
      <c r="B228" s="127" t="s">
        <v>206</v>
      </c>
      <c r="C228" s="127"/>
      <c r="D228" s="46">
        <v>0</v>
      </c>
      <c r="E228" s="46">
        <v>0</v>
      </c>
      <c r="F228" s="46">
        <v>0</v>
      </c>
    </row>
    <row r="229" spans="1:6" x14ac:dyDescent="0.2">
      <c r="A229" s="18" t="s">
        <v>228</v>
      </c>
      <c r="B229" s="4" t="s">
        <v>254</v>
      </c>
      <c r="C229" s="4" t="s">
        <v>200</v>
      </c>
      <c r="D229" s="20"/>
      <c r="E229" s="20"/>
      <c r="F229" s="20">
        <f>F228+E229</f>
        <v>0</v>
      </c>
    </row>
    <row r="230" spans="1:6" x14ac:dyDescent="0.2">
      <c r="A230" s="18" t="s">
        <v>244</v>
      </c>
      <c r="B230" s="4" t="s">
        <v>256</v>
      </c>
      <c r="C230" s="4" t="s">
        <v>200</v>
      </c>
      <c r="D230" s="20"/>
      <c r="E230" s="20"/>
      <c r="F230" s="20">
        <f>F229+E230</f>
        <v>0</v>
      </c>
    </row>
    <row r="231" spans="1:6" x14ac:dyDescent="0.2">
      <c r="A231" s="18" t="s">
        <v>269</v>
      </c>
      <c r="B231" s="4" t="s">
        <v>277</v>
      </c>
      <c r="C231" s="4" t="s">
        <v>200</v>
      </c>
      <c r="D231" s="20"/>
      <c r="E231" s="20"/>
      <c r="F231" s="20">
        <f>F230+E231</f>
        <v>0</v>
      </c>
    </row>
    <row r="232" spans="1:6" x14ac:dyDescent="0.2">
      <c r="A232" s="18" t="s">
        <v>284</v>
      </c>
      <c r="B232" s="4" t="s">
        <v>289</v>
      </c>
      <c r="C232" s="4" t="s">
        <v>200</v>
      </c>
      <c r="D232" s="20"/>
      <c r="E232" s="20"/>
      <c r="F232" s="20">
        <f t="shared" ref="F232:F240" si="7">F231+E232</f>
        <v>0</v>
      </c>
    </row>
    <row r="233" spans="1:6" x14ac:dyDescent="0.2">
      <c r="A233" s="18" t="s">
        <v>290</v>
      </c>
      <c r="B233" s="4" t="s">
        <v>300</v>
      </c>
      <c r="C233" s="4" t="s">
        <v>200</v>
      </c>
      <c r="D233" s="20"/>
      <c r="E233" s="20"/>
      <c r="F233" s="20">
        <f t="shared" si="7"/>
        <v>0</v>
      </c>
    </row>
    <row r="234" spans="1:6" x14ac:dyDescent="0.2">
      <c r="A234" s="18" t="s">
        <v>308</v>
      </c>
      <c r="B234" s="4" t="s">
        <v>312</v>
      </c>
      <c r="C234" s="4" t="s">
        <v>200</v>
      </c>
      <c r="D234" s="20"/>
      <c r="E234" s="20"/>
      <c r="F234" s="20">
        <f t="shared" si="7"/>
        <v>0</v>
      </c>
    </row>
    <row r="235" spans="1:6" x14ac:dyDescent="0.2">
      <c r="A235" s="18" t="s">
        <v>322</v>
      </c>
      <c r="B235" s="4" t="s">
        <v>334</v>
      </c>
      <c r="C235" s="4" t="s">
        <v>200</v>
      </c>
      <c r="D235" s="20"/>
      <c r="E235" s="20"/>
      <c r="F235" s="20">
        <f t="shared" si="7"/>
        <v>0</v>
      </c>
    </row>
    <row r="236" spans="1:6" x14ac:dyDescent="0.2">
      <c r="A236" s="18" t="s">
        <v>335</v>
      </c>
      <c r="B236" s="4" t="s">
        <v>342</v>
      </c>
      <c r="C236" s="4" t="s">
        <v>200</v>
      </c>
      <c r="D236" s="20"/>
      <c r="E236" s="20"/>
      <c r="F236" s="20">
        <f t="shared" si="7"/>
        <v>0</v>
      </c>
    </row>
    <row r="237" spans="1:6" x14ac:dyDescent="0.2">
      <c r="A237" s="18" t="s">
        <v>357</v>
      </c>
      <c r="B237" s="4" t="s">
        <v>364</v>
      </c>
      <c r="C237" s="4" t="s">
        <v>200</v>
      </c>
      <c r="D237" s="20"/>
      <c r="E237" s="20"/>
      <c r="F237" s="20">
        <f t="shared" si="7"/>
        <v>0</v>
      </c>
    </row>
    <row r="238" spans="1:6" x14ac:dyDescent="0.2">
      <c r="A238" s="18" t="s">
        <v>376</v>
      </c>
      <c r="B238" s="4" t="s">
        <v>388</v>
      </c>
      <c r="C238" s="4" t="s">
        <v>200</v>
      </c>
      <c r="D238" s="20"/>
      <c r="E238" s="20"/>
      <c r="F238" s="20">
        <f t="shared" si="7"/>
        <v>0</v>
      </c>
    </row>
    <row r="239" spans="1:6" x14ac:dyDescent="0.2">
      <c r="A239" s="18" t="s">
        <v>390</v>
      </c>
      <c r="B239" s="4" t="s">
        <v>394</v>
      </c>
      <c r="C239" s="4" t="s">
        <v>200</v>
      </c>
      <c r="D239" s="20"/>
      <c r="E239" s="20"/>
      <c r="F239" s="20">
        <f t="shared" si="7"/>
        <v>0</v>
      </c>
    </row>
    <row r="240" spans="1:6" x14ac:dyDescent="0.2">
      <c r="A240" s="18" t="s">
        <v>449</v>
      </c>
      <c r="B240" s="4" t="s">
        <v>465</v>
      </c>
      <c r="C240" s="4" t="s">
        <v>200</v>
      </c>
      <c r="D240" s="20"/>
      <c r="E240" s="20"/>
      <c r="F240" s="20">
        <f t="shared" si="7"/>
        <v>0</v>
      </c>
    </row>
    <row r="241" spans="1:6" x14ac:dyDescent="0.2">
      <c r="A241" s="4"/>
      <c r="B241" s="4"/>
      <c r="C241" s="4"/>
      <c r="D241" s="20"/>
      <c r="E241" s="20"/>
      <c r="F241" s="20"/>
    </row>
    <row r="242" spans="1:6" x14ac:dyDescent="0.2">
      <c r="A242" s="105" t="s">
        <v>10</v>
      </c>
      <c r="B242" s="112"/>
      <c r="C242" s="106"/>
      <c r="D242" s="20">
        <f>SUM(D228:D241)</f>
        <v>0</v>
      </c>
      <c r="E242" s="20">
        <f>SUM(E228:E241)</f>
        <v>0</v>
      </c>
      <c r="F242" s="20">
        <f>D242-E242</f>
        <v>0</v>
      </c>
    </row>
    <row r="243" spans="1:6" x14ac:dyDescent="0.2">
      <c r="A243" s="105" t="s">
        <v>11</v>
      </c>
      <c r="B243" s="112"/>
      <c r="C243" s="106"/>
      <c r="D243" s="20">
        <v>0</v>
      </c>
      <c r="E243" s="20">
        <f>F228</f>
        <v>0</v>
      </c>
      <c r="F243" s="20">
        <f>D243-E243</f>
        <v>0</v>
      </c>
    </row>
    <row r="244" spans="1:6" x14ac:dyDescent="0.2">
      <c r="A244" s="105" t="s">
        <v>10</v>
      </c>
      <c r="B244" s="112"/>
      <c r="C244" s="106"/>
      <c r="D244" s="20">
        <f>SUM(D242:D243)</f>
        <v>0</v>
      </c>
      <c r="E244" s="20">
        <f>SUM(E242:E243)</f>
        <v>0</v>
      </c>
      <c r="F244" s="20">
        <f>SUM(F242:F243)</f>
        <v>0</v>
      </c>
    </row>
    <row r="245" spans="1:6" x14ac:dyDescent="0.2">
      <c r="A245" s="5"/>
      <c r="B245" s="5"/>
      <c r="C245" s="5"/>
    </row>
    <row r="251" spans="1:6" x14ac:dyDescent="0.2">
      <c r="E251" s="31"/>
    </row>
    <row r="253" spans="1:6" x14ac:dyDescent="0.2">
      <c r="B253" s="31"/>
    </row>
    <row r="257" spans="1:4" x14ac:dyDescent="0.2">
      <c r="A257" s="1" t="s">
        <v>469</v>
      </c>
      <c r="B257" s="31">
        <f>F9+F34+F73+F102+F137+F162+F201+F229</f>
        <v>0</v>
      </c>
    </row>
    <row r="258" spans="1:4" x14ac:dyDescent="0.2">
      <c r="A258" s="1" t="s">
        <v>247</v>
      </c>
      <c r="B258" s="31">
        <f>F230+F202+F163+F138+F103+F74+F35+F10</f>
        <v>0</v>
      </c>
    </row>
    <row r="259" spans="1:4" x14ac:dyDescent="0.2">
      <c r="A259" s="1" t="s">
        <v>262</v>
      </c>
      <c r="B259" s="31">
        <f>F231+F203+F164+F139+F104+F75+F36+F11</f>
        <v>0</v>
      </c>
    </row>
    <row r="260" spans="1:4" x14ac:dyDescent="0.2">
      <c r="A260" s="1" t="s">
        <v>283</v>
      </c>
      <c r="B260" s="31">
        <f t="shared" ref="B260:B268" si="8">F232+F204+F165+F140+F105+F76+F37+F12</f>
        <v>0</v>
      </c>
      <c r="D260" s="62"/>
    </row>
    <row r="261" spans="1:4" x14ac:dyDescent="0.2">
      <c r="A261" s="1" t="s">
        <v>478</v>
      </c>
      <c r="B261" s="31">
        <f t="shared" si="8"/>
        <v>0</v>
      </c>
    </row>
    <row r="262" spans="1:4" x14ac:dyDescent="0.2">
      <c r="A262" s="1" t="s">
        <v>315</v>
      </c>
      <c r="B262" s="31">
        <f t="shared" si="8"/>
        <v>0</v>
      </c>
    </row>
    <row r="263" spans="1:4" x14ac:dyDescent="0.2">
      <c r="A263" s="1" t="s">
        <v>330</v>
      </c>
      <c r="B263" s="31">
        <f t="shared" si="8"/>
        <v>0</v>
      </c>
    </row>
    <row r="264" spans="1:4" x14ac:dyDescent="0.2">
      <c r="A264" s="1" t="s">
        <v>344</v>
      </c>
      <c r="B264" s="31">
        <f t="shared" si="8"/>
        <v>0</v>
      </c>
    </row>
    <row r="265" spans="1:4" x14ac:dyDescent="0.2">
      <c r="A265" s="1" t="s">
        <v>446</v>
      </c>
      <c r="B265" s="31">
        <f t="shared" si="8"/>
        <v>0</v>
      </c>
    </row>
    <row r="266" spans="1:4" x14ac:dyDescent="0.2">
      <c r="A266" s="1" t="s">
        <v>488</v>
      </c>
      <c r="B266" s="31">
        <f t="shared" si="8"/>
        <v>0</v>
      </c>
    </row>
    <row r="267" spans="1:4" x14ac:dyDescent="0.2">
      <c r="A267" s="1" t="s">
        <v>490</v>
      </c>
      <c r="B267" s="31">
        <f t="shared" si="8"/>
        <v>0</v>
      </c>
    </row>
    <row r="268" spans="1:4" x14ac:dyDescent="0.2">
      <c r="A268" s="1" t="s">
        <v>491</v>
      </c>
      <c r="B268" s="31">
        <f t="shared" si="8"/>
        <v>0</v>
      </c>
    </row>
    <row r="270" spans="1:4" x14ac:dyDescent="0.2">
      <c r="B270" s="31"/>
    </row>
    <row r="275" spans="2:2" x14ac:dyDescent="0.2">
      <c r="B275" s="31"/>
    </row>
    <row r="277" spans="2:2" x14ac:dyDescent="0.2">
      <c r="B277" s="31"/>
    </row>
    <row r="519" ht="11.25" customHeight="1" x14ac:dyDescent="0.2"/>
  </sheetData>
  <mergeCells count="96">
    <mergeCell ref="A243:C243"/>
    <mergeCell ref="A244:C244"/>
    <mergeCell ref="B226:B227"/>
    <mergeCell ref="C226:C227"/>
    <mergeCell ref="D226:E226"/>
    <mergeCell ref="F226:F227"/>
    <mergeCell ref="A242:C242"/>
    <mergeCell ref="A226:A227"/>
    <mergeCell ref="A222:B222"/>
    <mergeCell ref="A223:F223"/>
    <mergeCell ref="A224:B224"/>
    <mergeCell ref="A215:C215"/>
    <mergeCell ref="A216:C216"/>
    <mergeCell ref="A221:B221"/>
    <mergeCell ref="B198:B199"/>
    <mergeCell ref="C198:C199"/>
    <mergeCell ref="D198:E198"/>
    <mergeCell ref="F198:F199"/>
    <mergeCell ref="A214:C214"/>
    <mergeCell ref="A198:A199"/>
    <mergeCell ref="A194:B194"/>
    <mergeCell ref="A195:F195"/>
    <mergeCell ref="A196:B196"/>
    <mergeCell ref="A176:C176"/>
    <mergeCell ref="A177:C177"/>
    <mergeCell ref="A193:B193"/>
    <mergeCell ref="B159:B160"/>
    <mergeCell ref="C159:C160"/>
    <mergeCell ref="D159:E159"/>
    <mergeCell ref="F159:F160"/>
    <mergeCell ref="A175:C175"/>
    <mergeCell ref="A159:A160"/>
    <mergeCell ref="A155:B155"/>
    <mergeCell ref="A156:F156"/>
    <mergeCell ref="A157:B157"/>
    <mergeCell ref="A151:C151"/>
    <mergeCell ref="A152:C152"/>
    <mergeCell ref="A154:B154"/>
    <mergeCell ref="B134:B135"/>
    <mergeCell ref="C134:C135"/>
    <mergeCell ref="D134:E134"/>
    <mergeCell ref="F134:F135"/>
    <mergeCell ref="A150:C150"/>
    <mergeCell ref="A134:A135"/>
    <mergeCell ref="A130:B130"/>
    <mergeCell ref="A131:F131"/>
    <mergeCell ref="A132:B132"/>
    <mergeCell ref="A116:C116"/>
    <mergeCell ref="A117:C117"/>
    <mergeCell ref="A129:B129"/>
    <mergeCell ref="B99:B100"/>
    <mergeCell ref="C99:C100"/>
    <mergeCell ref="D99:E99"/>
    <mergeCell ref="F99:F100"/>
    <mergeCell ref="A115:C115"/>
    <mergeCell ref="A99:A100"/>
    <mergeCell ref="A95:B95"/>
    <mergeCell ref="A96:F96"/>
    <mergeCell ref="A97:B97"/>
    <mergeCell ref="A87:C87"/>
    <mergeCell ref="A88:C88"/>
    <mergeCell ref="A94:B94"/>
    <mergeCell ref="B70:B71"/>
    <mergeCell ref="C70:C71"/>
    <mergeCell ref="D70:E70"/>
    <mergeCell ref="F70:F71"/>
    <mergeCell ref="A86:C86"/>
    <mergeCell ref="A70:A71"/>
    <mergeCell ref="A66:B66"/>
    <mergeCell ref="A67:F67"/>
    <mergeCell ref="A68:B68"/>
    <mergeCell ref="A48:C48"/>
    <mergeCell ref="A49:C49"/>
    <mergeCell ref="A65:B65"/>
    <mergeCell ref="B31:B32"/>
    <mergeCell ref="C31:C32"/>
    <mergeCell ref="D31:E31"/>
    <mergeCell ref="F31:F32"/>
    <mergeCell ref="A47:C47"/>
    <mergeCell ref="A31:A32"/>
    <mergeCell ref="A27:B27"/>
    <mergeCell ref="A28:F28"/>
    <mergeCell ref="A29:B29"/>
    <mergeCell ref="A23:C23"/>
    <mergeCell ref="A24:C24"/>
    <mergeCell ref="A26:B26"/>
    <mergeCell ref="B6:B7"/>
    <mergeCell ref="C6:C7"/>
    <mergeCell ref="A1:B1"/>
    <mergeCell ref="D6:E6"/>
    <mergeCell ref="F6:F7"/>
    <mergeCell ref="A22:C22"/>
    <mergeCell ref="A6:A7"/>
    <mergeCell ref="A2:B2"/>
    <mergeCell ref="A3:F3"/>
    <mergeCell ref="A4:B4"/>
  </mergeCells>
  <phoneticPr fontId="8" type="noConversion"/>
  <pageMargins left="0.51181102362204722" right="0.31496062992125984" top="0.74803149606299213" bottom="0.74803149606299213" header="0.31496062992125984" footer="0.31496062992125984"/>
  <pageSetup paperSize="9"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9"/>
  <sheetViews>
    <sheetView view="pageLayout" topLeftCell="A85" zoomScale="90" zoomScalePageLayoutView="90" workbookViewId="0">
      <selection activeCell="F8" sqref="F8"/>
    </sheetView>
  </sheetViews>
  <sheetFormatPr defaultColWidth="9.140625" defaultRowHeight="12" x14ac:dyDescent="0.2"/>
  <cols>
    <col min="1" max="1" width="9.140625" style="1"/>
    <col min="2" max="2" width="31.140625" style="1" customWidth="1"/>
    <col min="3" max="3" width="9.140625" style="1"/>
    <col min="4" max="4" width="11.85546875" style="1" customWidth="1"/>
    <col min="5" max="5" width="11.7109375" style="1" bestFit="1" customWidth="1"/>
    <col min="6" max="6" width="16.85546875" style="1" customWidth="1"/>
    <col min="7" max="7" width="10.7109375" style="13" bestFit="1" customWidth="1"/>
    <col min="8"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09" t="s">
        <v>71</v>
      </c>
      <c r="B4" s="109"/>
      <c r="D4" s="2" t="s">
        <v>72</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18" t="s">
        <v>203</v>
      </c>
      <c r="B8" s="4" t="s">
        <v>206</v>
      </c>
      <c r="C8" s="4"/>
      <c r="D8" s="20">
        <v>0</v>
      </c>
      <c r="E8" s="20">
        <v>0</v>
      </c>
      <c r="F8" s="46">
        <v>0</v>
      </c>
    </row>
    <row r="9" spans="1:6" x14ac:dyDescent="0.2">
      <c r="A9" s="18"/>
      <c r="B9" s="4"/>
      <c r="C9" s="4"/>
      <c r="D9" s="20"/>
      <c r="E9" s="20"/>
      <c r="F9" s="20">
        <f>F8+D9</f>
        <v>0</v>
      </c>
    </row>
    <row r="10" spans="1:6" x14ac:dyDescent="0.2">
      <c r="A10" s="4"/>
      <c r="B10" s="4"/>
      <c r="C10" s="4"/>
      <c r="D10" s="20"/>
      <c r="E10" s="20"/>
      <c r="F10" s="20"/>
    </row>
    <row r="11" spans="1:6" x14ac:dyDescent="0.2">
      <c r="A11" s="4"/>
      <c r="B11" s="4"/>
      <c r="C11" s="4"/>
      <c r="D11" s="20"/>
      <c r="E11" s="20"/>
      <c r="F11" s="20"/>
    </row>
    <row r="12" spans="1:6" x14ac:dyDescent="0.2">
      <c r="A12" s="105" t="s">
        <v>10</v>
      </c>
      <c r="B12" s="112"/>
      <c r="C12" s="106"/>
      <c r="D12" s="20">
        <f>SUM(D8:D11)</f>
        <v>0</v>
      </c>
      <c r="E12" s="20">
        <f>SUM(E8:E11)</f>
        <v>0</v>
      </c>
      <c r="F12" s="20">
        <f>D12-E12</f>
        <v>0</v>
      </c>
    </row>
    <row r="13" spans="1:6" x14ac:dyDescent="0.2">
      <c r="A13" s="105" t="s">
        <v>11</v>
      </c>
      <c r="B13" s="112"/>
      <c r="C13" s="106"/>
      <c r="D13" s="20">
        <f>F8</f>
        <v>0</v>
      </c>
      <c r="E13" s="20"/>
      <c r="F13" s="20">
        <f>D13-E13</f>
        <v>0</v>
      </c>
    </row>
    <row r="14" spans="1:6" x14ac:dyDescent="0.2">
      <c r="A14" s="105" t="s">
        <v>10</v>
      </c>
      <c r="B14" s="112"/>
      <c r="C14" s="106"/>
      <c r="D14" s="20">
        <f>SUM(D12:D13)</f>
        <v>0</v>
      </c>
      <c r="E14" s="20">
        <f>SUM(E12:E13)</f>
        <v>0</v>
      </c>
      <c r="F14" s="20">
        <f>SUM(F12:F13)</f>
        <v>0</v>
      </c>
    </row>
    <row r="15" spans="1:6" x14ac:dyDescent="0.2">
      <c r="D15" s="13"/>
      <c r="E15" s="13"/>
      <c r="F15" s="13"/>
    </row>
    <row r="16" spans="1:6" x14ac:dyDescent="0.2">
      <c r="A16" s="100" t="s">
        <v>0</v>
      </c>
      <c r="B16" s="100"/>
    </row>
    <row r="17" spans="1:6" x14ac:dyDescent="0.2">
      <c r="A17" s="100" t="s">
        <v>1</v>
      </c>
      <c r="B17" s="100"/>
    </row>
    <row r="18" spans="1:6" x14ac:dyDescent="0.2">
      <c r="A18" s="101" t="s">
        <v>2</v>
      </c>
      <c r="B18" s="101"/>
      <c r="C18" s="101"/>
      <c r="D18" s="101"/>
      <c r="E18" s="101"/>
      <c r="F18" s="101"/>
    </row>
    <row r="19" spans="1:6" x14ac:dyDescent="0.2">
      <c r="A19" s="122" t="s">
        <v>178</v>
      </c>
      <c r="B19" s="122"/>
      <c r="C19" s="125"/>
      <c r="D19" s="123" t="s">
        <v>73</v>
      </c>
      <c r="E19" s="125"/>
      <c r="F19" s="125"/>
    </row>
    <row r="20" spans="1:6" x14ac:dyDescent="0.2">
      <c r="A20" s="125"/>
      <c r="B20" s="125"/>
      <c r="C20" s="125"/>
      <c r="D20" s="125"/>
      <c r="E20" s="125"/>
      <c r="F20" s="125"/>
    </row>
    <row r="21" spans="1:6" x14ac:dyDescent="0.2">
      <c r="A21" s="134" t="s">
        <v>3</v>
      </c>
      <c r="B21" s="134" t="s">
        <v>4</v>
      </c>
      <c r="C21" s="134" t="s">
        <v>5</v>
      </c>
      <c r="D21" s="135" t="s">
        <v>6</v>
      </c>
      <c r="E21" s="136"/>
      <c r="F21" s="134" t="s">
        <v>9</v>
      </c>
    </row>
    <row r="22" spans="1:6" x14ac:dyDescent="0.2">
      <c r="A22" s="137"/>
      <c r="B22" s="137"/>
      <c r="C22" s="137"/>
      <c r="D22" s="124" t="s">
        <v>7</v>
      </c>
      <c r="E22" s="124" t="s">
        <v>8</v>
      </c>
      <c r="F22" s="137"/>
    </row>
    <row r="23" spans="1:6" x14ac:dyDescent="0.2">
      <c r="A23" s="133" t="s">
        <v>207</v>
      </c>
      <c r="B23" s="127" t="s">
        <v>206</v>
      </c>
      <c r="C23" s="127"/>
      <c r="D23" s="46">
        <v>0</v>
      </c>
      <c r="E23" s="46">
        <v>0</v>
      </c>
      <c r="F23" s="46">
        <v>0</v>
      </c>
    </row>
    <row r="24" spans="1:6" x14ac:dyDescent="0.2">
      <c r="A24" s="18" t="s">
        <v>228</v>
      </c>
      <c r="B24" s="4" t="s">
        <v>255</v>
      </c>
      <c r="C24" s="4" t="s">
        <v>200</v>
      </c>
      <c r="D24" s="20"/>
      <c r="E24" s="20"/>
      <c r="F24" s="20">
        <f>F23+E24</f>
        <v>0</v>
      </c>
    </row>
    <row r="25" spans="1:6" x14ac:dyDescent="0.2">
      <c r="A25" s="18" t="s">
        <v>244</v>
      </c>
      <c r="B25" s="4" t="s">
        <v>313</v>
      </c>
      <c r="C25" s="4" t="s">
        <v>200</v>
      </c>
      <c r="D25" s="20"/>
      <c r="E25" s="20"/>
      <c r="F25" s="20">
        <f t="shared" ref="F25:F26" si="0">F24+E25</f>
        <v>0</v>
      </c>
    </row>
    <row r="26" spans="1:6" x14ac:dyDescent="0.2">
      <c r="A26" s="18" t="s">
        <v>269</v>
      </c>
      <c r="B26" s="4" t="s">
        <v>277</v>
      </c>
      <c r="C26" s="4" t="s">
        <v>200</v>
      </c>
      <c r="D26" s="20"/>
      <c r="E26" s="20"/>
      <c r="F26" s="20">
        <f t="shared" si="0"/>
        <v>0</v>
      </c>
    </row>
    <row r="27" spans="1:6" x14ac:dyDescent="0.2">
      <c r="A27" s="18" t="s">
        <v>284</v>
      </c>
      <c r="B27" s="4" t="s">
        <v>289</v>
      </c>
      <c r="C27" s="4" t="s">
        <v>200</v>
      </c>
      <c r="D27" s="20"/>
      <c r="E27" s="20"/>
      <c r="F27" s="20">
        <f t="shared" ref="F27:F35" si="1">F26+E27</f>
        <v>0</v>
      </c>
    </row>
    <row r="28" spans="1:6" x14ac:dyDescent="0.2">
      <c r="A28" s="18" t="s">
        <v>290</v>
      </c>
      <c r="B28" s="4" t="s">
        <v>300</v>
      </c>
      <c r="C28" s="4" t="s">
        <v>200</v>
      </c>
      <c r="D28" s="20"/>
      <c r="E28" s="20"/>
      <c r="F28" s="20">
        <f t="shared" si="1"/>
        <v>0</v>
      </c>
    </row>
    <row r="29" spans="1:6" x14ac:dyDescent="0.2">
      <c r="A29" s="18" t="s">
        <v>308</v>
      </c>
      <c r="B29" s="4" t="s">
        <v>312</v>
      </c>
      <c r="C29" s="4" t="s">
        <v>200</v>
      </c>
      <c r="D29" s="20"/>
      <c r="E29" s="20"/>
      <c r="F29" s="20">
        <f t="shared" si="1"/>
        <v>0</v>
      </c>
    </row>
    <row r="30" spans="1:6" x14ac:dyDescent="0.2">
      <c r="A30" s="18" t="s">
        <v>322</v>
      </c>
      <c r="B30" s="4" t="s">
        <v>334</v>
      </c>
      <c r="C30" s="4" t="s">
        <v>200</v>
      </c>
      <c r="D30" s="20"/>
      <c r="E30" s="20"/>
      <c r="F30" s="20">
        <f t="shared" si="1"/>
        <v>0</v>
      </c>
    </row>
    <row r="31" spans="1:6" x14ac:dyDescent="0.2">
      <c r="A31" s="18" t="s">
        <v>335</v>
      </c>
      <c r="B31" s="4" t="s">
        <v>342</v>
      </c>
      <c r="C31" s="4" t="s">
        <v>200</v>
      </c>
      <c r="D31" s="20"/>
      <c r="E31" s="20"/>
      <c r="F31" s="20">
        <f t="shared" si="1"/>
        <v>0</v>
      </c>
    </row>
    <row r="32" spans="1:6" x14ac:dyDescent="0.2">
      <c r="A32" s="18" t="s">
        <v>357</v>
      </c>
      <c r="B32" s="4" t="s">
        <v>364</v>
      </c>
      <c r="C32" s="4" t="s">
        <v>200</v>
      </c>
      <c r="D32" s="20"/>
      <c r="E32" s="20"/>
      <c r="F32" s="20">
        <f t="shared" si="1"/>
        <v>0</v>
      </c>
    </row>
    <row r="33" spans="1:6" x14ac:dyDescent="0.2">
      <c r="A33" s="18" t="s">
        <v>376</v>
      </c>
      <c r="B33" s="4" t="s">
        <v>388</v>
      </c>
      <c r="C33" s="4" t="s">
        <v>200</v>
      </c>
      <c r="D33" s="20"/>
      <c r="E33" s="20"/>
      <c r="F33" s="20">
        <f t="shared" si="1"/>
        <v>0</v>
      </c>
    </row>
    <row r="34" spans="1:6" x14ac:dyDescent="0.2">
      <c r="A34" s="18" t="s">
        <v>390</v>
      </c>
      <c r="B34" s="4" t="s">
        <v>395</v>
      </c>
      <c r="C34" s="4" t="s">
        <v>200</v>
      </c>
      <c r="D34" s="20"/>
      <c r="E34" s="20"/>
      <c r="F34" s="20">
        <f t="shared" si="1"/>
        <v>0</v>
      </c>
    </row>
    <row r="35" spans="1:6" x14ac:dyDescent="0.2">
      <c r="A35" s="18" t="s">
        <v>449</v>
      </c>
      <c r="B35" s="4" t="s">
        <v>465</v>
      </c>
      <c r="C35" s="4" t="s">
        <v>200</v>
      </c>
      <c r="D35" s="20"/>
      <c r="E35" s="20"/>
      <c r="F35" s="20">
        <f t="shared" si="1"/>
        <v>0</v>
      </c>
    </row>
    <row r="36" spans="1:6" x14ac:dyDescent="0.2">
      <c r="A36" s="4"/>
      <c r="B36" s="4"/>
      <c r="C36" s="4"/>
      <c r="D36" s="20"/>
      <c r="E36" s="20"/>
      <c r="F36" s="20"/>
    </row>
    <row r="37" spans="1:6" x14ac:dyDescent="0.2">
      <c r="A37" s="105" t="s">
        <v>10</v>
      </c>
      <c r="B37" s="112"/>
      <c r="C37" s="106"/>
      <c r="D37" s="20">
        <f>SUM(D23:D36)</f>
        <v>0</v>
      </c>
      <c r="E37" s="20">
        <f>SUM(E23:E36)</f>
        <v>0</v>
      </c>
      <c r="F37" s="20">
        <f>D37-E37</f>
        <v>0</v>
      </c>
    </row>
    <row r="38" spans="1:6" x14ac:dyDescent="0.2">
      <c r="A38" s="105" t="s">
        <v>11</v>
      </c>
      <c r="B38" s="112"/>
      <c r="C38" s="106"/>
      <c r="D38" s="20">
        <v>0</v>
      </c>
      <c r="E38" s="20">
        <f>F23</f>
        <v>0</v>
      </c>
      <c r="F38" s="20">
        <f>D38-E38</f>
        <v>0</v>
      </c>
    </row>
    <row r="39" spans="1:6" x14ac:dyDescent="0.2">
      <c r="A39" s="105" t="s">
        <v>10</v>
      </c>
      <c r="B39" s="112"/>
      <c r="C39" s="106"/>
      <c r="D39" s="20">
        <f>SUM(D37:D38)</f>
        <v>0</v>
      </c>
      <c r="E39" s="20">
        <f>SUM(E37:E38)</f>
        <v>0</v>
      </c>
      <c r="F39" s="20">
        <f>SUM(F37:F38)</f>
        <v>0</v>
      </c>
    </row>
    <row r="41" spans="1:6" x14ac:dyDescent="0.2">
      <c r="A41" s="100" t="s">
        <v>0</v>
      </c>
      <c r="B41" s="100"/>
    </row>
    <row r="42" spans="1:6" x14ac:dyDescent="0.2">
      <c r="A42" s="100" t="s">
        <v>1</v>
      </c>
      <c r="B42" s="100"/>
    </row>
    <row r="43" spans="1:6" x14ac:dyDescent="0.2">
      <c r="A43" s="101" t="s">
        <v>2</v>
      </c>
      <c r="B43" s="101"/>
      <c r="C43" s="101"/>
      <c r="D43" s="101"/>
      <c r="E43" s="101"/>
      <c r="F43" s="101"/>
    </row>
    <row r="44" spans="1:6" x14ac:dyDescent="0.2">
      <c r="A44" s="109" t="s">
        <v>74</v>
      </c>
      <c r="B44" s="109"/>
      <c r="D44" s="2" t="s">
        <v>75</v>
      </c>
      <c r="F44" s="31"/>
    </row>
    <row r="46" spans="1:6" x14ac:dyDescent="0.2">
      <c r="A46" s="103" t="s">
        <v>3</v>
      </c>
      <c r="B46" s="103" t="s">
        <v>4</v>
      </c>
      <c r="C46" s="103" t="s">
        <v>5</v>
      </c>
      <c r="D46" s="105" t="s">
        <v>6</v>
      </c>
      <c r="E46" s="106"/>
      <c r="F46" s="103" t="s">
        <v>9</v>
      </c>
    </row>
    <row r="47" spans="1:6" x14ac:dyDescent="0.2">
      <c r="A47" s="104"/>
      <c r="B47" s="104"/>
      <c r="C47" s="104"/>
      <c r="D47" s="3" t="s">
        <v>7</v>
      </c>
      <c r="E47" s="3" t="s">
        <v>8</v>
      </c>
      <c r="F47" s="104"/>
    </row>
    <row r="48" spans="1:6" x14ac:dyDescent="0.2">
      <c r="A48" s="18"/>
      <c r="B48" s="4"/>
      <c r="C48" s="4"/>
      <c r="D48" s="20"/>
      <c r="E48" s="20">
        <v>0</v>
      </c>
      <c r="F48" s="20">
        <f>D48-E48</f>
        <v>0</v>
      </c>
    </row>
    <row r="49" spans="1:6" x14ac:dyDescent="0.2">
      <c r="A49" s="18"/>
      <c r="B49" s="4"/>
      <c r="C49" s="4"/>
      <c r="D49" s="20"/>
      <c r="E49" s="20"/>
      <c r="F49" s="20">
        <f>F48+D49-E49</f>
        <v>0</v>
      </c>
    </row>
    <row r="50" spans="1:6" x14ac:dyDescent="0.2">
      <c r="A50" s="18"/>
      <c r="B50" s="4"/>
      <c r="C50" s="4"/>
      <c r="D50" s="20"/>
      <c r="E50" s="20"/>
      <c r="F50" s="20">
        <f t="shared" ref="F50:F55" si="2">F49+D50-E50</f>
        <v>0</v>
      </c>
    </row>
    <row r="51" spans="1:6" x14ac:dyDescent="0.2">
      <c r="A51" s="18"/>
      <c r="B51" s="4"/>
      <c r="C51" s="4"/>
      <c r="D51" s="20"/>
      <c r="E51" s="20"/>
      <c r="F51" s="20">
        <f t="shared" si="2"/>
        <v>0</v>
      </c>
    </row>
    <row r="52" spans="1:6" x14ac:dyDescent="0.2">
      <c r="A52" s="18"/>
      <c r="B52" s="4"/>
      <c r="C52" s="4"/>
      <c r="D52" s="20"/>
      <c r="E52" s="20"/>
      <c r="F52" s="20">
        <f t="shared" si="2"/>
        <v>0</v>
      </c>
    </row>
    <row r="53" spans="1:6" x14ac:dyDescent="0.2">
      <c r="A53" s="18"/>
      <c r="B53" s="4"/>
      <c r="C53" s="4"/>
      <c r="D53" s="20"/>
      <c r="E53" s="20"/>
      <c r="F53" s="20">
        <f t="shared" si="2"/>
        <v>0</v>
      </c>
    </row>
    <row r="54" spans="1:6" x14ac:dyDescent="0.2">
      <c r="A54" s="18"/>
      <c r="B54" s="4"/>
      <c r="C54" s="4"/>
      <c r="D54" s="20"/>
      <c r="E54" s="20"/>
      <c r="F54" s="20">
        <f t="shared" si="2"/>
        <v>0</v>
      </c>
    </row>
    <row r="55" spans="1:6" x14ac:dyDescent="0.2">
      <c r="A55" s="18"/>
      <c r="B55" s="4"/>
      <c r="C55" s="4"/>
      <c r="D55" s="20"/>
      <c r="E55" s="20"/>
      <c r="F55" s="20">
        <f t="shared" si="2"/>
        <v>0</v>
      </c>
    </row>
    <row r="56" spans="1:6" x14ac:dyDescent="0.2">
      <c r="A56" s="4"/>
      <c r="B56" s="4"/>
      <c r="C56" s="4"/>
      <c r="D56" s="20"/>
      <c r="E56" s="20"/>
      <c r="F56" s="20"/>
    </row>
    <row r="57" spans="1:6" x14ac:dyDescent="0.2">
      <c r="A57" s="105" t="s">
        <v>10</v>
      </c>
      <c r="B57" s="112"/>
      <c r="C57" s="106"/>
      <c r="D57" s="20">
        <f>SUM(D48:D56)</f>
        <v>0</v>
      </c>
      <c r="E57" s="20">
        <f>SUM(E48:E56)</f>
        <v>0</v>
      </c>
      <c r="F57" s="20">
        <f>D57-E57</f>
        <v>0</v>
      </c>
    </row>
    <row r="58" spans="1:6" x14ac:dyDescent="0.2">
      <c r="A58" s="105" t="s">
        <v>11</v>
      </c>
      <c r="B58" s="112"/>
      <c r="C58" s="106"/>
      <c r="D58" s="20"/>
      <c r="E58" s="20"/>
      <c r="F58" s="20">
        <f>D58-E58</f>
        <v>0</v>
      </c>
    </row>
    <row r="59" spans="1:6" x14ac:dyDescent="0.2">
      <c r="A59" s="105" t="s">
        <v>10</v>
      </c>
      <c r="B59" s="112"/>
      <c r="C59" s="106"/>
      <c r="D59" s="20">
        <f>SUM(D57:D58)</f>
        <v>0</v>
      </c>
      <c r="E59" s="20">
        <f>SUM(E57:E58)</f>
        <v>0</v>
      </c>
      <c r="F59" s="20">
        <f>SUM(F57:F58)</f>
        <v>0</v>
      </c>
    </row>
  </sheetData>
  <mergeCells count="36">
    <mergeCell ref="A57:C57"/>
    <mergeCell ref="A58:C58"/>
    <mergeCell ref="A59:C59"/>
    <mergeCell ref="A41:B41"/>
    <mergeCell ref="A42:B42"/>
    <mergeCell ref="A43:F43"/>
    <mergeCell ref="A44:B44"/>
    <mergeCell ref="A46:A47"/>
    <mergeCell ref="B46:B47"/>
    <mergeCell ref="C46:C47"/>
    <mergeCell ref="D46:E46"/>
    <mergeCell ref="F46:F47"/>
    <mergeCell ref="A1:B1"/>
    <mergeCell ref="A2:B2"/>
    <mergeCell ref="A3:F3"/>
    <mergeCell ref="A4:B4"/>
    <mergeCell ref="A6:A7"/>
    <mergeCell ref="B6:B7"/>
    <mergeCell ref="C6:C7"/>
    <mergeCell ref="D6:E6"/>
    <mergeCell ref="F6:F7"/>
    <mergeCell ref="D21:E21"/>
    <mergeCell ref="F21:F22"/>
    <mergeCell ref="A12:C12"/>
    <mergeCell ref="A13:C13"/>
    <mergeCell ref="A14:C14"/>
    <mergeCell ref="A16:B16"/>
    <mergeCell ref="A17:B17"/>
    <mergeCell ref="A18:F18"/>
    <mergeCell ref="A37:C37"/>
    <mergeCell ref="A38:C38"/>
    <mergeCell ref="A39:C39"/>
    <mergeCell ref="A19:B19"/>
    <mergeCell ref="A21:A22"/>
    <mergeCell ref="B21:B22"/>
    <mergeCell ref="C21:C22"/>
  </mergeCells>
  <pageMargins left="0.51181102362204722" right="0.51181102362204722" top="0.74803149606299213" bottom="0.74803149606299213" header="0.31496062992125984" footer="0.31496062992125984"/>
  <pageSetup paperSize="9"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6"/>
  <sheetViews>
    <sheetView view="pageLayout" topLeftCell="A163" workbookViewId="0">
      <selection activeCell="G65" sqref="G65"/>
    </sheetView>
  </sheetViews>
  <sheetFormatPr defaultColWidth="9.140625" defaultRowHeight="12" x14ac:dyDescent="0.2"/>
  <cols>
    <col min="1" max="1" width="7.140625" style="1" customWidth="1"/>
    <col min="2" max="2" width="37.28515625" style="1" customWidth="1"/>
    <col min="3" max="3" width="8.28515625" style="1" customWidth="1"/>
    <col min="4" max="4" width="12.5703125" style="1" customWidth="1"/>
    <col min="5" max="5" width="11.85546875" style="1" customWidth="1"/>
    <col min="6" max="6" width="14" style="1" customWidth="1"/>
    <col min="7" max="7" width="11.28515625" style="13" bestFit="1" customWidth="1"/>
    <col min="8"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09" t="s">
        <v>77</v>
      </c>
      <c r="B4" s="109"/>
      <c r="D4" s="2" t="s">
        <v>76</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4"/>
      <c r="B8" s="4"/>
      <c r="C8" s="4"/>
      <c r="D8" s="4">
        <v>0</v>
      </c>
      <c r="E8" s="4">
        <v>0</v>
      </c>
      <c r="F8" s="4">
        <f>D8+E8</f>
        <v>0</v>
      </c>
    </row>
    <row r="9" spans="1:6" x14ac:dyDescent="0.2">
      <c r="A9" s="4"/>
      <c r="B9" s="4"/>
      <c r="C9" s="4"/>
      <c r="D9" s="4"/>
      <c r="E9" s="4"/>
      <c r="F9" s="4"/>
    </row>
    <row r="10" spans="1:6" x14ac:dyDescent="0.2">
      <c r="A10" s="4"/>
      <c r="B10" s="4"/>
      <c r="C10" s="4"/>
      <c r="D10" s="4"/>
      <c r="E10" s="4"/>
      <c r="F10" s="4"/>
    </row>
    <row r="11" spans="1:6" x14ac:dyDescent="0.2">
      <c r="A11" s="4"/>
      <c r="B11" s="4"/>
      <c r="C11" s="4"/>
      <c r="D11" s="4"/>
      <c r="E11" s="4"/>
      <c r="F11" s="4"/>
    </row>
    <row r="12" spans="1:6" x14ac:dyDescent="0.2">
      <c r="A12" s="4"/>
      <c r="B12" s="4"/>
      <c r="C12" s="4"/>
      <c r="D12" s="4"/>
      <c r="E12" s="4"/>
      <c r="F12" s="4"/>
    </row>
    <row r="13" spans="1:6" x14ac:dyDescent="0.2">
      <c r="A13" s="4"/>
      <c r="B13" s="4"/>
      <c r="C13" s="4"/>
      <c r="D13" s="4"/>
      <c r="E13" s="4"/>
      <c r="F13" s="4"/>
    </row>
    <row r="14" spans="1:6" x14ac:dyDescent="0.2">
      <c r="A14" s="4"/>
      <c r="B14" s="4"/>
      <c r="C14" s="4"/>
      <c r="D14" s="4"/>
      <c r="E14" s="4"/>
      <c r="F14" s="4"/>
    </row>
    <row r="15" spans="1:6" x14ac:dyDescent="0.2">
      <c r="A15" s="4"/>
      <c r="B15" s="4"/>
      <c r="C15" s="4"/>
      <c r="D15" s="4"/>
      <c r="E15" s="4"/>
      <c r="F15" s="4"/>
    </row>
    <row r="16" spans="1:6" x14ac:dyDescent="0.2">
      <c r="A16" s="4"/>
      <c r="B16" s="4"/>
      <c r="C16" s="4"/>
      <c r="D16" s="4"/>
      <c r="E16" s="4"/>
      <c r="F16" s="4"/>
    </row>
    <row r="17" spans="1:6" x14ac:dyDescent="0.2">
      <c r="A17" s="105" t="s">
        <v>10</v>
      </c>
      <c r="B17" s="112"/>
      <c r="C17" s="106"/>
      <c r="D17" s="4">
        <f>SUM(D8:D16)</f>
        <v>0</v>
      </c>
      <c r="E17" s="4">
        <f>SUM(E8:E16)</f>
        <v>0</v>
      </c>
      <c r="F17" s="4">
        <f>D17-E17</f>
        <v>0</v>
      </c>
    </row>
    <row r="18" spans="1:6" x14ac:dyDescent="0.2">
      <c r="A18" s="105" t="s">
        <v>11</v>
      </c>
      <c r="B18" s="112"/>
      <c r="C18" s="106"/>
      <c r="D18" s="4"/>
      <c r="E18" s="4"/>
      <c r="F18" s="4">
        <f>D18-E18</f>
        <v>0</v>
      </c>
    </row>
    <row r="19" spans="1:6" x14ac:dyDescent="0.2">
      <c r="A19" s="105" t="s">
        <v>10</v>
      </c>
      <c r="B19" s="112"/>
      <c r="C19" s="106"/>
      <c r="D19" s="4">
        <f>SUM(D17:D18)</f>
        <v>0</v>
      </c>
      <c r="E19" s="4">
        <f>SUM(E17:E18)</f>
        <v>0</v>
      </c>
      <c r="F19" s="4">
        <f>SUM(F17:F18)</f>
        <v>0</v>
      </c>
    </row>
    <row r="22" spans="1:6" x14ac:dyDescent="0.2">
      <c r="A22" s="100" t="s">
        <v>0</v>
      </c>
      <c r="B22" s="100"/>
    </row>
    <row r="23" spans="1:6" x14ac:dyDescent="0.2">
      <c r="A23" s="100" t="s">
        <v>1</v>
      </c>
      <c r="B23" s="100"/>
    </row>
    <row r="24" spans="1:6" x14ac:dyDescent="0.2">
      <c r="A24" s="101" t="s">
        <v>2</v>
      </c>
      <c r="B24" s="101"/>
      <c r="C24" s="101"/>
      <c r="D24" s="101"/>
      <c r="E24" s="101"/>
      <c r="F24" s="101"/>
    </row>
    <row r="25" spans="1:6" x14ac:dyDescent="0.2">
      <c r="A25" s="122" t="s">
        <v>78</v>
      </c>
      <c r="B25" s="122"/>
      <c r="C25" s="125"/>
      <c r="D25" s="123" t="s">
        <v>79</v>
      </c>
    </row>
    <row r="26" spans="1:6" x14ac:dyDescent="0.2">
      <c r="A26" s="125"/>
      <c r="B26" s="125"/>
      <c r="C26" s="125"/>
      <c r="D26" s="125"/>
    </row>
    <row r="27" spans="1:6" x14ac:dyDescent="0.2">
      <c r="A27" s="103" t="s">
        <v>3</v>
      </c>
      <c r="B27" s="103" t="s">
        <v>4</v>
      </c>
      <c r="C27" s="103" t="s">
        <v>5</v>
      </c>
      <c r="D27" s="105" t="s">
        <v>6</v>
      </c>
      <c r="E27" s="106"/>
      <c r="F27" s="103" t="s">
        <v>9</v>
      </c>
    </row>
    <row r="28" spans="1:6" x14ac:dyDescent="0.2">
      <c r="A28" s="104"/>
      <c r="B28" s="104"/>
      <c r="C28" s="104"/>
      <c r="D28" s="3" t="s">
        <v>7</v>
      </c>
      <c r="E28" s="3" t="s">
        <v>8</v>
      </c>
      <c r="F28" s="104"/>
    </row>
    <row r="29" spans="1:6" x14ac:dyDescent="0.2">
      <c r="A29" s="18" t="s">
        <v>197</v>
      </c>
      <c r="B29" s="4" t="s">
        <v>198</v>
      </c>
      <c r="C29" s="4" t="s">
        <v>199</v>
      </c>
      <c r="D29" s="20"/>
      <c r="E29" s="21"/>
      <c r="F29" s="20">
        <f>E29-D29</f>
        <v>0</v>
      </c>
    </row>
    <row r="30" spans="1:6" x14ac:dyDescent="0.2">
      <c r="A30" s="18" t="s">
        <v>755</v>
      </c>
      <c r="B30" s="4" t="s">
        <v>810</v>
      </c>
      <c r="C30" s="57" t="s">
        <v>200</v>
      </c>
      <c r="D30" s="20"/>
      <c r="E30" s="20"/>
      <c r="F30" s="20">
        <f>F29+E30-D30</f>
        <v>0</v>
      </c>
    </row>
    <row r="31" spans="1:6" x14ac:dyDescent="0.2">
      <c r="A31" s="18" t="s">
        <v>1427</v>
      </c>
      <c r="B31" s="4" t="s">
        <v>198</v>
      </c>
      <c r="C31" s="4" t="s">
        <v>199</v>
      </c>
      <c r="D31" s="20"/>
      <c r="E31" s="20"/>
      <c r="F31" s="20">
        <f t="shared" ref="F31:F41" si="0">F30+E31-D31</f>
        <v>0</v>
      </c>
    </row>
    <row r="32" spans="1:6" x14ac:dyDescent="0.2">
      <c r="A32" s="18" t="s">
        <v>269</v>
      </c>
      <c r="B32" s="4" t="s">
        <v>198</v>
      </c>
      <c r="C32" s="4" t="s">
        <v>199</v>
      </c>
      <c r="D32" s="20"/>
      <c r="E32" s="20"/>
      <c r="F32" s="20">
        <f t="shared" si="0"/>
        <v>0</v>
      </c>
    </row>
    <row r="33" spans="1:6" x14ac:dyDescent="0.2">
      <c r="A33" s="18" t="s">
        <v>808</v>
      </c>
      <c r="B33" s="4" t="s">
        <v>810</v>
      </c>
      <c r="C33" s="4" t="s">
        <v>200</v>
      </c>
      <c r="D33" s="20"/>
      <c r="E33" s="20"/>
      <c r="F33" s="20">
        <f t="shared" si="0"/>
        <v>0</v>
      </c>
    </row>
    <row r="34" spans="1:6" x14ac:dyDescent="0.2">
      <c r="A34" s="18" t="s">
        <v>290</v>
      </c>
      <c r="B34" s="4" t="s">
        <v>198</v>
      </c>
      <c r="C34" s="4" t="s">
        <v>199</v>
      </c>
      <c r="D34" s="20"/>
      <c r="E34" s="20"/>
      <c r="F34" s="20">
        <f t="shared" si="0"/>
        <v>0</v>
      </c>
    </row>
    <row r="35" spans="1:6" x14ac:dyDescent="0.2">
      <c r="A35" s="18" t="s">
        <v>598</v>
      </c>
      <c r="B35" s="4" t="s">
        <v>810</v>
      </c>
      <c r="C35" s="4" t="s">
        <v>200</v>
      </c>
      <c r="D35" s="20"/>
      <c r="E35" s="20"/>
      <c r="F35" s="20">
        <f t="shared" si="0"/>
        <v>0</v>
      </c>
    </row>
    <row r="36" spans="1:6" x14ac:dyDescent="0.2">
      <c r="A36" s="18" t="s">
        <v>308</v>
      </c>
      <c r="B36" s="4" t="s">
        <v>198</v>
      </c>
      <c r="C36" s="57" t="s">
        <v>487</v>
      </c>
      <c r="D36" s="20"/>
      <c r="E36" s="20"/>
      <c r="F36" s="20">
        <f t="shared" si="0"/>
        <v>0</v>
      </c>
    </row>
    <row r="37" spans="1:6" x14ac:dyDescent="0.2">
      <c r="A37" s="18" t="s">
        <v>322</v>
      </c>
      <c r="B37" s="4" t="s">
        <v>198</v>
      </c>
      <c r="C37" s="4" t="s">
        <v>199</v>
      </c>
      <c r="D37" s="20"/>
      <c r="E37" s="20"/>
      <c r="F37" s="20">
        <f t="shared" si="0"/>
        <v>0</v>
      </c>
    </row>
    <row r="38" spans="1:6" x14ac:dyDescent="0.2">
      <c r="A38" s="18" t="s">
        <v>335</v>
      </c>
      <c r="B38" s="4" t="s">
        <v>198</v>
      </c>
      <c r="C38" s="4" t="s">
        <v>199</v>
      </c>
      <c r="D38" s="20"/>
      <c r="E38" s="20"/>
      <c r="F38" s="20">
        <f t="shared" si="0"/>
        <v>0</v>
      </c>
    </row>
    <row r="39" spans="1:6" x14ac:dyDescent="0.2">
      <c r="A39" s="18" t="s">
        <v>357</v>
      </c>
      <c r="B39" s="4" t="s">
        <v>198</v>
      </c>
      <c r="C39" s="4" t="s">
        <v>199</v>
      </c>
      <c r="D39" s="20"/>
      <c r="E39" s="20"/>
      <c r="F39" s="20">
        <f t="shared" si="0"/>
        <v>0</v>
      </c>
    </row>
    <row r="40" spans="1:6" x14ac:dyDescent="0.2">
      <c r="A40" s="18" t="s">
        <v>376</v>
      </c>
      <c r="B40" s="4" t="s">
        <v>198</v>
      </c>
      <c r="C40" s="4" t="s">
        <v>487</v>
      </c>
      <c r="D40" s="20"/>
      <c r="E40" s="20"/>
      <c r="F40" s="20">
        <f t="shared" si="0"/>
        <v>0</v>
      </c>
    </row>
    <row r="41" spans="1:6" x14ac:dyDescent="0.2">
      <c r="A41" s="18" t="s">
        <v>390</v>
      </c>
      <c r="B41" s="4" t="s">
        <v>198</v>
      </c>
      <c r="C41" s="4" t="s">
        <v>199</v>
      </c>
      <c r="D41" s="20"/>
      <c r="E41" s="20"/>
      <c r="F41" s="20">
        <f t="shared" si="0"/>
        <v>0</v>
      </c>
    </row>
    <row r="42" spans="1:6" x14ac:dyDescent="0.2">
      <c r="A42" s="18" t="s">
        <v>449</v>
      </c>
      <c r="B42" s="4" t="s">
        <v>198</v>
      </c>
      <c r="C42" s="4" t="s">
        <v>199</v>
      </c>
      <c r="D42" s="20"/>
      <c r="E42" s="20"/>
      <c r="F42" s="20">
        <f>F41+E42-D42</f>
        <v>0</v>
      </c>
    </row>
    <row r="43" spans="1:6" x14ac:dyDescent="0.2">
      <c r="A43" s="18"/>
      <c r="B43" s="4"/>
      <c r="C43" s="4"/>
      <c r="D43" s="20"/>
      <c r="E43" s="20"/>
      <c r="F43" s="20"/>
    </row>
    <row r="44" spans="1:6" x14ac:dyDescent="0.2">
      <c r="A44" s="105" t="s">
        <v>10</v>
      </c>
      <c r="B44" s="112"/>
      <c r="C44" s="106"/>
      <c r="D44" s="20">
        <f>SUM(D29:D43)</f>
        <v>0</v>
      </c>
      <c r="E44" s="20">
        <f>SUM(E29:E43)</f>
        <v>0</v>
      </c>
      <c r="F44" s="20">
        <f>D44-E44</f>
        <v>0</v>
      </c>
    </row>
    <row r="45" spans="1:6" x14ac:dyDescent="0.2">
      <c r="A45" s="105" t="s">
        <v>11</v>
      </c>
      <c r="B45" s="112"/>
      <c r="C45" s="106"/>
      <c r="D45" s="20"/>
      <c r="E45" s="20"/>
      <c r="F45" s="20">
        <f>D45-E45</f>
        <v>0</v>
      </c>
    </row>
    <row r="46" spans="1:6" x14ac:dyDescent="0.2">
      <c r="A46" s="105" t="s">
        <v>10</v>
      </c>
      <c r="B46" s="112"/>
      <c r="C46" s="106"/>
      <c r="D46" s="20">
        <f>SUM(D44:D45)</f>
        <v>0</v>
      </c>
      <c r="E46" s="20">
        <f>SUM(E44:E45)</f>
        <v>0</v>
      </c>
      <c r="F46" s="20">
        <f>SUM(F44:F45)</f>
        <v>0</v>
      </c>
    </row>
    <row r="47" spans="1:6" x14ac:dyDescent="0.2">
      <c r="A47" s="5"/>
      <c r="B47" s="5"/>
      <c r="C47" s="5"/>
    </row>
    <row r="48" spans="1:6" x14ac:dyDescent="0.2">
      <c r="A48" s="100" t="s">
        <v>0</v>
      </c>
      <c r="B48" s="100"/>
    </row>
    <row r="49" spans="1:6" x14ac:dyDescent="0.2">
      <c r="A49" s="100" t="s">
        <v>1</v>
      </c>
      <c r="B49" s="100"/>
    </row>
    <row r="50" spans="1:6" x14ac:dyDescent="0.2">
      <c r="A50" s="101" t="s">
        <v>2</v>
      </c>
      <c r="B50" s="101"/>
      <c r="C50" s="101"/>
      <c r="D50" s="101"/>
      <c r="E50" s="101"/>
      <c r="F50" s="101"/>
    </row>
    <row r="51" spans="1:6" x14ac:dyDescent="0.2">
      <c r="A51" s="109" t="s">
        <v>80</v>
      </c>
      <c r="B51" s="109"/>
      <c r="D51" s="2" t="s">
        <v>81</v>
      </c>
    </row>
    <row r="53" spans="1:6" x14ac:dyDescent="0.2">
      <c r="A53" s="103" t="s">
        <v>3</v>
      </c>
      <c r="B53" s="103" t="s">
        <v>4</v>
      </c>
      <c r="C53" s="103" t="s">
        <v>5</v>
      </c>
      <c r="D53" s="116" t="s">
        <v>6</v>
      </c>
      <c r="E53" s="117"/>
      <c r="F53" s="118" t="s">
        <v>9</v>
      </c>
    </row>
    <row r="54" spans="1:6" x14ac:dyDescent="0.2">
      <c r="A54" s="104"/>
      <c r="B54" s="104"/>
      <c r="C54" s="104"/>
      <c r="D54" s="58" t="s">
        <v>7</v>
      </c>
      <c r="E54" s="58" t="s">
        <v>8</v>
      </c>
      <c r="F54" s="119"/>
    </row>
    <row r="55" spans="1:6" x14ac:dyDescent="0.2">
      <c r="A55" s="18"/>
      <c r="B55" s="4"/>
      <c r="C55" s="4" t="s">
        <v>200</v>
      </c>
      <c r="D55" s="20">
        <v>0</v>
      </c>
      <c r="E55" s="20"/>
      <c r="F55" s="20">
        <f>D55+E55</f>
        <v>0</v>
      </c>
    </row>
    <row r="56" spans="1:6" x14ac:dyDescent="0.2">
      <c r="A56" s="4"/>
      <c r="B56" s="4"/>
      <c r="C56" s="4"/>
      <c r="D56" s="20"/>
      <c r="E56" s="20"/>
      <c r="F56" s="20"/>
    </row>
    <row r="57" spans="1:6" x14ac:dyDescent="0.2">
      <c r="A57" s="4"/>
      <c r="B57" s="4"/>
      <c r="C57" s="4"/>
      <c r="D57" s="20"/>
      <c r="E57" s="20"/>
      <c r="F57" s="20"/>
    </row>
    <row r="58" spans="1:6" x14ac:dyDescent="0.2">
      <c r="A58" s="4"/>
      <c r="B58" s="4"/>
      <c r="C58" s="4"/>
      <c r="D58" s="20"/>
      <c r="E58" s="20"/>
      <c r="F58" s="20"/>
    </row>
    <row r="59" spans="1:6" x14ac:dyDescent="0.2">
      <c r="A59" s="4"/>
      <c r="B59" s="4"/>
      <c r="C59" s="4"/>
      <c r="D59" s="20"/>
      <c r="E59" s="20"/>
      <c r="F59" s="20"/>
    </row>
    <row r="60" spans="1:6" x14ac:dyDescent="0.2">
      <c r="A60" s="105" t="s">
        <v>10</v>
      </c>
      <c r="B60" s="112"/>
      <c r="C60" s="106"/>
      <c r="D60" s="20">
        <f>SUM(D55:D59)</f>
        <v>0</v>
      </c>
      <c r="E60" s="20">
        <f>SUM(E55:E59)</f>
        <v>0</v>
      </c>
      <c r="F60" s="20">
        <f>D60-E60</f>
        <v>0</v>
      </c>
    </row>
    <row r="61" spans="1:6" x14ac:dyDescent="0.2">
      <c r="A61" s="105" t="s">
        <v>11</v>
      </c>
      <c r="B61" s="112"/>
      <c r="C61" s="106"/>
      <c r="D61" s="20"/>
      <c r="E61" s="20"/>
      <c r="F61" s="20">
        <f>D61-E61</f>
        <v>0</v>
      </c>
    </row>
    <row r="62" spans="1:6" x14ac:dyDescent="0.2">
      <c r="A62" s="105" t="s">
        <v>10</v>
      </c>
      <c r="B62" s="112"/>
      <c r="C62" s="106"/>
      <c r="D62" s="20">
        <f>SUM(D60:D61)</f>
        <v>0</v>
      </c>
      <c r="E62" s="20">
        <f>SUM(E60:E61)</f>
        <v>0</v>
      </c>
      <c r="F62" s="20">
        <f>SUM(F60:F61)</f>
        <v>0</v>
      </c>
    </row>
    <row r="63" spans="1:6" x14ac:dyDescent="0.2">
      <c r="A63" s="5"/>
      <c r="B63" s="5"/>
      <c r="C63" s="5"/>
    </row>
    <row r="64" spans="1:6" x14ac:dyDescent="0.2">
      <c r="A64" s="5"/>
      <c r="B64" s="5"/>
      <c r="C64" s="5"/>
    </row>
    <row r="65" spans="1:6" x14ac:dyDescent="0.2">
      <c r="A65" s="100" t="s">
        <v>0</v>
      </c>
      <c r="B65" s="100"/>
    </row>
    <row r="66" spans="1:6" x14ac:dyDescent="0.2">
      <c r="A66" s="100" t="s">
        <v>1</v>
      </c>
      <c r="B66" s="100"/>
    </row>
    <row r="67" spans="1:6" x14ac:dyDescent="0.2">
      <c r="A67" s="101" t="s">
        <v>2</v>
      </c>
      <c r="B67" s="101"/>
      <c r="C67" s="101"/>
      <c r="D67" s="101"/>
      <c r="E67" s="101"/>
      <c r="F67" s="101"/>
    </row>
    <row r="68" spans="1:6" x14ac:dyDescent="0.2">
      <c r="A68" s="122" t="s">
        <v>82</v>
      </c>
      <c r="B68" s="122"/>
      <c r="C68" s="125"/>
      <c r="D68" s="123" t="s">
        <v>83</v>
      </c>
    </row>
    <row r="70" spans="1:6" x14ac:dyDescent="0.2">
      <c r="A70" s="103" t="s">
        <v>3</v>
      </c>
      <c r="B70" s="103" t="s">
        <v>4</v>
      </c>
      <c r="C70" s="103" t="s">
        <v>5</v>
      </c>
      <c r="D70" s="105" t="s">
        <v>6</v>
      </c>
      <c r="E70" s="106"/>
      <c r="F70" s="103" t="s">
        <v>9</v>
      </c>
    </row>
    <row r="71" spans="1:6" x14ac:dyDescent="0.2">
      <c r="A71" s="104"/>
      <c r="B71" s="104"/>
      <c r="C71" s="104"/>
      <c r="D71" s="3" t="s">
        <v>7</v>
      </c>
      <c r="E71" s="3" t="s">
        <v>8</v>
      </c>
      <c r="F71" s="104"/>
    </row>
    <row r="72" spans="1:6" x14ac:dyDescent="0.2">
      <c r="A72" s="18" t="s">
        <v>207</v>
      </c>
      <c r="B72" s="4" t="s">
        <v>206</v>
      </c>
      <c r="C72" s="4"/>
      <c r="D72" s="4">
        <v>0</v>
      </c>
      <c r="E72" s="20"/>
      <c r="F72" s="46">
        <v>0</v>
      </c>
    </row>
    <row r="73" spans="1:6" x14ac:dyDescent="0.2">
      <c r="A73" s="37" t="s">
        <v>729</v>
      </c>
      <c r="B73" s="4" t="s">
        <v>1235</v>
      </c>
      <c r="C73" s="4" t="s">
        <v>200</v>
      </c>
      <c r="D73" s="60"/>
      <c r="E73" s="20"/>
      <c r="F73" s="20">
        <f>F72-D73+E73</f>
        <v>0</v>
      </c>
    </row>
    <row r="74" spans="1:6" x14ac:dyDescent="0.2">
      <c r="A74" s="37" t="s">
        <v>1234</v>
      </c>
      <c r="B74" s="4" t="s">
        <v>1238</v>
      </c>
      <c r="C74" s="4" t="s">
        <v>187</v>
      </c>
      <c r="D74" s="60"/>
      <c r="E74" s="20"/>
      <c r="F74" s="20">
        <f>F73-D74+E74</f>
        <v>0</v>
      </c>
    </row>
    <row r="75" spans="1:6" x14ac:dyDescent="0.2">
      <c r="A75" s="37" t="s">
        <v>1234</v>
      </c>
      <c r="B75" s="4" t="s">
        <v>1239</v>
      </c>
      <c r="C75" s="4" t="s">
        <v>187</v>
      </c>
      <c r="D75" s="60"/>
      <c r="E75" s="20"/>
      <c r="F75" s="20">
        <f t="shared" ref="F75:F83" si="1">F74-D75+E75</f>
        <v>0</v>
      </c>
    </row>
    <row r="76" spans="1:6" x14ac:dyDescent="0.2">
      <c r="A76" s="18" t="s">
        <v>1237</v>
      </c>
      <c r="B76" s="4" t="s">
        <v>1236</v>
      </c>
      <c r="C76" s="4" t="s">
        <v>200</v>
      </c>
      <c r="D76" s="60"/>
      <c r="E76" s="20"/>
      <c r="F76" s="20">
        <f t="shared" si="1"/>
        <v>0</v>
      </c>
    </row>
    <row r="77" spans="1:6" x14ac:dyDescent="0.2">
      <c r="A77" s="18" t="s">
        <v>1435</v>
      </c>
      <c r="B77" s="4" t="s">
        <v>1436</v>
      </c>
      <c r="C77" s="4" t="s">
        <v>200</v>
      </c>
      <c r="D77" s="60"/>
      <c r="E77" s="20"/>
      <c r="F77" s="20">
        <f t="shared" si="1"/>
        <v>0</v>
      </c>
    </row>
    <row r="78" spans="1:6" x14ac:dyDescent="0.2">
      <c r="A78" s="18" t="s">
        <v>1432</v>
      </c>
      <c r="B78" s="4" t="s">
        <v>1425</v>
      </c>
      <c r="C78" s="4" t="s">
        <v>200</v>
      </c>
      <c r="D78" s="60"/>
      <c r="E78" s="20"/>
      <c r="F78" s="20">
        <f t="shared" si="1"/>
        <v>0</v>
      </c>
    </row>
    <row r="79" spans="1:6" x14ac:dyDescent="0.2">
      <c r="A79" s="18" t="s">
        <v>1433</v>
      </c>
      <c r="B79" s="4" t="s">
        <v>1426</v>
      </c>
      <c r="C79" s="4" t="s">
        <v>200</v>
      </c>
      <c r="D79" s="60"/>
      <c r="E79" s="20"/>
      <c r="F79" s="20">
        <f t="shared" si="1"/>
        <v>0</v>
      </c>
    </row>
    <row r="80" spans="1:6" x14ac:dyDescent="0.2">
      <c r="A80" s="18" t="s">
        <v>449</v>
      </c>
      <c r="B80" s="4" t="s">
        <v>1200</v>
      </c>
      <c r="C80" s="4" t="s">
        <v>200</v>
      </c>
      <c r="D80" s="4"/>
      <c r="E80" s="20"/>
      <c r="F80" s="20">
        <f t="shared" si="1"/>
        <v>0</v>
      </c>
    </row>
    <row r="81" spans="1:6" x14ac:dyDescent="0.2">
      <c r="A81" s="18" t="s">
        <v>449</v>
      </c>
      <c r="B81" s="4" t="s">
        <v>1201</v>
      </c>
      <c r="C81" s="4" t="s">
        <v>200</v>
      </c>
      <c r="D81" s="4"/>
      <c r="E81" s="20"/>
      <c r="F81" s="20">
        <f t="shared" si="1"/>
        <v>0</v>
      </c>
    </row>
    <row r="82" spans="1:6" x14ac:dyDescent="0.2">
      <c r="A82" s="18"/>
      <c r="B82" s="4"/>
      <c r="C82" s="4"/>
      <c r="D82" s="4"/>
      <c r="E82" s="20"/>
      <c r="F82" s="20">
        <f t="shared" si="1"/>
        <v>0</v>
      </c>
    </row>
    <row r="83" spans="1:6" x14ac:dyDescent="0.2">
      <c r="A83" s="4"/>
      <c r="B83" s="4"/>
      <c r="C83" s="4"/>
      <c r="D83" s="4"/>
      <c r="E83" s="20"/>
      <c r="F83" s="20">
        <f t="shared" si="1"/>
        <v>0</v>
      </c>
    </row>
    <row r="84" spans="1:6" x14ac:dyDescent="0.2">
      <c r="A84" s="4"/>
      <c r="B84" s="4"/>
      <c r="C84" s="4"/>
      <c r="D84" s="4"/>
      <c r="E84" s="20"/>
      <c r="F84" s="20"/>
    </row>
    <row r="85" spans="1:6" x14ac:dyDescent="0.2">
      <c r="A85" s="105" t="s">
        <v>10</v>
      </c>
      <c r="B85" s="112"/>
      <c r="C85" s="106"/>
      <c r="D85" s="20">
        <f>SUM(D72:D84)</f>
        <v>0</v>
      </c>
      <c r="E85" s="20">
        <f>SUM(E72:E84)</f>
        <v>0</v>
      </c>
      <c r="F85" s="20">
        <f>D85-E85</f>
        <v>0</v>
      </c>
    </row>
    <row r="86" spans="1:6" x14ac:dyDescent="0.2">
      <c r="A86" s="105" t="s">
        <v>11</v>
      </c>
      <c r="B86" s="112"/>
      <c r="C86" s="106"/>
      <c r="D86" s="20"/>
      <c r="E86" s="20">
        <f>F72</f>
        <v>0</v>
      </c>
      <c r="F86" s="20">
        <f>D86-E86</f>
        <v>0</v>
      </c>
    </row>
    <row r="87" spans="1:6" x14ac:dyDescent="0.2">
      <c r="A87" s="105" t="s">
        <v>10</v>
      </c>
      <c r="B87" s="112"/>
      <c r="C87" s="106"/>
      <c r="D87" s="20">
        <f>SUM(D85:D86)</f>
        <v>0</v>
      </c>
      <c r="E87" s="20">
        <f>SUM(E85:E86)</f>
        <v>0</v>
      </c>
      <c r="F87" s="20">
        <f>SUM(F85:F86)</f>
        <v>0</v>
      </c>
    </row>
    <row r="89" spans="1:6" x14ac:dyDescent="0.2">
      <c r="A89" s="100" t="s">
        <v>0</v>
      </c>
      <c r="B89" s="100"/>
    </row>
    <row r="90" spans="1:6" x14ac:dyDescent="0.2">
      <c r="A90" s="100" t="s">
        <v>1</v>
      </c>
      <c r="B90" s="100"/>
    </row>
    <row r="91" spans="1:6" x14ac:dyDescent="0.2">
      <c r="A91" s="101" t="s">
        <v>2</v>
      </c>
      <c r="B91" s="101"/>
      <c r="C91" s="101"/>
      <c r="D91" s="101"/>
      <c r="E91" s="101"/>
      <c r="F91" s="101"/>
    </row>
    <row r="92" spans="1:6" x14ac:dyDescent="0.2">
      <c r="A92" s="109" t="s">
        <v>276</v>
      </c>
      <c r="B92" s="109"/>
      <c r="D92" s="2" t="s">
        <v>84</v>
      </c>
    </row>
    <row r="94" spans="1:6" x14ac:dyDescent="0.2">
      <c r="A94" s="103" t="s">
        <v>3</v>
      </c>
      <c r="B94" s="103" t="s">
        <v>4</v>
      </c>
      <c r="C94" s="103" t="s">
        <v>5</v>
      </c>
      <c r="D94" s="105" t="s">
        <v>6</v>
      </c>
      <c r="E94" s="106"/>
      <c r="F94" s="103" t="s">
        <v>9</v>
      </c>
    </row>
    <row r="95" spans="1:6" x14ac:dyDescent="0.2">
      <c r="A95" s="104"/>
      <c r="B95" s="104"/>
      <c r="C95" s="104"/>
      <c r="D95" s="3" t="s">
        <v>7</v>
      </c>
      <c r="E95" s="3" t="s">
        <v>8</v>
      </c>
      <c r="F95" s="104"/>
    </row>
    <row r="96" spans="1:6" x14ac:dyDescent="0.2">
      <c r="A96" s="18" t="s">
        <v>269</v>
      </c>
      <c r="B96" s="65" t="s">
        <v>1434</v>
      </c>
      <c r="C96" s="4" t="s">
        <v>200</v>
      </c>
      <c r="D96" s="20"/>
      <c r="E96" s="20"/>
      <c r="F96" s="20">
        <f>D96+E96</f>
        <v>0</v>
      </c>
    </row>
    <row r="97" spans="1:6" ht="22.5" x14ac:dyDescent="0.2">
      <c r="A97" s="44" t="s">
        <v>772</v>
      </c>
      <c r="B97" s="86" t="s">
        <v>771</v>
      </c>
      <c r="C97" s="74" t="s">
        <v>200</v>
      </c>
      <c r="D97" s="73"/>
      <c r="E97" s="73"/>
      <c r="F97" s="73">
        <f>F96-D97+E97</f>
        <v>0</v>
      </c>
    </row>
    <row r="98" spans="1:6" ht="12" customHeight="1" x14ac:dyDescent="0.2">
      <c r="A98" s="18" t="s">
        <v>604</v>
      </c>
      <c r="B98" s="27" t="s">
        <v>853</v>
      </c>
      <c r="C98" s="4" t="s">
        <v>525</v>
      </c>
      <c r="D98" s="20"/>
      <c r="E98" s="20"/>
      <c r="F98" s="20">
        <f t="shared" ref="F98:F100" si="2">F97-D98+E98</f>
        <v>0</v>
      </c>
    </row>
    <row r="99" spans="1:6" x14ac:dyDescent="0.2">
      <c r="A99" s="18" t="s">
        <v>321</v>
      </c>
      <c r="B99" s="65" t="s">
        <v>579</v>
      </c>
      <c r="C99" s="4" t="s">
        <v>525</v>
      </c>
      <c r="D99" s="20"/>
      <c r="E99" s="20"/>
      <c r="F99" s="20">
        <f t="shared" si="2"/>
        <v>0</v>
      </c>
    </row>
    <row r="100" spans="1:6" x14ac:dyDescent="0.2">
      <c r="A100" s="18" t="s">
        <v>376</v>
      </c>
      <c r="B100" s="27" t="s">
        <v>1092</v>
      </c>
      <c r="C100" s="4" t="s">
        <v>525</v>
      </c>
      <c r="D100" s="20"/>
      <c r="E100" s="20"/>
      <c r="F100" s="20">
        <f t="shared" si="2"/>
        <v>0</v>
      </c>
    </row>
    <row r="101" spans="1:6" x14ac:dyDescent="0.2">
      <c r="A101" s="18" t="s">
        <v>548</v>
      </c>
      <c r="B101" s="65" t="s">
        <v>579</v>
      </c>
      <c r="C101" s="4" t="s">
        <v>1094</v>
      </c>
      <c r="D101" s="20"/>
      <c r="E101" s="20"/>
      <c r="F101" s="20">
        <f>F100-D101+E101</f>
        <v>0</v>
      </c>
    </row>
    <row r="102" spans="1:6" x14ac:dyDescent="0.2">
      <c r="A102" s="18"/>
      <c r="B102" s="65"/>
      <c r="C102" s="4"/>
      <c r="D102" s="20" t="s">
        <v>70</v>
      </c>
      <c r="E102" s="20"/>
      <c r="F102" s="20"/>
    </row>
    <row r="103" spans="1:6" x14ac:dyDescent="0.2">
      <c r="A103" s="64"/>
      <c r="B103" s="65"/>
      <c r="C103" s="10"/>
      <c r="D103" s="20"/>
      <c r="E103" s="20"/>
      <c r="F103" s="20"/>
    </row>
    <row r="104" spans="1:6" x14ac:dyDescent="0.2">
      <c r="A104" s="105" t="s">
        <v>10</v>
      </c>
      <c r="B104" s="112"/>
      <c r="C104" s="106"/>
      <c r="D104" s="20">
        <f>SUM(D96:D103)</f>
        <v>0</v>
      </c>
      <c r="E104" s="20">
        <f>SUM(E96:E103)</f>
        <v>0</v>
      </c>
      <c r="F104" s="20">
        <f>D104-E104</f>
        <v>0</v>
      </c>
    </row>
    <row r="105" spans="1:6" x14ac:dyDescent="0.2">
      <c r="A105" s="105" t="s">
        <v>11</v>
      </c>
      <c r="B105" s="112"/>
      <c r="C105" s="106"/>
      <c r="D105" s="20"/>
      <c r="E105" s="20"/>
      <c r="F105" s="20">
        <f>D105-E105</f>
        <v>0</v>
      </c>
    </row>
    <row r="106" spans="1:6" x14ac:dyDescent="0.2">
      <c r="A106" s="105" t="s">
        <v>10</v>
      </c>
      <c r="B106" s="112"/>
      <c r="C106" s="106"/>
      <c r="D106" s="20">
        <f>SUM(D104:D105)</f>
        <v>0</v>
      </c>
      <c r="E106" s="20">
        <f>SUM(E104:E105)</f>
        <v>0</v>
      </c>
      <c r="F106" s="20">
        <f>SUM(F104:F105)</f>
        <v>0</v>
      </c>
    </row>
    <row r="108" spans="1:6" x14ac:dyDescent="0.2">
      <c r="A108" s="100" t="s">
        <v>0</v>
      </c>
      <c r="B108" s="100"/>
    </row>
    <row r="109" spans="1:6" x14ac:dyDescent="0.2">
      <c r="A109" s="100" t="s">
        <v>1</v>
      </c>
      <c r="B109" s="100"/>
    </row>
    <row r="110" spans="1:6" x14ac:dyDescent="0.2">
      <c r="A110" s="101" t="s">
        <v>2</v>
      </c>
      <c r="B110" s="101"/>
      <c r="C110" s="101"/>
      <c r="D110" s="101"/>
      <c r="E110" s="101"/>
      <c r="F110" s="101"/>
    </row>
    <row r="111" spans="1:6" x14ac:dyDescent="0.2">
      <c r="A111" s="109" t="s">
        <v>85</v>
      </c>
      <c r="B111" s="109"/>
      <c r="D111" s="2" t="s">
        <v>86</v>
      </c>
    </row>
    <row r="113" spans="1:6" x14ac:dyDescent="0.2">
      <c r="A113" s="103" t="s">
        <v>3</v>
      </c>
      <c r="B113" s="103" t="s">
        <v>4</v>
      </c>
      <c r="C113" s="103" t="s">
        <v>5</v>
      </c>
      <c r="D113" s="105" t="s">
        <v>6</v>
      </c>
      <c r="E113" s="106"/>
      <c r="F113" s="103" t="s">
        <v>9</v>
      </c>
    </row>
    <row r="114" spans="1:6" x14ac:dyDescent="0.2">
      <c r="A114" s="104"/>
      <c r="B114" s="104"/>
      <c r="C114" s="104"/>
      <c r="D114" s="3" t="s">
        <v>7</v>
      </c>
      <c r="E114" s="3" t="s">
        <v>8</v>
      </c>
      <c r="F114" s="104"/>
    </row>
    <row r="115" spans="1:6" x14ac:dyDescent="0.2">
      <c r="A115" s="18" t="s">
        <v>207</v>
      </c>
      <c r="B115" s="4" t="s">
        <v>206</v>
      </c>
      <c r="C115" s="4"/>
      <c r="D115" s="4">
        <v>0</v>
      </c>
      <c r="E115" s="20"/>
      <c r="F115" s="20"/>
    </row>
    <row r="116" spans="1:6" x14ac:dyDescent="0.2">
      <c r="A116" s="18"/>
      <c r="B116" s="4"/>
      <c r="C116" s="4"/>
      <c r="D116" s="60"/>
      <c r="E116" s="4"/>
      <c r="F116" s="19">
        <f>F115-D116+E116</f>
        <v>0</v>
      </c>
    </row>
    <row r="117" spans="1:6" x14ac:dyDescent="0.2">
      <c r="A117" s="4"/>
      <c r="B117" s="4"/>
      <c r="C117" s="4"/>
      <c r="D117" s="4"/>
      <c r="E117" s="4"/>
      <c r="F117" s="4"/>
    </row>
    <row r="118" spans="1:6" x14ac:dyDescent="0.2">
      <c r="A118" s="4"/>
      <c r="B118" s="4"/>
      <c r="C118" s="4"/>
      <c r="D118" s="4"/>
      <c r="E118" s="4"/>
      <c r="F118" s="4"/>
    </row>
    <row r="119" spans="1:6" x14ac:dyDescent="0.2">
      <c r="A119" s="105" t="s">
        <v>10</v>
      </c>
      <c r="B119" s="112"/>
      <c r="C119" s="106"/>
      <c r="D119" s="4">
        <f>SUM(D115:D118)</f>
        <v>0</v>
      </c>
      <c r="E119" s="4">
        <f>SUM(E115:E118)</f>
        <v>0</v>
      </c>
      <c r="F119" s="4">
        <f>D119-E119</f>
        <v>0</v>
      </c>
    </row>
    <row r="120" spans="1:6" x14ac:dyDescent="0.2">
      <c r="A120" s="105" t="s">
        <v>11</v>
      </c>
      <c r="B120" s="112"/>
      <c r="C120" s="106"/>
      <c r="D120" s="4"/>
      <c r="E120" s="4"/>
      <c r="F120" s="4">
        <f>D120-E120</f>
        <v>0</v>
      </c>
    </row>
    <row r="121" spans="1:6" x14ac:dyDescent="0.2">
      <c r="A121" s="105" t="s">
        <v>10</v>
      </c>
      <c r="B121" s="112"/>
      <c r="C121" s="106"/>
      <c r="D121" s="4">
        <f>SUM(D119:D120)</f>
        <v>0</v>
      </c>
      <c r="E121" s="4">
        <f>SUM(E119:E120)</f>
        <v>0</v>
      </c>
      <c r="F121" s="4">
        <f>SUM(F119:F120)</f>
        <v>0</v>
      </c>
    </row>
    <row r="123" spans="1:6" x14ac:dyDescent="0.2">
      <c r="A123" s="100" t="s">
        <v>0</v>
      </c>
      <c r="B123" s="100"/>
    </row>
    <row r="124" spans="1:6" x14ac:dyDescent="0.2">
      <c r="A124" s="100" t="s">
        <v>1</v>
      </c>
      <c r="B124" s="100"/>
    </row>
    <row r="125" spans="1:6" x14ac:dyDescent="0.2">
      <c r="A125" s="101" t="s">
        <v>2</v>
      </c>
      <c r="B125" s="101"/>
      <c r="C125" s="101"/>
      <c r="D125" s="101"/>
      <c r="E125" s="101"/>
      <c r="F125" s="101"/>
    </row>
    <row r="126" spans="1:6" x14ac:dyDescent="0.2">
      <c r="A126" s="109" t="s">
        <v>497</v>
      </c>
      <c r="B126" s="109"/>
      <c r="D126" s="2" t="s">
        <v>558</v>
      </c>
    </row>
    <row r="128" spans="1:6" x14ac:dyDescent="0.2">
      <c r="A128" s="103" t="s">
        <v>3</v>
      </c>
      <c r="B128" s="103" t="s">
        <v>4</v>
      </c>
      <c r="C128" s="103" t="s">
        <v>5</v>
      </c>
      <c r="D128" s="105" t="s">
        <v>6</v>
      </c>
      <c r="E128" s="106"/>
      <c r="F128" s="103" t="s">
        <v>9</v>
      </c>
    </row>
    <row r="129" spans="1:6" x14ac:dyDescent="0.2">
      <c r="A129" s="104"/>
      <c r="B129" s="104"/>
      <c r="C129" s="104"/>
      <c r="D129" s="3" t="s">
        <v>7</v>
      </c>
      <c r="E129" s="3" t="s">
        <v>8</v>
      </c>
      <c r="F129" s="104"/>
    </row>
    <row r="130" spans="1:6" x14ac:dyDescent="0.2">
      <c r="A130" s="18" t="s">
        <v>207</v>
      </c>
      <c r="B130" s="4" t="s">
        <v>206</v>
      </c>
      <c r="C130" s="4"/>
      <c r="D130" s="20">
        <v>0</v>
      </c>
      <c r="E130" s="20"/>
      <c r="F130" s="46">
        <v>0</v>
      </c>
    </row>
    <row r="131" spans="1:6" x14ac:dyDescent="0.2">
      <c r="A131" s="18" t="s">
        <v>449</v>
      </c>
      <c r="B131" s="4" t="s">
        <v>561</v>
      </c>
      <c r="C131" s="4" t="s">
        <v>200</v>
      </c>
      <c r="D131" s="20"/>
      <c r="E131" s="20"/>
      <c r="F131" s="20">
        <f>F130-D131+E131</f>
        <v>0</v>
      </c>
    </row>
    <row r="132" spans="1:6" x14ac:dyDescent="0.2">
      <c r="A132" s="4"/>
      <c r="B132" s="4"/>
      <c r="C132" s="4"/>
      <c r="D132" s="20"/>
      <c r="E132" s="20"/>
      <c r="F132" s="20"/>
    </row>
    <row r="133" spans="1:6" x14ac:dyDescent="0.2">
      <c r="A133" s="4"/>
      <c r="B133" s="4"/>
      <c r="C133" s="4"/>
      <c r="D133" s="20"/>
      <c r="E133" s="20"/>
      <c r="F133" s="20"/>
    </row>
    <row r="134" spans="1:6" x14ac:dyDescent="0.2">
      <c r="A134" s="105" t="s">
        <v>10</v>
      </c>
      <c r="B134" s="112"/>
      <c r="C134" s="106"/>
      <c r="D134" s="20">
        <f>SUM(D130:D133)</f>
        <v>0</v>
      </c>
      <c r="E134" s="20">
        <f>SUM(E130:E133)</f>
        <v>0</v>
      </c>
      <c r="F134" s="20">
        <f>D134-E134</f>
        <v>0</v>
      </c>
    </row>
    <row r="135" spans="1:6" x14ac:dyDescent="0.2">
      <c r="A135" s="105" t="s">
        <v>11</v>
      </c>
      <c r="B135" s="112"/>
      <c r="C135" s="106"/>
      <c r="D135" s="20"/>
      <c r="E135" s="20">
        <f>F130</f>
        <v>0</v>
      </c>
      <c r="F135" s="20">
        <f>D135-E135</f>
        <v>0</v>
      </c>
    </row>
    <row r="136" spans="1:6" x14ac:dyDescent="0.2">
      <c r="A136" s="105" t="s">
        <v>10</v>
      </c>
      <c r="B136" s="112"/>
      <c r="C136" s="106"/>
      <c r="D136" s="20">
        <f>SUM(D134:D135)</f>
        <v>0</v>
      </c>
      <c r="E136" s="20">
        <f>SUM(E134:E135)</f>
        <v>0</v>
      </c>
      <c r="F136" s="20">
        <f>SUM(F134:F135)</f>
        <v>0</v>
      </c>
    </row>
  </sheetData>
  <mergeCells count="84">
    <mergeCell ref="A134:C134"/>
    <mergeCell ref="A135:C135"/>
    <mergeCell ref="A136:C136"/>
    <mergeCell ref="A123:B123"/>
    <mergeCell ref="A124:B124"/>
    <mergeCell ref="A125:F125"/>
    <mergeCell ref="A126:B126"/>
    <mergeCell ref="A128:A129"/>
    <mergeCell ref="B128:B129"/>
    <mergeCell ref="C128:C129"/>
    <mergeCell ref="D128:E128"/>
    <mergeCell ref="F128:F129"/>
    <mergeCell ref="A119:C119"/>
    <mergeCell ref="A120:C120"/>
    <mergeCell ref="A121:C121"/>
    <mergeCell ref="A110:F110"/>
    <mergeCell ref="A111:B111"/>
    <mergeCell ref="A113:A114"/>
    <mergeCell ref="B113:B114"/>
    <mergeCell ref="C113:C114"/>
    <mergeCell ref="D113:E113"/>
    <mergeCell ref="F113:F114"/>
    <mergeCell ref="A108:B108"/>
    <mergeCell ref="A109:B109"/>
    <mergeCell ref="A104:C104"/>
    <mergeCell ref="A105:C105"/>
    <mergeCell ref="A106:C106"/>
    <mergeCell ref="A91:F91"/>
    <mergeCell ref="A92:B92"/>
    <mergeCell ref="A94:A95"/>
    <mergeCell ref="B94:B95"/>
    <mergeCell ref="C94:C95"/>
    <mergeCell ref="D94:E94"/>
    <mergeCell ref="F94:F95"/>
    <mergeCell ref="A85:C85"/>
    <mergeCell ref="A86:C86"/>
    <mergeCell ref="A87:C87"/>
    <mergeCell ref="A89:B89"/>
    <mergeCell ref="A90:B90"/>
    <mergeCell ref="A67:F67"/>
    <mergeCell ref="A68:B68"/>
    <mergeCell ref="A70:A71"/>
    <mergeCell ref="B70:B71"/>
    <mergeCell ref="C70:C71"/>
    <mergeCell ref="D70:E70"/>
    <mergeCell ref="F70:F71"/>
    <mergeCell ref="A60:C60"/>
    <mergeCell ref="A61:C61"/>
    <mergeCell ref="A62:C62"/>
    <mergeCell ref="A65:B65"/>
    <mergeCell ref="A66:B66"/>
    <mergeCell ref="A50:F50"/>
    <mergeCell ref="A51:B51"/>
    <mergeCell ref="A53:A54"/>
    <mergeCell ref="B53:B54"/>
    <mergeCell ref="C53:C54"/>
    <mergeCell ref="D53:E53"/>
    <mergeCell ref="F53:F54"/>
    <mergeCell ref="A44:C44"/>
    <mergeCell ref="A45:C45"/>
    <mergeCell ref="A46:C46"/>
    <mergeCell ref="A48:B48"/>
    <mergeCell ref="A49:B49"/>
    <mergeCell ref="A22:B22"/>
    <mergeCell ref="A23:B23"/>
    <mergeCell ref="A24:F24"/>
    <mergeCell ref="A25:B25"/>
    <mergeCell ref="A27:A28"/>
    <mergeCell ref="B27:B28"/>
    <mergeCell ref="C27:C28"/>
    <mergeCell ref="D27:E27"/>
    <mergeCell ref="F27:F28"/>
    <mergeCell ref="A17:C17"/>
    <mergeCell ref="A18:C18"/>
    <mergeCell ref="A19:C19"/>
    <mergeCell ref="A1:B1"/>
    <mergeCell ref="A2:B2"/>
    <mergeCell ref="A3:F3"/>
    <mergeCell ref="A4:B4"/>
    <mergeCell ref="A6:A7"/>
    <mergeCell ref="B6:B7"/>
    <mergeCell ref="C6:C7"/>
    <mergeCell ref="D6:E6"/>
    <mergeCell ref="F6:F7"/>
  </mergeCells>
  <phoneticPr fontId="8" type="noConversion"/>
  <pageMargins left="0.51181102362204722" right="0.51181102362204722" top="0.74803149606299213" bottom="0.74803149606299213" header="0.31496062992125984" footer="0.31496062992125984"/>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7"/>
  <sheetViews>
    <sheetView view="pageLayout" topLeftCell="B121" workbookViewId="0">
      <selection activeCell="F8" sqref="F8"/>
    </sheetView>
  </sheetViews>
  <sheetFormatPr defaultColWidth="9.140625" defaultRowHeight="12" x14ac:dyDescent="0.2"/>
  <cols>
    <col min="1" max="1" width="9.140625" style="1"/>
    <col min="2" max="2" width="29.42578125" style="1" customWidth="1"/>
    <col min="3" max="3" width="9.140625" style="1"/>
    <col min="4" max="4" width="15.140625" style="1" customWidth="1"/>
    <col min="5" max="5" width="13.85546875" style="1" customWidth="1"/>
    <col min="6" max="6" width="15.5703125" style="1" customWidth="1"/>
    <col min="7" max="7" width="15.140625" style="1" bestFit="1" customWidth="1"/>
    <col min="8"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09" t="s">
        <v>179</v>
      </c>
      <c r="B4" s="109"/>
      <c r="D4" s="2" t="s">
        <v>87</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18" t="s">
        <v>207</v>
      </c>
      <c r="B8" s="4" t="s">
        <v>206</v>
      </c>
      <c r="C8" s="4"/>
      <c r="D8" s="20">
        <v>0</v>
      </c>
      <c r="E8" s="20">
        <v>0</v>
      </c>
      <c r="F8" s="46">
        <v>0</v>
      </c>
    </row>
    <row r="9" spans="1:6" x14ac:dyDescent="0.2">
      <c r="A9" s="4"/>
      <c r="B9" s="4"/>
      <c r="C9" s="4"/>
      <c r="D9" s="20"/>
      <c r="E9" s="20"/>
      <c r="F9" s="20"/>
    </row>
    <row r="10" spans="1:6" x14ac:dyDescent="0.2">
      <c r="A10" s="4"/>
      <c r="B10" s="4"/>
      <c r="C10" s="4"/>
      <c r="D10" s="20"/>
      <c r="E10" s="20"/>
      <c r="F10" s="20"/>
    </row>
    <row r="11" spans="1:6" x14ac:dyDescent="0.2">
      <c r="A11" s="4"/>
      <c r="B11" s="4"/>
      <c r="C11" s="4"/>
      <c r="D11" s="20"/>
      <c r="E11" s="20"/>
      <c r="F11" s="20"/>
    </row>
    <row r="12" spans="1:6" x14ac:dyDescent="0.2">
      <c r="A12" s="4"/>
      <c r="B12" s="4"/>
      <c r="C12" s="4"/>
      <c r="D12" s="20"/>
      <c r="E12" s="20"/>
      <c r="F12" s="20"/>
    </row>
    <row r="13" spans="1:6" x14ac:dyDescent="0.2">
      <c r="A13" s="4"/>
      <c r="B13" s="4"/>
      <c r="C13" s="4"/>
      <c r="D13" s="20"/>
      <c r="E13" s="20"/>
      <c r="F13" s="20"/>
    </row>
    <row r="14" spans="1:6" x14ac:dyDescent="0.2">
      <c r="A14" s="4"/>
      <c r="B14" s="4"/>
      <c r="C14" s="4"/>
      <c r="D14" s="20"/>
      <c r="E14" s="20"/>
      <c r="F14" s="20"/>
    </row>
    <row r="15" spans="1:6" x14ac:dyDescent="0.2">
      <c r="A15" s="4"/>
      <c r="B15" s="4"/>
      <c r="C15" s="4"/>
      <c r="D15" s="20"/>
      <c r="E15" s="20"/>
      <c r="F15" s="20"/>
    </row>
    <row r="16" spans="1:6" x14ac:dyDescent="0.2">
      <c r="A16" s="4"/>
      <c r="B16" s="4"/>
      <c r="C16" s="4"/>
      <c r="D16" s="20"/>
      <c r="E16" s="20"/>
      <c r="F16" s="20"/>
    </row>
    <row r="17" spans="1:6" x14ac:dyDescent="0.2">
      <c r="A17" s="105" t="s">
        <v>10</v>
      </c>
      <c r="B17" s="112"/>
      <c r="C17" s="106"/>
      <c r="D17" s="20">
        <f>SUM(D8:D16)</f>
        <v>0</v>
      </c>
      <c r="E17" s="20">
        <f>SUM(E8:E16)</f>
        <v>0</v>
      </c>
      <c r="F17" s="20">
        <f>D17-E17</f>
        <v>0</v>
      </c>
    </row>
    <row r="18" spans="1:6" x14ac:dyDescent="0.2">
      <c r="A18" s="105" t="s">
        <v>11</v>
      </c>
      <c r="B18" s="112"/>
      <c r="C18" s="106"/>
      <c r="D18" s="20">
        <f>F8</f>
        <v>0</v>
      </c>
      <c r="E18" s="20">
        <v>0</v>
      </c>
      <c r="F18" s="20">
        <f>D18-E18</f>
        <v>0</v>
      </c>
    </row>
    <row r="19" spans="1:6" x14ac:dyDescent="0.2">
      <c r="A19" s="105" t="s">
        <v>10</v>
      </c>
      <c r="B19" s="112"/>
      <c r="C19" s="106"/>
      <c r="D19" s="20">
        <f>SUM(D17:D18)</f>
        <v>0</v>
      </c>
      <c r="E19" s="20">
        <f>SUM(E17:E18)</f>
        <v>0</v>
      </c>
      <c r="F19" s="20">
        <f>SUM(F17:F18)</f>
        <v>0</v>
      </c>
    </row>
    <row r="20" spans="1:6" x14ac:dyDescent="0.2">
      <c r="A20" s="5"/>
      <c r="B20" s="5"/>
      <c r="C20" s="5"/>
    </row>
    <row r="21" spans="1:6" x14ac:dyDescent="0.2">
      <c r="A21" s="100" t="s">
        <v>0</v>
      </c>
      <c r="B21" s="100"/>
    </row>
    <row r="22" spans="1:6" x14ac:dyDescent="0.2">
      <c r="A22" s="100" t="s">
        <v>1</v>
      </c>
      <c r="B22" s="100"/>
    </row>
    <row r="23" spans="1:6" x14ac:dyDescent="0.2">
      <c r="A23" s="101" t="s">
        <v>2</v>
      </c>
      <c r="B23" s="101"/>
      <c r="C23" s="101"/>
      <c r="D23" s="101"/>
      <c r="E23" s="101"/>
      <c r="F23" s="101"/>
    </row>
    <row r="24" spans="1:6" x14ac:dyDescent="0.2">
      <c r="A24" s="109" t="s">
        <v>88</v>
      </c>
      <c r="B24" s="109"/>
      <c r="D24" s="2" t="s">
        <v>90</v>
      </c>
    </row>
    <row r="26" spans="1:6" x14ac:dyDescent="0.2">
      <c r="A26" s="103" t="s">
        <v>3</v>
      </c>
      <c r="B26" s="103" t="s">
        <v>4</v>
      </c>
      <c r="C26" s="103" t="s">
        <v>5</v>
      </c>
      <c r="D26" s="105" t="s">
        <v>6</v>
      </c>
      <c r="E26" s="106"/>
      <c r="F26" s="103" t="s">
        <v>9</v>
      </c>
    </row>
    <row r="27" spans="1:6" x14ac:dyDescent="0.2">
      <c r="A27" s="104"/>
      <c r="B27" s="104"/>
      <c r="C27" s="104"/>
      <c r="D27" s="3" t="s">
        <v>7</v>
      </c>
      <c r="E27" s="3" t="s">
        <v>8</v>
      </c>
      <c r="F27" s="104"/>
    </row>
    <row r="28" spans="1:6" x14ac:dyDescent="0.2">
      <c r="A28" s="18" t="s">
        <v>203</v>
      </c>
      <c r="B28" s="4" t="s">
        <v>206</v>
      </c>
      <c r="C28" s="4"/>
      <c r="D28" s="4">
        <v>0</v>
      </c>
      <c r="E28" s="4">
        <v>0</v>
      </c>
      <c r="F28" s="46">
        <v>0</v>
      </c>
    </row>
    <row r="29" spans="1:6" x14ac:dyDescent="0.2">
      <c r="A29" s="4"/>
      <c r="B29" s="4"/>
      <c r="C29" s="4"/>
      <c r="D29" s="4"/>
      <c r="E29" s="4"/>
      <c r="F29" s="4"/>
    </row>
    <row r="30" spans="1:6" x14ac:dyDescent="0.2">
      <c r="A30" s="4"/>
      <c r="B30" s="4"/>
      <c r="C30" s="4"/>
      <c r="D30" s="4"/>
      <c r="E30" s="4"/>
      <c r="F30" s="4"/>
    </row>
    <row r="31" spans="1:6" x14ac:dyDescent="0.2">
      <c r="A31" s="4"/>
      <c r="B31" s="4"/>
      <c r="C31" s="4"/>
      <c r="D31" s="4"/>
      <c r="E31" s="4"/>
      <c r="F31" s="4"/>
    </row>
    <row r="32" spans="1:6" x14ac:dyDescent="0.2">
      <c r="A32" s="4"/>
      <c r="B32" s="4"/>
      <c r="C32" s="4"/>
      <c r="D32" s="4"/>
      <c r="E32" s="4"/>
      <c r="F32" s="4"/>
    </row>
    <row r="33" spans="1:6" x14ac:dyDescent="0.2">
      <c r="A33" s="4"/>
      <c r="B33" s="4"/>
      <c r="C33" s="4"/>
      <c r="D33" s="4"/>
      <c r="E33" s="4"/>
      <c r="F33" s="4"/>
    </row>
    <row r="34" spans="1:6" x14ac:dyDescent="0.2">
      <c r="A34" s="4"/>
      <c r="B34" s="4"/>
      <c r="C34" s="4"/>
      <c r="D34" s="4"/>
      <c r="E34" s="4"/>
      <c r="F34" s="4"/>
    </row>
    <row r="35" spans="1:6" x14ac:dyDescent="0.2">
      <c r="A35" s="4"/>
      <c r="B35" s="4"/>
      <c r="C35" s="4"/>
      <c r="D35" s="4"/>
      <c r="E35" s="4"/>
      <c r="F35" s="4"/>
    </row>
    <row r="36" spans="1:6" x14ac:dyDescent="0.2">
      <c r="A36" s="4"/>
      <c r="B36" s="4"/>
      <c r="C36" s="4"/>
      <c r="D36" s="4"/>
      <c r="E36" s="4"/>
      <c r="F36" s="4"/>
    </row>
    <row r="37" spans="1:6" x14ac:dyDescent="0.2">
      <c r="A37" s="105" t="s">
        <v>10</v>
      </c>
      <c r="B37" s="112"/>
      <c r="C37" s="106"/>
      <c r="D37" s="20">
        <f>SUM(D28:D36)</f>
        <v>0</v>
      </c>
      <c r="E37" s="20">
        <f>SUM(E28:E36)</f>
        <v>0</v>
      </c>
      <c r="F37" s="20">
        <f>D37-E37</f>
        <v>0</v>
      </c>
    </row>
    <row r="38" spans="1:6" x14ac:dyDescent="0.2">
      <c r="A38" s="105" t="s">
        <v>11</v>
      </c>
      <c r="B38" s="112"/>
      <c r="C38" s="106"/>
      <c r="D38" s="20">
        <f>F28</f>
        <v>0</v>
      </c>
      <c r="E38" s="20">
        <v>0</v>
      </c>
      <c r="F38" s="20">
        <f>D38-E38</f>
        <v>0</v>
      </c>
    </row>
    <row r="39" spans="1:6" x14ac:dyDescent="0.2">
      <c r="A39" s="105" t="s">
        <v>10</v>
      </c>
      <c r="B39" s="112"/>
      <c r="C39" s="106"/>
      <c r="D39" s="20">
        <f>SUM(D37:D38)</f>
        <v>0</v>
      </c>
      <c r="E39" s="20">
        <f>SUM(E37:E38)</f>
        <v>0</v>
      </c>
      <c r="F39" s="20">
        <f>SUM(F37:F38)</f>
        <v>0</v>
      </c>
    </row>
    <row r="43" spans="1:6" x14ac:dyDescent="0.2">
      <c r="A43" s="100" t="s">
        <v>0</v>
      </c>
      <c r="B43" s="100"/>
    </row>
    <row r="44" spans="1:6" x14ac:dyDescent="0.2">
      <c r="A44" s="100" t="s">
        <v>1</v>
      </c>
      <c r="B44" s="100"/>
    </row>
    <row r="45" spans="1:6" x14ac:dyDescent="0.2">
      <c r="A45" s="101" t="s">
        <v>2</v>
      </c>
      <c r="B45" s="101"/>
      <c r="C45" s="101"/>
      <c r="D45" s="101"/>
      <c r="E45" s="101"/>
      <c r="F45" s="101"/>
    </row>
    <row r="46" spans="1:6" x14ac:dyDescent="0.2">
      <c r="A46" s="109" t="s">
        <v>89</v>
      </c>
      <c r="B46" s="109"/>
      <c r="D46" s="2" t="s">
        <v>91</v>
      </c>
    </row>
    <row r="48" spans="1:6" x14ac:dyDescent="0.2">
      <c r="A48" s="103" t="s">
        <v>3</v>
      </c>
      <c r="B48" s="103" t="s">
        <v>4</v>
      </c>
      <c r="C48" s="103" t="s">
        <v>5</v>
      </c>
      <c r="D48" s="105" t="s">
        <v>6</v>
      </c>
      <c r="E48" s="106"/>
      <c r="F48" s="103" t="s">
        <v>9</v>
      </c>
    </row>
    <row r="49" spans="1:6" x14ac:dyDescent="0.2">
      <c r="A49" s="104"/>
      <c r="B49" s="104"/>
      <c r="C49" s="104"/>
      <c r="D49" s="3" t="s">
        <v>7</v>
      </c>
      <c r="E49" s="3" t="s">
        <v>8</v>
      </c>
      <c r="F49" s="104"/>
    </row>
    <row r="50" spans="1:6" x14ac:dyDescent="0.2">
      <c r="A50" s="4"/>
      <c r="B50" s="4"/>
      <c r="C50" s="4"/>
      <c r="D50" s="4">
        <v>0</v>
      </c>
      <c r="E50" s="4">
        <v>0</v>
      </c>
      <c r="F50" s="4">
        <f>D50+E50</f>
        <v>0</v>
      </c>
    </row>
    <row r="51" spans="1:6" x14ac:dyDescent="0.2">
      <c r="A51" s="4"/>
      <c r="B51" s="4"/>
      <c r="C51" s="4"/>
      <c r="D51" s="4"/>
      <c r="E51" s="4"/>
      <c r="F51" s="4"/>
    </row>
    <row r="52" spans="1:6" x14ac:dyDescent="0.2">
      <c r="A52" s="4"/>
      <c r="B52" s="4"/>
      <c r="C52" s="4"/>
      <c r="D52" s="4"/>
      <c r="E52" s="4"/>
      <c r="F52" s="4"/>
    </row>
    <row r="53" spans="1:6" x14ac:dyDescent="0.2">
      <c r="A53" s="4"/>
      <c r="B53" s="4"/>
      <c r="C53" s="4"/>
      <c r="D53" s="4"/>
      <c r="E53" s="4"/>
      <c r="F53" s="4"/>
    </row>
    <row r="54" spans="1:6" x14ac:dyDescent="0.2">
      <c r="A54" s="4"/>
      <c r="B54" s="4"/>
      <c r="C54" s="4"/>
      <c r="D54" s="4"/>
      <c r="E54" s="4"/>
      <c r="F54" s="4"/>
    </row>
    <row r="55" spans="1:6" x14ac:dyDescent="0.2">
      <c r="A55" s="4"/>
      <c r="B55" s="4"/>
      <c r="C55" s="4"/>
      <c r="D55" s="4"/>
      <c r="E55" s="4"/>
      <c r="F55" s="4"/>
    </row>
    <row r="56" spans="1:6" x14ac:dyDescent="0.2">
      <c r="A56" s="4"/>
      <c r="B56" s="4"/>
      <c r="C56" s="4"/>
      <c r="D56" s="4"/>
      <c r="E56" s="4"/>
      <c r="F56" s="4"/>
    </row>
    <row r="57" spans="1:6" x14ac:dyDescent="0.2">
      <c r="A57" s="4"/>
      <c r="B57" s="4"/>
      <c r="C57" s="4"/>
      <c r="D57" s="4"/>
      <c r="E57" s="4"/>
      <c r="F57" s="4"/>
    </row>
    <row r="58" spans="1:6" x14ac:dyDescent="0.2">
      <c r="A58" s="4"/>
      <c r="B58" s="4"/>
      <c r="C58" s="4"/>
      <c r="D58" s="4"/>
      <c r="E58" s="4"/>
      <c r="F58" s="4"/>
    </row>
    <row r="59" spans="1:6" x14ac:dyDescent="0.2">
      <c r="A59" s="105" t="s">
        <v>10</v>
      </c>
      <c r="B59" s="112"/>
      <c r="C59" s="106"/>
      <c r="D59" s="4">
        <f>SUM(D50:D58)</f>
        <v>0</v>
      </c>
      <c r="E59" s="4">
        <f>SUM(E50:E58)</f>
        <v>0</v>
      </c>
      <c r="F59" s="4">
        <f>D59-E59</f>
        <v>0</v>
      </c>
    </row>
    <row r="60" spans="1:6" x14ac:dyDescent="0.2">
      <c r="A60" s="105" t="s">
        <v>11</v>
      </c>
      <c r="B60" s="112"/>
      <c r="C60" s="106"/>
      <c r="D60" s="4"/>
      <c r="E60" s="4"/>
      <c r="F60" s="4">
        <f>D60-E60</f>
        <v>0</v>
      </c>
    </row>
    <row r="61" spans="1:6" x14ac:dyDescent="0.2">
      <c r="A61" s="105" t="s">
        <v>10</v>
      </c>
      <c r="B61" s="112"/>
      <c r="C61" s="106"/>
      <c r="D61" s="4">
        <f>SUM(D59:D60)</f>
        <v>0</v>
      </c>
      <c r="E61" s="4">
        <f>SUM(E59:E60)</f>
        <v>0</v>
      </c>
      <c r="F61" s="4">
        <f>SUM(F59:F60)</f>
        <v>0</v>
      </c>
    </row>
    <row r="62" spans="1:6" x14ac:dyDescent="0.2">
      <c r="A62" s="5"/>
      <c r="B62" s="5"/>
      <c r="C62" s="5"/>
    </row>
    <row r="63" spans="1:6" x14ac:dyDescent="0.2">
      <c r="A63" s="5"/>
      <c r="B63" s="5"/>
      <c r="C63" s="5"/>
    </row>
    <row r="64" spans="1:6" x14ac:dyDescent="0.2">
      <c r="A64" s="5"/>
      <c r="B64" s="5"/>
      <c r="C64" s="5"/>
    </row>
    <row r="65" spans="1:7" x14ac:dyDescent="0.2">
      <c r="A65" s="100" t="s">
        <v>0</v>
      </c>
      <c r="B65" s="100"/>
    </row>
    <row r="66" spans="1:7" x14ac:dyDescent="0.2">
      <c r="A66" s="100" t="s">
        <v>1</v>
      </c>
      <c r="B66" s="100"/>
    </row>
    <row r="67" spans="1:7" x14ac:dyDescent="0.2">
      <c r="A67" s="101" t="s">
        <v>2</v>
      </c>
      <c r="B67" s="101"/>
      <c r="C67" s="101"/>
      <c r="D67" s="101"/>
      <c r="E67" s="101"/>
      <c r="F67" s="101"/>
    </row>
    <row r="68" spans="1:7" x14ac:dyDescent="0.2">
      <c r="A68" s="109" t="s">
        <v>92</v>
      </c>
      <c r="B68" s="109"/>
      <c r="D68" s="2" t="s">
        <v>1362</v>
      </c>
    </row>
    <row r="70" spans="1:7" x14ac:dyDescent="0.2">
      <c r="A70" s="103" t="s">
        <v>3</v>
      </c>
      <c r="B70" s="103" t="s">
        <v>4</v>
      </c>
      <c r="C70" s="103" t="s">
        <v>5</v>
      </c>
      <c r="D70" s="105" t="s">
        <v>6</v>
      </c>
      <c r="E70" s="106"/>
      <c r="F70" s="103" t="s">
        <v>9</v>
      </c>
    </row>
    <row r="71" spans="1:7" x14ac:dyDescent="0.2">
      <c r="A71" s="104"/>
      <c r="B71" s="104"/>
      <c r="C71" s="104"/>
      <c r="D71" s="3" t="s">
        <v>7</v>
      </c>
      <c r="E71" s="3" t="s">
        <v>8</v>
      </c>
      <c r="F71" s="104"/>
    </row>
    <row r="72" spans="1:7" x14ac:dyDescent="0.2">
      <c r="A72" s="18" t="s">
        <v>203</v>
      </c>
      <c r="B72" s="4" t="s">
        <v>206</v>
      </c>
      <c r="C72" s="4"/>
      <c r="D72" s="29">
        <v>0</v>
      </c>
      <c r="E72" s="29">
        <v>0</v>
      </c>
      <c r="F72" s="141">
        <v>0</v>
      </c>
    </row>
    <row r="73" spans="1:7" x14ac:dyDescent="0.2">
      <c r="A73" s="18" t="s">
        <v>207</v>
      </c>
      <c r="B73" s="4" t="s">
        <v>218</v>
      </c>
      <c r="C73" s="4" t="s">
        <v>200</v>
      </c>
      <c r="D73" s="29"/>
      <c r="E73" s="29"/>
      <c r="F73" s="29">
        <f>F72+D73-E73</f>
        <v>0</v>
      </c>
    </row>
    <row r="74" spans="1:7" x14ac:dyDescent="0.2">
      <c r="A74" s="18" t="s">
        <v>228</v>
      </c>
      <c r="B74" s="4" t="s">
        <v>499</v>
      </c>
      <c r="C74" s="4" t="s">
        <v>498</v>
      </c>
      <c r="D74" s="29"/>
      <c r="E74" s="29"/>
      <c r="F74" s="29">
        <f>F73+D74-E74</f>
        <v>0</v>
      </c>
      <c r="G74" s="94"/>
    </row>
    <row r="75" spans="1:7" x14ac:dyDescent="0.2">
      <c r="A75" s="18" t="s">
        <v>449</v>
      </c>
      <c r="B75" s="4" t="s">
        <v>563</v>
      </c>
      <c r="C75" s="4" t="s">
        <v>498</v>
      </c>
      <c r="D75" s="29"/>
      <c r="E75" s="29"/>
      <c r="F75" s="29">
        <f>F74+D75-E75</f>
        <v>0</v>
      </c>
    </row>
    <row r="76" spans="1:7" x14ac:dyDescent="0.2">
      <c r="A76" s="4"/>
      <c r="B76" s="4"/>
      <c r="C76" s="4"/>
      <c r="D76" s="29"/>
      <c r="E76" s="29"/>
      <c r="F76" s="29"/>
    </row>
    <row r="77" spans="1:7" x14ac:dyDescent="0.2">
      <c r="A77" s="105" t="s">
        <v>10</v>
      </c>
      <c r="B77" s="112"/>
      <c r="C77" s="106"/>
      <c r="D77" s="29">
        <f>SUM(D72:D76)</f>
        <v>0</v>
      </c>
      <c r="E77" s="29">
        <f>SUM(E72:E76)</f>
        <v>0</v>
      </c>
      <c r="F77" s="29">
        <f>D77-E77</f>
        <v>0</v>
      </c>
    </row>
    <row r="78" spans="1:7" x14ac:dyDescent="0.2">
      <c r="A78" s="105" t="s">
        <v>11</v>
      </c>
      <c r="B78" s="112"/>
      <c r="C78" s="106"/>
      <c r="D78" s="29">
        <f>F72</f>
        <v>0</v>
      </c>
      <c r="E78" s="29"/>
      <c r="F78" s="29">
        <f>D78-E78</f>
        <v>0</v>
      </c>
    </row>
    <row r="79" spans="1:7" x14ac:dyDescent="0.2">
      <c r="A79" s="105" t="s">
        <v>10</v>
      </c>
      <c r="B79" s="112"/>
      <c r="C79" s="106"/>
      <c r="D79" s="29">
        <f>SUM(D77:D78)</f>
        <v>0</v>
      </c>
      <c r="E79" s="29">
        <f>SUM(E77:E78)</f>
        <v>0</v>
      </c>
      <c r="F79" s="29">
        <f>SUM(F77:F78)</f>
        <v>0</v>
      </c>
    </row>
    <row r="81" spans="1:6" x14ac:dyDescent="0.2">
      <c r="A81" s="100" t="s">
        <v>0</v>
      </c>
      <c r="B81" s="100"/>
    </row>
    <row r="82" spans="1:6" x14ac:dyDescent="0.2">
      <c r="A82" s="100" t="s">
        <v>1</v>
      </c>
      <c r="B82" s="100"/>
    </row>
    <row r="83" spans="1:6" x14ac:dyDescent="0.2">
      <c r="A83" s="101" t="s">
        <v>2</v>
      </c>
      <c r="B83" s="101"/>
      <c r="C83" s="101"/>
      <c r="D83" s="101"/>
      <c r="E83" s="101"/>
      <c r="F83" s="101"/>
    </row>
    <row r="84" spans="1:6" x14ac:dyDescent="0.2">
      <c r="A84" s="109" t="s">
        <v>93</v>
      </c>
      <c r="B84" s="109"/>
      <c r="D84" s="2" t="s">
        <v>94</v>
      </c>
    </row>
    <row r="86" spans="1:6" x14ac:dyDescent="0.2">
      <c r="A86" s="103" t="s">
        <v>3</v>
      </c>
      <c r="B86" s="103" t="s">
        <v>4</v>
      </c>
      <c r="C86" s="103" t="s">
        <v>5</v>
      </c>
      <c r="D86" s="105" t="s">
        <v>6</v>
      </c>
      <c r="E86" s="106"/>
      <c r="F86" s="103" t="s">
        <v>9</v>
      </c>
    </row>
    <row r="87" spans="1:6" x14ac:dyDescent="0.2">
      <c r="A87" s="104"/>
      <c r="B87" s="104"/>
      <c r="C87" s="104"/>
      <c r="D87" s="3" t="s">
        <v>7</v>
      </c>
      <c r="E87" s="3" t="s">
        <v>8</v>
      </c>
      <c r="F87" s="104"/>
    </row>
    <row r="88" spans="1:6" x14ac:dyDescent="0.2">
      <c r="A88" s="95" t="s">
        <v>203</v>
      </c>
      <c r="B88" s="23" t="s">
        <v>241</v>
      </c>
      <c r="C88" s="15"/>
      <c r="D88" s="35"/>
      <c r="E88" s="35"/>
      <c r="F88" s="142">
        <v>0</v>
      </c>
    </row>
    <row r="89" spans="1:6" x14ac:dyDescent="0.2">
      <c r="A89" s="95" t="s">
        <v>207</v>
      </c>
      <c r="B89" s="23" t="s">
        <v>218</v>
      </c>
      <c r="C89" s="15" t="s">
        <v>200</v>
      </c>
      <c r="D89" s="35"/>
      <c r="E89" s="35"/>
      <c r="F89" s="28">
        <f>F88-D89</f>
        <v>0</v>
      </c>
    </row>
    <row r="90" spans="1:6" x14ac:dyDescent="0.2">
      <c r="A90" s="18" t="s">
        <v>228</v>
      </c>
      <c r="B90" s="4" t="s">
        <v>229</v>
      </c>
      <c r="C90" s="4"/>
      <c r="D90" s="35"/>
      <c r="E90" s="35"/>
      <c r="F90" s="28">
        <f>F89+D90-E90</f>
        <v>0</v>
      </c>
    </row>
    <row r="91" spans="1:6" x14ac:dyDescent="0.2">
      <c r="A91" s="18" t="s">
        <v>244</v>
      </c>
      <c r="B91" s="4" t="s">
        <v>273</v>
      </c>
      <c r="C91" s="4"/>
      <c r="D91" s="35"/>
      <c r="E91" s="28"/>
      <c r="F91" s="28">
        <f>F90+D91-E91</f>
        <v>0</v>
      </c>
    </row>
    <row r="92" spans="1:6" x14ac:dyDescent="0.2">
      <c r="A92" s="18" t="s">
        <v>269</v>
      </c>
      <c r="B92" s="4" t="s">
        <v>274</v>
      </c>
      <c r="C92" s="4"/>
      <c r="D92" s="35"/>
      <c r="E92" s="28"/>
      <c r="F92" s="28">
        <f t="shared" ref="F92:F101" si="0">F91+D92-E92</f>
        <v>0</v>
      </c>
    </row>
    <row r="93" spans="1:6" x14ac:dyDescent="0.2">
      <c r="A93" s="18" t="s">
        <v>284</v>
      </c>
      <c r="B93" s="4" t="s">
        <v>285</v>
      </c>
      <c r="C93" s="4"/>
      <c r="E93" s="28"/>
      <c r="F93" s="28">
        <f t="shared" si="0"/>
        <v>0</v>
      </c>
    </row>
    <row r="94" spans="1:6" x14ac:dyDescent="0.2">
      <c r="A94" s="18" t="s">
        <v>290</v>
      </c>
      <c r="B94" s="4" t="s">
        <v>298</v>
      </c>
      <c r="C94" s="4"/>
      <c r="D94" s="28"/>
      <c r="E94" s="28"/>
      <c r="F94" s="28">
        <f t="shared" si="0"/>
        <v>0</v>
      </c>
    </row>
    <row r="95" spans="1:6" x14ac:dyDescent="0.2">
      <c r="A95" s="18" t="s">
        <v>308</v>
      </c>
      <c r="B95" s="4" t="s">
        <v>314</v>
      </c>
      <c r="C95" s="4"/>
      <c r="D95" s="28"/>
      <c r="E95" s="28"/>
      <c r="F95" s="28">
        <f t="shared" si="0"/>
        <v>0</v>
      </c>
    </row>
    <row r="96" spans="1:6" x14ac:dyDescent="0.2">
      <c r="A96" s="18" t="s">
        <v>322</v>
      </c>
      <c r="B96" s="4" t="s">
        <v>328</v>
      </c>
      <c r="C96" s="4"/>
      <c r="D96" s="28"/>
      <c r="E96" s="28"/>
      <c r="F96" s="28">
        <f t="shared" si="0"/>
        <v>0</v>
      </c>
    </row>
    <row r="97" spans="1:6" x14ac:dyDescent="0.2">
      <c r="A97" s="18" t="s">
        <v>335</v>
      </c>
      <c r="B97" s="4" t="s">
        <v>343</v>
      </c>
      <c r="C97" s="4"/>
      <c r="D97" s="28"/>
      <c r="E97" s="28"/>
      <c r="F97" s="28">
        <f t="shared" si="0"/>
        <v>0</v>
      </c>
    </row>
    <row r="98" spans="1:6" x14ac:dyDescent="0.2">
      <c r="A98" s="18" t="s">
        <v>357</v>
      </c>
      <c r="B98" s="4" t="s">
        <v>361</v>
      </c>
      <c r="C98" s="4"/>
      <c r="D98" s="28"/>
      <c r="E98" s="28"/>
      <c r="F98" s="28">
        <f t="shared" si="0"/>
        <v>0</v>
      </c>
    </row>
    <row r="99" spans="1:6" x14ac:dyDescent="0.2">
      <c r="A99" s="18" t="s">
        <v>376</v>
      </c>
      <c r="B99" s="4" t="s">
        <v>380</v>
      </c>
      <c r="C99" s="4"/>
      <c r="E99" s="28"/>
      <c r="F99" s="28">
        <f t="shared" si="0"/>
        <v>0</v>
      </c>
    </row>
    <row r="100" spans="1:6" x14ac:dyDescent="0.2">
      <c r="A100" s="18" t="s">
        <v>390</v>
      </c>
      <c r="B100" s="4" t="s">
        <v>396</v>
      </c>
      <c r="C100" s="4"/>
      <c r="D100" s="28"/>
      <c r="E100" s="28"/>
      <c r="F100" s="28">
        <f t="shared" si="0"/>
        <v>0</v>
      </c>
    </row>
    <row r="101" spans="1:6" x14ac:dyDescent="0.2">
      <c r="A101" s="18" t="s">
        <v>449</v>
      </c>
      <c r="B101" s="4" t="s">
        <v>462</v>
      </c>
      <c r="C101" s="4"/>
      <c r="E101" s="28"/>
      <c r="F101" s="28">
        <f t="shared" si="0"/>
        <v>0</v>
      </c>
    </row>
    <row r="102" spans="1:6" x14ac:dyDescent="0.2">
      <c r="A102" s="4"/>
      <c r="B102" s="4"/>
      <c r="C102" s="4"/>
      <c r="D102" s="28"/>
      <c r="E102" s="28"/>
      <c r="F102" s="28"/>
    </row>
    <row r="103" spans="1:6" x14ac:dyDescent="0.2">
      <c r="A103" s="105" t="s">
        <v>10</v>
      </c>
      <c r="B103" s="112"/>
      <c r="C103" s="106"/>
      <c r="D103" s="28">
        <f>SUM(D89:D102)</f>
        <v>0</v>
      </c>
      <c r="E103" s="28">
        <f>SUM(E89:E102)</f>
        <v>0</v>
      </c>
      <c r="F103" s="28">
        <f>D103-E103</f>
        <v>0</v>
      </c>
    </row>
    <row r="104" spans="1:6" x14ac:dyDescent="0.2">
      <c r="A104" s="105" t="s">
        <v>11</v>
      </c>
      <c r="B104" s="112"/>
      <c r="C104" s="106"/>
      <c r="D104" s="28"/>
      <c r="E104" s="28">
        <f>D89</f>
        <v>0</v>
      </c>
      <c r="F104" s="28">
        <f>D104-E104</f>
        <v>0</v>
      </c>
    </row>
    <row r="105" spans="1:6" x14ac:dyDescent="0.2">
      <c r="A105" s="105" t="s">
        <v>10</v>
      </c>
      <c r="B105" s="112"/>
      <c r="C105" s="106"/>
      <c r="D105" s="28">
        <f>SUM(D103:D104)</f>
        <v>0</v>
      </c>
      <c r="E105" s="28">
        <f>SUM(E103:E104)</f>
        <v>0</v>
      </c>
      <c r="F105" s="28">
        <f>SUM(F103:F104)</f>
        <v>0</v>
      </c>
    </row>
    <row r="107" spans="1:6" x14ac:dyDescent="0.2">
      <c r="E107" s="49"/>
    </row>
  </sheetData>
  <mergeCells count="60">
    <mergeCell ref="A103:C103"/>
    <mergeCell ref="A104:C104"/>
    <mergeCell ref="A105:C105"/>
    <mergeCell ref="A84:B84"/>
    <mergeCell ref="A86:A87"/>
    <mergeCell ref="B86:B87"/>
    <mergeCell ref="C86:C87"/>
    <mergeCell ref="D86:E86"/>
    <mergeCell ref="F86:F87"/>
    <mergeCell ref="A77:C77"/>
    <mergeCell ref="A78:C78"/>
    <mergeCell ref="A79:C79"/>
    <mergeCell ref="A81:B81"/>
    <mergeCell ref="A82:B82"/>
    <mergeCell ref="A83:F83"/>
    <mergeCell ref="F70:F71"/>
    <mergeCell ref="A59:C59"/>
    <mergeCell ref="A60:C60"/>
    <mergeCell ref="A61:C61"/>
    <mergeCell ref="A65:B65"/>
    <mergeCell ref="A66:B66"/>
    <mergeCell ref="A67:F67"/>
    <mergeCell ref="A68:B68"/>
    <mergeCell ref="A70:A71"/>
    <mergeCell ref="B70:B71"/>
    <mergeCell ref="C70:C71"/>
    <mergeCell ref="D70:E70"/>
    <mergeCell ref="F48:F49"/>
    <mergeCell ref="A37:C37"/>
    <mergeCell ref="A38:C38"/>
    <mergeCell ref="A39:C39"/>
    <mergeCell ref="A43:B43"/>
    <mergeCell ref="A44:B44"/>
    <mergeCell ref="A45:F45"/>
    <mergeCell ref="A46:B46"/>
    <mergeCell ref="A48:A49"/>
    <mergeCell ref="B48:B49"/>
    <mergeCell ref="C48:C49"/>
    <mergeCell ref="D48:E48"/>
    <mergeCell ref="F26:F27"/>
    <mergeCell ref="A17:C17"/>
    <mergeCell ref="A18:C18"/>
    <mergeCell ref="A19:C19"/>
    <mergeCell ref="A21:B21"/>
    <mergeCell ref="A22:B22"/>
    <mergeCell ref="A23:F23"/>
    <mergeCell ref="A24:B24"/>
    <mergeCell ref="A26:A27"/>
    <mergeCell ref="B26:B27"/>
    <mergeCell ref="C26:C27"/>
    <mergeCell ref="D26:E26"/>
    <mergeCell ref="F6:F7"/>
    <mergeCell ref="A1:B1"/>
    <mergeCell ref="A2:B2"/>
    <mergeCell ref="A3:F3"/>
    <mergeCell ref="A4:B4"/>
    <mergeCell ref="A6:A7"/>
    <mergeCell ref="B6:B7"/>
    <mergeCell ref="C6:C7"/>
    <mergeCell ref="D6:E6"/>
  </mergeCells>
  <pageMargins left="0.51181102362204722" right="0.51181102362204722" top="0.74803149606299213" bottom="0.74803149606299213" header="0.31496062992125984" footer="0.31496062992125984"/>
  <pageSetup paperSize="9"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1"/>
  <sheetViews>
    <sheetView showWhiteSpace="0" view="pageLayout" topLeftCell="A121" workbookViewId="0">
      <selection activeCell="D4" sqref="A4:D4"/>
    </sheetView>
  </sheetViews>
  <sheetFormatPr defaultColWidth="9.140625" defaultRowHeight="12" x14ac:dyDescent="0.2"/>
  <cols>
    <col min="1" max="1" width="9.140625" style="1"/>
    <col min="2" max="2" width="35.42578125" style="1" customWidth="1"/>
    <col min="3" max="3" width="9.140625" style="1"/>
    <col min="4" max="4" width="11.140625" style="1" customWidth="1"/>
    <col min="5" max="5" width="12" style="1" customWidth="1"/>
    <col min="6" max="6" width="14.5703125" style="1" customWidth="1"/>
    <col min="7" max="7" width="9.140625" style="1"/>
    <col min="8" max="8" width="22.7109375" style="1" customWidth="1"/>
    <col min="9" max="9" width="9.140625" style="1"/>
    <col min="10" max="10" width="11.28515625" style="1" customWidth="1"/>
    <col min="11" max="11" width="10.28515625" style="1" customWidth="1"/>
    <col min="12" max="12" width="18.42578125" style="1" customWidth="1"/>
    <col min="13" max="16384" width="9.140625" style="1"/>
  </cols>
  <sheetData>
    <row r="1" spans="1:8" x14ac:dyDescent="0.2">
      <c r="A1" s="100" t="s">
        <v>0</v>
      </c>
      <c r="B1" s="100"/>
    </row>
    <row r="2" spans="1:8" x14ac:dyDescent="0.2">
      <c r="A2" s="100" t="s">
        <v>1</v>
      </c>
      <c r="B2" s="100"/>
    </row>
    <row r="3" spans="1:8" x14ac:dyDescent="0.2">
      <c r="A3" s="101" t="s">
        <v>2</v>
      </c>
      <c r="B3" s="101"/>
      <c r="C3" s="101"/>
      <c r="D3" s="101"/>
      <c r="E3" s="101"/>
      <c r="F3" s="101"/>
    </row>
    <row r="4" spans="1:8" x14ac:dyDescent="0.2">
      <c r="A4" s="122" t="s">
        <v>95</v>
      </c>
      <c r="B4" s="122"/>
      <c r="C4" s="125"/>
      <c r="D4" s="123" t="s">
        <v>96</v>
      </c>
    </row>
    <row r="6" spans="1:8" x14ac:dyDescent="0.2">
      <c r="A6" s="103" t="s">
        <v>3</v>
      </c>
      <c r="B6" s="103" t="s">
        <v>4</v>
      </c>
      <c r="C6" s="103" t="s">
        <v>5</v>
      </c>
      <c r="D6" s="105" t="s">
        <v>6</v>
      </c>
      <c r="E6" s="106"/>
      <c r="F6" s="103" t="s">
        <v>9</v>
      </c>
    </row>
    <row r="7" spans="1:8" x14ac:dyDescent="0.2">
      <c r="A7" s="104"/>
      <c r="B7" s="104"/>
      <c r="C7" s="104"/>
      <c r="D7" s="3" t="s">
        <v>7</v>
      </c>
      <c r="E7" s="3" t="s">
        <v>8</v>
      </c>
      <c r="F7" s="104"/>
    </row>
    <row r="8" spans="1:8" x14ac:dyDescent="0.2">
      <c r="A8" s="18" t="s">
        <v>228</v>
      </c>
      <c r="B8" s="4" t="s">
        <v>219</v>
      </c>
      <c r="C8" s="4" t="s">
        <v>202</v>
      </c>
      <c r="D8" s="20"/>
      <c r="E8" s="20"/>
      <c r="F8" s="20">
        <f>D8+E8</f>
        <v>0</v>
      </c>
    </row>
    <row r="9" spans="1:8" x14ac:dyDescent="0.2">
      <c r="A9" s="18" t="s">
        <v>416</v>
      </c>
      <c r="B9" s="4" t="s">
        <v>219</v>
      </c>
      <c r="C9" s="4" t="s">
        <v>202</v>
      </c>
      <c r="D9" s="20"/>
      <c r="E9" s="20"/>
      <c r="F9" s="20">
        <f>F8-D9+E9</f>
        <v>0</v>
      </c>
    </row>
    <row r="10" spans="1:8" x14ac:dyDescent="0.2">
      <c r="A10" s="18" t="s">
        <v>269</v>
      </c>
      <c r="B10" s="4" t="s">
        <v>219</v>
      </c>
      <c r="C10" s="4" t="s">
        <v>202</v>
      </c>
      <c r="D10" s="20"/>
      <c r="E10" s="20"/>
      <c r="F10" s="20">
        <f t="shared" ref="F10:F22" si="0">F9-D10+E10</f>
        <v>0</v>
      </c>
    </row>
    <row r="11" spans="1:8" x14ac:dyDescent="0.2">
      <c r="A11" s="18" t="s">
        <v>284</v>
      </c>
      <c r="B11" s="4" t="s">
        <v>219</v>
      </c>
      <c r="C11" s="4" t="s">
        <v>202</v>
      </c>
      <c r="D11" s="20"/>
      <c r="E11" s="20"/>
      <c r="F11" s="20">
        <f t="shared" si="0"/>
        <v>0</v>
      </c>
    </row>
    <row r="12" spans="1:8" x14ac:dyDescent="0.2">
      <c r="A12" s="18" t="s">
        <v>808</v>
      </c>
      <c r="B12" s="4" t="s">
        <v>811</v>
      </c>
      <c r="C12" s="4" t="s">
        <v>202</v>
      </c>
      <c r="D12" s="20"/>
      <c r="E12" s="20"/>
      <c r="F12" s="20">
        <f t="shared" si="0"/>
        <v>0</v>
      </c>
    </row>
    <row r="13" spans="1:8" x14ac:dyDescent="0.2">
      <c r="A13" s="18" t="s">
        <v>290</v>
      </c>
      <c r="B13" s="4" t="s">
        <v>219</v>
      </c>
      <c r="C13" s="4" t="s">
        <v>202</v>
      </c>
      <c r="D13" s="20"/>
      <c r="E13" s="20"/>
      <c r="F13" s="20">
        <f t="shared" si="0"/>
        <v>0</v>
      </c>
    </row>
    <row r="14" spans="1:8" x14ac:dyDescent="0.2">
      <c r="A14" s="18" t="s">
        <v>308</v>
      </c>
      <c r="B14" s="4" t="s">
        <v>219</v>
      </c>
      <c r="C14" s="4" t="s">
        <v>202</v>
      </c>
      <c r="D14" s="20"/>
      <c r="E14" s="20"/>
      <c r="F14" s="20">
        <f t="shared" si="0"/>
        <v>0</v>
      </c>
      <c r="H14" s="31"/>
    </row>
    <row r="15" spans="1:8" x14ac:dyDescent="0.2">
      <c r="A15" s="18" t="s">
        <v>322</v>
      </c>
      <c r="B15" s="4" t="s">
        <v>219</v>
      </c>
      <c r="C15" s="4" t="s">
        <v>202</v>
      </c>
      <c r="D15" s="20"/>
      <c r="E15" s="20"/>
      <c r="F15" s="20">
        <f t="shared" si="0"/>
        <v>0</v>
      </c>
    </row>
    <row r="16" spans="1:8" x14ac:dyDescent="0.2">
      <c r="A16" s="18" t="s">
        <v>335</v>
      </c>
      <c r="B16" s="4" t="s">
        <v>219</v>
      </c>
      <c r="C16" s="4" t="s">
        <v>202</v>
      </c>
      <c r="D16" s="20"/>
      <c r="E16" s="20"/>
      <c r="F16" s="20">
        <f t="shared" si="0"/>
        <v>0</v>
      </c>
    </row>
    <row r="17" spans="1:8" x14ac:dyDescent="0.2">
      <c r="A17" s="18" t="s">
        <v>1004</v>
      </c>
      <c r="B17" s="4" t="s">
        <v>811</v>
      </c>
      <c r="C17" s="4" t="s">
        <v>202</v>
      </c>
      <c r="D17" s="20"/>
      <c r="E17" s="20"/>
      <c r="F17" s="20">
        <f t="shared" si="0"/>
        <v>0</v>
      </c>
    </row>
    <row r="18" spans="1:8" x14ac:dyDescent="0.2">
      <c r="A18" s="18" t="s">
        <v>357</v>
      </c>
      <c r="B18" s="4" t="s">
        <v>219</v>
      </c>
      <c r="C18" s="4" t="s">
        <v>202</v>
      </c>
      <c r="D18" s="20"/>
      <c r="E18" s="20"/>
      <c r="F18" s="20">
        <f t="shared" si="0"/>
        <v>0</v>
      </c>
    </row>
    <row r="19" spans="1:8" x14ac:dyDescent="0.2">
      <c r="A19" s="18" t="s">
        <v>1090</v>
      </c>
      <c r="B19" s="4" t="s">
        <v>1091</v>
      </c>
      <c r="C19" s="4" t="s">
        <v>202</v>
      </c>
      <c r="D19" s="20"/>
      <c r="E19" s="20"/>
      <c r="F19" s="20">
        <f t="shared" si="0"/>
        <v>0</v>
      </c>
    </row>
    <row r="20" spans="1:8" x14ac:dyDescent="0.2">
      <c r="A20" s="18" t="s">
        <v>376</v>
      </c>
      <c r="B20" s="4" t="s">
        <v>219</v>
      </c>
      <c r="C20" s="4" t="s">
        <v>202</v>
      </c>
      <c r="D20" s="20"/>
      <c r="E20" s="20"/>
      <c r="F20" s="20">
        <f t="shared" si="0"/>
        <v>0</v>
      </c>
    </row>
    <row r="21" spans="1:8" x14ac:dyDescent="0.2">
      <c r="A21" s="37" t="s">
        <v>390</v>
      </c>
      <c r="B21" s="4" t="s">
        <v>219</v>
      </c>
      <c r="C21" s="4" t="s">
        <v>202</v>
      </c>
      <c r="D21" s="20"/>
      <c r="E21" s="20"/>
      <c r="F21" s="20">
        <f t="shared" si="0"/>
        <v>0</v>
      </c>
      <c r="H21" s="13"/>
    </row>
    <row r="22" spans="1:8" x14ac:dyDescent="0.2">
      <c r="A22" s="18" t="s">
        <v>449</v>
      </c>
      <c r="B22" s="4" t="s">
        <v>219</v>
      </c>
      <c r="C22" s="4" t="s">
        <v>202</v>
      </c>
      <c r="D22" s="20"/>
      <c r="E22" s="20"/>
      <c r="F22" s="20">
        <f t="shared" si="0"/>
        <v>0</v>
      </c>
      <c r="H22" s="31"/>
    </row>
    <row r="23" spans="1:8" x14ac:dyDescent="0.2">
      <c r="A23" s="53"/>
      <c r="B23" s="4"/>
      <c r="C23" s="10"/>
      <c r="D23" s="20"/>
      <c r="E23" s="20"/>
      <c r="F23" s="20"/>
    </row>
    <row r="24" spans="1:8" x14ac:dyDescent="0.2">
      <c r="A24" s="105" t="s">
        <v>10</v>
      </c>
      <c r="B24" s="112"/>
      <c r="C24" s="106"/>
      <c r="D24" s="20">
        <f>SUM(D8:D22)</f>
        <v>0</v>
      </c>
      <c r="E24" s="20">
        <f>SUM(E8:E22)</f>
        <v>0</v>
      </c>
      <c r="F24" s="20">
        <f>E24-D24</f>
        <v>0</v>
      </c>
    </row>
    <row r="25" spans="1:8" x14ac:dyDescent="0.2">
      <c r="A25" s="105" t="s">
        <v>11</v>
      </c>
      <c r="B25" s="112"/>
      <c r="C25" s="106"/>
      <c r="D25" s="20"/>
      <c r="E25" s="20"/>
      <c r="F25" s="20">
        <f>D25-E25</f>
        <v>0</v>
      </c>
    </row>
    <row r="26" spans="1:8" x14ac:dyDescent="0.2">
      <c r="A26" s="105" t="s">
        <v>10</v>
      </c>
      <c r="B26" s="112"/>
      <c r="C26" s="106"/>
      <c r="D26" s="20">
        <f>SUM(D24:D25)</f>
        <v>0</v>
      </c>
      <c r="E26" s="20">
        <f>SUM(E24:E25)</f>
        <v>0</v>
      </c>
      <c r="F26" s="20">
        <f>SUM(F24:F25)</f>
        <v>0</v>
      </c>
      <c r="H26" s="31">
        <f>F8+F35+F75</f>
        <v>0</v>
      </c>
    </row>
    <row r="28" spans="1:8" x14ac:dyDescent="0.2">
      <c r="A28" s="100" t="s">
        <v>0</v>
      </c>
      <c r="B28" s="100"/>
    </row>
    <row r="29" spans="1:8" x14ac:dyDescent="0.2">
      <c r="A29" s="100" t="s">
        <v>1</v>
      </c>
      <c r="B29" s="100"/>
    </row>
    <row r="30" spans="1:8" x14ac:dyDescent="0.2">
      <c r="A30" s="101" t="s">
        <v>2</v>
      </c>
      <c r="B30" s="101"/>
      <c r="C30" s="101"/>
      <c r="D30" s="101"/>
      <c r="E30" s="101"/>
      <c r="F30" s="101"/>
    </row>
    <row r="31" spans="1:8" x14ac:dyDescent="0.2">
      <c r="A31" s="122" t="s">
        <v>97</v>
      </c>
      <c r="B31" s="122"/>
      <c r="C31" s="125"/>
      <c r="D31" s="123" t="s">
        <v>98</v>
      </c>
    </row>
    <row r="33" spans="1:8" x14ac:dyDescent="0.2">
      <c r="A33" s="103" t="s">
        <v>3</v>
      </c>
      <c r="B33" s="103" t="s">
        <v>4</v>
      </c>
      <c r="C33" s="103" t="s">
        <v>5</v>
      </c>
      <c r="D33" s="105" t="s">
        <v>6</v>
      </c>
      <c r="E33" s="106"/>
      <c r="F33" s="103" t="s">
        <v>9</v>
      </c>
      <c r="H33" s="31"/>
    </row>
    <row r="34" spans="1:8" x14ac:dyDescent="0.2">
      <c r="A34" s="104"/>
      <c r="B34" s="104"/>
      <c r="C34" s="104"/>
      <c r="D34" s="3" t="s">
        <v>7</v>
      </c>
      <c r="E34" s="3" t="s">
        <v>8</v>
      </c>
      <c r="F34" s="104"/>
    </row>
    <row r="35" spans="1:8" x14ac:dyDescent="0.2">
      <c r="A35" s="18" t="s">
        <v>228</v>
      </c>
      <c r="B35" s="4" t="s">
        <v>245</v>
      </c>
      <c r="C35" s="4" t="s">
        <v>202</v>
      </c>
      <c r="D35" s="20"/>
      <c r="E35" s="20"/>
      <c r="F35" s="20">
        <f>D35+E35</f>
        <v>0</v>
      </c>
    </row>
    <row r="36" spans="1:8" x14ac:dyDescent="0.2">
      <c r="A36" s="18" t="s">
        <v>416</v>
      </c>
      <c r="B36" s="4" t="s">
        <v>245</v>
      </c>
      <c r="C36" s="4" t="s">
        <v>202</v>
      </c>
      <c r="D36" s="20"/>
      <c r="E36" s="20"/>
      <c r="F36" s="20">
        <f>F35-D36+E36</f>
        <v>0</v>
      </c>
    </row>
    <row r="37" spans="1:8" x14ac:dyDescent="0.2">
      <c r="A37" s="18" t="s">
        <v>269</v>
      </c>
      <c r="B37" s="4" t="s">
        <v>245</v>
      </c>
      <c r="C37" s="4" t="s">
        <v>202</v>
      </c>
      <c r="D37" s="20"/>
      <c r="E37" s="20"/>
      <c r="F37" s="20">
        <f t="shared" ref="F37:F46" si="1">F36-D37+E37</f>
        <v>0</v>
      </c>
    </row>
    <row r="38" spans="1:8" x14ac:dyDescent="0.2">
      <c r="A38" s="18" t="s">
        <v>284</v>
      </c>
      <c r="B38" s="4" t="s">
        <v>245</v>
      </c>
      <c r="C38" s="4" t="s">
        <v>202</v>
      </c>
      <c r="D38" s="20"/>
      <c r="E38" s="20"/>
      <c r="F38" s="20">
        <f t="shared" si="1"/>
        <v>0</v>
      </c>
    </row>
    <row r="39" spans="1:8" x14ac:dyDescent="0.2">
      <c r="A39" s="18" t="s">
        <v>290</v>
      </c>
      <c r="B39" s="4" t="s">
        <v>245</v>
      </c>
      <c r="C39" s="4" t="s">
        <v>202</v>
      </c>
      <c r="D39" s="20"/>
      <c r="E39" s="20"/>
      <c r="F39" s="20">
        <f t="shared" si="1"/>
        <v>0</v>
      </c>
    </row>
    <row r="40" spans="1:8" x14ac:dyDescent="0.2">
      <c r="A40" s="18" t="s">
        <v>308</v>
      </c>
      <c r="B40" s="4" t="s">
        <v>245</v>
      </c>
      <c r="C40" s="4" t="s">
        <v>202</v>
      </c>
      <c r="D40" s="20"/>
      <c r="E40" s="20"/>
      <c r="F40" s="20">
        <f t="shared" si="1"/>
        <v>0</v>
      </c>
    </row>
    <row r="41" spans="1:8" x14ac:dyDescent="0.2">
      <c r="A41" s="18" t="s">
        <v>322</v>
      </c>
      <c r="B41" s="4" t="s">
        <v>245</v>
      </c>
      <c r="C41" s="4" t="s">
        <v>202</v>
      </c>
      <c r="D41" s="20"/>
      <c r="E41" s="20"/>
      <c r="F41" s="20">
        <f t="shared" si="1"/>
        <v>0</v>
      </c>
    </row>
    <row r="42" spans="1:8" x14ac:dyDescent="0.2">
      <c r="A42" s="18" t="s">
        <v>335</v>
      </c>
      <c r="B42" s="4" t="s">
        <v>245</v>
      </c>
      <c r="C42" s="4" t="s">
        <v>202</v>
      </c>
      <c r="D42" s="20"/>
      <c r="E42" s="20"/>
      <c r="F42" s="20">
        <f t="shared" si="1"/>
        <v>0</v>
      </c>
      <c r="H42" s="31"/>
    </row>
    <row r="43" spans="1:8" x14ac:dyDescent="0.2">
      <c r="A43" s="18" t="s">
        <v>357</v>
      </c>
      <c r="B43" s="4" t="s">
        <v>245</v>
      </c>
      <c r="C43" s="4" t="s">
        <v>202</v>
      </c>
      <c r="D43" s="20"/>
      <c r="E43" s="20"/>
      <c r="F43" s="20">
        <f t="shared" si="1"/>
        <v>0</v>
      </c>
    </row>
    <row r="44" spans="1:8" x14ac:dyDescent="0.2">
      <c r="A44" s="18" t="s">
        <v>376</v>
      </c>
      <c r="B44" s="4" t="s">
        <v>245</v>
      </c>
      <c r="C44" s="4" t="s">
        <v>202</v>
      </c>
      <c r="D44" s="20"/>
      <c r="E44" s="20"/>
      <c r="F44" s="20">
        <f t="shared" si="1"/>
        <v>0</v>
      </c>
    </row>
    <row r="45" spans="1:8" x14ac:dyDescent="0.2">
      <c r="A45" s="18" t="s">
        <v>390</v>
      </c>
      <c r="B45" s="4" t="s">
        <v>245</v>
      </c>
      <c r="C45" s="4" t="s">
        <v>202</v>
      </c>
      <c r="D45" s="20"/>
      <c r="E45" s="20"/>
      <c r="F45" s="20">
        <f t="shared" si="1"/>
        <v>0</v>
      </c>
    </row>
    <row r="46" spans="1:8" x14ac:dyDescent="0.2">
      <c r="A46" s="18" t="s">
        <v>449</v>
      </c>
      <c r="B46" s="4" t="s">
        <v>245</v>
      </c>
      <c r="C46" s="4" t="s">
        <v>202</v>
      </c>
      <c r="D46" s="20"/>
      <c r="E46" s="20"/>
      <c r="F46" s="20">
        <f t="shared" si="1"/>
        <v>0</v>
      </c>
    </row>
    <row r="47" spans="1:8" x14ac:dyDescent="0.2">
      <c r="A47" s="4"/>
      <c r="B47" s="4"/>
      <c r="C47" s="4"/>
      <c r="D47" s="20"/>
      <c r="E47" s="20"/>
      <c r="F47" s="20"/>
    </row>
    <row r="48" spans="1:8" x14ac:dyDescent="0.2">
      <c r="A48" s="105" t="s">
        <v>10</v>
      </c>
      <c r="B48" s="112"/>
      <c r="C48" s="106"/>
      <c r="D48" s="20">
        <f>SUM(D35:D47)</f>
        <v>0</v>
      </c>
      <c r="E48" s="20">
        <f>SUM(E35:E47)</f>
        <v>0</v>
      </c>
      <c r="F48" s="20">
        <f>E48-D48</f>
        <v>0</v>
      </c>
    </row>
    <row r="49" spans="1:6" x14ac:dyDescent="0.2">
      <c r="A49" s="105" t="s">
        <v>11</v>
      </c>
      <c r="B49" s="112"/>
      <c r="C49" s="106"/>
      <c r="D49" s="20"/>
      <c r="E49" s="20"/>
      <c r="F49" s="20">
        <f>D49-E49</f>
        <v>0</v>
      </c>
    </row>
    <row r="50" spans="1:6" x14ac:dyDescent="0.2">
      <c r="A50" s="105" t="s">
        <v>10</v>
      </c>
      <c r="B50" s="112"/>
      <c r="C50" s="106"/>
      <c r="D50" s="20">
        <f>SUM(D48:D49)</f>
        <v>0</v>
      </c>
      <c r="E50" s="20">
        <f>SUM(E48:E49)</f>
        <v>0</v>
      </c>
      <c r="F50" s="20">
        <f>SUM(F48:F49)</f>
        <v>0</v>
      </c>
    </row>
    <row r="68" spans="1:6" x14ac:dyDescent="0.2">
      <c r="A68" s="100" t="s">
        <v>0</v>
      </c>
      <c r="B68" s="100"/>
    </row>
    <row r="69" spans="1:6" x14ac:dyDescent="0.2">
      <c r="A69" s="100" t="s">
        <v>1</v>
      </c>
      <c r="B69" s="100"/>
    </row>
    <row r="70" spans="1:6" x14ac:dyDescent="0.2">
      <c r="A70" s="101" t="s">
        <v>2</v>
      </c>
      <c r="B70" s="101"/>
      <c r="C70" s="101"/>
      <c r="D70" s="101"/>
      <c r="E70" s="101"/>
      <c r="F70" s="101"/>
    </row>
    <row r="71" spans="1:6" x14ac:dyDescent="0.2">
      <c r="A71" s="122" t="s">
        <v>99</v>
      </c>
      <c r="B71" s="122"/>
      <c r="C71" s="125"/>
      <c r="D71" s="123" t="s">
        <v>100</v>
      </c>
    </row>
    <row r="73" spans="1:6" x14ac:dyDescent="0.2">
      <c r="A73" s="103" t="s">
        <v>3</v>
      </c>
      <c r="B73" s="103" t="s">
        <v>4</v>
      </c>
      <c r="C73" s="103" t="s">
        <v>5</v>
      </c>
      <c r="D73" s="105" t="s">
        <v>6</v>
      </c>
      <c r="E73" s="106"/>
      <c r="F73" s="103" t="s">
        <v>9</v>
      </c>
    </row>
    <row r="74" spans="1:6" x14ac:dyDescent="0.2">
      <c r="A74" s="104"/>
      <c r="B74" s="104"/>
      <c r="C74" s="104"/>
      <c r="D74" s="3" t="s">
        <v>7</v>
      </c>
      <c r="E74" s="3" t="s">
        <v>8</v>
      </c>
      <c r="F74" s="104"/>
    </row>
    <row r="75" spans="1:6" x14ac:dyDescent="0.2">
      <c r="A75" s="18" t="s">
        <v>475</v>
      </c>
      <c r="B75" s="4" t="s">
        <v>275</v>
      </c>
      <c r="C75" s="4" t="s">
        <v>237</v>
      </c>
      <c r="D75" s="20"/>
      <c r="E75" s="20"/>
      <c r="F75" s="20">
        <f>D75+E75</f>
        <v>0</v>
      </c>
    </row>
    <row r="76" spans="1:6" x14ac:dyDescent="0.2">
      <c r="A76" s="18" t="s">
        <v>416</v>
      </c>
      <c r="B76" s="4" t="s">
        <v>275</v>
      </c>
      <c r="C76" s="4" t="s">
        <v>237</v>
      </c>
      <c r="D76" s="20"/>
      <c r="E76" s="20"/>
      <c r="F76" s="20">
        <f>F75+E76</f>
        <v>0</v>
      </c>
    </row>
    <row r="77" spans="1:6" x14ac:dyDescent="0.2">
      <c r="A77" s="18" t="s">
        <v>269</v>
      </c>
      <c r="B77" s="4" t="s">
        <v>275</v>
      </c>
      <c r="C77" s="4" t="s">
        <v>237</v>
      </c>
      <c r="D77" s="20"/>
      <c r="E77" s="20"/>
      <c r="F77" s="20">
        <f t="shared" ref="F77:F86" si="2">F76+E77</f>
        <v>0</v>
      </c>
    </row>
    <row r="78" spans="1:6" x14ac:dyDescent="0.2">
      <c r="A78" s="18" t="s">
        <v>284</v>
      </c>
      <c r="B78" s="4" t="s">
        <v>275</v>
      </c>
      <c r="C78" s="4" t="s">
        <v>237</v>
      </c>
      <c r="D78" s="20"/>
      <c r="E78" s="20"/>
      <c r="F78" s="20">
        <f t="shared" si="2"/>
        <v>0</v>
      </c>
    </row>
    <row r="79" spans="1:6" x14ac:dyDescent="0.2">
      <c r="A79" s="18" t="s">
        <v>290</v>
      </c>
      <c r="B79" s="4" t="s">
        <v>275</v>
      </c>
      <c r="C79" s="4" t="s">
        <v>237</v>
      </c>
      <c r="D79" s="20"/>
      <c r="E79" s="20"/>
      <c r="F79" s="20">
        <f t="shared" si="2"/>
        <v>0</v>
      </c>
    </row>
    <row r="80" spans="1:6" x14ac:dyDescent="0.2">
      <c r="A80" s="18" t="s">
        <v>308</v>
      </c>
      <c r="B80" s="4" t="s">
        <v>275</v>
      </c>
      <c r="C80" s="4" t="s">
        <v>237</v>
      </c>
      <c r="D80" s="20"/>
      <c r="E80" s="20"/>
      <c r="F80" s="20">
        <f t="shared" si="2"/>
        <v>0</v>
      </c>
    </row>
    <row r="81" spans="1:6" x14ac:dyDescent="0.2">
      <c r="A81" s="18" t="s">
        <v>322</v>
      </c>
      <c r="B81" s="4" t="s">
        <v>275</v>
      </c>
      <c r="C81" s="4" t="s">
        <v>237</v>
      </c>
      <c r="D81" s="20"/>
      <c r="E81" s="20">
        <v>0</v>
      </c>
      <c r="F81" s="20">
        <f t="shared" si="2"/>
        <v>0</v>
      </c>
    </row>
    <row r="82" spans="1:6" x14ac:dyDescent="0.2">
      <c r="A82" s="18" t="s">
        <v>335</v>
      </c>
      <c r="B82" s="4" t="s">
        <v>275</v>
      </c>
      <c r="C82" s="4" t="s">
        <v>237</v>
      </c>
      <c r="D82" s="20"/>
      <c r="E82" s="20"/>
      <c r="F82" s="20">
        <f t="shared" si="2"/>
        <v>0</v>
      </c>
    </row>
    <row r="83" spans="1:6" x14ac:dyDescent="0.2">
      <c r="A83" s="18" t="s">
        <v>623</v>
      </c>
      <c r="B83" s="4" t="s">
        <v>275</v>
      </c>
      <c r="C83" s="4" t="s">
        <v>237</v>
      </c>
      <c r="D83" s="20"/>
      <c r="E83" s="20"/>
      <c r="F83" s="20">
        <f t="shared" si="2"/>
        <v>0</v>
      </c>
    </row>
    <row r="84" spans="1:6" x14ac:dyDescent="0.2">
      <c r="A84" s="18" t="s">
        <v>615</v>
      </c>
      <c r="B84" s="4" t="s">
        <v>275</v>
      </c>
      <c r="C84" s="4" t="s">
        <v>237</v>
      </c>
      <c r="D84" s="20"/>
      <c r="E84" s="20"/>
      <c r="F84" s="20">
        <f t="shared" si="2"/>
        <v>0</v>
      </c>
    </row>
    <row r="85" spans="1:6" x14ac:dyDescent="0.2">
      <c r="A85" s="18" t="s">
        <v>390</v>
      </c>
      <c r="B85" s="4" t="s">
        <v>275</v>
      </c>
      <c r="C85" s="4" t="s">
        <v>237</v>
      </c>
      <c r="D85" s="20"/>
      <c r="E85" s="20"/>
      <c r="F85" s="20">
        <f t="shared" si="2"/>
        <v>0</v>
      </c>
    </row>
    <row r="86" spans="1:6" x14ac:dyDescent="0.2">
      <c r="A86" s="18" t="s">
        <v>555</v>
      </c>
      <c r="B86" s="4" t="s">
        <v>275</v>
      </c>
      <c r="C86" s="4" t="s">
        <v>237</v>
      </c>
      <c r="D86" s="20"/>
      <c r="E86" s="20"/>
      <c r="F86" s="20">
        <f t="shared" si="2"/>
        <v>0</v>
      </c>
    </row>
    <row r="87" spans="1:6" x14ac:dyDescent="0.2">
      <c r="A87" s="105" t="s">
        <v>10</v>
      </c>
      <c r="B87" s="112"/>
      <c r="C87" s="106"/>
      <c r="D87" s="20">
        <f>SUM(D75:D85)</f>
        <v>0</v>
      </c>
      <c r="E87" s="20">
        <f>SUM(E75:E86)</f>
        <v>0</v>
      </c>
      <c r="F87" s="20">
        <f>E87-D87</f>
        <v>0</v>
      </c>
    </row>
    <row r="88" spans="1:6" x14ac:dyDescent="0.2">
      <c r="A88" s="105" t="s">
        <v>11</v>
      </c>
      <c r="B88" s="112"/>
      <c r="C88" s="106"/>
      <c r="D88" s="20"/>
      <c r="E88" s="20"/>
      <c r="F88" s="20">
        <f>D88-E88</f>
        <v>0</v>
      </c>
    </row>
    <row r="89" spans="1:6" x14ac:dyDescent="0.2">
      <c r="A89" s="105" t="s">
        <v>10</v>
      </c>
      <c r="B89" s="112"/>
      <c r="C89" s="106"/>
      <c r="D89" s="20">
        <f>SUM(D87:D88)</f>
        <v>0</v>
      </c>
      <c r="E89" s="20">
        <f>SUM(E87:E88)</f>
        <v>0</v>
      </c>
      <c r="F89" s="20">
        <f>SUM(F87:F88)</f>
        <v>0</v>
      </c>
    </row>
    <row r="93" spans="1:6" x14ac:dyDescent="0.2">
      <c r="F93" s="31"/>
    </row>
    <row r="94" spans="1:6" x14ac:dyDescent="0.2">
      <c r="A94" s="100" t="s">
        <v>0</v>
      </c>
      <c r="B94" s="100"/>
      <c r="F94" s="31"/>
    </row>
    <row r="95" spans="1:6" x14ac:dyDescent="0.2">
      <c r="A95" s="100" t="s">
        <v>1</v>
      </c>
      <c r="B95" s="100"/>
      <c r="F95" s="31"/>
    </row>
    <row r="96" spans="1:6" x14ac:dyDescent="0.2">
      <c r="A96" s="101" t="s">
        <v>2</v>
      </c>
      <c r="B96" s="101"/>
      <c r="C96" s="101"/>
      <c r="D96" s="101"/>
      <c r="E96" s="101"/>
      <c r="F96" s="101"/>
    </row>
    <row r="97" spans="1:6" x14ac:dyDescent="0.2">
      <c r="A97" s="109" t="s">
        <v>101</v>
      </c>
      <c r="B97" s="109"/>
      <c r="D97" s="2" t="s">
        <v>102</v>
      </c>
    </row>
    <row r="99" spans="1:6" x14ac:dyDescent="0.2">
      <c r="A99" s="103" t="s">
        <v>3</v>
      </c>
      <c r="B99" s="103" t="s">
        <v>4</v>
      </c>
      <c r="C99" s="103" t="s">
        <v>5</v>
      </c>
      <c r="D99" s="105" t="s">
        <v>6</v>
      </c>
      <c r="E99" s="106"/>
      <c r="F99" s="103" t="s">
        <v>9</v>
      </c>
    </row>
    <row r="100" spans="1:6" x14ac:dyDescent="0.2">
      <c r="A100" s="104"/>
      <c r="B100" s="104"/>
      <c r="C100" s="104"/>
      <c r="D100" s="3" t="s">
        <v>7</v>
      </c>
      <c r="E100" s="3" t="s">
        <v>8</v>
      </c>
      <c r="F100" s="104"/>
    </row>
    <row r="101" spans="1:6" x14ac:dyDescent="0.2">
      <c r="A101" s="4"/>
      <c r="B101" s="4"/>
      <c r="C101" s="4"/>
      <c r="D101" s="4">
        <v>0</v>
      </c>
      <c r="E101" s="4">
        <v>0</v>
      </c>
      <c r="F101" s="4">
        <f>D101+E101</f>
        <v>0</v>
      </c>
    </row>
    <row r="102" spans="1:6" x14ac:dyDescent="0.2">
      <c r="A102" s="4"/>
      <c r="B102" s="4"/>
      <c r="C102" s="4"/>
      <c r="D102" s="4"/>
      <c r="E102" s="4"/>
      <c r="F102" s="4"/>
    </row>
    <row r="103" spans="1:6" x14ac:dyDescent="0.2">
      <c r="A103" s="4"/>
      <c r="B103" s="4"/>
      <c r="C103" s="4"/>
      <c r="D103" s="4"/>
      <c r="E103" s="4"/>
      <c r="F103" s="4"/>
    </row>
    <row r="104" spans="1:6" x14ac:dyDescent="0.2">
      <c r="A104" s="4"/>
      <c r="B104" s="4"/>
      <c r="C104" s="4"/>
      <c r="D104" s="4"/>
      <c r="E104" s="4"/>
      <c r="F104" s="4"/>
    </row>
    <row r="105" spans="1:6" x14ac:dyDescent="0.2">
      <c r="A105" s="4"/>
      <c r="B105" s="4"/>
      <c r="C105" s="4"/>
      <c r="D105" s="4"/>
      <c r="E105" s="4"/>
      <c r="F105" s="4"/>
    </row>
    <row r="106" spans="1:6" x14ac:dyDescent="0.2">
      <c r="A106" s="4"/>
      <c r="B106" s="4"/>
      <c r="C106" s="4"/>
      <c r="D106" s="4"/>
      <c r="E106" s="4"/>
      <c r="F106" s="4"/>
    </row>
    <row r="107" spans="1:6" x14ac:dyDescent="0.2">
      <c r="A107" s="4"/>
      <c r="B107" s="4"/>
      <c r="C107" s="4"/>
      <c r="D107" s="4"/>
      <c r="E107" s="4"/>
      <c r="F107" s="4"/>
    </row>
    <row r="108" spans="1:6" x14ac:dyDescent="0.2">
      <c r="A108" s="4"/>
      <c r="B108" s="4"/>
      <c r="C108" s="4"/>
      <c r="D108" s="4"/>
      <c r="E108" s="4"/>
      <c r="F108" s="4"/>
    </row>
    <row r="109" spans="1:6" x14ac:dyDescent="0.2">
      <c r="A109" s="4"/>
      <c r="B109" s="4"/>
      <c r="C109" s="4"/>
      <c r="D109" s="4"/>
      <c r="E109" s="4"/>
      <c r="F109" s="4"/>
    </row>
    <row r="110" spans="1:6" x14ac:dyDescent="0.2">
      <c r="A110" s="105" t="s">
        <v>10</v>
      </c>
      <c r="B110" s="112"/>
      <c r="C110" s="106"/>
      <c r="D110" s="4">
        <f>SUM(D101:D109)</f>
        <v>0</v>
      </c>
      <c r="E110" s="4">
        <f>SUM(E101:E109)</f>
        <v>0</v>
      </c>
      <c r="F110" s="4">
        <f>D110-E110</f>
        <v>0</v>
      </c>
    </row>
    <row r="111" spans="1:6" x14ac:dyDescent="0.2">
      <c r="A111" s="105" t="s">
        <v>11</v>
      </c>
      <c r="B111" s="112"/>
      <c r="C111" s="106"/>
      <c r="D111" s="4"/>
      <c r="E111" s="4"/>
      <c r="F111" s="4">
        <f>D111-E111</f>
        <v>0</v>
      </c>
    </row>
    <row r="112" spans="1:6" x14ac:dyDescent="0.2">
      <c r="A112" s="105" t="s">
        <v>10</v>
      </c>
      <c r="B112" s="112"/>
      <c r="C112" s="106"/>
      <c r="D112" s="4">
        <f>SUM(D110:D111)</f>
        <v>0</v>
      </c>
      <c r="E112" s="4">
        <f>SUM(E110:E111)</f>
        <v>0</v>
      </c>
      <c r="F112" s="4">
        <f>SUM(F110:F111)</f>
        <v>0</v>
      </c>
    </row>
    <row r="124" spans="1:6" x14ac:dyDescent="0.2">
      <c r="A124" s="2"/>
      <c r="B124" s="2"/>
      <c r="C124" s="2"/>
      <c r="D124" s="2"/>
      <c r="E124" s="2"/>
      <c r="F124" s="2"/>
    </row>
    <row r="125" spans="1:6" x14ac:dyDescent="0.2">
      <c r="A125" s="2"/>
      <c r="B125" s="2"/>
      <c r="D125" s="2"/>
    </row>
    <row r="127" spans="1:6" x14ac:dyDescent="0.2">
      <c r="A127" s="8"/>
      <c r="B127" s="8"/>
      <c r="C127" s="8"/>
      <c r="D127" s="2"/>
      <c r="E127" s="2"/>
      <c r="F127" s="8"/>
    </row>
    <row r="128" spans="1:6" x14ac:dyDescent="0.2">
      <c r="A128" s="8"/>
      <c r="B128" s="8"/>
      <c r="C128" s="8"/>
      <c r="D128" s="5"/>
      <c r="E128" s="5"/>
      <c r="F128" s="8"/>
    </row>
    <row r="129" spans="1:5" x14ac:dyDescent="0.2">
      <c r="D129" s="9"/>
      <c r="E129" s="9"/>
    </row>
    <row r="138" spans="1:5" x14ac:dyDescent="0.2">
      <c r="A138" s="2"/>
      <c r="B138" s="2"/>
      <c r="C138" s="2"/>
    </row>
    <row r="139" spans="1:5" x14ac:dyDescent="0.2">
      <c r="A139" s="2"/>
      <c r="B139" s="2"/>
      <c r="C139" s="2"/>
    </row>
    <row r="140" spans="1:5" x14ac:dyDescent="0.2">
      <c r="A140" s="2"/>
      <c r="B140" s="2"/>
      <c r="C140" s="2"/>
    </row>
    <row r="146" spans="1:6" x14ac:dyDescent="0.2">
      <c r="A146" s="2"/>
      <c r="B146" s="2"/>
      <c r="C146" s="2"/>
      <c r="D146" s="2"/>
      <c r="E146" s="2"/>
      <c r="F146" s="2"/>
    </row>
    <row r="147" spans="1:6" x14ac:dyDescent="0.2">
      <c r="A147" s="2"/>
      <c r="B147" s="2"/>
      <c r="D147" s="2"/>
    </row>
    <row r="149" spans="1:6" x14ac:dyDescent="0.2">
      <c r="A149" s="8"/>
      <c r="B149" s="8"/>
      <c r="C149" s="8"/>
      <c r="D149" s="2"/>
      <c r="E149" s="2"/>
      <c r="F149" s="8"/>
    </row>
    <row r="150" spans="1:6" x14ac:dyDescent="0.2">
      <c r="A150" s="8"/>
      <c r="B150" s="8"/>
      <c r="C150" s="8"/>
      <c r="D150" s="5"/>
      <c r="E150" s="5"/>
      <c r="F150" s="8"/>
    </row>
    <row r="151" spans="1:6" x14ac:dyDescent="0.2">
      <c r="D151" s="9"/>
      <c r="E151" s="9"/>
    </row>
    <row r="160" spans="1:6" x14ac:dyDescent="0.2">
      <c r="A160" s="2"/>
      <c r="B160" s="2"/>
      <c r="C160" s="2"/>
    </row>
    <row r="161" spans="1:6" x14ac:dyDescent="0.2">
      <c r="A161" s="2"/>
      <c r="B161" s="2"/>
      <c r="C161" s="2"/>
    </row>
    <row r="162" spans="1:6" x14ac:dyDescent="0.2">
      <c r="A162" s="2"/>
      <c r="B162" s="2"/>
      <c r="C162" s="2"/>
    </row>
    <row r="175" spans="1:6" x14ac:dyDescent="0.2">
      <c r="A175" s="2"/>
      <c r="B175" s="2"/>
      <c r="C175" s="2"/>
      <c r="D175" s="2"/>
      <c r="E175" s="2"/>
      <c r="F175" s="2"/>
    </row>
    <row r="176" spans="1:6" x14ac:dyDescent="0.2">
      <c r="A176" s="2"/>
      <c r="B176" s="2"/>
      <c r="D176" s="2"/>
    </row>
    <row r="178" spans="1:6" x14ac:dyDescent="0.2">
      <c r="A178" s="8"/>
      <c r="B178" s="8"/>
      <c r="C178" s="8"/>
      <c r="D178" s="2"/>
      <c r="E178" s="2"/>
      <c r="F178" s="8"/>
    </row>
    <row r="179" spans="1:6" x14ac:dyDescent="0.2">
      <c r="A179" s="8"/>
      <c r="B179" s="8"/>
      <c r="C179" s="8"/>
      <c r="D179" s="5"/>
      <c r="E179" s="5"/>
      <c r="F179" s="8"/>
    </row>
    <row r="180" spans="1:6" x14ac:dyDescent="0.2">
      <c r="D180" s="9"/>
      <c r="E180" s="9"/>
    </row>
    <row r="189" spans="1:6" x14ac:dyDescent="0.2">
      <c r="A189" s="2"/>
      <c r="B189" s="2"/>
      <c r="C189" s="2"/>
    </row>
    <row r="190" spans="1:6" x14ac:dyDescent="0.2">
      <c r="A190" s="2"/>
      <c r="B190" s="2"/>
      <c r="C190" s="2"/>
    </row>
    <row r="191" spans="1:6" x14ac:dyDescent="0.2">
      <c r="A191" s="2"/>
      <c r="B191" s="2"/>
      <c r="C191" s="2"/>
    </row>
  </sheetData>
  <mergeCells count="48">
    <mergeCell ref="F99:F100"/>
    <mergeCell ref="A111:C111"/>
    <mergeCell ref="A112:C112"/>
    <mergeCell ref="A110:C110"/>
    <mergeCell ref="A99:A100"/>
    <mergeCell ref="B99:B100"/>
    <mergeCell ref="C99:C100"/>
    <mergeCell ref="D99:E99"/>
    <mergeCell ref="F73:F74"/>
    <mergeCell ref="A95:B95"/>
    <mergeCell ref="A96:F96"/>
    <mergeCell ref="A97:B97"/>
    <mergeCell ref="A88:C88"/>
    <mergeCell ref="A89:C89"/>
    <mergeCell ref="A94:B94"/>
    <mergeCell ref="A87:C87"/>
    <mergeCell ref="A73:A74"/>
    <mergeCell ref="B73:B74"/>
    <mergeCell ref="C73:C74"/>
    <mergeCell ref="D73:E73"/>
    <mergeCell ref="A69:B69"/>
    <mergeCell ref="A70:F70"/>
    <mergeCell ref="A71:B71"/>
    <mergeCell ref="A49:C49"/>
    <mergeCell ref="A50:C50"/>
    <mergeCell ref="A68:B68"/>
    <mergeCell ref="A48:C48"/>
    <mergeCell ref="A30:F30"/>
    <mergeCell ref="A31:B31"/>
    <mergeCell ref="A33:A34"/>
    <mergeCell ref="B33:B34"/>
    <mergeCell ref="C33:C34"/>
    <mergeCell ref="D33:E33"/>
    <mergeCell ref="F33:F34"/>
    <mergeCell ref="A26:C26"/>
    <mergeCell ref="A28:B28"/>
    <mergeCell ref="A29:B29"/>
    <mergeCell ref="A24:C24"/>
    <mergeCell ref="A25:C25"/>
    <mergeCell ref="A1:B1"/>
    <mergeCell ref="A2:B2"/>
    <mergeCell ref="A3:F3"/>
    <mergeCell ref="A4:B4"/>
    <mergeCell ref="A6:A7"/>
    <mergeCell ref="B6:B7"/>
    <mergeCell ref="C6:C7"/>
    <mergeCell ref="D6:E6"/>
    <mergeCell ref="F6:F7"/>
  </mergeCells>
  <phoneticPr fontId="8" type="noConversion"/>
  <pageMargins left="0.51181102362204722" right="0.51181102362204722" top="0.74803149606299213" bottom="0.74803149606299213" header="0.31496062992125984" footer="0.31496062992125984"/>
  <pageSetup paperSize="9"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3"/>
  <sheetViews>
    <sheetView showWhiteSpace="0" view="pageLayout" topLeftCell="A130" workbookViewId="0">
      <selection activeCell="D4" sqref="A4:D4"/>
    </sheetView>
  </sheetViews>
  <sheetFormatPr defaultColWidth="9.140625" defaultRowHeight="12" x14ac:dyDescent="0.2"/>
  <cols>
    <col min="1" max="1" width="9.140625" style="1"/>
    <col min="2" max="2" width="33.5703125" style="1" customWidth="1"/>
    <col min="3" max="3" width="9.140625" style="1"/>
    <col min="4" max="4" width="12.140625" style="1" customWidth="1"/>
    <col min="5" max="5" width="11.28515625" style="1" customWidth="1"/>
    <col min="6" max="6" width="16.140625" style="1" customWidth="1"/>
    <col min="7" max="7" width="9.140625" style="1"/>
    <col min="8" max="8" width="22.7109375" style="1" customWidth="1"/>
    <col min="9" max="9" width="9.140625" style="1"/>
    <col min="10" max="10" width="11.28515625" style="1" customWidth="1"/>
    <col min="11" max="11" width="10.28515625" style="1" customWidth="1"/>
    <col min="12" max="12" width="18.42578125" style="1" customWidth="1"/>
    <col min="13"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22" t="s">
        <v>103</v>
      </c>
      <c r="B4" s="122"/>
      <c r="C4" s="125"/>
      <c r="D4" s="123" t="s">
        <v>104</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18" t="s">
        <v>228</v>
      </c>
      <c r="B8" s="4" t="s">
        <v>220</v>
      </c>
      <c r="C8" s="4" t="s">
        <v>221</v>
      </c>
      <c r="D8" s="20"/>
      <c r="E8" s="20"/>
      <c r="F8" s="20">
        <f>D8+E8</f>
        <v>0</v>
      </c>
    </row>
    <row r="9" spans="1:6" x14ac:dyDescent="0.2">
      <c r="A9" s="18" t="s">
        <v>416</v>
      </c>
      <c r="B9" s="4" t="s">
        <v>220</v>
      </c>
      <c r="C9" s="4" t="s">
        <v>221</v>
      </c>
      <c r="D9" s="20"/>
      <c r="E9" s="20"/>
      <c r="F9" s="20">
        <f>F8+E9</f>
        <v>0</v>
      </c>
    </row>
    <row r="10" spans="1:6" x14ac:dyDescent="0.2">
      <c r="A10" s="18" t="s">
        <v>269</v>
      </c>
      <c r="B10" s="4" t="s">
        <v>220</v>
      </c>
      <c r="C10" s="4" t="s">
        <v>221</v>
      </c>
      <c r="D10" s="20"/>
      <c r="E10" s="20"/>
      <c r="F10" s="20">
        <f t="shared" ref="F10:F19" si="0">F9+E10</f>
        <v>0</v>
      </c>
    </row>
    <row r="11" spans="1:6" x14ac:dyDescent="0.2">
      <c r="A11" s="18" t="s">
        <v>284</v>
      </c>
      <c r="B11" s="4" t="s">
        <v>220</v>
      </c>
      <c r="C11" s="4" t="s">
        <v>221</v>
      </c>
      <c r="D11" s="20"/>
      <c r="E11" s="20"/>
      <c r="F11" s="20">
        <f t="shared" si="0"/>
        <v>0</v>
      </c>
    </row>
    <row r="12" spans="1:6" x14ac:dyDescent="0.2">
      <c r="A12" s="18" t="s">
        <v>290</v>
      </c>
      <c r="B12" s="4" t="s">
        <v>220</v>
      </c>
      <c r="C12" s="4" t="s">
        <v>221</v>
      </c>
      <c r="D12" s="20"/>
      <c r="E12" s="20"/>
      <c r="F12" s="20">
        <f t="shared" si="0"/>
        <v>0</v>
      </c>
    </row>
    <row r="13" spans="1:6" x14ac:dyDescent="0.2">
      <c r="A13" s="18" t="s">
        <v>308</v>
      </c>
      <c r="B13" s="4" t="s">
        <v>220</v>
      </c>
      <c r="C13" s="4" t="s">
        <v>221</v>
      </c>
      <c r="D13" s="20"/>
      <c r="E13" s="20"/>
      <c r="F13" s="20">
        <f t="shared" si="0"/>
        <v>0</v>
      </c>
    </row>
    <row r="14" spans="1:6" x14ac:dyDescent="0.2">
      <c r="A14" s="18" t="s">
        <v>322</v>
      </c>
      <c r="B14" s="4" t="s">
        <v>220</v>
      </c>
      <c r="C14" s="4" t="s">
        <v>221</v>
      </c>
      <c r="D14" s="20"/>
      <c r="E14" s="20"/>
      <c r="F14" s="20">
        <f t="shared" si="0"/>
        <v>0</v>
      </c>
    </row>
    <row r="15" spans="1:6" x14ac:dyDescent="0.2">
      <c r="A15" s="18" t="s">
        <v>614</v>
      </c>
      <c r="B15" s="4" t="s">
        <v>220</v>
      </c>
      <c r="C15" s="4" t="s">
        <v>221</v>
      </c>
      <c r="D15" s="20"/>
      <c r="E15" s="20"/>
      <c r="F15" s="20">
        <f t="shared" si="0"/>
        <v>0</v>
      </c>
    </row>
    <row r="16" spans="1:6" x14ac:dyDescent="0.2">
      <c r="A16" s="18" t="s">
        <v>357</v>
      </c>
      <c r="B16" s="4" t="s">
        <v>220</v>
      </c>
      <c r="C16" s="4" t="s">
        <v>221</v>
      </c>
      <c r="D16" s="20"/>
      <c r="E16" s="20"/>
      <c r="F16" s="20">
        <f t="shared" si="0"/>
        <v>0</v>
      </c>
    </row>
    <row r="17" spans="1:6" x14ac:dyDescent="0.2">
      <c r="A17" s="18" t="s">
        <v>376</v>
      </c>
      <c r="B17" s="4" t="s">
        <v>220</v>
      </c>
      <c r="C17" s="4" t="s">
        <v>221</v>
      </c>
      <c r="D17" s="20"/>
      <c r="E17" s="20"/>
      <c r="F17" s="20">
        <f t="shared" si="0"/>
        <v>0</v>
      </c>
    </row>
    <row r="18" spans="1:6" x14ac:dyDescent="0.2">
      <c r="A18" s="18" t="s">
        <v>390</v>
      </c>
      <c r="B18" s="4" t="s">
        <v>220</v>
      </c>
      <c r="C18" s="4" t="s">
        <v>221</v>
      </c>
      <c r="D18" s="20"/>
      <c r="E18" s="20"/>
      <c r="F18" s="20">
        <f t="shared" si="0"/>
        <v>0</v>
      </c>
    </row>
    <row r="19" spans="1:6" x14ac:dyDescent="0.2">
      <c r="A19" s="18" t="s">
        <v>449</v>
      </c>
      <c r="B19" s="4" t="s">
        <v>220</v>
      </c>
      <c r="C19" s="4" t="s">
        <v>221</v>
      </c>
      <c r="D19" s="4"/>
      <c r="E19" s="60"/>
      <c r="F19" s="20">
        <f t="shared" si="0"/>
        <v>0</v>
      </c>
    </row>
    <row r="20" spans="1:6" x14ac:dyDescent="0.2">
      <c r="A20" s="105" t="s">
        <v>10</v>
      </c>
      <c r="B20" s="112"/>
      <c r="C20" s="106"/>
      <c r="D20" s="20">
        <f>SUM(D8:D19)</f>
        <v>0</v>
      </c>
      <c r="E20" s="20">
        <f>SUM(E8:E19)</f>
        <v>0</v>
      </c>
      <c r="F20" s="20">
        <f>E20-D20</f>
        <v>0</v>
      </c>
    </row>
    <row r="21" spans="1:6" x14ac:dyDescent="0.2">
      <c r="A21" s="105" t="s">
        <v>11</v>
      </c>
      <c r="B21" s="112"/>
      <c r="C21" s="106"/>
      <c r="D21" s="20"/>
      <c r="E21" s="20"/>
      <c r="F21" s="20">
        <f>D21-E21</f>
        <v>0</v>
      </c>
    </row>
    <row r="22" spans="1:6" x14ac:dyDescent="0.2">
      <c r="A22" s="105" t="s">
        <v>10</v>
      </c>
      <c r="B22" s="112"/>
      <c r="C22" s="106"/>
      <c r="D22" s="20">
        <f>SUM(D20:D21)</f>
        <v>0</v>
      </c>
      <c r="E22" s="20">
        <f>SUM(E20:E21)</f>
        <v>0</v>
      </c>
      <c r="F22" s="20">
        <f>SUM(F20:F21)</f>
        <v>0</v>
      </c>
    </row>
    <row r="24" spans="1:6" x14ac:dyDescent="0.2">
      <c r="A24" s="100" t="s">
        <v>0</v>
      </c>
      <c r="B24" s="100"/>
    </row>
    <row r="25" spans="1:6" x14ac:dyDescent="0.2">
      <c r="A25" s="100" t="s">
        <v>1</v>
      </c>
      <c r="B25" s="100"/>
    </row>
    <row r="26" spans="1:6" x14ac:dyDescent="0.2">
      <c r="A26" s="101" t="s">
        <v>2</v>
      </c>
      <c r="B26" s="101"/>
      <c r="C26" s="101"/>
      <c r="D26" s="101"/>
      <c r="E26" s="101"/>
      <c r="F26" s="101"/>
    </row>
    <row r="27" spans="1:6" x14ac:dyDescent="0.2">
      <c r="A27" s="109" t="s">
        <v>105</v>
      </c>
      <c r="B27" s="109"/>
      <c r="D27" s="2" t="s">
        <v>106</v>
      </c>
    </row>
    <row r="29" spans="1:6" x14ac:dyDescent="0.2">
      <c r="A29" s="103" t="s">
        <v>3</v>
      </c>
      <c r="B29" s="103" t="s">
        <v>4</v>
      </c>
      <c r="C29" s="103" t="s">
        <v>5</v>
      </c>
      <c r="D29" s="105" t="s">
        <v>6</v>
      </c>
      <c r="E29" s="106"/>
      <c r="F29" s="103" t="s">
        <v>9</v>
      </c>
    </row>
    <row r="30" spans="1:6" x14ac:dyDescent="0.2">
      <c r="A30" s="104"/>
      <c r="B30" s="104"/>
      <c r="C30" s="104"/>
      <c r="D30" s="3" t="s">
        <v>7</v>
      </c>
      <c r="E30" s="3" t="s">
        <v>8</v>
      </c>
      <c r="F30" s="104"/>
    </row>
    <row r="31" spans="1:6" x14ac:dyDescent="0.2">
      <c r="A31" s="18" t="s">
        <v>416</v>
      </c>
      <c r="B31" s="4" t="s">
        <v>222</v>
      </c>
      <c r="C31" s="4" t="s">
        <v>221</v>
      </c>
      <c r="D31" s="20">
        <v>0</v>
      </c>
      <c r="E31" s="20">
        <v>0</v>
      </c>
      <c r="F31" s="20">
        <f>D31+E31</f>
        <v>0</v>
      </c>
    </row>
    <row r="32" spans="1:6" x14ac:dyDescent="0.2">
      <c r="A32" s="18"/>
      <c r="B32" s="4" t="s">
        <v>222</v>
      </c>
      <c r="C32" s="4" t="s">
        <v>221</v>
      </c>
      <c r="D32" s="20"/>
      <c r="E32" s="20"/>
      <c r="F32" s="20">
        <f>F31+E32</f>
        <v>0</v>
      </c>
    </row>
    <row r="33" spans="1:6" x14ac:dyDescent="0.2">
      <c r="A33" s="18"/>
      <c r="B33" s="4" t="s">
        <v>222</v>
      </c>
      <c r="C33" s="4" t="s">
        <v>221</v>
      </c>
      <c r="D33" s="20"/>
      <c r="E33" s="20"/>
      <c r="F33" s="20">
        <f t="shared" ref="F33" si="1">F32+E33</f>
        <v>0</v>
      </c>
    </row>
    <row r="34" spans="1:6" x14ac:dyDescent="0.2">
      <c r="A34" s="4"/>
      <c r="B34" s="4"/>
      <c r="C34" s="4"/>
      <c r="D34" s="20"/>
      <c r="E34" s="20"/>
      <c r="F34" s="20"/>
    </row>
    <row r="35" spans="1:6" x14ac:dyDescent="0.2">
      <c r="A35" s="105" t="s">
        <v>10</v>
      </c>
      <c r="B35" s="112"/>
      <c r="C35" s="106"/>
      <c r="D35" s="20">
        <f>SUM(D31:D34)</f>
        <v>0</v>
      </c>
      <c r="E35" s="20">
        <f>SUM(E31:E34)</f>
        <v>0</v>
      </c>
      <c r="F35" s="20">
        <f>E35-D35</f>
        <v>0</v>
      </c>
    </row>
    <row r="36" spans="1:6" x14ac:dyDescent="0.2">
      <c r="A36" s="105" t="s">
        <v>11</v>
      </c>
      <c r="B36" s="112"/>
      <c r="C36" s="106"/>
      <c r="D36" s="20"/>
      <c r="E36" s="20"/>
      <c r="F36" s="20">
        <f>D36-E36</f>
        <v>0</v>
      </c>
    </row>
    <row r="37" spans="1:6" x14ac:dyDescent="0.2">
      <c r="A37" s="105" t="s">
        <v>10</v>
      </c>
      <c r="B37" s="112"/>
      <c r="C37" s="106"/>
      <c r="D37" s="20">
        <f>SUM(D35:D36)</f>
        <v>0</v>
      </c>
      <c r="E37" s="20">
        <f>SUM(E35:E36)</f>
        <v>0</v>
      </c>
      <c r="F37" s="20">
        <f>SUM(F35:F36)</f>
        <v>0</v>
      </c>
    </row>
    <row r="41" spans="1:6" x14ac:dyDescent="0.2">
      <c r="A41" s="100" t="s">
        <v>0</v>
      </c>
      <c r="B41" s="100"/>
    </row>
    <row r="42" spans="1:6" x14ac:dyDescent="0.2">
      <c r="A42" s="100" t="s">
        <v>1</v>
      </c>
      <c r="B42" s="100"/>
    </row>
    <row r="43" spans="1:6" x14ac:dyDescent="0.2">
      <c r="A43" s="101" t="s">
        <v>2</v>
      </c>
      <c r="B43" s="101"/>
      <c r="C43" s="101"/>
      <c r="D43" s="101"/>
      <c r="E43" s="101"/>
      <c r="F43" s="101"/>
    </row>
    <row r="44" spans="1:6" x14ac:dyDescent="0.2">
      <c r="A44" s="122" t="s">
        <v>107</v>
      </c>
      <c r="B44" s="122"/>
      <c r="C44" s="125"/>
      <c r="D44" s="123" t="s">
        <v>108</v>
      </c>
    </row>
    <row r="46" spans="1:6" x14ac:dyDescent="0.2">
      <c r="A46" s="103" t="s">
        <v>3</v>
      </c>
      <c r="B46" s="103" t="s">
        <v>4</v>
      </c>
      <c r="C46" s="103" t="s">
        <v>5</v>
      </c>
      <c r="D46" s="105" t="s">
        <v>6</v>
      </c>
      <c r="E46" s="106"/>
      <c r="F46" s="103" t="s">
        <v>9</v>
      </c>
    </row>
    <row r="47" spans="1:6" x14ac:dyDescent="0.2">
      <c r="A47" s="104"/>
      <c r="B47" s="104"/>
      <c r="C47" s="104"/>
      <c r="D47" s="3" t="s">
        <v>7</v>
      </c>
      <c r="E47" s="3" t="s">
        <v>8</v>
      </c>
      <c r="F47" s="104"/>
    </row>
    <row r="48" spans="1:6" x14ac:dyDescent="0.2">
      <c r="A48" s="18" t="s">
        <v>228</v>
      </c>
      <c r="B48" s="4" t="s">
        <v>223</v>
      </c>
      <c r="C48" s="4" t="s">
        <v>221</v>
      </c>
      <c r="D48" s="20">
        <v>0</v>
      </c>
      <c r="E48" s="20"/>
      <c r="F48" s="20">
        <f>D48+E48</f>
        <v>0</v>
      </c>
    </row>
    <row r="49" spans="1:6" x14ac:dyDescent="0.2">
      <c r="A49" s="18" t="s">
        <v>416</v>
      </c>
      <c r="B49" s="4" t="s">
        <v>223</v>
      </c>
      <c r="C49" s="4" t="s">
        <v>221</v>
      </c>
      <c r="D49" s="20"/>
      <c r="E49" s="20"/>
      <c r="F49" s="20">
        <f>F48-D49+E49</f>
        <v>0</v>
      </c>
    </row>
    <row r="50" spans="1:6" x14ac:dyDescent="0.2">
      <c r="A50" s="18" t="s">
        <v>269</v>
      </c>
      <c r="B50" s="4" t="s">
        <v>223</v>
      </c>
      <c r="C50" s="4" t="s">
        <v>221</v>
      </c>
      <c r="D50" s="20"/>
      <c r="E50" s="20"/>
      <c r="F50" s="20">
        <f t="shared" ref="F50:F59" si="2">F49-D50+E50</f>
        <v>0</v>
      </c>
    </row>
    <row r="51" spans="1:6" x14ac:dyDescent="0.2">
      <c r="A51" s="18" t="s">
        <v>284</v>
      </c>
      <c r="B51" s="4" t="s">
        <v>223</v>
      </c>
      <c r="C51" s="4" t="s">
        <v>221</v>
      </c>
      <c r="D51" s="20"/>
      <c r="E51" s="20"/>
      <c r="F51" s="20">
        <f t="shared" si="2"/>
        <v>0</v>
      </c>
    </row>
    <row r="52" spans="1:6" x14ac:dyDescent="0.2">
      <c r="A52" s="18" t="s">
        <v>290</v>
      </c>
      <c r="B52" s="4" t="s">
        <v>223</v>
      </c>
      <c r="C52" s="4" t="s">
        <v>221</v>
      </c>
      <c r="D52" s="20"/>
      <c r="E52" s="20"/>
      <c r="F52" s="20">
        <f t="shared" si="2"/>
        <v>0</v>
      </c>
    </row>
    <row r="53" spans="1:6" x14ac:dyDescent="0.2">
      <c r="A53" s="18" t="s">
        <v>308</v>
      </c>
      <c r="B53" s="4" t="s">
        <v>223</v>
      </c>
      <c r="C53" s="4" t="s">
        <v>221</v>
      </c>
      <c r="D53" s="20"/>
      <c r="E53" s="20"/>
      <c r="F53" s="20">
        <f t="shared" si="2"/>
        <v>0</v>
      </c>
    </row>
    <row r="54" spans="1:6" x14ac:dyDescent="0.2">
      <c r="A54" s="18" t="s">
        <v>322</v>
      </c>
      <c r="B54" s="4" t="s">
        <v>223</v>
      </c>
      <c r="C54" s="4" t="s">
        <v>221</v>
      </c>
      <c r="D54" s="20"/>
      <c r="E54" s="20"/>
      <c r="F54" s="20">
        <f t="shared" si="2"/>
        <v>0</v>
      </c>
    </row>
    <row r="55" spans="1:6" x14ac:dyDescent="0.2">
      <c r="A55" s="18" t="s">
        <v>335</v>
      </c>
      <c r="B55" s="4" t="s">
        <v>223</v>
      </c>
      <c r="C55" s="4" t="s">
        <v>221</v>
      </c>
      <c r="D55" s="20"/>
      <c r="E55" s="20"/>
      <c r="F55" s="20">
        <f t="shared" si="2"/>
        <v>0</v>
      </c>
    </row>
    <row r="56" spans="1:6" x14ac:dyDescent="0.2">
      <c r="A56" s="18" t="s">
        <v>357</v>
      </c>
      <c r="B56" s="4" t="s">
        <v>223</v>
      </c>
      <c r="C56" s="4" t="s">
        <v>221</v>
      </c>
      <c r="D56" s="20"/>
      <c r="E56" s="20"/>
      <c r="F56" s="20">
        <f t="shared" si="2"/>
        <v>0</v>
      </c>
    </row>
    <row r="57" spans="1:6" x14ac:dyDescent="0.2">
      <c r="A57" s="18" t="s">
        <v>376</v>
      </c>
      <c r="B57" s="4" t="s">
        <v>223</v>
      </c>
      <c r="C57" s="4" t="s">
        <v>221</v>
      </c>
      <c r="D57" s="20"/>
      <c r="E57" s="20"/>
      <c r="F57" s="20">
        <f t="shared" si="2"/>
        <v>0</v>
      </c>
    </row>
    <row r="58" spans="1:6" x14ac:dyDescent="0.2">
      <c r="A58" s="18" t="s">
        <v>390</v>
      </c>
      <c r="B58" s="4" t="s">
        <v>223</v>
      </c>
      <c r="C58" s="4" t="s">
        <v>1096</v>
      </c>
      <c r="D58" s="20"/>
      <c r="E58" s="20"/>
      <c r="F58" s="20">
        <f t="shared" si="2"/>
        <v>0</v>
      </c>
    </row>
    <row r="59" spans="1:6" x14ac:dyDescent="0.2">
      <c r="A59" s="18" t="s">
        <v>449</v>
      </c>
      <c r="B59" s="4" t="s">
        <v>223</v>
      </c>
      <c r="C59" s="4" t="s">
        <v>221</v>
      </c>
      <c r="D59" s="20"/>
      <c r="E59" s="20"/>
      <c r="F59" s="20">
        <f t="shared" si="2"/>
        <v>0</v>
      </c>
    </row>
    <row r="60" spans="1:6" x14ac:dyDescent="0.2">
      <c r="A60" s="4"/>
      <c r="B60" s="4"/>
      <c r="C60" s="4"/>
      <c r="D60" s="20"/>
      <c r="E60" s="20"/>
      <c r="F60" s="20"/>
    </row>
    <row r="61" spans="1:6" x14ac:dyDescent="0.2">
      <c r="A61" s="105" t="s">
        <v>10</v>
      </c>
      <c r="B61" s="112"/>
      <c r="C61" s="106"/>
      <c r="D61" s="20">
        <f>SUM(D48:D60)</f>
        <v>0</v>
      </c>
      <c r="E61" s="20">
        <f>SUM(E48:E60)</f>
        <v>0</v>
      </c>
      <c r="F61" s="20">
        <f>E61-D61</f>
        <v>0</v>
      </c>
    </row>
    <row r="62" spans="1:6" x14ac:dyDescent="0.2">
      <c r="A62" s="105" t="s">
        <v>11</v>
      </c>
      <c r="B62" s="112"/>
      <c r="C62" s="106"/>
      <c r="D62" s="20"/>
      <c r="E62" s="20"/>
      <c r="F62" s="20">
        <f>D62-E62</f>
        <v>0</v>
      </c>
    </row>
    <row r="63" spans="1:6" x14ac:dyDescent="0.2">
      <c r="A63" s="105" t="s">
        <v>10</v>
      </c>
      <c r="B63" s="112"/>
      <c r="C63" s="106"/>
      <c r="D63" s="20">
        <f>SUM(D61:D62)</f>
        <v>0</v>
      </c>
      <c r="E63" s="20">
        <f>SUM(E61:E62)</f>
        <v>0</v>
      </c>
      <c r="F63" s="20">
        <f>SUM(F61:F62)</f>
        <v>0</v>
      </c>
    </row>
    <row r="66" spans="1:6" x14ac:dyDescent="0.2">
      <c r="A66" s="100" t="s">
        <v>0</v>
      </c>
      <c r="B66" s="100"/>
    </row>
    <row r="67" spans="1:6" x14ac:dyDescent="0.2">
      <c r="A67" s="100" t="s">
        <v>1</v>
      </c>
      <c r="B67" s="100"/>
    </row>
    <row r="68" spans="1:6" x14ac:dyDescent="0.2">
      <c r="A68" s="101" t="s">
        <v>2</v>
      </c>
      <c r="B68" s="101"/>
      <c r="C68" s="101"/>
      <c r="D68" s="101"/>
      <c r="E68" s="101"/>
      <c r="F68" s="101"/>
    </row>
    <row r="69" spans="1:6" x14ac:dyDescent="0.2">
      <c r="A69" s="109" t="s">
        <v>109</v>
      </c>
      <c r="B69" s="109"/>
      <c r="D69" s="2" t="s">
        <v>110</v>
      </c>
    </row>
    <row r="71" spans="1:6" x14ac:dyDescent="0.2">
      <c r="A71" s="120" t="s">
        <v>3</v>
      </c>
      <c r="B71" s="103" t="s">
        <v>4</v>
      </c>
      <c r="C71" s="103" t="s">
        <v>5</v>
      </c>
      <c r="D71" s="105" t="s">
        <v>6</v>
      </c>
      <c r="E71" s="106"/>
      <c r="F71" s="103" t="s">
        <v>9</v>
      </c>
    </row>
    <row r="72" spans="1:6" x14ac:dyDescent="0.2">
      <c r="A72" s="121"/>
      <c r="B72" s="104"/>
      <c r="C72" s="104"/>
      <c r="D72" s="3" t="s">
        <v>7</v>
      </c>
      <c r="E72" s="3" t="s">
        <v>8</v>
      </c>
      <c r="F72" s="104"/>
    </row>
    <row r="73" spans="1:6" x14ac:dyDescent="0.2">
      <c r="A73" s="10"/>
      <c r="B73" s="4"/>
      <c r="C73" s="4"/>
      <c r="D73" s="4">
        <v>0</v>
      </c>
      <c r="E73" s="4">
        <v>0</v>
      </c>
      <c r="F73" s="4">
        <f>D73+E73</f>
        <v>0</v>
      </c>
    </row>
    <row r="74" spans="1:6" x14ac:dyDescent="0.2">
      <c r="A74" s="10"/>
      <c r="B74" s="4"/>
      <c r="C74" s="4"/>
      <c r="D74" s="4"/>
      <c r="E74" s="4"/>
      <c r="F74" s="4"/>
    </row>
    <row r="75" spans="1:6" x14ac:dyDescent="0.2">
      <c r="A75" s="10"/>
      <c r="B75" s="4"/>
      <c r="C75" s="4"/>
      <c r="D75" s="4"/>
      <c r="E75" s="4"/>
      <c r="F75" s="4"/>
    </row>
    <row r="76" spans="1:6" x14ac:dyDescent="0.2">
      <c r="A76" s="112" t="s">
        <v>10</v>
      </c>
      <c r="B76" s="112"/>
      <c r="C76" s="106"/>
      <c r="D76" s="4">
        <f>SUM(D73:D75)</f>
        <v>0</v>
      </c>
      <c r="E76" s="4">
        <f>SUM(E73:E75)</f>
        <v>0</v>
      </c>
      <c r="F76" s="4">
        <f>D76-E76</f>
        <v>0</v>
      </c>
    </row>
    <row r="77" spans="1:6" x14ac:dyDescent="0.2">
      <c r="A77" s="112" t="s">
        <v>11</v>
      </c>
      <c r="B77" s="112"/>
      <c r="C77" s="106"/>
      <c r="D77" s="4"/>
      <c r="E77" s="4"/>
      <c r="F77" s="4">
        <f>D77-E77</f>
        <v>0</v>
      </c>
    </row>
    <row r="78" spans="1:6" x14ac:dyDescent="0.2">
      <c r="A78" s="112" t="s">
        <v>10</v>
      </c>
      <c r="B78" s="112"/>
      <c r="C78" s="106"/>
      <c r="D78" s="4">
        <f>SUM(D76:D77)</f>
        <v>0</v>
      </c>
      <c r="E78" s="4">
        <f>SUM(E76:E77)</f>
        <v>0</v>
      </c>
      <c r="F78" s="4">
        <f>SUM(F76:F77)</f>
        <v>0</v>
      </c>
    </row>
    <row r="80" spans="1:6" x14ac:dyDescent="0.2">
      <c r="A80" s="100" t="s">
        <v>0</v>
      </c>
      <c r="B80" s="100"/>
    </row>
    <row r="81" spans="1:6" x14ac:dyDescent="0.2">
      <c r="A81" s="100" t="s">
        <v>1</v>
      </c>
      <c r="B81" s="100"/>
    </row>
    <row r="82" spans="1:6" x14ac:dyDescent="0.2">
      <c r="A82" s="101" t="s">
        <v>2</v>
      </c>
      <c r="B82" s="101"/>
      <c r="C82" s="101"/>
      <c r="D82" s="101"/>
      <c r="E82" s="101"/>
      <c r="F82" s="101"/>
    </row>
    <row r="83" spans="1:6" x14ac:dyDescent="0.2">
      <c r="A83" s="109" t="s">
        <v>111</v>
      </c>
      <c r="B83" s="109"/>
      <c r="D83" s="2" t="s">
        <v>112</v>
      </c>
    </row>
    <row r="85" spans="1:6" x14ac:dyDescent="0.2">
      <c r="A85" s="120" t="s">
        <v>3</v>
      </c>
      <c r="B85" s="103" t="s">
        <v>4</v>
      </c>
      <c r="C85" s="103" t="s">
        <v>5</v>
      </c>
      <c r="D85" s="105" t="s">
        <v>6</v>
      </c>
      <c r="E85" s="106"/>
      <c r="F85" s="103" t="s">
        <v>9</v>
      </c>
    </row>
    <row r="86" spans="1:6" x14ac:dyDescent="0.2">
      <c r="A86" s="121"/>
      <c r="B86" s="104"/>
      <c r="C86" s="104"/>
      <c r="D86" s="3" t="s">
        <v>7</v>
      </c>
      <c r="E86" s="3" t="s">
        <v>8</v>
      </c>
      <c r="F86" s="104"/>
    </row>
    <row r="87" spans="1:6" x14ac:dyDescent="0.2">
      <c r="A87" s="61" t="s">
        <v>357</v>
      </c>
      <c r="B87" s="4" t="s">
        <v>1005</v>
      </c>
      <c r="C87" s="4" t="s">
        <v>528</v>
      </c>
      <c r="D87" s="87"/>
      <c r="E87" s="87"/>
      <c r="F87" s="20">
        <f>D87+E87</f>
        <v>0</v>
      </c>
    </row>
    <row r="88" spans="1:6" x14ac:dyDescent="0.2">
      <c r="A88" s="61"/>
      <c r="B88" s="4" t="s">
        <v>529</v>
      </c>
      <c r="C88" s="4" t="s">
        <v>528</v>
      </c>
      <c r="D88" s="7"/>
      <c r="E88" s="20"/>
      <c r="F88" s="20">
        <f>F87+E88</f>
        <v>0</v>
      </c>
    </row>
    <row r="89" spans="1:6" x14ac:dyDescent="0.2">
      <c r="A89" s="61"/>
      <c r="B89" s="4" t="s">
        <v>529</v>
      </c>
      <c r="C89" s="4" t="s">
        <v>528</v>
      </c>
      <c r="D89" s="4"/>
      <c r="E89" s="60"/>
      <c r="F89" s="20">
        <f t="shared" ref="F89:F90" si="3">F88+E89</f>
        <v>0</v>
      </c>
    </row>
    <row r="90" spans="1:6" x14ac:dyDescent="0.2">
      <c r="A90" s="66"/>
      <c r="B90" s="4" t="s">
        <v>529</v>
      </c>
      <c r="C90" s="4" t="s">
        <v>528</v>
      </c>
      <c r="D90" s="4"/>
      <c r="E90" s="60"/>
      <c r="F90" s="20">
        <f t="shared" si="3"/>
        <v>0</v>
      </c>
    </row>
    <row r="91" spans="1:6" x14ac:dyDescent="0.2">
      <c r="A91" s="66"/>
      <c r="B91" s="4"/>
      <c r="C91" s="10"/>
      <c r="D91" s="4"/>
      <c r="E91" s="4"/>
      <c r="F91" s="4"/>
    </row>
    <row r="92" spans="1:6" x14ac:dyDescent="0.2">
      <c r="A92" s="66"/>
      <c r="B92" s="4"/>
      <c r="C92" s="10"/>
      <c r="D92" s="4"/>
      <c r="E92" s="4"/>
      <c r="F92" s="4"/>
    </row>
    <row r="93" spans="1:6" x14ac:dyDescent="0.2">
      <c r="A93" s="112" t="s">
        <v>10</v>
      </c>
      <c r="B93" s="112"/>
      <c r="C93" s="106"/>
      <c r="D93" s="20">
        <f>SUM(D87:D89)</f>
        <v>0</v>
      </c>
      <c r="E93" s="20">
        <f>SUM(E87:E92)</f>
        <v>0</v>
      </c>
      <c r="F93" s="20">
        <f>E93-D93</f>
        <v>0</v>
      </c>
    </row>
    <row r="94" spans="1:6" x14ac:dyDescent="0.2">
      <c r="A94" s="112" t="s">
        <v>11</v>
      </c>
      <c r="B94" s="112"/>
      <c r="C94" s="106"/>
      <c r="D94" s="20"/>
      <c r="E94" s="20"/>
      <c r="F94" s="20">
        <f>D94-E94</f>
        <v>0</v>
      </c>
    </row>
    <row r="95" spans="1:6" x14ac:dyDescent="0.2">
      <c r="A95" s="112" t="s">
        <v>10</v>
      </c>
      <c r="B95" s="112"/>
      <c r="C95" s="106"/>
      <c r="D95" s="20">
        <f>SUM(D93:D94)</f>
        <v>0</v>
      </c>
      <c r="E95" s="20">
        <f>SUM(E93:E94)</f>
        <v>0</v>
      </c>
      <c r="F95" s="20">
        <f>SUM(F93:F94)</f>
        <v>0</v>
      </c>
    </row>
    <row r="97" spans="1:6" x14ac:dyDescent="0.2">
      <c r="A97" s="100" t="s">
        <v>0</v>
      </c>
      <c r="B97" s="100"/>
    </row>
    <row r="98" spans="1:6" x14ac:dyDescent="0.2">
      <c r="A98" s="100" t="s">
        <v>1</v>
      </c>
      <c r="B98" s="100"/>
    </row>
    <row r="99" spans="1:6" x14ac:dyDescent="0.2">
      <c r="A99" s="101" t="s">
        <v>2</v>
      </c>
      <c r="B99" s="101"/>
      <c r="C99" s="101"/>
      <c r="D99" s="101"/>
      <c r="E99" s="101"/>
      <c r="F99" s="101"/>
    </row>
    <row r="100" spans="1:6" x14ac:dyDescent="0.2">
      <c r="A100" s="109" t="s">
        <v>113</v>
      </c>
      <c r="B100" s="109"/>
      <c r="D100" s="2" t="s">
        <v>114</v>
      </c>
    </row>
    <row r="102" spans="1:6" x14ac:dyDescent="0.2">
      <c r="A102" s="103" t="s">
        <v>3</v>
      </c>
      <c r="B102" s="103" t="s">
        <v>4</v>
      </c>
      <c r="C102" s="103" t="s">
        <v>5</v>
      </c>
      <c r="D102" s="105" t="s">
        <v>6</v>
      </c>
      <c r="E102" s="106"/>
      <c r="F102" s="103" t="s">
        <v>9</v>
      </c>
    </row>
    <row r="103" spans="1:6" x14ac:dyDescent="0.2">
      <c r="A103" s="104"/>
      <c r="B103" s="104"/>
      <c r="C103" s="104"/>
      <c r="D103" s="3" t="s">
        <v>7</v>
      </c>
      <c r="E103" s="3" t="s">
        <v>8</v>
      </c>
      <c r="F103" s="104"/>
    </row>
    <row r="104" spans="1:6" x14ac:dyDescent="0.2">
      <c r="A104" s="18" t="s">
        <v>228</v>
      </c>
      <c r="B104" s="4" t="s">
        <v>477</v>
      </c>
      <c r="C104" s="4" t="s">
        <v>224</v>
      </c>
      <c r="D104" s="20">
        <v>0</v>
      </c>
      <c r="E104" s="20"/>
      <c r="F104" s="20">
        <f>D104+E104</f>
        <v>0</v>
      </c>
    </row>
    <row r="105" spans="1:6" x14ac:dyDescent="0.2">
      <c r="A105" s="18" t="s">
        <v>416</v>
      </c>
      <c r="B105" s="4" t="s">
        <v>477</v>
      </c>
      <c r="C105" s="4" t="s">
        <v>224</v>
      </c>
      <c r="D105" s="20"/>
      <c r="E105" s="20"/>
      <c r="F105" s="20">
        <f>F104-D105+E105</f>
        <v>0</v>
      </c>
    </row>
    <row r="106" spans="1:6" x14ac:dyDescent="0.2">
      <c r="A106" s="18" t="s">
        <v>269</v>
      </c>
      <c r="B106" s="4" t="s">
        <v>437</v>
      </c>
      <c r="C106" s="4" t="s">
        <v>224</v>
      </c>
      <c r="D106" s="20"/>
      <c r="E106" s="20"/>
      <c r="F106" s="20">
        <f t="shared" ref="F106:F114" si="4">F105-D106+E106</f>
        <v>0</v>
      </c>
    </row>
    <row r="107" spans="1:6" x14ac:dyDescent="0.2">
      <c r="A107" s="18" t="s">
        <v>284</v>
      </c>
      <c r="B107" s="4" t="s">
        <v>437</v>
      </c>
      <c r="C107" s="4" t="s">
        <v>224</v>
      </c>
      <c r="D107" s="20"/>
      <c r="E107" s="20"/>
      <c r="F107" s="20">
        <f t="shared" si="4"/>
        <v>0</v>
      </c>
    </row>
    <row r="108" spans="1:6" x14ac:dyDescent="0.2">
      <c r="A108" s="18" t="s">
        <v>290</v>
      </c>
      <c r="B108" s="4" t="s">
        <v>437</v>
      </c>
      <c r="C108" s="4" t="s">
        <v>224</v>
      </c>
      <c r="D108" s="20"/>
      <c r="E108" s="20"/>
      <c r="F108" s="20">
        <f t="shared" si="4"/>
        <v>0</v>
      </c>
    </row>
    <row r="109" spans="1:6" x14ac:dyDescent="0.2">
      <c r="A109" s="18" t="s">
        <v>308</v>
      </c>
      <c r="B109" s="4" t="s">
        <v>437</v>
      </c>
      <c r="C109" s="4" t="s">
        <v>224</v>
      </c>
      <c r="D109" s="20"/>
      <c r="E109" s="20"/>
      <c r="F109" s="20">
        <f t="shared" si="4"/>
        <v>0</v>
      </c>
    </row>
    <row r="110" spans="1:6" x14ac:dyDescent="0.2">
      <c r="A110" s="18" t="s">
        <v>322</v>
      </c>
      <c r="B110" s="4" t="s">
        <v>437</v>
      </c>
      <c r="C110" s="4" t="s">
        <v>224</v>
      </c>
      <c r="D110" s="20"/>
      <c r="E110" s="20"/>
      <c r="F110" s="20">
        <f t="shared" si="4"/>
        <v>0</v>
      </c>
    </row>
    <row r="111" spans="1:6" x14ac:dyDescent="0.2">
      <c r="A111" s="18" t="s">
        <v>341</v>
      </c>
      <c r="B111" s="4" t="s">
        <v>437</v>
      </c>
      <c r="C111" s="4" t="s">
        <v>224</v>
      </c>
      <c r="D111" s="20"/>
      <c r="E111" s="20"/>
      <c r="F111" s="20">
        <f t="shared" si="4"/>
        <v>0</v>
      </c>
    </row>
    <row r="112" spans="1:6" x14ac:dyDescent="0.2">
      <c r="A112" s="18" t="s">
        <v>357</v>
      </c>
      <c r="B112" s="4" t="s">
        <v>437</v>
      </c>
      <c r="C112" s="4" t="s">
        <v>224</v>
      </c>
      <c r="D112" s="20"/>
      <c r="E112" s="20"/>
      <c r="F112" s="20">
        <f t="shared" si="4"/>
        <v>0</v>
      </c>
    </row>
    <row r="113" spans="1:6" x14ac:dyDescent="0.2">
      <c r="A113" s="18" t="s">
        <v>376</v>
      </c>
      <c r="B113" s="4" t="s">
        <v>437</v>
      </c>
      <c r="C113" s="4" t="s">
        <v>224</v>
      </c>
      <c r="D113" s="20"/>
      <c r="E113" s="20"/>
      <c r="F113" s="20">
        <f t="shared" si="4"/>
        <v>0</v>
      </c>
    </row>
    <row r="114" spans="1:6" x14ac:dyDescent="0.2">
      <c r="A114" s="18" t="s">
        <v>390</v>
      </c>
      <c r="B114" s="4" t="s">
        <v>437</v>
      </c>
      <c r="C114" s="4" t="s">
        <v>224</v>
      </c>
      <c r="D114" s="20"/>
      <c r="E114" s="20"/>
      <c r="F114" s="20">
        <f t="shared" si="4"/>
        <v>0</v>
      </c>
    </row>
    <row r="115" spans="1:6" x14ac:dyDescent="0.2">
      <c r="A115" s="18" t="s">
        <v>449</v>
      </c>
      <c r="B115" s="4" t="s">
        <v>437</v>
      </c>
      <c r="C115" s="4" t="s">
        <v>224</v>
      </c>
      <c r="D115" s="20"/>
      <c r="E115" s="20"/>
      <c r="F115" s="20"/>
    </row>
    <row r="116" spans="1:6" x14ac:dyDescent="0.2">
      <c r="A116" s="105" t="s">
        <v>10</v>
      </c>
      <c r="B116" s="112"/>
      <c r="C116" s="106"/>
      <c r="D116" s="20">
        <f>SUM(D104:D115)</f>
        <v>0</v>
      </c>
      <c r="E116" s="20">
        <f>SUM(E104:E115)</f>
        <v>0</v>
      </c>
      <c r="F116" s="20">
        <f>E116-D116</f>
        <v>0</v>
      </c>
    </row>
    <row r="117" spans="1:6" x14ac:dyDescent="0.2">
      <c r="A117" s="105" t="s">
        <v>11</v>
      </c>
      <c r="B117" s="112"/>
      <c r="C117" s="106"/>
      <c r="D117" s="20"/>
      <c r="E117" s="20"/>
      <c r="F117" s="20">
        <f>D117-E117</f>
        <v>0</v>
      </c>
    </row>
    <row r="118" spans="1:6" x14ac:dyDescent="0.2">
      <c r="A118" s="105" t="s">
        <v>10</v>
      </c>
      <c r="B118" s="112"/>
      <c r="C118" s="106"/>
      <c r="D118" s="20">
        <f>SUM(D116:D117)</f>
        <v>0</v>
      </c>
      <c r="E118" s="20">
        <f>SUM(E116:E117)</f>
        <v>0</v>
      </c>
      <c r="F118" s="20">
        <f>SUM(F116:F117)</f>
        <v>0</v>
      </c>
    </row>
    <row r="120" spans="1:6" x14ac:dyDescent="0.2">
      <c r="A120" s="100" t="s">
        <v>0</v>
      </c>
      <c r="B120" s="100"/>
    </row>
    <row r="121" spans="1:6" x14ac:dyDescent="0.2">
      <c r="A121" s="100" t="s">
        <v>1</v>
      </c>
      <c r="B121" s="100"/>
    </row>
    <row r="122" spans="1:6" x14ac:dyDescent="0.2">
      <c r="A122" s="101" t="s">
        <v>2</v>
      </c>
      <c r="B122" s="101"/>
      <c r="C122" s="101"/>
      <c r="D122" s="101"/>
      <c r="E122" s="101"/>
      <c r="F122" s="101"/>
    </row>
    <row r="123" spans="1:6" x14ac:dyDescent="0.2">
      <c r="A123" s="109" t="s">
        <v>115</v>
      </c>
      <c r="B123" s="109"/>
      <c r="D123" s="2" t="s">
        <v>116</v>
      </c>
    </row>
    <row r="125" spans="1:6" x14ac:dyDescent="0.2">
      <c r="A125" s="110" t="s">
        <v>3</v>
      </c>
      <c r="B125" s="110" t="s">
        <v>4</v>
      </c>
      <c r="C125" s="110" t="s">
        <v>5</v>
      </c>
      <c r="D125" s="105" t="s">
        <v>6</v>
      </c>
      <c r="E125" s="106"/>
      <c r="F125" s="103" t="s">
        <v>9</v>
      </c>
    </row>
    <row r="126" spans="1:6" x14ac:dyDescent="0.2">
      <c r="A126" s="110"/>
      <c r="B126" s="110"/>
      <c r="C126" s="110"/>
      <c r="D126" s="3" t="s">
        <v>7</v>
      </c>
      <c r="E126" s="3" t="s">
        <v>8</v>
      </c>
      <c r="F126" s="104"/>
    </row>
    <row r="127" spans="1:6" x14ac:dyDescent="0.2">
      <c r="A127" s="4"/>
      <c r="B127" s="4"/>
      <c r="C127" s="4"/>
      <c r="D127" s="4">
        <v>0</v>
      </c>
      <c r="E127" s="4">
        <v>0</v>
      </c>
      <c r="F127" s="4">
        <f>D127+E127</f>
        <v>0</v>
      </c>
    </row>
    <row r="128" spans="1:6" x14ac:dyDescent="0.2">
      <c r="A128" s="4"/>
      <c r="B128" s="4"/>
      <c r="C128" s="4"/>
      <c r="D128" s="4"/>
      <c r="E128" s="4"/>
      <c r="F128" s="4"/>
    </row>
    <row r="129" spans="1:6" x14ac:dyDescent="0.2">
      <c r="A129" s="4"/>
      <c r="B129" s="4"/>
      <c r="C129" s="4"/>
      <c r="D129" s="4"/>
      <c r="E129" s="4"/>
      <c r="F129" s="4"/>
    </row>
    <row r="130" spans="1:6" x14ac:dyDescent="0.2">
      <c r="A130" s="4"/>
      <c r="B130" s="4"/>
      <c r="C130" s="4"/>
      <c r="D130" s="4"/>
      <c r="E130" s="4"/>
      <c r="F130" s="4"/>
    </row>
    <row r="131" spans="1:6" x14ac:dyDescent="0.2">
      <c r="A131" s="99" t="s">
        <v>10</v>
      </c>
      <c r="B131" s="99"/>
      <c r="C131" s="99"/>
      <c r="D131" s="4">
        <f>SUM(D127:D130)</f>
        <v>0</v>
      </c>
      <c r="E131" s="4">
        <f>SUM(E127:E130)</f>
        <v>0</v>
      </c>
      <c r="F131" s="4">
        <f>D131-E131</f>
        <v>0</v>
      </c>
    </row>
    <row r="132" spans="1:6" x14ac:dyDescent="0.2">
      <c r="A132" s="99" t="s">
        <v>11</v>
      </c>
      <c r="B132" s="99"/>
      <c r="C132" s="99"/>
      <c r="D132" s="4"/>
      <c r="E132" s="4"/>
      <c r="F132" s="4">
        <f>D132-E132</f>
        <v>0</v>
      </c>
    </row>
    <row r="133" spans="1:6" x14ac:dyDescent="0.2">
      <c r="A133" s="99" t="s">
        <v>10</v>
      </c>
      <c r="B133" s="99"/>
      <c r="C133" s="99"/>
      <c r="D133" s="4">
        <f>SUM(D131:D132)</f>
        <v>0</v>
      </c>
      <c r="E133" s="4">
        <f>SUM(E131:E132)</f>
        <v>0</v>
      </c>
      <c r="F133" s="4">
        <f>SUM(F131:F132)</f>
        <v>0</v>
      </c>
    </row>
  </sheetData>
  <mergeCells count="84">
    <mergeCell ref="D125:E125"/>
    <mergeCell ref="F125:F126"/>
    <mergeCell ref="A131:C131"/>
    <mergeCell ref="A132:C132"/>
    <mergeCell ref="A133:C133"/>
    <mergeCell ref="A125:A126"/>
    <mergeCell ref="B125:B126"/>
    <mergeCell ref="C125:C126"/>
    <mergeCell ref="A97:B97"/>
    <mergeCell ref="A98:B98"/>
    <mergeCell ref="A99:F99"/>
    <mergeCell ref="A69:B69"/>
    <mergeCell ref="A71:A72"/>
    <mergeCell ref="B71:B72"/>
    <mergeCell ref="C71:C72"/>
    <mergeCell ref="D71:E71"/>
    <mergeCell ref="F85:F86"/>
    <mergeCell ref="A76:C76"/>
    <mergeCell ref="A77:C77"/>
    <mergeCell ref="A78:C78"/>
    <mergeCell ref="A80:B80"/>
    <mergeCell ref="A81:B81"/>
    <mergeCell ref="A82:F82"/>
    <mergeCell ref="A120:B120"/>
    <mergeCell ref="A121:B121"/>
    <mergeCell ref="A122:F122"/>
    <mergeCell ref="A123:B123"/>
    <mergeCell ref="A100:B100"/>
    <mergeCell ref="A102:A103"/>
    <mergeCell ref="B102:B103"/>
    <mergeCell ref="C102:C103"/>
    <mergeCell ref="D102:E102"/>
    <mergeCell ref="F102:F103"/>
    <mergeCell ref="A116:C116"/>
    <mergeCell ref="A117:C117"/>
    <mergeCell ref="A118:C118"/>
    <mergeCell ref="A66:B66"/>
    <mergeCell ref="A67:B67"/>
    <mergeCell ref="A68:F68"/>
    <mergeCell ref="D85:E85"/>
    <mergeCell ref="C85:C86"/>
    <mergeCell ref="B85:B86"/>
    <mergeCell ref="A85:A86"/>
    <mergeCell ref="A83:B83"/>
    <mergeCell ref="F71:F72"/>
    <mergeCell ref="A61:C61"/>
    <mergeCell ref="A62:C62"/>
    <mergeCell ref="A63:C63"/>
    <mergeCell ref="A44:B44"/>
    <mergeCell ref="A46:A47"/>
    <mergeCell ref="B46:B47"/>
    <mergeCell ref="C46:C47"/>
    <mergeCell ref="D29:E29"/>
    <mergeCell ref="D46:E46"/>
    <mergeCell ref="F46:F47"/>
    <mergeCell ref="A35:C35"/>
    <mergeCell ref="A36:C36"/>
    <mergeCell ref="A37:C37"/>
    <mergeCell ref="A41:B41"/>
    <mergeCell ref="A42:B42"/>
    <mergeCell ref="A43:F43"/>
    <mergeCell ref="A20:C20"/>
    <mergeCell ref="A21:C21"/>
    <mergeCell ref="A22:C22"/>
    <mergeCell ref="A27:B27"/>
    <mergeCell ref="A29:A30"/>
    <mergeCell ref="B29:B30"/>
    <mergeCell ref="C29:C30"/>
    <mergeCell ref="A1:B1"/>
    <mergeCell ref="A95:C95"/>
    <mergeCell ref="A94:C94"/>
    <mergeCell ref="A93:C93"/>
    <mergeCell ref="A2:B2"/>
    <mergeCell ref="A3:F3"/>
    <mergeCell ref="A4:B4"/>
    <mergeCell ref="A6:A7"/>
    <mergeCell ref="B6:B7"/>
    <mergeCell ref="C6:C7"/>
    <mergeCell ref="D6:E6"/>
    <mergeCell ref="F6:F7"/>
    <mergeCell ref="F29:F30"/>
    <mergeCell ref="A24:B24"/>
    <mergeCell ref="A25:B25"/>
    <mergeCell ref="A26:F26"/>
  </mergeCells>
  <phoneticPr fontId="8" type="noConversion"/>
  <pageMargins left="0.51181102362204722" right="0.51181102362204722" top="0.74803149606299213" bottom="0.74803149606299213" header="0.31496062992125984" footer="0.31496062992125984"/>
  <pageSetup paperSize="9"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6"/>
  <sheetViews>
    <sheetView showWhiteSpace="0" view="pageLayout" topLeftCell="A100" workbookViewId="0">
      <selection activeCell="A4" sqref="A4:B4"/>
    </sheetView>
  </sheetViews>
  <sheetFormatPr defaultColWidth="9.140625" defaultRowHeight="12" x14ac:dyDescent="0.2"/>
  <cols>
    <col min="1" max="1" width="9.140625" style="1"/>
    <col min="2" max="2" width="33.28515625" style="1" customWidth="1"/>
    <col min="3" max="3" width="10" style="1" customWidth="1"/>
    <col min="4" max="4" width="11.7109375" style="1" customWidth="1"/>
    <col min="5" max="5" width="12.5703125" style="1" customWidth="1"/>
    <col min="6" max="6" width="15.5703125" style="1" customWidth="1"/>
    <col min="7" max="7" width="9.85546875" style="1" bestFit="1" customWidth="1"/>
    <col min="8"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22" t="s">
        <v>117</v>
      </c>
      <c r="B4" s="122"/>
      <c r="D4" s="2" t="s">
        <v>1421</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18" t="s">
        <v>1287</v>
      </c>
      <c r="B8" s="4" t="s">
        <v>225</v>
      </c>
      <c r="C8" s="4" t="s">
        <v>200</v>
      </c>
      <c r="D8" s="20"/>
      <c r="E8" s="20"/>
      <c r="F8" s="20">
        <f>D8+E8</f>
        <v>0</v>
      </c>
    </row>
    <row r="9" spans="1:6" x14ac:dyDescent="0.2">
      <c r="A9" s="18" t="s">
        <v>509</v>
      </c>
      <c r="B9" s="4" t="s">
        <v>225</v>
      </c>
      <c r="C9" s="4" t="s">
        <v>200</v>
      </c>
      <c r="D9" s="20"/>
      <c r="E9" s="20"/>
      <c r="F9" s="20">
        <f t="shared" ref="F9:F20" si="0">F8-D9+E9</f>
        <v>0</v>
      </c>
    </row>
    <row r="10" spans="1:6" x14ac:dyDescent="0.2">
      <c r="A10" s="18" t="s">
        <v>761</v>
      </c>
      <c r="B10" s="4" t="s">
        <v>225</v>
      </c>
      <c r="C10" s="4" t="s">
        <v>200</v>
      </c>
      <c r="D10" s="20"/>
      <c r="E10" s="20"/>
      <c r="F10" s="20">
        <f t="shared" si="0"/>
        <v>0</v>
      </c>
    </row>
    <row r="11" spans="1:6" x14ac:dyDescent="0.2">
      <c r="A11" s="18" t="s">
        <v>282</v>
      </c>
      <c r="B11" s="4" t="s">
        <v>225</v>
      </c>
      <c r="C11" s="4" t="s">
        <v>200</v>
      </c>
      <c r="D11" s="20"/>
      <c r="E11" s="20"/>
      <c r="F11" s="20">
        <f t="shared" si="0"/>
        <v>0</v>
      </c>
    </row>
    <row r="12" spans="1:6" x14ac:dyDescent="0.2">
      <c r="A12" s="18" t="s">
        <v>435</v>
      </c>
      <c r="B12" s="4" t="s">
        <v>225</v>
      </c>
      <c r="C12" s="4" t="s">
        <v>200</v>
      </c>
      <c r="D12" s="20"/>
      <c r="E12" s="20"/>
      <c r="F12" s="20">
        <f t="shared" si="0"/>
        <v>0</v>
      </c>
    </row>
    <row r="13" spans="1:6" x14ac:dyDescent="0.2">
      <c r="A13" s="18" t="s">
        <v>598</v>
      </c>
      <c r="B13" s="4" t="s">
        <v>225</v>
      </c>
      <c r="C13" s="4" t="s">
        <v>200</v>
      </c>
      <c r="D13" s="20"/>
      <c r="E13" s="20"/>
      <c r="F13" s="20">
        <f t="shared" si="0"/>
        <v>0</v>
      </c>
    </row>
    <row r="14" spans="1:6" x14ac:dyDescent="0.2">
      <c r="A14" s="18" t="s">
        <v>538</v>
      </c>
      <c r="B14" s="4" t="s">
        <v>225</v>
      </c>
      <c r="C14" s="4" t="s">
        <v>200</v>
      </c>
      <c r="D14" s="20"/>
      <c r="E14" s="20"/>
      <c r="F14" s="20">
        <f t="shared" si="0"/>
        <v>0</v>
      </c>
    </row>
    <row r="15" spans="1:6" x14ac:dyDescent="0.2">
      <c r="A15" s="18" t="s">
        <v>616</v>
      </c>
      <c r="B15" s="4" t="s">
        <v>225</v>
      </c>
      <c r="C15" s="4" t="s">
        <v>200</v>
      </c>
      <c r="D15" s="20"/>
      <c r="E15" s="20"/>
      <c r="F15" s="20">
        <f t="shared" si="0"/>
        <v>0</v>
      </c>
    </row>
    <row r="16" spans="1:6" x14ac:dyDescent="0.2">
      <c r="A16" s="18" t="s">
        <v>622</v>
      </c>
      <c r="B16" s="4" t="s">
        <v>225</v>
      </c>
      <c r="C16" s="4" t="s">
        <v>200</v>
      </c>
      <c r="D16" s="20"/>
      <c r="E16" s="20"/>
      <c r="F16" s="20">
        <f t="shared" si="0"/>
        <v>0</v>
      </c>
    </row>
    <row r="17" spans="1:8" x14ac:dyDescent="0.2">
      <c r="A17" s="18" t="s">
        <v>369</v>
      </c>
      <c r="B17" s="4" t="s">
        <v>225</v>
      </c>
      <c r="C17" s="4" t="s">
        <v>200</v>
      </c>
      <c r="D17" s="20"/>
      <c r="E17" s="20"/>
      <c r="F17" s="20">
        <f t="shared" si="0"/>
        <v>0</v>
      </c>
    </row>
    <row r="18" spans="1:8" x14ac:dyDescent="0.2">
      <c r="A18" s="18" t="s">
        <v>634</v>
      </c>
      <c r="B18" s="4" t="s">
        <v>225</v>
      </c>
      <c r="C18" s="4" t="s">
        <v>200</v>
      </c>
      <c r="D18" s="20"/>
      <c r="E18" s="20"/>
      <c r="F18" s="20">
        <f t="shared" si="0"/>
        <v>0</v>
      </c>
      <c r="H18" s="31"/>
    </row>
    <row r="19" spans="1:8" x14ac:dyDescent="0.2">
      <c r="A19" s="18" t="s">
        <v>1137</v>
      </c>
      <c r="B19" s="4" t="s">
        <v>225</v>
      </c>
      <c r="C19" s="4" t="s">
        <v>200</v>
      </c>
      <c r="D19" s="20"/>
      <c r="E19" s="20"/>
      <c r="F19" s="20">
        <f t="shared" si="0"/>
        <v>0</v>
      </c>
    </row>
    <row r="20" spans="1:8" x14ac:dyDescent="0.2">
      <c r="A20" s="18" t="s">
        <v>449</v>
      </c>
      <c r="B20" s="4" t="s">
        <v>557</v>
      </c>
      <c r="C20" s="4" t="s">
        <v>200</v>
      </c>
      <c r="D20" s="20"/>
      <c r="E20" s="20"/>
      <c r="F20" s="20">
        <f t="shared" si="0"/>
        <v>0</v>
      </c>
    </row>
    <row r="21" spans="1:8" x14ac:dyDescent="0.2">
      <c r="A21" s="53"/>
      <c r="B21" s="4"/>
      <c r="C21" s="10"/>
      <c r="D21" s="20"/>
      <c r="E21" s="20"/>
      <c r="F21" s="20"/>
    </row>
    <row r="22" spans="1:8" x14ac:dyDescent="0.2">
      <c r="A22" s="105" t="s">
        <v>10</v>
      </c>
      <c r="B22" s="112"/>
      <c r="C22" s="106"/>
      <c r="D22" s="20">
        <f>SUM(D8:D20)</f>
        <v>0</v>
      </c>
      <c r="E22" s="20">
        <f>SUM(E8:E20)</f>
        <v>0</v>
      </c>
      <c r="F22" s="20">
        <f>E22-D22</f>
        <v>0</v>
      </c>
    </row>
    <row r="23" spans="1:8" x14ac:dyDescent="0.2">
      <c r="A23" s="105" t="s">
        <v>11</v>
      </c>
      <c r="B23" s="112"/>
      <c r="C23" s="106"/>
      <c r="D23" s="20"/>
      <c r="E23" s="20"/>
      <c r="F23" s="20">
        <f>D23-E23</f>
        <v>0</v>
      </c>
      <c r="H23" s="31"/>
    </row>
    <row r="24" spans="1:8" x14ac:dyDescent="0.2">
      <c r="A24" s="105" t="s">
        <v>10</v>
      </c>
      <c r="B24" s="112"/>
      <c r="C24" s="106"/>
      <c r="D24" s="20">
        <f>SUM(D22:D23)</f>
        <v>0</v>
      </c>
      <c r="E24" s="20">
        <f>SUM(E22:E23)</f>
        <v>0</v>
      </c>
      <c r="F24" s="20">
        <f>SUM(F22:F23)</f>
        <v>0</v>
      </c>
    </row>
    <row r="27" spans="1:8" x14ac:dyDescent="0.2">
      <c r="A27" s="100" t="s">
        <v>0</v>
      </c>
      <c r="B27" s="100"/>
      <c r="F27" s="31"/>
    </row>
    <row r="28" spans="1:8" x14ac:dyDescent="0.2">
      <c r="A28" s="100" t="s">
        <v>1</v>
      </c>
      <c r="B28" s="100"/>
    </row>
    <row r="29" spans="1:8" x14ac:dyDescent="0.2">
      <c r="A29" s="101" t="s">
        <v>2</v>
      </c>
      <c r="B29" s="101"/>
      <c r="C29" s="101"/>
      <c r="D29" s="101"/>
      <c r="E29" s="101"/>
      <c r="F29" s="101"/>
    </row>
    <row r="30" spans="1:8" x14ac:dyDescent="0.2">
      <c r="A30" s="109" t="s">
        <v>118</v>
      </c>
      <c r="B30" s="109"/>
      <c r="D30" s="2" t="s">
        <v>1422</v>
      </c>
    </row>
    <row r="32" spans="1:8" x14ac:dyDescent="0.2">
      <c r="A32" s="103" t="s">
        <v>3</v>
      </c>
      <c r="B32" s="103" t="s">
        <v>4</v>
      </c>
      <c r="C32" s="103" t="s">
        <v>5</v>
      </c>
      <c r="D32" s="105" t="s">
        <v>6</v>
      </c>
      <c r="E32" s="106"/>
      <c r="F32" s="103" t="s">
        <v>9</v>
      </c>
    </row>
    <row r="33" spans="1:6" x14ac:dyDescent="0.2">
      <c r="A33" s="104"/>
      <c r="B33" s="104"/>
      <c r="C33" s="104"/>
      <c r="D33" s="3" t="s">
        <v>7</v>
      </c>
      <c r="E33" s="3" t="s">
        <v>8</v>
      </c>
      <c r="F33" s="104"/>
    </row>
    <row r="34" spans="1:6" x14ac:dyDescent="0.2">
      <c r="A34" s="18" t="s">
        <v>197</v>
      </c>
      <c r="B34" s="4" t="s">
        <v>226</v>
      </c>
      <c r="C34" s="4" t="s">
        <v>200</v>
      </c>
      <c r="D34" s="20">
        <v>0</v>
      </c>
      <c r="E34" s="20"/>
      <c r="F34" s="20">
        <f>D34+E34</f>
        <v>0</v>
      </c>
    </row>
    <row r="35" spans="1:6" x14ac:dyDescent="0.2">
      <c r="A35" s="4"/>
      <c r="B35" s="4" t="s">
        <v>226</v>
      </c>
      <c r="C35" s="4" t="s">
        <v>200</v>
      </c>
      <c r="D35" s="20"/>
      <c r="E35" s="20"/>
      <c r="F35" s="20">
        <f>F34+E35</f>
        <v>0</v>
      </c>
    </row>
    <row r="36" spans="1:6" x14ac:dyDescent="0.2">
      <c r="A36" s="18" t="s">
        <v>416</v>
      </c>
      <c r="B36" s="4" t="s">
        <v>226</v>
      </c>
      <c r="C36" s="4" t="s">
        <v>200</v>
      </c>
      <c r="D36" s="20"/>
      <c r="E36" s="20"/>
      <c r="F36" s="20">
        <f t="shared" ref="F36:F57" si="1">F35+E36</f>
        <v>0</v>
      </c>
    </row>
    <row r="37" spans="1:6" x14ac:dyDescent="0.2">
      <c r="A37" s="4"/>
      <c r="B37" s="4" t="s">
        <v>226</v>
      </c>
      <c r="C37" s="4" t="s">
        <v>200</v>
      </c>
      <c r="D37" s="20"/>
      <c r="E37" s="20"/>
      <c r="F37" s="20">
        <f t="shared" si="1"/>
        <v>0</v>
      </c>
    </row>
    <row r="38" spans="1:6" x14ac:dyDescent="0.2">
      <c r="A38" s="18" t="s">
        <v>269</v>
      </c>
      <c r="B38" s="4" t="s">
        <v>226</v>
      </c>
      <c r="C38" s="4" t="s">
        <v>200</v>
      </c>
      <c r="D38" s="20"/>
      <c r="E38" s="20"/>
      <c r="F38" s="20">
        <f t="shared" si="1"/>
        <v>0</v>
      </c>
    </row>
    <row r="39" spans="1:6" x14ac:dyDescent="0.2">
      <c r="A39" s="4"/>
      <c r="B39" s="4" t="s">
        <v>226</v>
      </c>
      <c r="C39" s="4" t="s">
        <v>200</v>
      </c>
      <c r="D39" s="20"/>
      <c r="E39" s="20"/>
      <c r="F39" s="20">
        <f t="shared" si="1"/>
        <v>0</v>
      </c>
    </row>
    <row r="40" spans="1:6" x14ac:dyDescent="0.2">
      <c r="A40" s="18" t="s">
        <v>284</v>
      </c>
      <c r="B40" s="4" t="s">
        <v>226</v>
      </c>
      <c r="C40" s="4" t="s">
        <v>200</v>
      </c>
      <c r="D40" s="20"/>
      <c r="E40" s="20"/>
      <c r="F40" s="20">
        <f t="shared" si="1"/>
        <v>0</v>
      </c>
    </row>
    <row r="41" spans="1:6" x14ac:dyDescent="0.2">
      <c r="A41" s="4"/>
      <c r="B41" s="4" t="s">
        <v>226</v>
      </c>
      <c r="C41" s="4" t="s">
        <v>200</v>
      </c>
      <c r="D41" s="20"/>
      <c r="E41" s="20"/>
      <c r="F41" s="20">
        <f t="shared" si="1"/>
        <v>0</v>
      </c>
    </row>
    <row r="42" spans="1:6" x14ac:dyDescent="0.2">
      <c r="A42" s="18" t="s">
        <v>290</v>
      </c>
      <c r="B42" s="4" t="s">
        <v>226</v>
      </c>
      <c r="C42" s="4" t="s">
        <v>200</v>
      </c>
      <c r="D42" s="20"/>
      <c r="E42" s="20"/>
      <c r="F42" s="20">
        <f t="shared" si="1"/>
        <v>0</v>
      </c>
    </row>
    <row r="43" spans="1:6" x14ac:dyDescent="0.2">
      <c r="A43" s="4"/>
      <c r="B43" s="4" t="s">
        <v>226</v>
      </c>
      <c r="C43" s="4" t="s">
        <v>200</v>
      </c>
      <c r="D43" s="20"/>
      <c r="E43" s="20"/>
      <c r="F43" s="20">
        <f t="shared" si="1"/>
        <v>0</v>
      </c>
    </row>
    <row r="44" spans="1:6" x14ac:dyDescent="0.2">
      <c r="A44" s="18" t="s">
        <v>308</v>
      </c>
      <c r="B44" s="4" t="s">
        <v>226</v>
      </c>
      <c r="C44" s="4" t="s">
        <v>200</v>
      </c>
      <c r="D44" s="20"/>
      <c r="E44" s="20"/>
      <c r="F44" s="20">
        <f t="shared" si="1"/>
        <v>0</v>
      </c>
    </row>
    <row r="45" spans="1:6" x14ac:dyDescent="0.2">
      <c r="A45" s="4"/>
      <c r="B45" s="4" t="s">
        <v>226</v>
      </c>
      <c r="C45" s="4" t="s">
        <v>200</v>
      </c>
      <c r="D45" s="20"/>
      <c r="E45" s="20"/>
      <c r="F45" s="20">
        <f t="shared" si="1"/>
        <v>0</v>
      </c>
    </row>
    <row r="46" spans="1:6" x14ac:dyDescent="0.2">
      <c r="A46" s="18" t="s">
        <v>322</v>
      </c>
      <c r="B46" s="4" t="s">
        <v>226</v>
      </c>
      <c r="C46" s="4" t="s">
        <v>200</v>
      </c>
      <c r="D46" s="20"/>
      <c r="E46" s="20"/>
      <c r="F46" s="20">
        <f t="shared" si="1"/>
        <v>0</v>
      </c>
    </row>
    <row r="47" spans="1:6" x14ac:dyDescent="0.2">
      <c r="A47" s="4"/>
      <c r="B47" s="4" t="s">
        <v>226</v>
      </c>
      <c r="C47" s="4" t="s">
        <v>200</v>
      </c>
      <c r="D47" s="20"/>
      <c r="E47" s="20"/>
      <c r="F47" s="20">
        <f t="shared" si="1"/>
        <v>0</v>
      </c>
    </row>
    <row r="48" spans="1:6" x14ac:dyDescent="0.2">
      <c r="A48" s="18" t="s">
        <v>335</v>
      </c>
      <c r="B48" s="4" t="s">
        <v>226</v>
      </c>
      <c r="C48" s="4" t="s">
        <v>200</v>
      </c>
      <c r="D48" s="20"/>
      <c r="E48" s="20"/>
      <c r="F48" s="20">
        <f t="shared" si="1"/>
        <v>0</v>
      </c>
    </row>
    <row r="49" spans="1:7" x14ac:dyDescent="0.2">
      <c r="A49" s="4"/>
      <c r="B49" s="4" t="s">
        <v>226</v>
      </c>
      <c r="C49" s="4" t="s">
        <v>200</v>
      </c>
      <c r="D49" s="20"/>
      <c r="E49" s="20"/>
      <c r="F49" s="20">
        <f t="shared" si="1"/>
        <v>0</v>
      </c>
    </row>
    <row r="50" spans="1:7" x14ac:dyDescent="0.2">
      <c r="A50" s="18" t="s">
        <v>357</v>
      </c>
      <c r="B50" s="4" t="s">
        <v>226</v>
      </c>
      <c r="C50" s="4" t="s">
        <v>200</v>
      </c>
      <c r="D50" s="20"/>
      <c r="E50" s="20"/>
      <c r="F50" s="20">
        <f t="shared" si="1"/>
        <v>0</v>
      </c>
    </row>
    <row r="51" spans="1:7" x14ac:dyDescent="0.2">
      <c r="A51" s="4"/>
      <c r="B51" s="4" t="s">
        <v>226</v>
      </c>
      <c r="C51" s="4" t="s">
        <v>200</v>
      </c>
      <c r="D51" s="20"/>
      <c r="E51" s="20"/>
      <c r="F51" s="20">
        <f t="shared" si="1"/>
        <v>0</v>
      </c>
    </row>
    <row r="52" spans="1:7" x14ac:dyDescent="0.2">
      <c r="A52" s="18" t="s">
        <v>376</v>
      </c>
      <c r="B52" s="4" t="s">
        <v>226</v>
      </c>
      <c r="C52" s="4" t="s">
        <v>200</v>
      </c>
      <c r="D52" s="20"/>
      <c r="E52" s="20"/>
      <c r="F52" s="20">
        <f t="shared" si="1"/>
        <v>0</v>
      </c>
      <c r="G52" s="31"/>
    </row>
    <row r="53" spans="1:7" x14ac:dyDescent="0.2">
      <c r="A53" s="4"/>
      <c r="B53" s="4" t="s">
        <v>226</v>
      </c>
      <c r="C53" s="4" t="s">
        <v>200</v>
      </c>
      <c r="D53" s="20"/>
      <c r="E53" s="20"/>
      <c r="F53" s="20">
        <f t="shared" si="1"/>
        <v>0</v>
      </c>
    </row>
    <row r="54" spans="1:7" x14ac:dyDescent="0.2">
      <c r="A54" s="18" t="s">
        <v>390</v>
      </c>
      <c r="B54" s="4" t="s">
        <v>226</v>
      </c>
      <c r="C54" s="4" t="s">
        <v>200</v>
      </c>
      <c r="D54" s="20"/>
      <c r="E54" s="20"/>
      <c r="F54" s="20">
        <f t="shared" si="1"/>
        <v>0</v>
      </c>
    </row>
    <row r="55" spans="1:7" x14ac:dyDescent="0.2">
      <c r="A55" s="4"/>
      <c r="B55" s="4" t="s">
        <v>226</v>
      </c>
      <c r="C55" s="4" t="s">
        <v>200</v>
      </c>
      <c r="D55" s="20"/>
      <c r="E55" s="20"/>
      <c r="F55" s="20">
        <f t="shared" si="1"/>
        <v>0</v>
      </c>
    </row>
    <row r="56" spans="1:7" x14ac:dyDescent="0.2">
      <c r="A56" s="18" t="s">
        <v>449</v>
      </c>
      <c r="B56" s="4" t="s">
        <v>226</v>
      </c>
      <c r="C56" s="4" t="s">
        <v>200</v>
      </c>
      <c r="D56" s="20"/>
      <c r="E56" s="20"/>
      <c r="F56" s="20">
        <f t="shared" si="1"/>
        <v>0</v>
      </c>
    </row>
    <row r="57" spans="1:7" x14ac:dyDescent="0.2">
      <c r="A57" s="4"/>
      <c r="B57" s="4" t="s">
        <v>226</v>
      </c>
      <c r="C57" s="4" t="s">
        <v>200</v>
      </c>
      <c r="D57" s="20"/>
      <c r="E57" s="20"/>
      <c r="F57" s="20">
        <f t="shared" si="1"/>
        <v>0</v>
      </c>
    </row>
    <row r="58" spans="1:7" x14ac:dyDescent="0.2">
      <c r="A58" s="4"/>
      <c r="B58" s="4"/>
      <c r="C58" s="4"/>
      <c r="D58" s="20"/>
      <c r="E58" s="20"/>
      <c r="F58" s="20"/>
    </row>
    <row r="59" spans="1:7" x14ac:dyDescent="0.2">
      <c r="A59" s="105" t="s">
        <v>10</v>
      </c>
      <c r="B59" s="112"/>
      <c r="C59" s="106"/>
      <c r="D59" s="20">
        <f>SUM(D34:D58)</f>
        <v>0</v>
      </c>
      <c r="E59" s="20">
        <f>SUM(E34:E58)</f>
        <v>0</v>
      </c>
      <c r="F59" s="20">
        <f>E59-D59</f>
        <v>0</v>
      </c>
    </row>
    <row r="60" spans="1:7" x14ac:dyDescent="0.2">
      <c r="A60" s="105" t="s">
        <v>11</v>
      </c>
      <c r="B60" s="112"/>
      <c r="C60" s="106"/>
      <c r="D60" s="20"/>
      <c r="E60" s="20"/>
      <c r="F60" s="20">
        <f>D60-E60</f>
        <v>0</v>
      </c>
    </row>
    <row r="61" spans="1:7" x14ac:dyDescent="0.2">
      <c r="A61" s="105" t="s">
        <v>10</v>
      </c>
      <c r="B61" s="112"/>
      <c r="C61" s="106"/>
      <c r="D61" s="20">
        <f>SUM(D59:D60)</f>
        <v>0</v>
      </c>
      <c r="E61" s="20">
        <f>SUM(E59:E60)</f>
        <v>0</v>
      </c>
      <c r="F61" s="20">
        <f>SUM(F59:F60)</f>
        <v>0</v>
      </c>
    </row>
    <row r="64" spans="1:7" x14ac:dyDescent="0.2">
      <c r="E64" s="31"/>
      <c r="F64" s="31">
        <f>F61+F24</f>
        <v>0</v>
      </c>
    </row>
    <row r="65" spans="1:6" x14ac:dyDescent="0.2">
      <c r="E65" s="31"/>
      <c r="F65" s="31">
        <f>37990185-F64</f>
        <v>37990185</v>
      </c>
    </row>
    <row r="66" spans="1:6" x14ac:dyDescent="0.2">
      <c r="A66" s="100" t="s">
        <v>0</v>
      </c>
      <c r="B66" s="100"/>
    </row>
    <row r="67" spans="1:6" x14ac:dyDescent="0.2">
      <c r="A67" s="100" t="s">
        <v>1</v>
      </c>
      <c r="B67" s="100"/>
    </row>
    <row r="68" spans="1:6" x14ac:dyDescent="0.2">
      <c r="A68" s="101" t="s">
        <v>2</v>
      </c>
      <c r="B68" s="101"/>
      <c r="C68" s="101"/>
      <c r="D68" s="101"/>
      <c r="E68" s="101"/>
      <c r="F68" s="101"/>
    </row>
    <row r="69" spans="1:6" x14ac:dyDescent="0.2">
      <c r="A69" s="109" t="s">
        <v>242</v>
      </c>
      <c r="B69" s="109"/>
      <c r="D69" s="2" t="s">
        <v>1424</v>
      </c>
    </row>
    <row r="71" spans="1:6" x14ac:dyDescent="0.2">
      <c r="A71" s="103" t="s">
        <v>3</v>
      </c>
      <c r="B71" s="103" t="s">
        <v>4</v>
      </c>
      <c r="C71" s="103" t="s">
        <v>5</v>
      </c>
      <c r="D71" s="105" t="s">
        <v>6</v>
      </c>
      <c r="E71" s="106"/>
      <c r="F71" s="103" t="s">
        <v>9</v>
      </c>
    </row>
    <row r="72" spans="1:6" x14ac:dyDescent="0.2">
      <c r="A72" s="104"/>
      <c r="B72" s="104"/>
      <c r="C72" s="104"/>
      <c r="D72" s="3" t="s">
        <v>7</v>
      </c>
      <c r="E72" s="3" t="s">
        <v>8</v>
      </c>
      <c r="F72" s="104"/>
    </row>
    <row r="73" spans="1:6" x14ac:dyDescent="0.2">
      <c r="A73" s="18" t="s">
        <v>624</v>
      </c>
      <c r="B73" s="4" t="s">
        <v>441</v>
      </c>
      <c r="C73" s="4" t="s">
        <v>200</v>
      </c>
      <c r="D73" s="4">
        <v>0</v>
      </c>
      <c r="E73" s="21"/>
      <c r="F73" s="20">
        <f>D73+E73</f>
        <v>0</v>
      </c>
    </row>
    <row r="74" spans="1:6" x14ac:dyDescent="0.2">
      <c r="A74" s="18" t="s">
        <v>1138</v>
      </c>
      <c r="B74" s="4" t="s">
        <v>1139</v>
      </c>
      <c r="C74" s="4" t="s">
        <v>200</v>
      </c>
      <c r="D74" s="4"/>
      <c r="E74" s="20"/>
      <c r="F74" s="20">
        <f>F73+E74</f>
        <v>0</v>
      </c>
    </row>
    <row r="75" spans="1:6" x14ac:dyDescent="0.2">
      <c r="A75" s="18" t="s">
        <v>642</v>
      </c>
      <c r="B75" s="4" t="s">
        <v>1140</v>
      </c>
      <c r="C75" s="4" t="s">
        <v>200</v>
      </c>
      <c r="D75" s="4"/>
      <c r="E75" s="20"/>
      <c r="F75" s="20">
        <f t="shared" ref="F75:F76" si="2">F74+E75</f>
        <v>0</v>
      </c>
    </row>
    <row r="76" spans="1:6" x14ac:dyDescent="0.2">
      <c r="A76" s="18"/>
      <c r="B76" s="4"/>
      <c r="C76" s="4" t="s">
        <v>200</v>
      </c>
      <c r="D76" s="4"/>
      <c r="E76" s="20"/>
      <c r="F76" s="20">
        <f t="shared" si="2"/>
        <v>0</v>
      </c>
    </row>
    <row r="77" spans="1:6" x14ac:dyDescent="0.2">
      <c r="A77" s="4"/>
      <c r="B77" s="4"/>
      <c r="C77" s="4"/>
      <c r="D77" s="4"/>
      <c r="E77" s="20"/>
      <c r="F77" s="20"/>
    </row>
    <row r="78" spans="1:6" x14ac:dyDescent="0.2">
      <c r="A78" s="105" t="s">
        <v>10</v>
      </c>
      <c r="B78" s="112"/>
      <c r="C78" s="106"/>
      <c r="D78" s="4">
        <f>SUM(D73:D77)</f>
        <v>0</v>
      </c>
      <c r="E78" s="20">
        <f>SUM(E73:E77)</f>
        <v>0</v>
      </c>
      <c r="F78" s="20">
        <f>E78-D78</f>
        <v>0</v>
      </c>
    </row>
    <row r="79" spans="1:6" x14ac:dyDescent="0.2">
      <c r="A79" s="105" t="s">
        <v>11</v>
      </c>
      <c r="B79" s="112"/>
      <c r="C79" s="106"/>
      <c r="D79" s="4"/>
      <c r="E79" s="20"/>
      <c r="F79" s="20">
        <f>D79-E79</f>
        <v>0</v>
      </c>
    </row>
    <row r="80" spans="1:6" x14ac:dyDescent="0.2">
      <c r="A80" s="105" t="s">
        <v>10</v>
      </c>
      <c r="B80" s="112"/>
      <c r="C80" s="106"/>
      <c r="D80" s="4">
        <f>SUM(D78:D79)</f>
        <v>0</v>
      </c>
      <c r="E80" s="20">
        <f>SUM(E78:E79)</f>
        <v>0</v>
      </c>
      <c r="F80" s="20">
        <f>SUM(F78:F79)</f>
        <v>0</v>
      </c>
    </row>
    <row r="83" spans="1:6" x14ac:dyDescent="0.2">
      <c r="A83" s="100" t="s">
        <v>0</v>
      </c>
      <c r="B83" s="100"/>
    </row>
    <row r="84" spans="1:6" x14ac:dyDescent="0.2">
      <c r="A84" s="100" t="s">
        <v>1</v>
      </c>
      <c r="B84" s="100"/>
    </row>
    <row r="85" spans="1:6" x14ac:dyDescent="0.2">
      <c r="A85" s="101" t="s">
        <v>2</v>
      </c>
      <c r="B85" s="101"/>
      <c r="C85" s="101"/>
      <c r="D85" s="101"/>
      <c r="E85" s="101"/>
      <c r="F85" s="101"/>
    </row>
    <row r="86" spans="1:6" x14ac:dyDescent="0.2">
      <c r="A86" s="109" t="s">
        <v>119</v>
      </c>
      <c r="B86" s="109"/>
      <c r="D86" s="2" t="s">
        <v>1423</v>
      </c>
    </row>
    <row r="88" spans="1:6" x14ac:dyDescent="0.2">
      <c r="A88" s="103" t="s">
        <v>3</v>
      </c>
      <c r="B88" s="103" t="s">
        <v>4</v>
      </c>
      <c r="C88" s="103" t="s">
        <v>5</v>
      </c>
      <c r="D88" s="105" t="s">
        <v>6</v>
      </c>
      <c r="E88" s="106"/>
      <c r="F88" s="103" t="s">
        <v>9</v>
      </c>
    </row>
    <row r="89" spans="1:6" x14ac:dyDescent="0.2">
      <c r="A89" s="104"/>
      <c r="B89" s="104"/>
      <c r="C89" s="104"/>
      <c r="D89" s="3" t="s">
        <v>7</v>
      </c>
      <c r="E89" s="3" t="s">
        <v>8</v>
      </c>
      <c r="F89" s="104"/>
    </row>
    <row r="90" spans="1:6" x14ac:dyDescent="0.2">
      <c r="A90" s="22" t="s">
        <v>728</v>
      </c>
      <c r="B90" s="4" t="s">
        <v>530</v>
      </c>
      <c r="C90" s="4" t="s">
        <v>200</v>
      </c>
      <c r="D90" s="24"/>
      <c r="E90" s="42"/>
      <c r="F90" s="43">
        <f>E90</f>
        <v>0</v>
      </c>
    </row>
    <row r="91" spans="1:6" x14ac:dyDescent="0.2">
      <c r="A91" s="18" t="s">
        <v>812</v>
      </c>
      <c r="B91" s="4" t="s">
        <v>813</v>
      </c>
      <c r="C91" s="4" t="s">
        <v>200</v>
      </c>
      <c r="D91" s="20"/>
      <c r="E91" s="42"/>
      <c r="F91" s="43">
        <f>F90+E91</f>
        <v>0</v>
      </c>
    </row>
    <row r="92" spans="1:6" x14ac:dyDescent="0.2">
      <c r="A92" s="18" t="s">
        <v>603</v>
      </c>
      <c r="B92" s="4" t="s">
        <v>530</v>
      </c>
      <c r="C92" s="4" t="s">
        <v>200</v>
      </c>
      <c r="D92" s="20"/>
      <c r="E92" s="42"/>
      <c r="F92" s="43">
        <f t="shared" ref="F92:F100" si="3">F91+E92</f>
        <v>0</v>
      </c>
    </row>
    <row r="93" spans="1:6" x14ac:dyDescent="0.2">
      <c r="A93" s="18" t="s">
        <v>322</v>
      </c>
      <c r="B93" s="4" t="s">
        <v>906</v>
      </c>
      <c r="C93" s="4" t="s">
        <v>200</v>
      </c>
      <c r="D93" s="20"/>
      <c r="E93" s="42"/>
      <c r="F93" s="43">
        <f t="shared" si="3"/>
        <v>0</v>
      </c>
    </row>
    <row r="94" spans="1:6" x14ac:dyDescent="0.2">
      <c r="A94" s="18" t="s">
        <v>356</v>
      </c>
      <c r="B94" s="4" t="s">
        <v>1006</v>
      </c>
      <c r="C94" s="4" t="s">
        <v>200</v>
      </c>
      <c r="D94" s="20"/>
      <c r="E94" s="42"/>
      <c r="F94" s="43">
        <f t="shared" si="3"/>
        <v>0</v>
      </c>
    </row>
    <row r="95" spans="1:6" x14ac:dyDescent="0.2">
      <c r="A95" s="18" t="s">
        <v>357</v>
      </c>
      <c r="B95" s="4" t="s">
        <v>1006</v>
      </c>
      <c r="C95" s="4" t="s">
        <v>200</v>
      </c>
      <c r="D95" s="20"/>
      <c r="E95" s="42"/>
      <c r="F95" s="43">
        <f t="shared" si="3"/>
        <v>0</v>
      </c>
    </row>
    <row r="96" spans="1:6" ht="24" x14ac:dyDescent="0.2">
      <c r="A96" s="88" t="s">
        <v>369</v>
      </c>
      <c r="B96" s="84" t="s">
        <v>647</v>
      </c>
      <c r="C96" s="4" t="s">
        <v>200</v>
      </c>
      <c r="D96" s="20"/>
      <c r="E96" s="79"/>
      <c r="F96" s="43">
        <f t="shared" si="3"/>
        <v>0</v>
      </c>
    </row>
    <row r="97" spans="1:6" x14ac:dyDescent="0.2">
      <c r="A97" s="88" t="s">
        <v>1097</v>
      </c>
      <c r="B97" s="84" t="s">
        <v>1098</v>
      </c>
      <c r="C97" s="4" t="s">
        <v>200</v>
      </c>
      <c r="D97" s="20"/>
      <c r="E97" s="79"/>
      <c r="F97" s="43">
        <f t="shared" si="3"/>
        <v>0</v>
      </c>
    </row>
    <row r="98" spans="1:6" ht="24" x14ac:dyDescent="0.2">
      <c r="A98" s="88" t="s">
        <v>449</v>
      </c>
      <c r="B98" s="84" t="s">
        <v>1141</v>
      </c>
      <c r="C98" s="4" t="s">
        <v>200</v>
      </c>
      <c r="D98" s="20"/>
      <c r="E98" s="79"/>
      <c r="F98" s="43">
        <f t="shared" si="3"/>
        <v>0</v>
      </c>
    </row>
    <row r="99" spans="1:6" ht="24" x14ac:dyDescent="0.2">
      <c r="A99" s="44"/>
      <c r="B99" s="69" t="s">
        <v>1212</v>
      </c>
      <c r="C99" s="74" t="s">
        <v>200</v>
      </c>
      <c r="D99" s="73"/>
      <c r="E99" s="79"/>
      <c r="F99" s="43">
        <f t="shared" si="3"/>
        <v>0</v>
      </c>
    </row>
    <row r="100" spans="1:6" x14ac:dyDescent="0.2">
      <c r="A100" s="18"/>
      <c r="B100" s="84"/>
      <c r="C100" s="4"/>
      <c r="D100" s="20"/>
      <c r="E100" s="42"/>
      <c r="F100" s="43">
        <f t="shared" si="3"/>
        <v>0</v>
      </c>
    </row>
    <row r="101" spans="1:6" x14ac:dyDescent="0.2">
      <c r="A101" s="44"/>
      <c r="B101" s="69"/>
      <c r="C101" s="74"/>
      <c r="D101" s="73"/>
      <c r="E101" s="79"/>
      <c r="F101" s="43">
        <f>F100+E101</f>
        <v>0</v>
      </c>
    </row>
    <row r="102" spans="1:6" x14ac:dyDescent="0.2">
      <c r="A102" s="4"/>
      <c r="B102" s="4"/>
      <c r="C102" s="4"/>
      <c r="D102" s="20"/>
      <c r="E102" s="20"/>
      <c r="F102" s="20"/>
    </row>
    <row r="103" spans="1:6" x14ac:dyDescent="0.2">
      <c r="A103" s="105" t="s">
        <v>10</v>
      </c>
      <c r="B103" s="112"/>
      <c r="C103" s="106"/>
      <c r="D103" s="20">
        <f>SUM(D90:D102)</f>
        <v>0</v>
      </c>
      <c r="E103" s="20">
        <f>SUM(E90:E102)</f>
        <v>0</v>
      </c>
      <c r="F103" s="20">
        <f>E103-D103</f>
        <v>0</v>
      </c>
    </row>
    <row r="104" spans="1:6" x14ac:dyDescent="0.2">
      <c r="A104" s="105" t="s">
        <v>11</v>
      </c>
      <c r="B104" s="112"/>
      <c r="C104" s="106"/>
      <c r="D104" s="20"/>
      <c r="E104" s="20"/>
      <c r="F104" s="20">
        <f>D104-E104</f>
        <v>0</v>
      </c>
    </row>
    <row r="105" spans="1:6" x14ac:dyDescent="0.2">
      <c r="A105" s="105" t="s">
        <v>10</v>
      </c>
      <c r="B105" s="112"/>
      <c r="C105" s="106"/>
      <c r="D105" s="20">
        <f>SUM(D103:D104)</f>
        <v>0</v>
      </c>
      <c r="E105" s="20">
        <f>SUM(E103:E104)</f>
        <v>0</v>
      </c>
      <c r="F105" s="20">
        <f>SUM(F103:F104)</f>
        <v>0</v>
      </c>
    </row>
    <row r="111" spans="1:6" x14ac:dyDescent="0.2">
      <c r="E111" s="92"/>
      <c r="F111" s="92"/>
    </row>
    <row r="112" spans="1:6" x14ac:dyDescent="0.2">
      <c r="E112" s="31"/>
    </row>
    <row r="116" spans="6:6" x14ac:dyDescent="0.2">
      <c r="F116" s="31"/>
    </row>
  </sheetData>
  <mergeCells count="48">
    <mergeCell ref="A103:C103"/>
    <mergeCell ref="A104:C104"/>
    <mergeCell ref="A105:C105"/>
    <mergeCell ref="A83:B83"/>
    <mergeCell ref="A84:B84"/>
    <mergeCell ref="A85:F85"/>
    <mergeCell ref="A86:B86"/>
    <mergeCell ref="A88:A89"/>
    <mergeCell ref="B88:B89"/>
    <mergeCell ref="C88:C89"/>
    <mergeCell ref="D88:E88"/>
    <mergeCell ref="F88:F89"/>
    <mergeCell ref="F6:F7"/>
    <mergeCell ref="A1:B1"/>
    <mergeCell ref="A2:B2"/>
    <mergeCell ref="A3:F3"/>
    <mergeCell ref="A4:B4"/>
    <mergeCell ref="A6:A7"/>
    <mergeCell ref="B6:B7"/>
    <mergeCell ref="C6:C7"/>
    <mergeCell ref="D6:E6"/>
    <mergeCell ref="F32:F33"/>
    <mergeCell ref="A22:C22"/>
    <mergeCell ref="A23:C23"/>
    <mergeCell ref="A24:C24"/>
    <mergeCell ref="A27:B27"/>
    <mergeCell ref="A28:B28"/>
    <mergeCell ref="A29:F29"/>
    <mergeCell ref="A30:B30"/>
    <mergeCell ref="A32:A33"/>
    <mergeCell ref="B32:B33"/>
    <mergeCell ref="C32:C33"/>
    <mergeCell ref="D32:E32"/>
    <mergeCell ref="D71:E71"/>
    <mergeCell ref="F71:F72"/>
    <mergeCell ref="A59:C59"/>
    <mergeCell ref="A60:C60"/>
    <mergeCell ref="A61:C61"/>
    <mergeCell ref="A66:B66"/>
    <mergeCell ref="A67:B67"/>
    <mergeCell ref="A68:F68"/>
    <mergeCell ref="A78:C78"/>
    <mergeCell ref="A79:C79"/>
    <mergeCell ref="A80:C80"/>
    <mergeCell ref="A69:B69"/>
    <mergeCell ref="A71:A72"/>
    <mergeCell ref="B71:B72"/>
    <mergeCell ref="C71:C72"/>
  </mergeCells>
  <pageMargins left="0.51181102362204722" right="0.51181102362204722" top="0.74803149606299213" bottom="0.74803149606299213" header="0.31496062992125984" footer="0.31496062992125984"/>
  <pageSetup paperSize="9"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67"/>
  <sheetViews>
    <sheetView showWhiteSpace="0" view="pageLayout" topLeftCell="A379" zoomScale="90" zoomScaleNormal="100" zoomScalePageLayoutView="90" workbookViewId="0">
      <selection activeCell="H74" sqref="H74"/>
    </sheetView>
  </sheetViews>
  <sheetFormatPr defaultColWidth="9.140625" defaultRowHeight="12" x14ac:dyDescent="0.2"/>
  <cols>
    <col min="1" max="1" width="9.140625" style="1"/>
    <col min="2" max="2" width="36" style="1" customWidth="1"/>
    <col min="3" max="3" width="9.140625" style="1"/>
    <col min="4" max="4" width="11" style="1" customWidth="1"/>
    <col min="5" max="5" width="10.140625" style="1" customWidth="1"/>
    <col min="6" max="6" width="16.5703125" style="1" customWidth="1"/>
    <col min="7" max="7" width="9.140625" style="1"/>
    <col min="8" max="8" width="22.85546875" style="1" customWidth="1"/>
    <col min="9" max="9" width="9.140625" style="1"/>
    <col min="10" max="10" width="10.42578125" style="1" customWidth="1"/>
    <col min="11" max="11" width="10" style="1" customWidth="1"/>
    <col min="12" max="12" width="18.5703125" style="1" customWidth="1"/>
    <col min="13" max="13" width="9.140625" style="1"/>
    <col min="14" max="14" width="22.42578125" style="1" customWidth="1"/>
    <col min="15" max="15" width="9.140625" style="1"/>
    <col min="16" max="17" width="11.28515625" style="1" customWidth="1"/>
    <col min="18" max="18" width="19.140625" style="1" customWidth="1"/>
    <col min="19"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09" t="s">
        <v>120</v>
      </c>
      <c r="B4" s="109"/>
      <c r="D4" s="2" t="s">
        <v>121</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4"/>
      <c r="B8" s="4"/>
      <c r="C8" s="4"/>
      <c r="D8" s="4">
        <v>0</v>
      </c>
      <c r="E8" s="4">
        <v>0</v>
      </c>
      <c r="F8" s="4">
        <f>D8+E8</f>
        <v>0</v>
      </c>
    </row>
    <row r="9" spans="1:6" x14ac:dyDescent="0.2">
      <c r="A9" s="4"/>
      <c r="B9" s="4"/>
      <c r="C9" s="4"/>
      <c r="D9" s="4"/>
      <c r="E9" s="4"/>
      <c r="F9" s="4"/>
    </row>
    <row r="10" spans="1:6" x14ac:dyDescent="0.2">
      <c r="A10" s="4"/>
      <c r="B10" s="4"/>
      <c r="C10" s="4"/>
      <c r="D10" s="4"/>
      <c r="E10" s="4"/>
      <c r="F10" s="4"/>
    </row>
    <row r="11" spans="1:6" x14ac:dyDescent="0.2">
      <c r="A11" s="4"/>
      <c r="B11" s="4"/>
      <c r="C11" s="4"/>
      <c r="D11" s="4"/>
      <c r="E11" s="4"/>
      <c r="F11" s="4"/>
    </row>
    <row r="12" spans="1:6" x14ac:dyDescent="0.2">
      <c r="A12" s="4"/>
      <c r="B12" s="4"/>
      <c r="C12" s="4"/>
      <c r="D12" s="4"/>
      <c r="E12" s="4"/>
      <c r="F12" s="4"/>
    </row>
    <row r="13" spans="1:6" x14ac:dyDescent="0.2">
      <c r="A13" s="105" t="s">
        <v>10</v>
      </c>
      <c r="B13" s="112"/>
      <c r="C13" s="106"/>
      <c r="D13" s="4">
        <f>SUM(D8:D12)</f>
        <v>0</v>
      </c>
      <c r="E13" s="4">
        <f>SUM(E8:E12)</f>
        <v>0</v>
      </c>
      <c r="F13" s="4">
        <f>D13-E13</f>
        <v>0</v>
      </c>
    </row>
    <row r="14" spans="1:6" x14ac:dyDescent="0.2">
      <c r="A14" s="105" t="s">
        <v>11</v>
      </c>
      <c r="B14" s="112"/>
      <c r="C14" s="106"/>
      <c r="D14" s="4"/>
      <c r="E14" s="4"/>
      <c r="F14" s="4">
        <f>D14-E14</f>
        <v>0</v>
      </c>
    </row>
    <row r="15" spans="1:6" x14ac:dyDescent="0.2">
      <c r="A15" s="105" t="s">
        <v>10</v>
      </c>
      <c r="B15" s="112"/>
      <c r="C15" s="106"/>
      <c r="D15" s="4">
        <f>SUM(D13:D14)</f>
        <v>0</v>
      </c>
      <c r="E15" s="4">
        <f>SUM(E13:E14)</f>
        <v>0</v>
      </c>
      <c r="F15" s="4">
        <f>SUM(F13:F14)</f>
        <v>0</v>
      </c>
    </row>
    <row r="18" spans="1:6" x14ac:dyDescent="0.2">
      <c r="A18" s="100" t="s">
        <v>0</v>
      </c>
      <c r="B18" s="100"/>
    </row>
    <row r="19" spans="1:6" x14ac:dyDescent="0.2">
      <c r="A19" s="100" t="s">
        <v>1</v>
      </c>
      <c r="B19" s="100"/>
    </row>
    <row r="20" spans="1:6" x14ac:dyDescent="0.2">
      <c r="A20" s="101" t="s">
        <v>2</v>
      </c>
      <c r="B20" s="101"/>
      <c r="C20" s="101"/>
      <c r="D20" s="101"/>
      <c r="E20" s="101"/>
      <c r="F20" s="101"/>
    </row>
    <row r="21" spans="1:6" x14ac:dyDescent="0.2">
      <c r="A21" s="109" t="s">
        <v>122</v>
      </c>
      <c r="B21" s="109"/>
      <c r="D21" s="2" t="s">
        <v>352</v>
      </c>
    </row>
    <row r="23" spans="1:6" x14ac:dyDescent="0.2">
      <c r="A23" s="103" t="s">
        <v>3</v>
      </c>
      <c r="B23" s="103" t="s">
        <v>4</v>
      </c>
      <c r="C23" s="103" t="s">
        <v>5</v>
      </c>
      <c r="D23" s="105" t="s">
        <v>6</v>
      </c>
      <c r="E23" s="106"/>
      <c r="F23" s="103" t="s">
        <v>9</v>
      </c>
    </row>
    <row r="24" spans="1:6" x14ac:dyDescent="0.2">
      <c r="A24" s="104"/>
      <c r="B24" s="104"/>
      <c r="C24" s="104"/>
      <c r="D24" s="3" t="s">
        <v>7</v>
      </c>
      <c r="E24" s="3" t="s">
        <v>8</v>
      </c>
      <c r="F24" s="104"/>
    </row>
    <row r="25" spans="1:6" x14ac:dyDescent="0.2">
      <c r="A25" s="41" t="s">
        <v>262</v>
      </c>
      <c r="B25" s="4"/>
      <c r="C25" s="4"/>
      <c r="D25" s="20"/>
      <c r="E25" s="20"/>
      <c r="F25" s="20"/>
    </row>
    <row r="26" spans="1:6" x14ac:dyDescent="0.2">
      <c r="A26" s="18" t="s">
        <v>476</v>
      </c>
      <c r="B26" s="4" t="s">
        <v>1415</v>
      </c>
      <c r="C26" s="4" t="s">
        <v>187</v>
      </c>
      <c r="D26" s="20"/>
      <c r="E26" s="20"/>
      <c r="F26" s="20">
        <f>D26</f>
        <v>0</v>
      </c>
    </row>
    <row r="27" spans="1:6" x14ac:dyDescent="0.2">
      <c r="A27" s="41"/>
      <c r="B27" s="4"/>
      <c r="C27" s="4"/>
      <c r="D27" s="20"/>
      <c r="E27" s="20"/>
      <c r="F27" s="20"/>
    </row>
    <row r="28" spans="1:6" x14ac:dyDescent="0.2">
      <c r="A28" s="41" t="s">
        <v>488</v>
      </c>
      <c r="B28" s="4"/>
      <c r="C28" s="4"/>
      <c r="D28" s="20"/>
      <c r="E28" s="20"/>
      <c r="F28" s="20"/>
    </row>
    <row r="29" spans="1:6" x14ac:dyDescent="0.2">
      <c r="A29" s="18" t="s">
        <v>630</v>
      </c>
      <c r="B29" s="4" t="s">
        <v>618</v>
      </c>
      <c r="C29" s="4" t="s">
        <v>187</v>
      </c>
      <c r="D29" s="20"/>
      <c r="E29" s="20"/>
      <c r="F29" s="20">
        <f>D29</f>
        <v>0</v>
      </c>
    </row>
    <row r="30" spans="1:6" x14ac:dyDescent="0.2">
      <c r="A30" s="18"/>
      <c r="B30" s="4"/>
      <c r="C30" s="4"/>
      <c r="D30" s="20"/>
      <c r="E30" s="20"/>
      <c r="F30" s="20">
        <f>F29+D30</f>
        <v>0</v>
      </c>
    </row>
    <row r="31" spans="1:6" x14ac:dyDescent="0.2">
      <c r="A31" s="41" t="s">
        <v>453</v>
      </c>
      <c r="B31" s="4"/>
      <c r="C31" s="4"/>
      <c r="D31" s="20"/>
      <c r="E31" s="20"/>
      <c r="F31" s="20"/>
    </row>
    <row r="32" spans="1:6" x14ac:dyDescent="0.2">
      <c r="A32" s="18" t="s">
        <v>640</v>
      </c>
      <c r="B32" s="4" t="s">
        <v>618</v>
      </c>
      <c r="C32" s="4" t="s">
        <v>187</v>
      </c>
      <c r="D32" s="20"/>
      <c r="E32" s="20"/>
      <c r="F32" s="20">
        <f>D32</f>
        <v>0</v>
      </c>
    </row>
    <row r="33" spans="1:6" x14ac:dyDescent="0.2">
      <c r="A33" s="18"/>
      <c r="B33" s="4"/>
      <c r="C33" s="4"/>
      <c r="D33" s="20"/>
      <c r="E33" s="20"/>
      <c r="F33" s="20"/>
    </row>
    <row r="34" spans="1:6" x14ac:dyDescent="0.2">
      <c r="A34" s="18"/>
      <c r="B34" s="4"/>
      <c r="C34" s="4"/>
      <c r="D34" s="20"/>
      <c r="E34" s="20"/>
      <c r="F34" s="20"/>
    </row>
    <row r="35" spans="1:6" x14ac:dyDescent="0.2">
      <c r="A35" s="18"/>
      <c r="B35" s="4"/>
      <c r="C35" s="4"/>
      <c r="D35" s="20"/>
      <c r="E35" s="20"/>
      <c r="F35" s="20"/>
    </row>
    <row r="36" spans="1:6" x14ac:dyDescent="0.2">
      <c r="A36" s="18"/>
      <c r="B36" s="4"/>
      <c r="C36" s="4"/>
      <c r="D36" s="20"/>
      <c r="E36" s="20"/>
      <c r="F36" s="20"/>
    </row>
    <row r="37" spans="1:6" x14ac:dyDescent="0.2">
      <c r="A37" s="18"/>
      <c r="B37" s="4"/>
      <c r="C37" s="4"/>
      <c r="D37" s="20"/>
      <c r="E37" s="20"/>
      <c r="F37" s="20"/>
    </row>
    <row r="38" spans="1:6" x14ac:dyDescent="0.2">
      <c r="A38" s="18"/>
      <c r="B38" s="4"/>
      <c r="C38" s="4"/>
      <c r="D38" s="20"/>
      <c r="E38" s="20"/>
      <c r="F38" s="20"/>
    </row>
    <row r="39" spans="1:6" x14ac:dyDescent="0.2">
      <c r="A39" s="18"/>
      <c r="B39" s="4"/>
      <c r="C39" s="4"/>
      <c r="D39" s="20"/>
      <c r="E39" s="20"/>
      <c r="F39" s="20"/>
    </row>
    <row r="40" spans="1:6" x14ac:dyDescent="0.2">
      <c r="A40" s="18"/>
      <c r="B40" s="4"/>
      <c r="C40" s="4"/>
      <c r="D40" s="20"/>
      <c r="E40" s="20"/>
      <c r="F40" s="20"/>
    </row>
    <row r="41" spans="1:6" x14ac:dyDescent="0.2">
      <c r="A41" s="18"/>
      <c r="B41" s="4"/>
      <c r="C41" s="4"/>
      <c r="D41" s="20"/>
      <c r="E41" s="20"/>
      <c r="F41" s="20"/>
    </row>
    <row r="42" spans="1:6" x14ac:dyDescent="0.2">
      <c r="A42" s="41"/>
      <c r="B42" s="4"/>
      <c r="C42" s="4"/>
      <c r="D42" s="20"/>
      <c r="E42" s="20"/>
      <c r="F42" s="20"/>
    </row>
    <row r="43" spans="1:6" x14ac:dyDescent="0.2">
      <c r="A43" s="18"/>
      <c r="B43" s="4"/>
      <c r="C43" s="4"/>
      <c r="D43" s="20"/>
      <c r="E43" s="20"/>
      <c r="F43" s="20"/>
    </row>
    <row r="44" spans="1:6" x14ac:dyDescent="0.2">
      <c r="A44" s="18"/>
      <c r="B44" s="4"/>
      <c r="C44" s="4"/>
      <c r="D44" s="20"/>
      <c r="E44" s="20"/>
      <c r="F44" s="20"/>
    </row>
    <row r="45" spans="1:6" x14ac:dyDescent="0.2">
      <c r="A45" s="18"/>
      <c r="B45" s="4"/>
      <c r="C45" s="4"/>
      <c r="D45" s="20"/>
      <c r="E45" s="20"/>
      <c r="F45" s="20"/>
    </row>
    <row r="46" spans="1:6" x14ac:dyDescent="0.2">
      <c r="A46" s="18"/>
      <c r="B46" s="4"/>
      <c r="C46" s="4"/>
      <c r="D46" s="20"/>
      <c r="E46" s="20"/>
      <c r="F46" s="20"/>
    </row>
    <row r="47" spans="1:6" x14ac:dyDescent="0.2">
      <c r="A47" s="18"/>
      <c r="B47" s="4"/>
      <c r="C47" s="4"/>
      <c r="D47" s="20"/>
      <c r="E47" s="20"/>
      <c r="F47" s="20"/>
    </row>
    <row r="48" spans="1:6" x14ac:dyDescent="0.2">
      <c r="A48" s="18"/>
      <c r="B48" s="4"/>
      <c r="C48" s="4"/>
      <c r="D48" s="20"/>
      <c r="E48" s="20"/>
      <c r="F48" s="20"/>
    </row>
    <row r="49" spans="1:6" x14ac:dyDescent="0.2">
      <c r="A49" s="4"/>
      <c r="B49" s="4"/>
      <c r="C49" s="4"/>
      <c r="D49" s="20"/>
      <c r="E49" s="20"/>
      <c r="F49" s="20"/>
    </row>
    <row r="50" spans="1:6" x14ac:dyDescent="0.2">
      <c r="A50" s="105" t="s">
        <v>10</v>
      </c>
      <c r="B50" s="112"/>
      <c r="C50" s="106"/>
      <c r="D50" s="20">
        <f>SUM(D25:D49)</f>
        <v>0</v>
      </c>
      <c r="E50" s="20">
        <f>SUM(E25:E49)</f>
        <v>0</v>
      </c>
      <c r="F50" s="20">
        <f>D50-E50</f>
        <v>0</v>
      </c>
    </row>
    <row r="51" spans="1:6" x14ac:dyDescent="0.2">
      <c r="A51" s="105" t="s">
        <v>11</v>
      </c>
      <c r="B51" s="112"/>
      <c r="C51" s="106"/>
      <c r="D51" s="20"/>
      <c r="E51" s="20"/>
      <c r="F51" s="20">
        <f>D51-E51</f>
        <v>0</v>
      </c>
    </row>
    <row r="52" spans="1:6" x14ac:dyDescent="0.2">
      <c r="A52" s="105" t="s">
        <v>10</v>
      </c>
      <c r="B52" s="112"/>
      <c r="C52" s="106"/>
      <c r="D52" s="20">
        <f>SUM(D50:D51)</f>
        <v>0</v>
      </c>
      <c r="E52" s="20">
        <f>SUM(E50:E51)</f>
        <v>0</v>
      </c>
      <c r="F52" s="20">
        <f>SUM(F50:F51)</f>
        <v>0</v>
      </c>
    </row>
    <row r="61" spans="1:6" x14ac:dyDescent="0.2">
      <c r="A61" s="100" t="s">
        <v>0</v>
      </c>
      <c r="B61" s="100"/>
    </row>
    <row r="62" spans="1:6" x14ac:dyDescent="0.2">
      <c r="A62" s="100" t="s">
        <v>1</v>
      </c>
      <c r="B62" s="100"/>
    </row>
    <row r="63" spans="1:6" x14ac:dyDescent="0.2">
      <c r="A63" s="101" t="s">
        <v>2</v>
      </c>
      <c r="B63" s="101"/>
      <c r="C63" s="101"/>
      <c r="D63" s="101"/>
      <c r="E63" s="101"/>
      <c r="F63" s="101"/>
    </row>
    <row r="64" spans="1:6" x14ac:dyDescent="0.2">
      <c r="A64" s="122" t="s">
        <v>123</v>
      </c>
      <c r="B64" s="122"/>
      <c r="C64" s="125"/>
      <c r="D64" s="123" t="s">
        <v>648</v>
      </c>
    </row>
    <row r="66" spans="1:8" x14ac:dyDescent="0.2">
      <c r="A66" s="103" t="s">
        <v>3</v>
      </c>
      <c r="B66" s="103" t="s">
        <v>4</v>
      </c>
      <c r="C66" s="103" t="s">
        <v>5</v>
      </c>
      <c r="D66" s="105" t="s">
        <v>6</v>
      </c>
      <c r="E66" s="106"/>
      <c r="F66" s="103" t="s">
        <v>9</v>
      </c>
    </row>
    <row r="67" spans="1:8" x14ac:dyDescent="0.2">
      <c r="A67" s="104"/>
      <c r="B67" s="104"/>
      <c r="C67" s="104"/>
      <c r="D67" s="3" t="s">
        <v>7</v>
      </c>
      <c r="E67" s="3" t="s">
        <v>8</v>
      </c>
      <c r="F67" s="104"/>
    </row>
    <row r="68" spans="1:8" x14ac:dyDescent="0.2">
      <c r="A68" s="18" t="s">
        <v>1227</v>
      </c>
      <c r="B68" s="4" t="s">
        <v>188</v>
      </c>
      <c r="C68" s="4" t="s">
        <v>187</v>
      </c>
      <c r="D68" s="20"/>
      <c r="E68" s="20">
        <v>0</v>
      </c>
      <c r="F68" s="20">
        <f>D68+E68</f>
        <v>0</v>
      </c>
    </row>
    <row r="69" spans="1:8" x14ac:dyDescent="0.2">
      <c r="A69" s="18"/>
      <c r="B69" s="4" t="s">
        <v>418</v>
      </c>
      <c r="C69" s="4" t="s">
        <v>187</v>
      </c>
      <c r="D69" s="20"/>
      <c r="E69" s="20"/>
      <c r="F69" s="20">
        <f t="shared" ref="F69" si="0">F68+D69</f>
        <v>0</v>
      </c>
      <c r="H69" s="31">
        <f>SUM(D68:D70)</f>
        <v>0</v>
      </c>
    </row>
    <row r="70" spans="1:8" x14ac:dyDescent="0.2">
      <c r="A70" s="18"/>
      <c r="B70" s="4" t="s">
        <v>419</v>
      </c>
      <c r="C70" s="4" t="s">
        <v>187</v>
      </c>
      <c r="D70" s="20"/>
      <c r="E70" s="20"/>
      <c r="F70" s="20">
        <f>F69+D70</f>
        <v>0</v>
      </c>
    </row>
    <row r="71" spans="1:8" x14ac:dyDescent="0.2">
      <c r="A71" s="52" t="s">
        <v>247</v>
      </c>
      <c r="B71" s="4"/>
      <c r="C71" s="4"/>
      <c r="D71" s="20"/>
      <c r="E71" s="20"/>
      <c r="F71" s="20"/>
    </row>
    <row r="72" spans="1:8" x14ac:dyDescent="0.2">
      <c r="A72" s="18" t="s">
        <v>742</v>
      </c>
      <c r="B72" s="4" t="s">
        <v>1323</v>
      </c>
      <c r="C72" s="4" t="s">
        <v>187</v>
      </c>
      <c r="D72" s="20"/>
      <c r="E72" s="20"/>
      <c r="F72" s="20">
        <f>D72</f>
        <v>0</v>
      </c>
    </row>
    <row r="73" spans="1:8" x14ac:dyDescent="0.2">
      <c r="A73" s="18"/>
      <c r="B73" s="4" t="s">
        <v>1324</v>
      </c>
      <c r="C73" s="4" t="s">
        <v>187</v>
      </c>
      <c r="D73" s="20"/>
      <c r="E73" s="20"/>
      <c r="F73" s="20">
        <f t="shared" ref="F73:F78" si="1">F72+D73</f>
        <v>0</v>
      </c>
    </row>
    <row r="74" spans="1:8" x14ac:dyDescent="0.2">
      <c r="A74" s="18"/>
      <c r="B74" s="4" t="s">
        <v>1325</v>
      </c>
      <c r="C74" s="4" t="s">
        <v>187</v>
      </c>
      <c r="D74" s="20"/>
      <c r="E74" s="20"/>
      <c r="F74" s="20">
        <f t="shared" si="1"/>
        <v>0</v>
      </c>
      <c r="H74" s="31"/>
    </row>
    <row r="75" spans="1:8" x14ac:dyDescent="0.2">
      <c r="A75" s="52" t="s">
        <v>262</v>
      </c>
      <c r="B75" s="4"/>
      <c r="C75" s="4"/>
      <c r="D75" s="20"/>
      <c r="E75" s="20"/>
      <c r="F75" s="20"/>
    </row>
    <row r="76" spans="1:8" x14ac:dyDescent="0.2">
      <c r="A76" s="18" t="s">
        <v>763</v>
      </c>
      <c r="B76" s="4" t="s">
        <v>1381</v>
      </c>
      <c r="C76" s="4" t="s">
        <v>187</v>
      </c>
      <c r="D76" s="20"/>
      <c r="E76" s="20"/>
      <c r="F76" s="20">
        <f>D76</f>
        <v>0</v>
      </c>
      <c r="H76" s="31"/>
    </row>
    <row r="77" spans="1:8" x14ac:dyDescent="0.2">
      <c r="A77" s="18"/>
      <c r="B77" s="4" t="s">
        <v>1324</v>
      </c>
      <c r="C77" s="4" t="s">
        <v>187</v>
      </c>
      <c r="D77" s="20"/>
      <c r="E77" s="20"/>
      <c r="F77" s="20">
        <f t="shared" si="1"/>
        <v>0</v>
      </c>
    </row>
    <row r="78" spans="1:8" x14ac:dyDescent="0.2">
      <c r="A78" s="18"/>
      <c r="B78" s="4" t="s">
        <v>1382</v>
      </c>
      <c r="C78" s="4" t="s">
        <v>187</v>
      </c>
      <c r="D78" s="20"/>
      <c r="E78" s="20"/>
      <c r="F78" s="20">
        <f t="shared" si="1"/>
        <v>0</v>
      </c>
    </row>
    <row r="79" spans="1:8" x14ac:dyDescent="0.2">
      <c r="A79" s="52" t="s">
        <v>283</v>
      </c>
      <c r="B79" s="4"/>
      <c r="C79" s="4"/>
      <c r="D79" s="20"/>
      <c r="E79" s="20"/>
      <c r="F79" s="20"/>
    </row>
    <row r="80" spans="1:8" x14ac:dyDescent="0.2">
      <c r="A80" s="18" t="s">
        <v>282</v>
      </c>
      <c r="B80" s="4" t="s">
        <v>188</v>
      </c>
      <c r="C80" s="4" t="s">
        <v>187</v>
      </c>
      <c r="D80" s="20"/>
      <c r="E80" s="20"/>
      <c r="F80" s="20">
        <f>D80</f>
        <v>0</v>
      </c>
    </row>
    <row r="81" spans="1:6" x14ac:dyDescent="0.2">
      <c r="A81" s="18"/>
      <c r="B81" s="4" t="s">
        <v>418</v>
      </c>
      <c r="C81" s="4" t="s">
        <v>187</v>
      </c>
      <c r="D81" s="20"/>
      <c r="E81" s="20"/>
      <c r="F81" s="20">
        <f t="shared" ref="F81:F82" si="2">F80+D81</f>
        <v>0</v>
      </c>
    </row>
    <row r="82" spans="1:6" x14ac:dyDescent="0.2">
      <c r="A82" s="18"/>
      <c r="B82" s="4" t="s">
        <v>419</v>
      </c>
      <c r="C82" s="4" t="s">
        <v>187</v>
      </c>
      <c r="D82" s="20"/>
      <c r="E82" s="20"/>
      <c r="F82" s="20">
        <f t="shared" si="2"/>
        <v>0</v>
      </c>
    </row>
    <row r="83" spans="1:6" x14ac:dyDescent="0.2">
      <c r="A83" s="52" t="s">
        <v>299</v>
      </c>
      <c r="B83" s="4"/>
      <c r="C83" s="4"/>
      <c r="D83" s="20"/>
      <c r="E83" s="20"/>
      <c r="F83" s="20"/>
    </row>
    <row r="84" spans="1:6" x14ac:dyDescent="0.2">
      <c r="A84" s="18" t="s">
        <v>594</v>
      </c>
      <c r="B84" s="4" t="s">
        <v>188</v>
      </c>
      <c r="C84" s="4" t="s">
        <v>187</v>
      </c>
      <c r="D84" s="20"/>
      <c r="E84" s="20"/>
      <c r="F84" s="20">
        <f>D84</f>
        <v>0</v>
      </c>
    </row>
    <row r="85" spans="1:6" x14ac:dyDescent="0.2">
      <c r="A85" s="18"/>
      <c r="B85" s="4" t="s">
        <v>418</v>
      </c>
      <c r="C85" s="4" t="s">
        <v>187</v>
      </c>
      <c r="D85" s="20"/>
      <c r="E85" s="20"/>
      <c r="F85" s="20">
        <f t="shared" ref="F85:F86" si="3">F84+D85</f>
        <v>0</v>
      </c>
    </row>
    <row r="86" spans="1:6" x14ac:dyDescent="0.2">
      <c r="A86" s="18"/>
      <c r="B86" s="4" t="s">
        <v>419</v>
      </c>
      <c r="C86" s="4" t="s">
        <v>187</v>
      </c>
      <c r="D86" s="20"/>
      <c r="E86" s="20"/>
      <c r="F86" s="20">
        <f t="shared" si="3"/>
        <v>0</v>
      </c>
    </row>
    <row r="87" spans="1:6" x14ac:dyDescent="0.2">
      <c r="A87" s="52" t="s">
        <v>315</v>
      </c>
      <c r="B87" s="4"/>
      <c r="C87" s="4"/>
      <c r="D87" s="20"/>
      <c r="E87" s="20"/>
      <c r="F87" s="20"/>
    </row>
    <row r="88" spans="1:6" x14ac:dyDescent="0.2">
      <c r="A88" s="18" t="s">
        <v>861</v>
      </c>
      <c r="B88" s="4" t="s">
        <v>188</v>
      </c>
      <c r="C88" s="4" t="s">
        <v>187</v>
      </c>
      <c r="D88" s="20"/>
      <c r="E88" s="20"/>
      <c r="F88" s="20">
        <f>D88</f>
        <v>0</v>
      </c>
    </row>
    <row r="89" spans="1:6" x14ac:dyDescent="0.2">
      <c r="A89" s="18"/>
      <c r="B89" s="4" t="s">
        <v>418</v>
      </c>
      <c r="C89" s="4" t="s">
        <v>187</v>
      </c>
      <c r="D89" s="20"/>
      <c r="E89" s="20"/>
      <c r="F89" s="20">
        <f t="shared" ref="F89:F90" si="4">F88+D89</f>
        <v>0</v>
      </c>
    </row>
    <row r="90" spans="1:6" x14ac:dyDescent="0.2">
      <c r="A90" s="18"/>
      <c r="B90" s="4" t="s">
        <v>419</v>
      </c>
      <c r="C90" s="4" t="s">
        <v>187</v>
      </c>
      <c r="D90" s="20"/>
      <c r="E90" s="20"/>
      <c r="F90" s="20">
        <f t="shared" si="4"/>
        <v>0</v>
      </c>
    </row>
    <row r="91" spans="1:6" x14ac:dyDescent="0.2">
      <c r="A91" s="52" t="s">
        <v>330</v>
      </c>
      <c r="B91" s="4"/>
      <c r="C91" s="4"/>
      <c r="D91" s="20"/>
      <c r="E91" s="20"/>
      <c r="F91" s="20"/>
    </row>
    <row r="92" spans="1:6" x14ac:dyDescent="0.2">
      <c r="A92" s="18" t="s">
        <v>609</v>
      </c>
      <c r="B92" s="4" t="s">
        <v>188</v>
      </c>
      <c r="C92" s="4" t="s">
        <v>187</v>
      </c>
      <c r="D92" s="20"/>
      <c r="E92" s="20"/>
      <c r="F92" s="20">
        <f>D92</f>
        <v>0</v>
      </c>
    </row>
    <row r="93" spans="1:6" x14ac:dyDescent="0.2">
      <c r="A93" s="18"/>
      <c r="B93" s="4" t="s">
        <v>418</v>
      </c>
      <c r="C93" s="4" t="s">
        <v>187</v>
      </c>
      <c r="D93" s="20"/>
      <c r="E93" s="20"/>
      <c r="F93" s="20">
        <f t="shared" ref="F93:F94" si="5">F92+D93</f>
        <v>0</v>
      </c>
    </row>
    <row r="94" spans="1:6" x14ac:dyDescent="0.2">
      <c r="A94" s="18"/>
      <c r="B94" s="4" t="s">
        <v>419</v>
      </c>
      <c r="C94" s="4" t="s">
        <v>187</v>
      </c>
      <c r="D94" s="20"/>
      <c r="E94" s="20"/>
      <c r="F94" s="20">
        <f t="shared" si="5"/>
        <v>0</v>
      </c>
    </row>
    <row r="95" spans="1:6" x14ac:dyDescent="0.2">
      <c r="A95" s="52" t="s">
        <v>344</v>
      </c>
      <c r="B95" s="4"/>
      <c r="C95" s="4"/>
      <c r="D95" s="20"/>
      <c r="E95" s="20"/>
      <c r="F95" s="20"/>
    </row>
    <row r="96" spans="1:6" x14ac:dyDescent="0.2">
      <c r="A96" s="18" t="s">
        <v>967</v>
      </c>
      <c r="B96" s="4" t="s">
        <v>188</v>
      </c>
      <c r="C96" s="4" t="s">
        <v>187</v>
      </c>
      <c r="D96" s="20"/>
      <c r="E96" s="20"/>
      <c r="F96" s="20">
        <f>D96</f>
        <v>0</v>
      </c>
    </row>
    <row r="97" spans="1:6" x14ac:dyDescent="0.2">
      <c r="A97" s="18"/>
      <c r="B97" s="4" t="s">
        <v>418</v>
      </c>
      <c r="C97" s="4" t="s">
        <v>187</v>
      </c>
      <c r="D97" s="20"/>
      <c r="E97" s="20"/>
      <c r="F97" s="20">
        <f t="shared" ref="F97:F98" si="6">F96+D97</f>
        <v>0</v>
      </c>
    </row>
    <row r="98" spans="1:6" x14ac:dyDescent="0.2">
      <c r="A98" s="18"/>
      <c r="B98" s="4" t="s">
        <v>419</v>
      </c>
      <c r="C98" s="4" t="s">
        <v>187</v>
      </c>
      <c r="D98" s="20"/>
      <c r="E98" s="20"/>
      <c r="F98" s="20">
        <f t="shared" si="6"/>
        <v>0</v>
      </c>
    </row>
    <row r="99" spans="1:6" x14ac:dyDescent="0.2">
      <c r="A99" s="52" t="s">
        <v>363</v>
      </c>
      <c r="B99" s="4"/>
      <c r="C99" s="4"/>
      <c r="D99" s="20"/>
      <c r="E99" s="20"/>
      <c r="F99" s="20"/>
    </row>
    <row r="100" spans="1:6" x14ac:dyDescent="0.2">
      <c r="A100" s="18" t="s">
        <v>622</v>
      </c>
      <c r="B100" s="4" t="s">
        <v>188</v>
      </c>
      <c r="C100" s="4" t="s">
        <v>187</v>
      </c>
      <c r="D100" s="20"/>
      <c r="E100" s="20"/>
      <c r="F100" s="20">
        <f>D100</f>
        <v>0</v>
      </c>
    </row>
    <row r="101" spans="1:6" x14ac:dyDescent="0.2">
      <c r="A101" s="18"/>
      <c r="B101" s="4" t="s">
        <v>418</v>
      </c>
      <c r="C101" s="4" t="s">
        <v>187</v>
      </c>
      <c r="D101" s="20"/>
      <c r="E101" s="20"/>
      <c r="F101" s="20">
        <f t="shared" ref="F101:F102" si="7">F100+D101</f>
        <v>0</v>
      </c>
    </row>
    <row r="102" spans="1:6" x14ac:dyDescent="0.2">
      <c r="A102" s="18"/>
      <c r="B102" s="4" t="s">
        <v>419</v>
      </c>
      <c r="C102" s="4" t="s">
        <v>187</v>
      </c>
      <c r="D102" s="20"/>
      <c r="E102" s="20"/>
      <c r="F102" s="20">
        <f t="shared" si="7"/>
        <v>0</v>
      </c>
    </row>
    <row r="103" spans="1:6" x14ac:dyDescent="0.2">
      <c r="A103" s="52" t="s">
        <v>368</v>
      </c>
      <c r="B103" s="4"/>
      <c r="C103" s="4"/>
      <c r="D103" s="20"/>
      <c r="E103" s="20"/>
      <c r="F103" s="20"/>
    </row>
    <row r="104" spans="1:6" x14ac:dyDescent="0.2">
      <c r="A104" s="18" t="s">
        <v>630</v>
      </c>
      <c r="B104" s="4" t="s">
        <v>188</v>
      </c>
      <c r="C104" s="4" t="s">
        <v>187</v>
      </c>
      <c r="D104" s="20"/>
      <c r="E104" s="20"/>
      <c r="F104" s="20">
        <f>D104</f>
        <v>0</v>
      </c>
    </row>
    <row r="105" spans="1:6" x14ac:dyDescent="0.2">
      <c r="A105" s="18"/>
      <c r="B105" s="4" t="s">
        <v>418</v>
      </c>
      <c r="C105" s="4" t="s">
        <v>187</v>
      </c>
      <c r="D105" s="20"/>
      <c r="E105" s="20"/>
      <c r="F105" s="20">
        <f t="shared" ref="F105:F106" si="8">F104+D105</f>
        <v>0</v>
      </c>
    </row>
    <row r="106" spans="1:6" x14ac:dyDescent="0.2">
      <c r="A106" s="18"/>
      <c r="B106" s="4" t="s">
        <v>419</v>
      </c>
      <c r="C106" s="4" t="s">
        <v>187</v>
      </c>
      <c r="D106" s="20"/>
      <c r="E106" s="20"/>
      <c r="F106" s="20">
        <f t="shared" si="8"/>
        <v>0</v>
      </c>
    </row>
    <row r="107" spans="1:6" x14ac:dyDescent="0.2">
      <c r="A107" s="52" t="s">
        <v>397</v>
      </c>
      <c r="B107" s="4"/>
      <c r="C107" s="4"/>
      <c r="D107" s="20"/>
      <c r="E107" s="20"/>
      <c r="F107" s="20"/>
    </row>
    <row r="108" spans="1:6" x14ac:dyDescent="0.2">
      <c r="A108" s="18" t="s">
        <v>1102</v>
      </c>
      <c r="B108" s="4" t="s">
        <v>188</v>
      </c>
      <c r="C108" s="4" t="s">
        <v>187</v>
      </c>
      <c r="D108" s="20"/>
      <c r="E108" s="20"/>
      <c r="F108" s="20">
        <f>D108</f>
        <v>0</v>
      </c>
    </row>
    <row r="109" spans="1:6" x14ac:dyDescent="0.2">
      <c r="A109" s="18"/>
      <c r="B109" s="4" t="s">
        <v>418</v>
      </c>
      <c r="C109" s="4" t="s">
        <v>187</v>
      </c>
      <c r="D109" s="20"/>
      <c r="E109" s="20"/>
      <c r="F109" s="20">
        <f t="shared" ref="F109:F110" si="9">F108+D109</f>
        <v>0</v>
      </c>
    </row>
    <row r="110" spans="1:6" x14ac:dyDescent="0.2">
      <c r="A110" s="18"/>
      <c r="B110" s="4" t="s">
        <v>419</v>
      </c>
      <c r="C110" s="4" t="s">
        <v>187</v>
      </c>
      <c r="D110" s="20"/>
      <c r="E110" s="20"/>
      <c r="F110" s="20">
        <f t="shared" si="9"/>
        <v>0</v>
      </c>
    </row>
    <row r="111" spans="1:6" x14ac:dyDescent="0.2">
      <c r="A111" s="52" t="s">
        <v>453</v>
      </c>
      <c r="B111" s="4"/>
      <c r="C111" s="4"/>
      <c r="D111" s="20"/>
      <c r="E111" s="20"/>
      <c r="F111" s="20"/>
    </row>
    <row r="112" spans="1:6" x14ac:dyDescent="0.2">
      <c r="A112" s="18" t="s">
        <v>463</v>
      </c>
      <c r="B112" s="4" t="s">
        <v>188</v>
      </c>
      <c r="C112" s="4" t="s">
        <v>187</v>
      </c>
      <c r="D112" s="20"/>
      <c r="E112" s="20"/>
      <c r="F112" s="20">
        <f>D112</f>
        <v>0</v>
      </c>
    </row>
    <row r="113" spans="1:7" x14ac:dyDescent="0.2">
      <c r="A113" s="18"/>
      <c r="B113" s="4" t="s">
        <v>418</v>
      </c>
      <c r="C113" s="4" t="s">
        <v>187</v>
      </c>
      <c r="D113" s="20"/>
      <c r="E113" s="20"/>
      <c r="F113" s="20">
        <f t="shared" ref="F113:F114" si="10">F112+D113</f>
        <v>0</v>
      </c>
    </row>
    <row r="114" spans="1:7" x14ac:dyDescent="0.2">
      <c r="A114" s="18"/>
      <c r="B114" s="4" t="s">
        <v>419</v>
      </c>
      <c r="C114" s="4" t="s">
        <v>187</v>
      </c>
      <c r="D114" s="20"/>
      <c r="E114" s="20"/>
      <c r="F114" s="20">
        <f t="shared" si="10"/>
        <v>0</v>
      </c>
    </row>
    <row r="115" spans="1:7" x14ac:dyDescent="0.2">
      <c r="A115" s="18"/>
      <c r="B115" s="4"/>
      <c r="C115" s="4"/>
      <c r="D115" s="20"/>
      <c r="E115" s="20"/>
      <c r="F115" s="20"/>
    </row>
    <row r="116" spans="1:7" x14ac:dyDescent="0.2">
      <c r="A116" s="105" t="s">
        <v>10</v>
      </c>
      <c r="B116" s="112"/>
      <c r="C116" s="106"/>
      <c r="D116" s="20">
        <f>SUM(D68:D114)</f>
        <v>0</v>
      </c>
      <c r="E116" s="20">
        <f>SUM(E68:E114)</f>
        <v>0</v>
      </c>
      <c r="F116" s="20">
        <f>D116-E116</f>
        <v>0</v>
      </c>
    </row>
    <row r="117" spans="1:7" x14ac:dyDescent="0.2">
      <c r="A117" s="105" t="s">
        <v>11</v>
      </c>
      <c r="B117" s="112"/>
      <c r="C117" s="106"/>
      <c r="D117" s="20"/>
      <c r="E117" s="20"/>
      <c r="F117" s="20">
        <f>D117-E117</f>
        <v>0</v>
      </c>
    </row>
    <row r="118" spans="1:7" x14ac:dyDescent="0.2">
      <c r="A118" s="105" t="s">
        <v>10</v>
      </c>
      <c r="B118" s="112"/>
      <c r="C118" s="106"/>
      <c r="D118" s="20">
        <f>SUM(D116:D117)</f>
        <v>0</v>
      </c>
      <c r="E118" s="20">
        <f>SUM(E116:E117)</f>
        <v>0</v>
      </c>
      <c r="F118" s="20">
        <f>SUM(F116:F117)</f>
        <v>0</v>
      </c>
    </row>
    <row r="124" spans="1:7" x14ac:dyDescent="0.2">
      <c r="A124" s="100" t="s">
        <v>0</v>
      </c>
      <c r="B124" s="100"/>
    </row>
    <row r="125" spans="1:7" x14ac:dyDescent="0.2">
      <c r="A125" s="100" t="s">
        <v>1</v>
      </c>
      <c r="B125" s="100"/>
    </row>
    <row r="126" spans="1:7" x14ac:dyDescent="0.2">
      <c r="A126" s="101" t="s">
        <v>2</v>
      </c>
      <c r="B126" s="101"/>
      <c r="C126" s="101"/>
      <c r="D126" s="101"/>
      <c r="E126" s="101"/>
      <c r="F126" s="101"/>
    </row>
    <row r="127" spans="1:7" x14ac:dyDescent="0.2">
      <c r="A127" s="109" t="s">
        <v>124</v>
      </c>
      <c r="B127" s="109"/>
      <c r="D127" s="2" t="s">
        <v>649</v>
      </c>
      <c r="G127" s="1" t="s">
        <v>70</v>
      </c>
    </row>
    <row r="129" spans="1:6" x14ac:dyDescent="0.2">
      <c r="A129" s="103" t="s">
        <v>3</v>
      </c>
      <c r="B129" s="103" t="s">
        <v>4</v>
      </c>
      <c r="C129" s="103" t="s">
        <v>5</v>
      </c>
      <c r="D129" s="105" t="s">
        <v>6</v>
      </c>
      <c r="E129" s="106"/>
      <c r="F129" s="103" t="s">
        <v>9</v>
      </c>
    </row>
    <row r="130" spans="1:6" x14ac:dyDescent="0.2">
      <c r="A130" s="104"/>
      <c r="B130" s="104"/>
      <c r="C130" s="104"/>
      <c r="D130" s="3" t="s">
        <v>7</v>
      </c>
      <c r="E130" s="3" t="s">
        <v>8</v>
      </c>
      <c r="F130" s="104"/>
    </row>
    <row r="131" spans="1:6" x14ac:dyDescent="0.2">
      <c r="A131" s="18"/>
      <c r="B131" s="4"/>
      <c r="C131" s="4" t="s">
        <v>187</v>
      </c>
      <c r="D131" s="20"/>
      <c r="E131" s="20">
        <v>0</v>
      </c>
      <c r="F131" s="20">
        <f>D131+E131</f>
        <v>0</v>
      </c>
    </row>
    <row r="132" spans="1:6" x14ac:dyDescent="0.2">
      <c r="A132" s="4"/>
      <c r="B132" s="4"/>
      <c r="C132" s="4"/>
      <c r="D132" s="20"/>
      <c r="E132" s="20"/>
      <c r="F132" s="20">
        <f>F131+D132</f>
        <v>0</v>
      </c>
    </row>
    <row r="133" spans="1:6" x14ac:dyDescent="0.2">
      <c r="A133" s="4"/>
      <c r="B133" s="4"/>
      <c r="C133" s="4"/>
      <c r="D133" s="20"/>
      <c r="E133" s="20"/>
      <c r="F133" s="20"/>
    </row>
    <row r="134" spans="1:6" x14ac:dyDescent="0.2">
      <c r="A134" s="105" t="s">
        <v>10</v>
      </c>
      <c r="B134" s="112"/>
      <c r="C134" s="106"/>
      <c r="D134" s="20">
        <f>SUM(D131:D133)</f>
        <v>0</v>
      </c>
      <c r="E134" s="20">
        <f>SUM(E131:E133)</f>
        <v>0</v>
      </c>
      <c r="F134" s="20">
        <f>D134-E134</f>
        <v>0</v>
      </c>
    </row>
    <row r="135" spans="1:6" x14ac:dyDescent="0.2">
      <c r="A135" s="105" t="s">
        <v>11</v>
      </c>
      <c r="B135" s="112"/>
      <c r="C135" s="106"/>
      <c r="D135" s="20"/>
      <c r="E135" s="20"/>
      <c r="F135" s="20">
        <f>D135-E135</f>
        <v>0</v>
      </c>
    </row>
    <row r="136" spans="1:6" x14ac:dyDescent="0.2">
      <c r="A136" s="105" t="s">
        <v>10</v>
      </c>
      <c r="B136" s="112"/>
      <c r="C136" s="106"/>
      <c r="D136" s="20">
        <f>SUM(D134:D135)</f>
        <v>0</v>
      </c>
      <c r="E136" s="20">
        <f>SUM(E134:E135)</f>
        <v>0</v>
      </c>
      <c r="F136" s="20">
        <f>SUM(F134:F135)</f>
        <v>0</v>
      </c>
    </row>
    <row r="137" spans="1:6" x14ac:dyDescent="0.2">
      <c r="A137" s="5"/>
      <c r="B137" s="5"/>
      <c r="C137" s="5"/>
    </row>
    <row r="138" spans="1:6" x14ac:dyDescent="0.2">
      <c r="A138" s="100" t="s">
        <v>0</v>
      </c>
      <c r="B138" s="100"/>
    </row>
    <row r="139" spans="1:6" x14ac:dyDescent="0.2">
      <c r="A139" s="100" t="s">
        <v>1</v>
      </c>
      <c r="B139" s="100"/>
    </row>
    <row r="140" spans="1:6" x14ac:dyDescent="0.2">
      <c r="A140" s="101" t="s">
        <v>2</v>
      </c>
      <c r="B140" s="101"/>
      <c r="C140" s="101"/>
      <c r="D140" s="101"/>
      <c r="E140" s="101"/>
      <c r="F140" s="101"/>
    </row>
    <row r="141" spans="1:6" x14ac:dyDescent="0.2">
      <c r="A141" s="109" t="s">
        <v>125</v>
      </c>
      <c r="B141" s="109"/>
      <c r="D141" s="2" t="s">
        <v>650</v>
      </c>
    </row>
    <row r="143" spans="1:6" x14ac:dyDescent="0.2">
      <c r="A143" s="103" t="s">
        <v>3</v>
      </c>
      <c r="B143" s="103" t="s">
        <v>4</v>
      </c>
      <c r="C143" s="103" t="s">
        <v>5</v>
      </c>
      <c r="D143" s="105" t="s">
        <v>6</v>
      </c>
      <c r="E143" s="106"/>
      <c r="F143" s="103" t="s">
        <v>9</v>
      </c>
    </row>
    <row r="144" spans="1:6" x14ac:dyDescent="0.2">
      <c r="A144" s="104"/>
      <c r="B144" s="104"/>
      <c r="C144" s="104"/>
      <c r="D144" s="3" t="s">
        <v>7</v>
      </c>
      <c r="E144" s="3" t="s">
        <v>8</v>
      </c>
      <c r="F144" s="104"/>
    </row>
    <row r="145" spans="1:6" x14ac:dyDescent="0.2">
      <c r="A145" s="18" t="s">
        <v>1365</v>
      </c>
      <c r="B145" s="4" t="s">
        <v>1417</v>
      </c>
      <c r="C145" s="4" t="s">
        <v>187</v>
      </c>
      <c r="D145" s="20"/>
      <c r="E145" s="20">
        <v>0</v>
      </c>
      <c r="F145" s="20">
        <f>D145+E145</f>
        <v>0</v>
      </c>
    </row>
    <row r="146" spans="1:6" x14ac:dyDescent="0.2">
      <c r="A146" s="18" t="s">
        <v>1014</v>
      </c>
      <c r="B146" s="4" t="s">
        <v>1015</v>
      </c>
      <c r="C146" s="4" t="s">
        <v>187</v>
      </c>
      <c r="D146" s="20"/>
      <c r="E146" s="20"/>
      <c r="F146" s="20">
        <f>F145+D146</f>
        <v>0</v>
      </c>
    </row>
    <row r="147" spans="1:6" x14ac:dyDescent="0.2">
      <c r="A147" s="18" t="s">
        <v>637</v>
      </c>
      <c r="B147" s="4" t="s">
        <v>1015</v>
      </c>
      <c r="C147" s="4" t="s">
        <v>187</v>
      </c>
      <c r="D147" s="20"/>
      <c r="E147" s="20"/>
      <c r="F147" s="20">
        <f>F146+D147</f>
        <v>0</v>
      </c>
    </row>
    <row r="148" spans="1:6" x14ac:dyDescent="0.2">
      <c r="A148" s="18" t="s">
        <v>641</v>
      </c>
      <c r="B148" s="4" t="s">
        <v>1015</v>
      </c>
      <c r="C148" s="4" t="s">
        <v>187</v>
      </c>
      <c r="D148" s="20"/>
      <c r="E148" s="20"/>
      <c r="F148" s="20">
        <f>F147+D148</f>
        <v>0</v>
      </c>
    </row>
    <row r="149" spans="1:6" x14ac:dyDescent="0.2">
      <c r="A149" s="105" t="s">
        <v>10</v>
      </c>
      <c r="B149" s="112"/>
      <c r="C149" s="106"/>
      <c r="D149" s="20">
        <f>SUM(D145:D148)</f>
        <v>0</v>
      </c>
      <c r="E149" s="20">
        <f>SUM(E145:E148)</f>
        <v>0</v>
      </c>
      <c r="F149" s="20">
        <f>D149-E149</f>
        <v>0</v>
      </c>
    </row>
    <row r="150" spans="1:6" x14ac:dyDescent="0.2">
      <c r="A150" s="105" t="s">
        <v>11</v>
      </c>
      <c r="B150" s="112"/>
      <c r="C150" s="106"/>
      <c r="D150" s="20"/>
      <c r="E150" s="20"/>
      <c r="F150" s="20">
        <f>D150-E150</f>
        <v>0</v>
      </c>
    </row>
    <row r="151" spans="1:6" x14ac:dyDescent="0.2">
      <c r="A151" s="105" t="s">
        <v>10</v>
      </c>
      <c r="B151" s="112"/>
      <c r="C151" s="106"/>
      <c r="D151" s="20">
        <f>SUM(D149:D150)</f>
        <v>0</v>
      </c>
      <c r="E151" s="20">
        <f>SUM(E149:E150)</f>
        <v>0</v>
      </c>
      <c r="F151" s="20">
        <f>SUM(F149:F150)</f>
        <v>0</v>
      </c>
    </row>
    <row r="152" spans="1:6" x14ac:dyDescent="0.2">
      <c r="A152" s="5"/>
      <c r="B152" s="5"/>
      <c r="C152" s="5"/>
      <c r="D152" s="39"/>
      <c r="E152" s="39"/>
      <c r="F152" s="39"/>
    </row>
    <row r="153" spans="1:6" x14ac:dyDescent="0.2">
      <c r="A153" s="5"/>
      <c r="B153" s="5"/>
      <c r="C153" s="5"/>
      <c r="D153" s="39"/>
      <c r="E153" s="39"/>
      <c r="F153" s="39"/>
    </row>
    <row r="154" spans="1:6" x14ac:dyDescent="0.2">
      <c r="A154" s="100" t="s">
        <v>0</v>
      </c>
      <c r="B154" s="100"/>
    </row>
    <row r="155" spans="1:6" x14ac:dyDescent="0.2">
      <c r="A155" s="100" t="s">
        <v>1</v>
      </c>
      <c r="B155" s="100"/>
    </row>
    <row r="156" spans="1:6" x14ac:dyDescent="0.2">
      <c r="A156" s="101" t="s">
        <v>2</v>
      </c>
      <c r="B156" s="101"/>
      <c r="C156" s="101"/>
      <c r="D156" s="101"/>
      <c r="E156" s="101"/>
      <c r="F156" s="101"/>
    </row>
    <row r="157" spans="1:6" x14ac:dyDescent="0.2">
      <c r="A157" s="109" t="s">
        <v>351</v>
      </c>
      <c r="B157" s="109"/>
      <c r="D157" s="2" t="s">
        <v>651</v>
      </c>
    </row>
    <row r="159" spans="1:6" x14ac:dyDescent="0.2">
      <c r="A159" s="103" t="s">
        <v>3</v>
      </c>
      <c r="B159" s="103" t="s">
        <v>4</v>
      </c>
      <c r="C159" s="103" t="s">
        <v>5</v>
      </c>
      <c r="D159" s="105" t="s">
        <v>6</v>
      </c>
      <c r="E159" s="106"/>
      <c r="F159" s="103" t="s">
        <v>9</v>
      </c>
    </row>
    <row r="160" spans="1:6" x14ac:dyDescent="0.2">
      <c r="A160" s="104"/>
      <c r="B160" s="104"/>
      <c r="C160" s="104"/>
      <c r="D160" s="3" t="s">
        <v>7</v>
      </c>
      <c r="E160" s="3" t="s">
        <v>8</v>
      </c>
      <c r="F160" s="104"/>
    </row>
    <row r="161" spans="1:6" x14ac:dyDescent="0.2">
      <c r="A161" s="18" t="s">
        <v>1365</v>
      </c>
      <c r="B161" s="27" t="s">
        <v>1418</v>
      </c>
      <c r="C161" s="4" t="s">
        <v>187</v>
      </c>
      <c r="D161" s="20"/>
      <c r="E161" s="20">
        <v>0</v>
      </c>
      <c r="F161" s="20">
        <f>D161+E161</f>
        <v>0</v>
      </c>
    </row>
    <row r="162" spans="1:6" x14ac:dyDescent="0.2">
      <c r="A162" s="18" t="s">
        <v>754</v>
      </c>
      <c r="B162" s="4" t="s">
        <v>753</v>
      </c>
      <c r="C162" s="4" t="s">
        <v>187</v>
      </c>
      <c r="D162" s="20"/>
      <c r="E162" s="20"/>
      <c r="F162" s="20">
        <f>F161+D162</f>
        <v>0</v>
      </c>
    </row>
    <row r="163" spans="1:6" x14ac:dyDescent="0.2">
      <c r="A163" s="18" t="s">
        <v>1027</v>
      </c>
      <c r="B163" s="4" t="s">
        <v>1028</v>
      </c>
      <c r="C163" s="4" t="s">
        <v>187</v>
      </c>
      <c r="D163" s="20"/>
      <c r="E163" s="20"/>
      <c r="F163" s="20">
        <f>F162+D163</f>
        <v>0</v>
      </c>
    </row>
    <row r="164" spans="1:6" x14ac:dyDescent="0.2">
      <c r="A164" s="18"/>
      <c r="B164" s="27"/>
      <c r="C164" s="4" t="s">
        <v>187</v>
      </c>
      <c r="D164" s="20"/>
      <c r="E164" s="20"/>
      <c r="F164" s="20">
        <f>F163+D164</f>
        <v>0</v>
      </c>
    </row>
    <row r="165" spans="1:6" x14ac:dyDescent="0.2">
      <c r="A165" s="18"/>
      <c r="B165" s="18" t="s">
        <v>545</v>
      </c>
      <c r="C165" s="4"/>
      <c r="D165" s="20"/>
      <c r="E165" s="20"/>
      <c r="F165" s="20"/>
    </row>
    <row r="166" spans="1:6" x14ac:dyDescent="0.2">
      <c r="A166" s="4"/>
      <c r="B166" s="4"/>
      <c r="C166" s="4"/>
      <c r="D166" s="20"/>
      <c r="E166" s="20"/>
      <c r="F166" s="20"/>
    </row>
    <row r="167" spans="1:6" x14ac:dyDescent="0.2">
      <c r="A167" s="105" t="s">
        <v>10</v>
      </c>
      <c r="B167" s="112"/>
      <c r="C167" s="106"/>
      <c r="D167" s="20">
        <f>SUM(D161:D166)</f>
        <v>0</v>
      </c>
      <c r="E167" s="20">
        <f>SUM(E161:E166)</f>
        <v>0</v>
      </c>
      <c r="F167" s="20">
        <f>D167-E167</f>
        <v>0</v>
      </c>
    </row>
    <row r="168" spans="1:6" x14ac:dyDescent="0.2">
      <c r="A168" s="105" t="s">
        <v>11</v>
      </c>
      <c r="B168" s="112"/>
      <c r="C168" s="106"/>
      <c r="D168" s="20"/>
      <c r="E168" s="20"/>
      <c r="F168" s="20">
        <f>D168-E168</f>
        <v>0</v>
      </c>
    </row>
    <row r="169" spans="1:6" x14ac:dyDescent="0.2">
      <c r="A169" s="105" t="s">
        <v>10</v>
      </c>
      <c r="B169" s="112"/>
      <c r="C169" s="106"/>
      <c r="D169" s="20">
        <f>SUM(D167:D168)</f>
        <v>0</v>
      </c>
      <c r="E169" s="20">
        <f>SUM(E167:E168)</f>
        <v>0</v>
      </c>
      <c r="F169" s="20">
        <f>SUM(F167:F168)</f>
        <v>0</v>
      </c>
    </row>
    <row r="171" spans="1:6" x14ac:dyDescent="0.2">
      <c r="A171" s="100" t="s">
        <v>0</v>
      </c>
      <c r="B171" s="100"/>
    </row>
    <row r="172" spans="1:6" x14ac:dyDescent="0.2">
      <c r="A172" s="100" t="s">
        <v>1</v>
      </c>
      <c r="B172" s="100"/>
    </row>
    <row r="173" spans="1:6" x14ac:dyDescent="0.2">
      <c r="A173" s="101" t="s">
        <v>2</v>
      </c>
      <c r="B173" s="101"/>
      <c r="C173" s="101"/>
      <c r="D173" s="101"/>
      <c r="E173" s="101"/>
      <c r="F173" s="101"/>
    </row>
    <row r="174" spans="1:6" x14ac:dyDescent="0.2">
      <c r="A174" s="109" t="s">
        <v>653</v>
      </c>
      <c r="B174" s="109"/>
      <c r="D174" s="2" t="s">
        <v>652</v>
      </c>
    </row>
    <row r="176" spans="1:6" x14ac:dyDescent="0.2">
      <c r="A176" s="103" t="s">
        <v>3</v>
      </c>
      <c r="B176" s="103" t="s">
        <v>4</v>
      </c>
      <c r="C176" s="103" t="s">
        <v>5</v>
      </c>
      <c r="D176" s="105" t="s">
        <v>6</v>
      </c>
      <c r="E176" s="106"/>
      <c r="F176" s="103" t="s">
        <v>9</v>
      </c>
    </row>
    <row r="177" spans="1:6" x14ac:dyDescent="0.2">
      <c r="A177" s="104"/>
      <c r="B177" s="104"/>
      <c r="C177" s="104"/>
      <c r="D177" s="3" t="s">
        <v>7</v>
      </c>
      <c r="E177" s="3" t="s">
        <v>8</v>
      </c>
      <c r="F177" s="104"/>
    </row>
    <row r="178" spans="1:6" x14ac:dyDescent="0.2">
      <c r="A178" s="18"/>
      <c r="B178" s="4"/>
      <c r="C178" s="4" t="s">
        <v>187</v>
      </c>
      <c r="D178" s="20"/>
      <c r="E178" s="20">
        <v>0</v>
      </c>
      <c r="F178" s="20">
        <f>D178+E178</f>
        <v>0</v>
      </c>
    </row>
    <row r="179" spans="1:6" x14ac:dyDescent="0.2">
      <c r="A179" s="18"/>
      <c r="B179" s="4"/>
      <c r="C179" s="4" t="s">
        <v>187</v>
      </c>
      <c r="D179" s="20"/>
      <c r="E179" s="20"/>
      <c r="F179" s="20">
        <f>F178+D179</f>
        <v>0</v>
      </c>
    </row>
    <row r="180" spans="1:6" x14ac:dyDescent="0.2">
      <c r="A180" s="18"/>
      <c r="B180" s="4"/>
      <c r="C180" s="4" t="s">
        <v>187</v>
      </c>
      <c r="D180" s="20"/>
      <c r="E180" s="20"/>
      <c r="F180" s="20">
        <f t="shared" ref="F180:F181" si="11">F179+D180</f>
        <v>0</v>
      </c>
    </row>
    <row r="181" spans="1:6" x14ac:dyDescent="0.2">
      <c r="A181" s="18"/>
      <c r="B181" s="4"/>
      <c r="C181" s="4" t="s">
        <v>187</v>
      </c>
      <c r="D181" s="20"/>
      <c r="E181" s="20"/>
      <c r="F181" s="20">
        <f t="shared" si="11"/>
        <v>0</v>
      </c>
    </row>
    <row r="182" spans="1:6" x14ac:dyDescent="0.2">
      <c r="A182" s="4"/>
      <c r="B182" s="4"/>
      <c r="C182" s="4"/>
      <c r="D182" s="20"/>
      <c r="E182" s="20"/>
      <c r="F182" s="20"/>
    </row>
    <row r="183" spans="1:6" x14ac:dyDescent="0.2">
      <c r="A183" s="105" t="s">
        <v>10</v>
      </c>
      <c r="B183" s="112"/>
      <c r="C183" s="106"/>
      <c r="D183" s="20">
        <f>SUM(D178:D182)</f>
        <v>0</v>
      </c>
      <c r="E183" s="20">
        <f>SUM(E178:E182)</f>
        <v>0</v>
      </c>
      <c r="F183" s="20">
        <f>D183-E183</f>
        <v>0</v>
      </c>
    </row>
    <row r="184" spans="1:6" x14ac:dyDescent="0.2">
      <c r="A184" s="105" t="s">
        <v>11</v>
      </c>
      <c r="B184" s="112"/>
      <c r="C184" s="106"/>
      <c r="D184" s="20"/>
      <c r="E184" s="20"/>
      <c r="F184" s="20">
        <f>D184-E184</f>
        <v>0</v>
      </c>
    </row>
    <row r="185" spans="1:6" x14ac:dyDescent="0.2">
      <c r="A185" s="105" t="s">
        <v>10</v>
      </c>
      <c r="B185" s="112"/>
      <c r="C185" s="106"/>
      <c r="D185" s="20">
        <f>SUM(D183:D184)</f>
        <v>0</v>
      </c>
      <c r="E185" s="20">
        <f>SUM(E183:E184)</f>
        <v>0</v>
      </c>
      <c r="F185" s="20">
        <f>SUM(F183:F184)</f>
        <v>0</v>
      </c>
    </row>
    <row r="191" spans="1:6" x14ac:dyDescent="0.2">
      <c r="A191" s="100" t="s">
        <v>0</v>
      </c>
      <c r="B191" s="100"/>
    </row>
    <row r="192" spans="1:6" x14ac:dyDescent="0.2">
      <c r="A192" s="100" t="s">
        <v>1</v>
      </c>
      <c r="B192" s="100"/>
    </row>
    <row r="193" spans="1:6" x14ac:dyDescent="0.2">
      <c r="A193" s="101" t="s">
        <v>2</v>
      </c>
      <c r="B193" s="101"/>
      <c r="C193" s="101"/>
      <c r="D193" s="101"/>
      <c r="E193" s="101"/>
      <c r="F193" s="101"/>
    </row>
    <row r="194" spans="1:6" x14ac:dyDescent="0.2">
      <c r="A194" s="109" t="s">
        <v>483</v>
      </c>
      <c r="B194" s="109"/>
      <c r="D194" s="2" t="s">
        <v>654</v>
      </c>
    </row>
    <row r="196" spans="1:6" x14ac:dyDescent="0.2">
      <c r="A196" s="103" t="s">
        <v>3</v>
      </c>
      <c r="B196" s="103" t="s">
        <v>4</v>
      </c>
      <c r="C196" s="103" t="s">
        <v>5</v>
      </c>
      <c r="D196" s="105" t="s">
        <v>6</v>
      </c>
      <c r="E196" s="106"/>
      <c r="F196" s="103" t="s">
        <v>9</v>
      </c>
    </row>
    <row r="197" spans="1:6" x14ac:dyDescent="0.2">
      <c r="A197" s="104"/>
      <c r="B197" s="104"/>
      <c r="C197" s="104"/>
      <c r="D197" s="3" t="s">
        <v>7</v>
      </c>
      <c r="E197" s="3" t="s">
        <v>8</v>
      </c>
      <c r="F197" s="104"/>
    </row>
    <row r="198" spans="1:6" x14ac:dyDescent="0.2">
      <c r="A198" s="18" t="s">
        <v>480</v>
      </c>
      <c r="B198" s="4" t="s">
        <v>922</v>
      </c>
      <c r="C198" s="4" t="s">
        <v>187</v>
      </c>
      <c r="D198" s="20"/>
      <c r="E198" s="20">
        <v>0</v>
      </c>
      <c r="F198" s="20">
        <f>D198+E198</f>
        <v>0</v>
      </c>
    </row>
    <row r="199" spans="1:6" x14ac:dyDescent="0.2">
      <c r="A199" s="18" t="s">
        <v>934</v>
      </c>
      <c r="B199" s="4" t="s">
        <v>943</v>
      </c>
      <c r="C199" s="4" t="s">
        <v>187</v>
      </c>
      <c r="D199" s="20"/>
      <c r="E199" s="20"/>
      <c r="F199" s="20">
        <f>F198+D199</f>
        <v>0</v>
      </c>
    </row>
    <row r="200" spans="1:6" x14ac:dyDescent="0.2">
      <c r="A200" s="18" t="s">
        <v>481</v>
      </c>
      <c r="B200" s="4" t="s">
        <v>948</v>
      </c>
      <c r="C200" s="4" t="s">
        <v>187</v>
      </c>
      <c r="D200" s="20"/>
      <c r="E200" s="20"/>
      <c r="F200" s="20">
        <f t="shared" ref="F200:F201" si="12">F199+D200</f>
        <v>0</v>
      </c>
    </row>
    <row r="201" spans="1:6" x14ac:dyDescent="0.2">
      <c r="A201" s="18" t="s">
        <v>1009</v>
      </c>
      <c r="B201" s="4" t="s">
        <v>1011</v>
      </c>
      <c r="C201" s="4" t="s">
        <v>187</v>
      </c>
      <c r="D201" s="20"/>
      <c r="E201" s="20"/>
      <c r="F201" s="20">
        <f t="shared" si="12"/>
        <v>0</v>
      </c>
    </row>
    <row r="202" spans="1:6" x14ac:dyDescent="0.2">
      <c r="A202" s="4"/>
      <c r="B202" s="4"/>
      <c r="C202" s="4"/>
      <c r="D202" s="20"/>
      <c r="E202" s="20"/>
      <c r="F202" s="20"/>
    </row>
    <row r="203" spans="1:6" x14ac:dyDescent="0.2">
      <c r="A203" s="105" t="s">
        <v>10</v>
      </c>
      <c r="B203" s="112"/>
      <c r="C203" s="106"/>
      <c r="D203" s="20">
        <f>SUM(D198:D202)</f>
        <v>0</v>
      </c>
      <c r="E203" s="20">
        <f>SUM(E198:E202)</f>
        <v>0</v>
      </c>
      <c r="F203" s="20">
        <f>D203-E203</f>
        <v>0</v>
      </c>
    </row>
    <row r="204" spans="1:6" x14ac:dyDescent="0.2">
      <c r="A204" s="105" t="s">
        <v>11</v>
      </c>
      <c r="B204" s="112"/>
      <c r="C204" s="106"/>
      <c r="D204" s="20"/>
      <c r="E204" s="20"/>
      <c r="F204" s="20">
        <f>D204-E204</f>
        <v>0</v>
      </c>
    </row>
    <row r="205" spans="1:6" x14ac:dyDescent="0.2">
      <c r="A205" s="105" t="s">
        <v>10</v>
      </c>
      <c r="B205" s="112"/>
      <c r="C205" s="106"/>
      <c r="D205" s="20">
        <f>SUM(D203:D204)</f>
        <v>0</v>
      </c>
      <c r="E205" s="20">
        <f>SUM(E203:E204)</f>
        <v>0</v>
      </c>
      <c r="F205" s="20">
        <f>SUM(F203:F204)</f>
        <v>0</v>
      </c>
    </row>
    <row r="210" spans="1:6" x14ac:dyDescent="0.2">
      <c r="A210" s="100" t="s">
        <v>0</v>
      </c>
      <c r="B210" s="100"/>
    </row>
    <row r="211" spans="1:6" x14ac:dyDescent="0.2">
      <c r="A211" s="100" t="s">
        <v>1</v>
      </c>
      <c r="B211" s="100"/>
    </row>
    <row r="212" spans="1:6" x14ac:dyDescent="0.2">
      <c r="A212" s="101" t="s">
        <v>2</v>
      </c>
      <c r="B212" s="101"/>
      <c r="C212" s="101"/>
      <c r="D212" s="101"/>
      <c r="E212" s="101"/>
      <c r="F212" s="101"/>
    </row>
    <row r="213" spans="1:6" x14ac:dyDescent="0.2">
      <c r="A213" s="109" t="s">
        <v>126</v>
      </c>
      <c r="B213" s="109"/>
      <c r="D213" s="2" t="s">
        <v>655</v>
      </c>
    </row>
    <row r="215" spans="1:6" x14ac:dyDescent="0.2">
      <c r="A215" s="103" t="s">
        <v>3</v>
      </c>
      <c r="B215" s="103" t="s">
        <v>4</v>
      </c>
      <c r="C215" s="103" t="s">
        <v>5</v>
      </c>
      <c r="D215" s="105" t="s">
        <v>6</v>
      </c>
      <c r="E215" s="106"/>
      <c r="F215" s="103" t="s">
        <v>9</v>
      </c>
    </row>
    <row r="216" spans="1:6" x14ac:dyDescent="0.2">
      <c r="A216" s="104"/>
      <c r="B216" s="104"/>
      <c r="C216" s="104"/>
      <c r="D216" s="3" t="s">
        <v>7</v>
      </c>
      <c r="E216" s="3" t="s">
        <v>8</v>
      </c>
      <c r="F216" s="104"/>
    </row>
    <row r="217" spans="1:6" x14ac:dyDescent="0.2">
      <c r="A217" s="18" t="s">
        <v>581</v>
      </c>
      <c r="B217" s="4" t="s">
        <v>1398</v>
      </c>
      <c r="C217" s="4" t="s">
        <v>187</v>
      </c>
      <c r="D217" s="20"/>
      <c r="E217" s="20">
        <v>0</v>
      </c>
      <c r="F217" s="20">
        <f>D217+E217</f>
        <v>0</v>
      </c>
    </row>
    <row r="218" spans="1:6" x14ac:dyDescent="0.2">
      <c r="A218" s="18" t="s">
        <v>1365</v>
      </c>
      <c r="B218" s="4" t="s">
        <v>1399</v>
      </c>
      <c r="C218" s="4" t="s">
        <v>187</v>
      </c>
      <c r="D218" s="20"/>
      <c r="E218" s="20"/>
      <c r="F218" s="20">
        <f>F217+D218</f>
        <v>0</v>
      </c>
    </row>
    <row r="219" spans="1:6" x14ac:dyDescent="0.2">
      <c r="A219" s="18" t="s">
        <v>838</v>
      </c>
      <c r="B219" s="4" t="s">
        <v>842</v>
      </c>
      <c r="C219" s="4" t="s">
        <v>187</v>
      </c>
      <c r="D219" s="20"/>
      <c r="E219" s="20"/>
      <c r="F219" s="20">
        <f t="shared" ref="F219:F233" si="13">F218+D219</f>
        <v>0</v>
      </c>
    </row>
    <row r="220" spans="1:6" x14ac:dyDescent="0.2">
      <c r="A220" s="18" t="s">
        <v>934</v>
      </c>
      <c r="B220" s="4" t="s">
        <v>940</v>
      </c>
      <c r="C220" s="4" t="s">
        <v>187</v>
      </c>
      <c r="D220" s="20"/>
      <c r="E220" s="20"/>
      <c r="F220" s="20">
        <f t="shared" si="13"/>
        <v>0</v>
      </c>
    </row>
    <row r="221" spans="1:6" x14ac:dyDescent="0.2">
      <c r="A221" s="18" t="s">
        <v>1027</v>
      </c>
      <c r="B221" s="4" t="s">
        <v>1029</v>
      </c>
      <c r="C221" s="4" t="s">
        <v>187</v>
      </c>
      <c r="D221" s="20"/>
      <c r="E221" s="20"/>
      <c r="F221" s="20">
        <f t="shared" si="13"/>
        <v>0</v>
      </c>
    </row>
    <row r="222" spans="1:6" x14ac:dyDescent="0.2">
      <c r="A222" s="18" t="s">
        <v>544</v>
      </c>
      <c r="B222" s="4" t="s">
        <v>1035</v>
      </c>
      <c r="C222" s="4" t="s">
        <v>187</v>
      </c>
      <c r="D222" s="20"/>
      <c r="E222" s="20"/>
      <c r="F222" s="20">
        <f t="shared" si="13"/>
        <v>0</v>
      </c>
    </row>
    <row r="223" spans="1:6" x14ac:dyDescent="0.2">
      <c r="A223" s="18" t="s">
        <v>1181</v>
      </c>
      <c r="B223" s="4" t="s">
        <v>1185</v>
      </c>
      <c r="C223" s="4" t="s">
        <v>187</v>
      </c>
      <c r="D223" s="20"/>
      <c r="E223" s="20"/>
      <c r="F223" s="20">
        <f t="shared" si="13"/>
        <v>0</v>
      </c>
    </row>
    <row r="224" spans="1:6" x14ac:dyDescent="0.2">
      <c r="A224" s="18"/>
      <c r="B224" s="4"/>
      <c r="C224" s="4" t="s">
        <v>187</v>
      </c>
      <c r="D224" s="20"/>
      <c r="E224" s="20"/>
      <c r="F224" s="20">
        <f t="shared" si="13"/>
        <v>0</v>
      </c>
    </row>
    <row r="225" spans="1:6" x14ac:dyDescent="0.2">
      <c r="A225" s="18"/>
      <c r="B225" s="4"/>
      <c r="C225" s="4" t="s">
        <v>187</v>
      </c>
      <c r="D225" s="20"/>
      <c r="E225" s="20"/>
      <c r="F225" s="20">
        <f t="shared" si="13"/>
        <v>0</v>
      </c>
    </row>
    <row r="226" spans="1:6" x14ac:dyDescent="0.2">
      <c r="A226" s="18"/>
      <c r="B226" s="4"/>
      <c r="C226" s="4" t="s">
        <v>187</v>
      </c>
      <c r="D226" s="20"/>
      <c r="E226" s="20"/>
      <c r="F226" s="20">
        <f t="shared" si="13"/>
        <v>0</v>
      </c>
    </row>
    <row r="227" spans="1:6" x14ac:dyDescent="0.2">
      <c r="A227" s="18"/>
      <c r="B227" s="4"/>
      <c r="C227" s="4" t="s">
        <v>187</v>
      </c>
      <c r="D227" s="20"/>
      <c r="E227" s="20"/>
      <c r="F227" s="20">
        <f t="shared" si="13"/>
        <v>0</v>
      </c>
    </row>
    <row r="228" spans="1:6" x14ac:dyDescent="0.2">
      <c r="A228" s="18"/>
      <c r="B228" s="4"/>
      <c r="C228" s="4" t="s">
        <v>187</v>
      </c>
      <c r="D228" s="20"/>
      <c r="E228" s="20"/>
      <c r="F228" s="20">
        <f t="shared" si="13"/>
        <v>0</v>
      </c>
    </row>
    <row r="229" spans="1:6" x14ac:dyDescent="0.2">
      <c r="A229" s="18"/>
      <c r="B229" s="4"/>
      <c r="C229" s="4" t="s">
        <v>187</v>
      </c>
      <c r="D229" s="20"/>
      <c r="E229" s="20"/>
      <c r="F229" s="20">
        <f t="shared" si="13"/>
        <v>0</v>
      </c>
    </row>
    <row r="230" spans="1:6" x14ac:dyDescent="0.2">
      <c r="A230" s="18"/>
      <c r="B230" s="4"/>
      <c r="C230" s="4" t="s">
        <v>187</v>
      </c>
      <c r="D230" s="20"/>
      <c r="E230" s="20"/>
      <c r="F230" s="20">
        <f t="shared" si="13"/>
        <v>0</v>
      </c>
    </row>
    <row r="231" spans="1:6" x14ac:dyDescent="0.2">
      <c r="A231" s="18"/>
      <c r="B231" s="4"/>
      <c r="C231" s="4" t="s">
        <v>187</v>
      </c>
      <c r="D231" s="20"/>
      <c r="E231" s="20"/>
      <c r="F231" s="20">
        <f t="shared" si="13"/>
        <v>0</v>
      </c>
    </row>
    <row r="232" spans="1:6" x14ac:dyDescent="0.2">
      <c r="A232" s="53"/>
      <c r="B232" s="4"/>
      <c r="C232" s="4" t="s">
        <v>187</v>
      </c>
      <c r="D232" s="20"/>
      <c r="E232" s="20"/>
      <c r="F232" s="20">
        <f t="shared" si="13"/>
        <v>0</v>
      </c>
    </row>
    <row r="233" spans="1:6" x14ac:dyDescent="0.2">
      <c r="A233" s="53"/>
      <c r="B233" s="4"/>
      <c r="C233" s="4" t="s">
        <v>187</v>
      </c>
      <c r="D233" s="20"/>
      <c r="E233" s="20"/>
      <c r="F233" s="20">
        <f t="shared" si="13"/>
        <v>0</v>
      </c>
    </row>
    <row r="234" spans="1:6" x14ac:dyDescent="0.2">
      <c r="A234" s="53"/>
      <c r="B234" s="4"/>
      <c r="C234" s="10"/>
      <c r="D234" s="20"/>
      <c r="E234" s="20"/>
      <c r="F234" s="20"/>
    </row>
    <row r="235" spans="1:6" x14ac:dyDescent="0.2">
      <c r="A235" s="105" t="s">
        <v>10</v>
      </c>
      <c r="B235" s="112"/>
      <c r="C235" s="106"/>
      <c r="D235" s="20">
        <f>SUM(D217:D231)</f>
        <v>0</v>
      </c>
      <c r="E235" s="20">
        <f>SUM(E217:E231)</f>
        <v>0</v>
      </c>
      <c r="F235" s="20">
        <f>D235-E235</f>
        <v>0</v>
      </c>
    </row>
    <row r="236" spans="1:6" x14ac:dyDescent="0.2">
      <c r="A236" s="105" t="s">
        <v>11</v>
      </c>
      <c r="B236" s="112"/>
      <c r="C236" s="106"/>
      <c r="D236" s="20"/>
      <c r="E236" s="20"/>
      <c r="F236" s="20">
        <f>D236-E236</f>
        <v>0</v>
      </c>
    </row>
    <row r="237" spans="1:6" x14ac:dyDescent="0.2">
      <c r="A237" s="105" t="s">
        <v>10</v>
      </c>
      <c r="B237" s="112"/>
      <c r="C237" s="106"/>
      <c r="D237" s="20">
        <f>SUM(D235:D236)</f>
        <v>0</v>
      </c>
      <c r="E237" s="20">
        <f>SUM(E235:E236)</f>
        <v>0</v>
      </c>
      <c r="F237" s="20">
        <f>SUM(F235:F236)</f>
        <v>0</v>
      </c>
    </row>
    <row r="238" spans="1:6" x14ac:dyDescent="0.2">
      <c r="A238" s="5"/>
      <c r="B238" s="5"/>
      <c r="C238" s="5"/>
    </row>
    <row r="239" spans="1:6" x14ac:dyDescent="0.2">
      <c r="A239" s="100" t="s">
        <v>0</v>
      </c>
      <c r="B239" s="100"/>
    </row>
    <row r="240" spans="1:6" x14ac:dyDescent="0.2">
      <c r="A240" s="100" t="s">
        <v>1</v>
      </c>
      <c r="B240" s="100"/>
    </row>
    <row r="241" spans="1:8" x14ac:dyDescent="0.2">
      <c r="A241" s="101" t="s">
        <v>2</v>
      </c>
      <c r="B241" s="101"/>
      <c r="C241" s="101"/>
      <c r="D241" s="101"/>
      <c r="E241" s="101"/>
      <c r="F241" s="101"/>
    </row>
    <row r="242" spans="1:8" x14ac:dyDescent="0.2">
      <c r="A242" s="122" t="s">
        <v>127</v>
      </c>
      <c r="B242" s="122"/>
      <c r="C242" s="125"/>
      <c r="D242" s="123" t="s">
        <v>656</v>
      </c>
    </row>
    <row r="244" spans="1:8" x14ac:dyDescent="0.2">
      <c r="A244" s="103" t="s">
        <v>3</v>
      </c>
      <c r="B244" s="103" t="s">
        <v>4</v>
      </c>
      <c r="C244" s="103" t="s">
        <v>5</v>
      </c>
      <c r="D244" s="105" t="s">
        <v>6</v>
      </c>
      <c r="E244" s="106"/>
      <c r="F244" s="103" t="s">
        <v>9</v>
      </c>
    </row>
    <row r="245" spans="1:8" x14ac:dyDescent="0.2">
      <c r="A245" s="104"/>
      <c r="B245" s="104"/>
      <c r="C245" s="104"/>
      <c r="D245" s="3" t="s">
        <v>7</v>
      </c>
      <c r="E245" s="3" t="s">
        <v>8</v>
      </c>
      <c r="F245" s="104"/>
    </row>
    <row r="246" spans="1:8" x14ac:dyDescent="0.2">
      <c r="A246" s="18" t="s">
        <v>1219</v>
      </c>
      <c r="B246" s="4" t="s">
        <v>1286</v>
      </c>
      <c r="C246" s="4" t="s">
        <v>187</v>
      </c>
      <c r="D246" s="20"/>
      <c r="E246" s="20">
        <v>0</v>
      </c>
      <c r="F246" s="20">
        <f>D246+E246</f>
        <v>0</v>
      </c>
    </row>
    <row r="247" spans="1:8" x14ac:dyDescent="0.2">
      <c r="A247" s="18" t="s">
        <v>1365</v>
      </c>
      <c r="B247" s="4" t="s">
        <v>1416</v>
      </c>
      <c r="C247" s="4" t="s">
        <v>187</v>
      </c>
      <c r="D247" s="20"/>
      <c r="E247" s="20"/>
      <c r="F247" s="20">
        <f>F246+D247</f>
        <v>0</v>
      </c>
    </row>
    <row r="248" spans="1:8" x14ac:dyDescent="0.2">
      <c r="A248" s="18" t="s">
        <v>574</v>
      </c>
      <c r="B248" s="4" t="s">
        <v>746</v>
      </c>
      <c r="C248" s="4" t="s">
        <v>187</v>
      </c>
      <c r="D248" s="20"/>
      <c r="E248" s="20"/>
      <c r="F248" s="20">
        <f t="shared" ref="F248:F258" si="14">F247+D248</f>
        <v>0</v>
      </c>
    </row>
    <row r="249" spans="1:8" x14ac:dyDescent="0.2">
      <c r="A249" s="18" t="s">
        <v>756</v>
      </c>
      <c r="B249" s="4" t="s">
        <v>758</v>
      </c>
      <c r="C249" s="4" t="s">
        <v>187</v>
      </c>
      <c r="D249" s="20"/>
      <c r="E249" s="20"/>
      <c r="F249" s="20">
        <f t="shared" si="14"/>
        <v>0</v>
      </c>
    </row>
    <row r="250" spans="1:8" x14ac:dyDescent="0.2">
      <c r="A250" s="18" t="s">
        <v>764</v>
      </c>
      <c r="B250" s="4" t="s">
        <v>765</v>
      </c>
      <c r="C250" s="4" t="s">
        <v>187</v>
      </c>
      <c r="D250" s="20"/>
      <c r="E250" s="20"/>
      <c r="F250" s="20">
        <f t="shared" si="14"/>
        <v>0</v>
      </c>
    </row>
    <row r="251" spans="1:8" x14ac:dyDescent="0.2">
      <c r="A251" s="18" t="s">
        <v>630</v>
      </c>
      <c r="B251" s="27" t="s">
        <v>1071</v>
      </c>
      <c r="C251" s="4" t="s">
        <v>187</v>
      </c>
      <c r="D251" s="20"/>
      <c r="E251" s="20"/>
      <c r="F251" s="20">
        <f t="shared" si="14"/>
        <v>0</v>
      </c>
    </row>
    <row r="252" spans="1:8" x14ac:dyDescent="0.2">
      <c r="A252" s="18" t="s">
        <v>546</v>
      </c>
      <c r="B252" s="4" t="s">
        <v>1074</v>
      </c>
      <c r="C252" s="4" t="s">
        <v>187</v>
      </c>
      <c r="D252" s="20"/>
      <c r="E252" s="20"/>
      <c r="F252" s="20">
        <f t="shared" si="14"/>
        <v>0</v>
      </c>
    </row>
    <row r="253" spans="1:8" x14ac:dyDescent="0.2">
      <c r="A253" s="18" t="s">
        <v>372</v>
      </c>
      <c r="B253" s="4" t="s">
        <v>1084</v>
      </c>
      <c r="C253" s="4" t="s">
        <v>187</v>
      </c>
      <c r="D253" s="20"/>
      <c r="E253" s="20"/>
      <c r="F253" s="20">
        <f t="shared" si="14"/>
        <v>0</v>
      </c>
    </row>
    <row r="254" spans="1:8" x14ac:dyDescent="0.2">
      <c r="A254" s="18" t="s">
        <v>1109</v>
      </c>
      <c r="B254" s="4" t="s">
        <v>1110</v>
      </c>
      <c r="C254" s="4" t="s">
        <v>187</v>
      </c>
      <c r="D254" s="20"/>
      <c r="E254" s="20"/>
      <c r="F254" s="20">
        <f t="shared" si="14"/>
        <v>0</v>
      </c>
    </row>
    <row r="255" spans="1:8" x14ac:dyDescent="0.2">
      <c r="A255" s="18" t="s">
        <v>463</v>
      </c>
      <c r="B255" s="27" t="s">
        <v>1148</v>
      </c>
      <c r="C255" s="4" t="s">
        <v>187</v>
      </c>
      <c r="D255" s="20"/>
      <c r="E255" s="20"/>
      <c r="F255" s="20">
        <f t="shared" si="14"/>
        <v>0</v>
      </c>
      <c r="H255" s="31"/>
    </row>
    <row r="256" spans="1:8" x14ac:dyDescent="0.2">
      <c r="A256" s="18" t="s">
        <v>639</v>
      </c>
      <c r="B256" s="4" t="s">
        <v>1173</v>
      </c>
      <c r="C256" s="4" t="s">
        <v>187</v>
      </c>
      <c r="D256" s="20"/>
      <c r="E256" s="20"/>
      <c r="F256" s="20">
        <f t="shared" si="14"/>
        <v>0</v>
      </c>
    </row>
    <row r="257" spans="1:6" x14ac:dyDescent="0.2">
      <c r="A257" s="18"/>
      <c r="B257" s="4"/>
      <c r="C257" s="4" t="s">
        <v>187</v>
      </c>
      <c r="D257" s="20"/>
      <c r="E257" s="20"/>
      <c r="F257" s="20">
        <f t="shared" si="14"/>
        <v>0</v>
      </c>
    </row>
    <row r="258" spans="1:6" x14ac:dyDescent="0.2">
      <c r="A258" s="18"/>
      <c r="B258" s="4"/>
      <c r="C258" s="4" t="s">
        <v>187</v>
      </c>
      <c r="D258" s="20"/>
      <c r="E258" s="20"/>
      <c r="F258" s="20">
        <f t="shared" si="14"/>
        <v>0</v>
      </c>
    </row>
    <row r="259" spans="1:6" x14ac:dyDescent="0.2">
      <c r="A259" s="4"/>
      <c r="B259" s="4"/>
      <c r="C259" s="4"/>
      <c r="D259" s="20"/>
      <c r="E259" s="20"/>
      <c r="F259" s="20"/>
    </row>
    <row r="260" spans="1:6" x14ac:dyDescent="0.2">
      <c r="A260" s="105" t="s">
        <v>10</v>
      </c>
      <c r="B260" s="112"/>
      <c r="C260" s="106"/>
      <c r="D260" s="20">
        <f>SUM(D246:D259)</f>
        <v>0</v>
      </c>
      <c r="E260" s="20">
        <f>SUM(E246:E259)</f>
        <v>0</v>
      </c>
      <c r="F260" s="20">
        <f>D260-E260</f>
        <v>0</v>
      </c>
    </row>
    <row r="261" spans="1:6" x14ac:dyDescent="0.2">
      <c r="A261" s="105" t="s">
        <v>11</v>
      </c>
      <c r="B261" s="112"/>
      <c r="C261" s="106"/>
      <c r="D261" s="20"/>
      <c r="E261" s="20"/>
      <c r="F261" s="20">
        <f>D261-E261</f>
        <v>0</v>
      </c>
    </row>
    <row r="262" spans="1:6" x14ac:dyDescent="0.2">
      <c r="A262" s="105" t="s">
        <v>10</v>
      </c>
      <c r="B262" s="112"/>
      <c r="C262" s="106"/>
      <c r="D262" s="20">
        <f>SUM(D260:D261)</f>
        <v>0</v>
      </c>
      <c r="E262" s="20">
        <f>SUM(E260:E261)</f>
        <v>0</v>
      </c>
      <c r="F262" s="20">
        <f>SUM(F260:F261)</f>
        <v>0</v>
      </c>
    </row>
    <row r="263" spans="1:6" x14ac:dyDescent="0.2">
      <c r="A263" s="5"/>
      <c r="B263" s="5"/>
      <c r="C263" s="5"/>
      <c r="D263" s="39"/>
      <c r="E263" s="39"/>
      <c r="F263" s="39"/>
    </row>
    <row r="264" spans="1:6" x14ac:dyDescent="0.2">
      <c r="A264" s="5"/>
      <c r="B264" s="5"/>
      <c r="C264" s="5"/>
      <c r="D264" s="39"/>
      <c r="E264" s="39"/>
      <c r="F264" s="39"/>
    </row>
    <row r="265" spans="1:6" x14ac:dyDescent="0.2">
      <c r="A265" s="5"/>
      <c r="B265" s="5"/>
      <c r="C265" s="5"/>
      <c r="D265" s="39"/>
      <c r="E265" s="39"/>
      <c r="F265" s="39"/>
    </row>
    <row r="266" spans="1:6" x14ac:dyDescent="0.2">
      <c r="A266" s="5"/>
      <c r="B266" s="5"/>
      <c r="C266" s="5"/>
      <c r="D266" s="39"/>
      <c r="E266" s="39"/>
      <c r="F266" s="39"/>
    </row>
    <row r="267" spans="1:6" x14ac:dyDescent="0.2">
      <c r="A267" s="5"/>
      <c r="B267" s="5"/>
      <c r="C267" s="5"/>
      <c r="D267" s="39"/>
      <c r="E267" s="39"/>
      <c r="F267" s="39"/>
    </row>
    <row r="268" spans="1:6" x14ac:dyDescent="0.2">
      <c r="A268" s="5"/>
      <c r="B268" s="5"/>
      <c r="C268" s="5"/>
      <c r="D268" s="39"/>
      <c r="E268" s="39"/>
      <c r="F268" s="39"/>
    </row>
    <row r="269" spans="1:6" x14ac:dyDescent="0.2">
      <c r="A269" s="5"/>
      <c r="B269" s="5"/>
      <c r="C269" s="5"/>
      <c r="D269" s="39"/>
      <c r="E269" s="39"/>
      <c r="F269" s="39"/>
    </row>
    <row r="270" spans="1:6" x14ac:dyDescent="0.2">
      <c r="A270" s="5"/>
      <c r="B270" s="5"/>
      <c r="C270" s="5"/>
      <c r="D270" s="39"/>
      <c r="E270" s="39"/>
      <c r="F270" s="39"/>
    </row>
    <row r="271" spans="1:6" x14ac:dyDescent="0.2">
      <c r="A271" s="5"/>
      <c r="B271" s="5"/>
      <c r="C271" s="5"/>
      <c r="D271" s="39"/>
      <c r="E271" s="39"/>
      <c r="F271" s="39"/>
    </row>
    <row r="272" spans="1:6" x14ac:dyDescent="0.2">
      <c r="A272" s="5"/>
      <c r="B272" s="5"/>
      <c r="C272" s="5"/>
      <c r="D272" s="39"/>
      <c r="E272" s="39"/>
      <c r="F272" s="39"/>
    </row>
    <row r="273" spans="1:6" x14ac:dyDescent="0.2">
      <c r="A273" s="5"/>
      <c r="B273" s="5"/>
      <c r="C273" s="5"/>
      <c r="D273" s="39"/>
      <c r="E273" s="39"/>
      <c r="F273" s="39"/>
    </row>
    <row r="274" spans="1:6" x14ac:dyDescent="0.2">
      <c r="A274" s="5"/>
      <c r="B274" s="5"/>
      <c r="C274" s="5"/>
      <c r="D274" s="39"/>
      <c r="E274" s="39"/>
      <c r="F274" s="39"/>
    </row>
    <row r="275" spans="1:6" x14ac:dyDescent="0.2">
      <c r="A275" s="100" t="s">
        <v>0</v>
      </c>
      <c r="B275" s="100"/>
    </row>
    <row r="276" spans="1:6" x14ac:dyDescent="0.2">
      <c r="A276" s="100" t="s">
        <v>1</v>
      </c>
      <c r="B276" s="100"/>
    </row>
    <row r="277" spans="1:6" x14ac:dyDescent="0.2">
      <c r="A277" s="101" t="s">
        <v>2</v>
      </c>
      <c r="B277" s="101"/>
      <c r="C277" s="101"/>
      <c r="D277" s="101"/>
      <c r="E277" s="101"/>
      <c r="F277" s="101"/>
    </row>
    <row r="278" spans="1:6" x14ac:dyDescent="0.2">
      <c r="A278" s="122" t="s">
        <v>128</v>
      </c>
      <c r="B278" s="122"/>
      <c r="C278" s="125"/>
      <c r="D278" s="123" t="s">
        <v>657</v>
      </c>
    </row>
    <row r="280" spans="1:6" x14ac:dyDescent="0.2">
      <c r="A280" s="103" t="s">
        <v>3</v>
      </c>
      <c r="B280" s="103" t="s">
        <v>4</v>
      </c>
      <c r="C280" s="103" t="s">
        <v>5</v>
      </c>
      <c r="D280" s="105" t="s">
        <v>6</v>
      </c>
      <c r="E280" s="106"/>
      <c r="F280" s="103" t="s">
        <v>9</v>
      </c>
    </row>
    <row r="281" spans="1:6" x14ac:dyDescent="0.2">
      <c r="A281" s="104"/>
      <c r="B281" s="104"/>
      <c r="C281" s="104"/>
      <c r="D281" s="3" t="s">
        <v>7</v>
      </c>
      <c r="E281" s="3" t="s">
        <v>8</v>
      </c>
      <c r="F281" s="104"/>
    </row>
    <row r="282" spans="1:6" x14ac:dyDescent="0.2">
      <c r="A282" s="50" t="s">
        <v>469</v>
      </c>
      <c r="B282" s="4"/>
      <c r="C282" s="4" t="s">
        <v>187</v>
      </c>
      <c r="D282" s="20"/>
      <c r="E282" s="20">
        <v>0</v>
      </c>
      <c r="F282" s="20">
        <f>D282+E282</f>
        <v>0</v>
      </c>
    </row>
    <row r="283" spans="1:6" x14ac:dyDescent="0.2">
      <c r="A283" s="37" t="s">
        <v>1237</v>
      </c>
      <c r="B283" s="4" t="s">
        <v>1285</v>
      </c>
      <c r="C283" s="4" t="s">
        <v>187</v>
      </c>
      <c r="D283" s="20"/>
      <c r="E283" s="20"/>
      <c r="F283" s="20">
        <f>D283</f>
        <v>0</v>
      </c>
    </row>
    <row r="284" spans="1:6" x14ac:dyDescent="0.2">
      <c r="A284" s="50" t="s">
        <v>247</v>
      </c>
      <c r="B284" s="4"/>
      <c r="C284" s="4"/>
      <c r="D284" s="20"/>
      <c r="E284" s="20"/>
      <c r="F284" s="20"/>
    </row>
    <row r="285" spans="1:6" x14ac:dyDescent="0.2">
      <c r="A285" s="18" t="s">
        <v>505</v>
      </c>
      <c r="B285" s="4" t="s">
        <v>1312</v>
      </c>
      <c r="C285" s="4" t="s">
        <v>187</v>
      </c>
      <c r="D285" s="20"/>
      <c r="E285" s="20"/>
      <c r="F285" s="20">
        <f>D285</f>
        <v>0</v>
      </c>
    </row>
    <row r="286" spans="1:6" x14ac:dyDescent="0.2">
      <c r="A286" s="18" t="s">
        <v>474</v>
      </c>
      <c r="B286" s="4" t="s">
        <v>1313</v>
      </c>
      <c r="C286" s="4" t="s">
        <v>187</v>
      </c>
      <c r="D286" s="20"/>
      <c r="E286" s="20"/>
      <c r="F286" s="20">
        <f>F285+D286</f>
        <v>0</v>
      </c>
    </row>
    <row r="287" spans="1:6" x14ac:dyDescent="0.2">
      <c r="A287" s="50" t="s">
        <v>262</v>
      </c>
      <c r="B287" s="4"/>
      <c r="C287" s="4"/>
      <c r="D287" s="20"/>
      <c r="E287" s="20"/>
      <c r="F287" s="20"/>
    </row>
    <row r="288" spans="1:6" x14ac:dyDescent="0.2">
      <c r="A288" s="18" t="s">
        <v>476</v>
      </c>
      <c r="B288" s="4" t="s">
        <v>1412</v>
      </c>
      <c r="C288" s="4" t="s">
        <v>187</v>
      </c>
      <c r="D288" s="20"/>
      <c r="E288" s="20"/>
      <c r="F288" s="20">
        <f>D288</f>
        <v>0</v>
      </c>
    </row>
    <row r="289" spans="1:6" x14ac:dyDescent="0.2">
      <c r="A289" s="50" t="s">
        <v>283</v>
      </c>
      <c r="B289" s="4"/>
      <c r="C289" s="4" t="s">
        <v>187</v>
      </c>
      <c r="D289" s="20"/>
      <c r="E289" s="20"/>
      <c r="F289" s="20"/>
    </row>
    <row r="290" spans="1:6" x14ac:dyDescent="0.2">
      <c r="A290" s="18" t="s">
        <v>798</v>
      </c>
      <c r="B290" s="4" t="s">
        <v>588</v>
      </c>
      <c r="C290" s="4" t="s">
        <v>187</v>
      </c>
      <c r="D290" s="20"/>
      <c r="E290" s="20"/>
      <c r="F290" s="20">
        <f>D290</f>
        <v>0</v>
      </c>
    </row>
    <row r="291" spans="1:6" x14ac:dyDescent="0.2">
      <c r="A291" s="50" t="s">
        <v>299</v>
      </c>
      <c r="B291" s="4"/>
      <c r="C291" s="4" t="s">
        <v>187</v>
      </c>
      <c r="D291" s="20"/>
      <c r="E291" s="20"/>
      <c r="F291" s="20"/>
    </row>
    <row r="292" spans="1:6" x14ac:dyDescent="0.2">
      <c r="A292" s="18" t="s">
        <v>838</v>
      </c>
      <c r="B292" s="4" t="s">
        <v>588</v>
      </c>
      <c r="C292" s="4" t="s">
        <v>187</v>
      </c>
      <c r="D292" s="20"/>
      <c r="E292" s="20"/>
      <c r="F292" s="20">
        <f>D292</f>
        <v>0</v>
      </c>
    </row>
    <row r="293" spans="1:6" x14ac:dyDescent="0.2">
      <c r="A293" s="50" t="s">
        <v>315</v>
      </c>
      <c r="B293" s="4"/>
      <c r="C293" s="4"/>
      <c r="D293" s="20"/>
      <c r="E293" s="20"/>
      <c r="F293" s="20"/>
    </row>
    <row r="294" spans="1:6" x14ac:dyDescent="0.2">
      <c r="A294" s="18" t="s">
        <v>885</v>
      </c>
      <c r="B294" s="4" t="s">
        <v>588</v>
      </c>
      <c r="C294" s="4" t="s">
        <v>187</v>
      </c>
      <c r="D294" s="20"/>
      <c r="E294" s="20"/>
      <c r="F294" s="20">
        <f>D294</f>
        <v>0</v>
      </c>
    </row>
    <row r="295" spans="1:6" x14ac:dyDescent="0.2">
      <c r="A295" s="50" t="s">
        <v>330</v>
      </c>
      <c r="B295" s="4"/>
      <c r="C295" s="4" t="s">
        <v>187</v>
      </c>
      <c r="D295" s="20"/>
      <c r="E295" s="20"/>
      <c r="F295" s="20"/>
    </row>
    <row r="296" spans="1:6" x14ac:dyDescent="0.2">
      <c r="A296" s="18" t="s">
        <v>932</v>
      </c>
      <c r="B296" s="4" t="s">
        <v>612</v>
      </c>
      <c r="C296" s="4" t="s">
        <v>187</v>
      </c>
      <c r="D296" s="20"/>
      <c r="E296" s="20"/>
      <c r="F296" s="20">
        <f>D296</f>
        <v>0</v>
      </c>
    </row>
    <row r="297" spans="1:6" x14ac:dyDescent="0.2">
      <c r="A297" s="50" t="s">
        <v>344</v>
      </c>
      <c r="B297" s="4"/>
      <c r="C297" s="4"/>
      <c r="D297" s="20"/>
      <c r="E297" s="20"/>
      <c r="F297" s="20"/>
    </row>
    <row r="298" spans="1:6" x14ac:dyDescent="0.2">
      <c r="A298" s="18" t="s">
        <v>613</v>
      </c>
      <c r="B298" s="4" t="s">
        <v>612</v>
      </c>
      <c r="C298" s="4" t="s">
        <v>187</v>
      </c>
      <c r="D298" s="20"/>
      <c r="E298" s="20"/>
      <c r="F298" s="20">
        <f>D298</f>
        <v>0</v>
      </c>
    </row>
    <row r="299" spans="1:6" x14ac:dyDescent="0.2">
      <c r="A299" s="50" t="s">
        <v>446</v>
      </c>
      <c r="B299" s="4"/>
      <c r="C299" s="4" t="s">
        <v>187</v>
      </c>
      <c r="D299" s="20"/>
      <c r="E299" s="20"/>
      <c r="F299" s="20"/>
    </row>
    <row r="300" spans="1:6" x14ac:dyDescent="0.2">
      <c r="A300" s="18" t="s">
        <v>485</v>
      </c>
      <c r="B300" s="4" t="s">
        <v>612</v>
      </c>
      <c r="C300" s="4" t="s">
        <v>187</v>
      </c>
      <c r="D300" s="20"/>
      <c r="E300" s="20"/>
      <c r="F300" s="20">
        <f>D300</f>
        <v>0</v>
      </c>
    </row>
    <row r="301" spans="1:6" x14ac:dyDescent="0.2">
      <c r="A301" s="50" t="s">
        <v>488</v>
      </c>
      <c r="B301" s="4"/>
      <c r="C301" s="4" t="s">
        <v>187</v>
      </c>
      <c r="D301" s="20"/>
      <c r="E301" s="20"/>
      <c r="F301" s="20"/>
    </row>
    <row r="302" spans="1:6" x14ac:dyDescent="0.2">
      <c r="A302" s="18" t="s">
        <v>372</v>
      </c>
      <c r="B302" s="4" t="s">
        <v>612</v>
      </c>
      <c r="C302" s="4" t="s">
        <v>187</v>
      </c>
      <c r="D302" s="20"/>
      <c r="E302" s="20"/>
      <c r="F302" s="20">
        <f>D302</f>
        <v>0</v>
      </c>
    </row>
    <row r="303" spans="1:6" x14ac:dyDescent="0.2">
      <c r="A303" s="50" t="s">
        <v>490</v>
      </c>
      <c r="B303" s="4"/>
      <c r="C303" s="4" t="s">
        <v>187</v>
      </c>
      <c r="D303" s="20"/>
      <c r="E303" s="20"/>
      <c r="F303" s="20"/>
    </row>
    <row r="304" spans="1:6" x14ac:dyDescent="0.2">
      <c r="A304" s="18" t="s">
        <v>1126</v>
      </c>
      <c r="B304" s="4" t="s">
        <v>612</v>
      </c>
      <c r="C304" s="4" t="s">
        <v>187</v>
      </c>
      <c r="D304" s="20"/>
      <c r="E304" s="20"/>
      <c r="F304" s="20">
        <f>D304</f>
        <v>0</v>
      </c>
    </row>
    <row r="305" spans="1:6" x14ac:dyDescent="0.2">
      <c r="A305" s="50" t="s">
        <v>491</v>
      </c>
      <c r="B305" s="4"/>
      <c r="C305" s="4"/>
      <c r="D305" s="20"/>
      <c r="E305" s="20"/>
      <c r="F305" s="20"/>
    </row>
    <row r="306" spans="1:6" x14ac:dyDescent="0.2">
      <c r="A306" s="18" t="s">
        <v>1181</v>
      </c>
      <c r="B306" s="4" t="s">
        <v>612</v>
      </c>
      <c r="C306" s="4" t="s">
        <v>187</v>
      </c>
      <c r="D306" s="20"/>
      <c r="E306" s="20"/>
      <c r="F306" s="20">
        <f>D306</f>
        <v>0</v>
      </c>
    </row>
    <row r="307" spans="1:6" x14ac:dyDescent="0.2">
      <c r="A307" s="18"/>
      <c r="B307" s="4"/>
      <c r="C307" s="4" t="s">
        <v>187</v>
      </c>
      <c r="D307" s="20"/>
      <c r="E307" s="20"/>
      <c r="F307" s="20">
        <f t="shared" ref="F307:F308" si="15">F306+D307</f>
        <v>0</v>
      </c>
    </row>
    <row r="308" spans="1:6" x14ac:dyDescent="0.2">
      <c r="A308" s="18"/>
      <c r="B308" s="4"/>
      <c r="C308" s="4" t="s">
        <v>187</v>
      </c>
      <c r="D308" s="20"/>
      <c r="E308" s="20"/>
      <c r="F308" s="20">
        <f t="shared" si="15"/>
        <v>0</v>
      </c>
    </row>
    <row r="309" spans="1:6" x14ac:dyDescent="0.2">
      <c r="A309" s="18"/>
      <c r="B309" s="4"/>
      <c r="C309" s="4"/>
      <c r="D309" s="20"/>
      <c r="E309" s="20"/>
      <c r="F309" s="20"/>
    </row>
    <row r="310" spans="1:6" x14ac:dyDescent="0.2">
      <c r="A310" s="4"/>
      <c r="B310" s="4"/>
      <c r="C310" s="4"/>
      <c r="D310" s="20"/>
      <c r="E310" s="20"/>
      <c r="F310" s="20"/>
    </row>
    <row r="311" spans="1:6" x14ac:dyDescent="0.2">
      <c r="A311" s="105" t="s">
        <v>10</v>
      </c>
      <c r="B311" s="112"/>
      <c r="C311" s="106"/>
      <c r="D311" s="20">
        <f>SUM(D282:D310)</f>
        <v>0</v>
      </c>
      <c r="E311" s="20">
        <f>SUM(E282:E310)</f>
        <v>0</v>
      </c>
      <c r="F311" s="20">
        <f>D311-E311</f>
        <v>0</v>
      </c>
    </row>
    <row r="312" spans="1:6" x14ac:dyDescent="0.2">
      <c r="A312" s="105" t="s">
        <v>11</v>
      </c>
      <c r="B312" s="112"/>
      <c r="C312" s="106"/>
      <c r="D312" s="20"/>
      <c r="E312" s="20"/>
      <c r="F312" s="20">
        <f>D312-E312</f>
        <v>0</v>
      </c>
    </row>
    <row r="313" spans="1:6" x14ac:dyDescent="0.2">
      <c r="A313" s="105" t="s">
        <v>10</v>
      </c>
      <c r="B313" s="112"/>
      <c r="C313" s="106"/>
      <c r="D313" s="20">
        <f>SUM(D311:D312)</f>
        <v>0</v>
      </c>
      <c r="E313" s="20">
        <f>SUM(E311:E312)</f>
        <v>0</v>
      </c>
      <c r="F313" s="20">
        <f>SUM(F311:F312)</f>
        <v>0</v>
      </c>
    </row>
    <row r="320" spans="1:6" x14ac:dyDescent="0.2">
      <c r="A320" s="101" t="s">
        <v>2</v>
      </c>
      <c r="B320" s="101"/>
      <c r="C320" s="101"/>
      <c r="D320" s="101"/>
      <c r="E320" s="101"/>
      <c r="F320" s="101"/>
    </row>
    <row r="321" spans="1:6" x14ac:dyDescent="0.2">
      <c r="A321" s="122" t="s">
        <v>180</v>
      </c>
      <c r="B321" s="122"/>
      <c r="C321" s="125"/>
      <c r="D321" s="123" t="s">
        <v>658</v>
      </c>
    </row>
    <row r="322" spans="1:6" ht="8.25" customHeight="1" x14ac:dyDescent="0.2"/>
    <row r="323" spans="1:6" x14ac:dyDescent="0.2">
      <c r="A323" s="103" t="s">
        <v>3</v>
      </c>
      <c r="B323" s="103" t="s">
        <v>4</v>
      </c>
      <c r="C323" s="103" t="s">
        <v>5</v>
      </c>
      <c r="D323" s="105" t="s">
        <v>6</v>
      </c>
      <c r="E323" s="106"/>
      <c r="F323" s="103" t="s">
        <v>9</v>
      </c>
    </row>
    <row r="324" spans="1:6" x14ac:dyDescent="0.2">
      <c r="A324" s="104"/>
      <c r="B324" s="104"/>
      <c r="C324" s="104"/>
      <c r="D324" s="3" t="s">
        <v>7</v>
      </c>
      <c r="E324" s="3" t="s">
        <v>8</v>
      </c>
      <c r="F324" s="104"/>
    </row>
    <row r="325" spans="1:6" x14ac:dyDescent="0.2">
      <c r="A325" s="18" t="s">
        <v>575</v>
      </c>
      <c r="B325" s="4" t="s">
        <v>1329</v>
      </c>
      <c r="C325" s="4" t="s">
        <v>187</v>
      </c>
      <c r="D325" s="20"/>
      <c r="E325" s="20"/>
      <c r="F325" s="20">
        <f>D325+E325</f>
        <v>0</v>
      </c>
    </row>
    <row r="326" spans="1:6" x14ac:dyDescent="0.2">
      <c r="A326" s="18" t="s">
        <v>762</v>
      </c>
      <c r="B326" s="4" t="s">
        <v>1380</v>
      </c>
      <c r="C326" s="4" t="s">
        <v>187</v>
      </c>
      <c r="D326" s="20"/>
      <c r="E326" s="20"/>
      <c r="F326" s="20">
        <f>F325+D326-E326</f>
        <v>0</v>
      </c>
    </row>
    <row r="327" spans="1:6" x14ac:dyDescent="0.2">
      <c r="A327" s="18" t="s">
        <v>798</v>
      </c>
      <c r="B327" s="4" t="s">
        <v>801</v>
      </c>
      <c r="C327" s="4" t="s">
        <v>187</v>
      </c>
      <c r="D327" s="20"/>
      <c r="E327" s="20"/>
      <c r="F327" s="20">
        <f t="shared" ref="F327:F337" si="16">F326+D327-E327</f>
        <v>0</v>
      </c>
    </row>
    <row r="328" spans="1:6" x14ac:dyDescent="0.2">
      <c r="A328" s="18" t="s">
        <v>821</v>
      </c>
      <c r="B328" s="4" t="s">
        <v>822</v>
      </c>
      <c r="C328" s="4" t="s">
        <v>187</v>
      </c>
      <c r="D328" s="20"/>
      <c r="E328" s="20"/>
      <c r="F328" s="20">
        <f t="shared" si="16"/>
        <v>0</v>
      </c>
    </row>
    <row r="329" spans="1:6" x14ac:dyDescent="0.2">
      <c r="A329" s="18" t="s">
        <v>534</v>
      </c>
      <c r="B329" s="4" t="s">
        <v>870</v>
      </c>
      <c r="C329" s="4" t="s">
        <v>187</v>
      </c>
      <c r="D329" s="20"/>
      <c r="E329" s="20"/>
      <c r="F329" s="20">
        <f t="shared" si="16"/>
        <v>0</v>
      </c>
    </row>
    <row r="330" spans="1:6" x14ac:dyDescent="0.2">
      <c r="A330" s="18" t="s">
        <v>538</v>
      </c>
      <c r="B330" s="4" t="s">
        <v>915</v>
      </c>
      <c r="C330" s="4" t="s">
        <v>187</v>
      </c>
      <c r="D330" s="20"/>
      <c r="E330" s="20"/>
      <c r="F330" s="20">
        <f t="shared" si="16"/>
        <v>0</v>
      </c>
    </row>
    <row r="331" spans="1:6" x14ac:dyDescent="0.2">
      <c r="A331" s="18" t="s">
        <v>971</v>
      </c>
      <c r="B331" s="4" t="s">
        <v>972</v>
      </c>
      <c r="C331" s="4" t="s">
        <v>187</v>
      </c>
      <c r="D331" s="20"/>
      <c r="E331" s="20"/>
      <c r="F331" s="20">
        <f t="shared" si="16"/>
        <v>0</v>
      </c>
    </row>
    <row r="332" spans="1:6" x14ac:dyDescent="0.2">
      <c r="A332" s="18" t="s">
        <v>357</v>
      </c>
      <c r="B332" s="4" t="s">
        <v>1054</v>
      </c>
      <c r="C332" s="4" t="s">
        <v>187</v>
      </c>
      <c r="D332" s="20"/>
      <c r="E332" s="20"/>
      <c r="F332" s="20">
        <f t="shared" si="16"/>
        <v>0</v>
      </c>
    </row>
    <row r="333" spans="1:6" x14ac:dyDescent="0.2">
      <c r="A333" s="18" t="s">
        <v>1078</v>
      </c>
      <c r="B333" s="4" t="s">
        <v>1079</v>
      </c>
      <c r="C333" s="4" t="s">
        <v>187</v>
      </c>
      <c r="D333" s="20"/>
      <c r="E333" s="20"/>
      <c r="F333" s="20">
        <f t="shared" si="16"/>
        <v>0</v>
      </c>
    </row>
    <row r="334" spans="1:6" x14ac:dyDescent="0.2">
      <c r="A334" s="18" t="s">
        <v>1114</v>
      </c>
      <c r="B334" s="4" t="s">
        <v>1116</v>
      </c>
      <c r="C334" s="4" t="s">
        <v>187</v>
      </c>
      <c r="D334" s="20"/>
      <c r="E334" s="20"/>
      <c r="F334" s="20">
        <f t="shared" si="16"/>
        <v>0</v>
      </c>
    </row>
    <row r="335" spans="1:6" x14ac:dyDescent="0.2">
      <c r="A335" s="18" t="s">
        <v>1137</v>
      </c>
      <c r="B335" s="4" t="s">
        <v>1154</v>
      </c>
      <c r="C335" s="4" t="s">
        <v>187</v>
      </c>
      <c r="D335" s="20"/>
      <c r="E335" s="20"/>
      <c r="F335" s="20">
        <f t="shared" si="16"/>
        <v>0</v>
      </c>
    </row>
    <row r="336" spans="1:6" x14ac:dyDescent="0.2">
      <c r="A336" s="18" t="s">
        <v>449</v>
      </c>
      <c r="B336" s="4" t="s">
        <v>645</v>
      </c>
      <c r="C336" s="4" t="s">
        <v>200</v>
      </c>
      <c r="D336" s="20"/>
      <c r="E336" s="20"/>
      <c r="F336" s="20">
        <f t="shared" si="16"/>
        <v>0</v>
      </c>
    </row>
    <row r="337" spans="1:6" x14ac:dyDescent="0.2">
      <c r="A337" s="18"/>
      <c r="B337" s="4"/>
      <c r="C337" s="4"/>
      <c r="D337" s="20"/>
      <c r="E337" s="20"/>
      <c r="F337" s="20">
        <f t="shared" si="16"/>
        <v>0</v>
      </c>
    </row>
    <row r="338" spans="1:6" x14ac:dyDescent="0.2">
      <c r="A338" s="18"/>
      <c r="B338" s="4"/>
      <c r="C338" s="4"/>
      <c r="D338" s="20"/>
      <c r="E338" s="20"/>
      <c r="F338" s="20"/>
    </row>
    <row r="339" spans="1:6" x14ac:dyDescent="0.2">
      <c r="A339" s="105" t="s">
        <v>10</v>
      </c>
      <c r="B339" s="112"/>
      <c r="C339" s="106"/>
      <c r="D339" s="20">
        <f>SUM(D325:D338)</f>
        <v>0</v>
      </c>
      <c r="E339" s="20">
        <f>SUM(E325:E338)</f>
        <v>0</v>
      </c>
      <c r="F339" s="20">
        <f>D339-E339</f>
        <v>0</v>
      </c>
    </row>
    <row r="340" spans="1:6" x14ac:dyDescent="0.2">
      <c r="A340" s="105" t="s">
        <v>11</v>
      </c>
      <c r="B340" s="112"/>
      <c r="C340" s="106"/>
      <c r="D340" s="20"/>
      <c r="E340" s="20"/>
      <c r="F340" s="20">
        <f>D340-E340</f>
        <v>0</v>
      </c>
    </row>
    <row r="341" spans="1:6" x14ac:dyDescent="0.2">
      <c r="A341" s="105" t="s">
        <v>10</v>
      </c>
      <c r="B341" s="112"/>
      <c r="C341" s="106"/>
      <c r="D341" s="20">
        <f>SUM(D339:D340)</f>
        <v>0</v>
      </c>
      <c r="E341" s="20">
        <f>SUM(E339:E340)</f>
        <v>0</v>
      </c>
      <c r="F341" s="20">
        <f>SUM(F339:F340)</f>
        <v>0</v>
      </c>
    </row>
    <row r="346" spans="1:6" x14ac:dyDescent="0.2">
      <c r="A346" s="101" t="s">
        <v>2</v>
      </c>
      <c r="B346" s="101"/>
      <c r="C346" s="101"/>
      <c r="D346" s="101"/>
      <c r="E346" s="101"/>
      <c r="F346" s="101"/>
    </row>
    <row r="347" spans="1:6" x14ac:dyDescent="0.2">
      <c r="A347" s="122" t="s">
        <v>181</v>
      </c>
      <c r="B347" s="122"/>
      <c r="D347" s="2" t="s">
        <v>659</v>
      </c>
    </row>
    <row r="348" spans="1:6" ht="6.75" customHeight="1" x14ac:dyDescent="0.2"/>
    <row r="349" spans="1:6" x14ac:dyDescent="0.2">
      <c r="A349" s="103" t="s">
        <v>3</v>
      </c>
      <c r="B349" s="103" t="s">
        <v>4</v>
      </c>
      <c r="C349" s="103" t="s">
        <v>5</v>
      </c>
      <c r="D349" s="105" t="s">
        <v>6</v>
      </c>
      <c r="E349" s="106"/>
      <c r="F349" s="103" t="s">
        <v>9</v>
      </c>
    </row>
    <row r="350" spans="1:6" x14ac:dyDescent="0.2">
      <c r="A350" s="104"/>
      <c r="B350" s="104"/>
      <c r="C350" s="104"/>
      <c r="D350" s="3" t="s">
        <v>7</v>
      </c>
      <c r="E350" s="3" t="s">
        <v>8</v>
      </c>
      <c r="F350" s="104"/>
    </row>
    <row r="351" spans="1:6" x14ac:dyDescent="0.2">
      <c r="A351" s="18" t="s">
        <v>228</v>
      </c>
      <c r="B351" s="4" t="s">
        <v>249</v>
      </c>
      <c r="C351" s="4" t="s">
        <v>200</v>
      </c>
      <c r="D351" s="20"/>
      <c r="E351" s="20">
        <v>0</v>
      </c>
      <c r="F351" s="20">
        <f>D351+E351</f>
        <v>0</v>
      </c>
    </row>
    <row r="352" spans="1:6" x14ac:dyDescent="0.2">
      <c r="A352" s="18" t="s">
        <v>416</v>
      </c>
      <c r="B352" s="4" t="s">
        <v>257</v>
      </c>
      <c r="C352" s="4" t="s">
        <v>200</v>
      </c>
      <c r="D352" s="20"/>
      <c r="E352" s="20"/>
      <c r="F352" s="20">
        <f>F351+D352</f>
        <v>0</v>
      </c>
    </row>
    <row r="353" spans="1:6" x14ac:dyDescent="0.2">
      <c r="A353" s="18" t="s">
        <v>269</v>
      </c>
      <c r="B353" s="4" t="s">
        <v>278</v>
      </c>
      <c r="C353" s="4" t="s">
        <v>200</v>
      </c>
      <c r="D353" s="20"/>
      <c r="E353" s="20"/>
      <c r="F353" s="20">
        <f t="shared" ref="F353:F361" si="17">F352+D353</f>
        <v>0</v>
      </c>
    </row>
    <row r="354" spans="1:6" x14ac:dyDescent="0.2">
      <c r="A354" s="18" t="s">
        <v>284</v>
      </c>
      <c r="B354" s="4" t="s">
        <v>301</v>
      </c>
      <c r="C354" s="4" t="s">
        <v>200</v>
      </c>
      <c r="D354" s="20"/>
      <c r="E354" s="20"/>
      <c r="F354" s="20">
        <f t="shared" si="17"/>
        <v>0</v>
      </c>
    </row>
    <row r="355" spans="1:6" x14ac:dyDescent="0.2">
      <c r="A355" s="18" t="s">
        <v>290</v>
      </c>
      <c r="B355" s="4" t="s">
        <v>302</v>
      </c>
      <c r="C355" s="4" t="s">
        <v>200</v>
      </c>
      <c r="D355" s="20"/>
      <c r="E355" s="20"/>
      <c r="F355" s="20">
        <f t="shared" si="17"/>
        <v>0</v>
      </c>
    </row>
    <row r="356" spans="1:6" x14ac:dyDescent="0.2">
      <c r="A356" s="18" t="s">
        <v>308</v>
      </c>
      <c r="B356" s="4" t="s">
        <v>316</v>
      </c>
      <c r="C356" s="4" t="s">
        <v>200</v>
      </c>
      <c r="D356" s="20"/>
      <c r="E356" s="20"/>
      <c r="F356" s="20">
        <f t="shared" si="17"/>
        <v>0</v>
      </c>
    </row>
    <row r="357" spans="1:6" x14ac:dyDescent="0.2">
      <c r="A357" s="18" t="s">
        <v>322</v>
      </c>
      <c r="B357" s="4" t="s">
        <v>331</v>
      </c>
      <c r="C357" s="4" t="s">
        <v>200</v>
      </c>
      <c r="D357" s="20"/>
      <c r="E357" s="20"/>
      <c r="F357" s="20">
        <f t="shared" si="17"/>
        <v>0</v>
      </c>
    </row>
    <row r="358" spans="1:6" x14ac:dyDescent="0.2">
      <c r="A358" s="18" t="s">
        <v>335</v>
      </c>
      <c r="B358" s="4" t="s">
        <v>353</v>
      </c>
      <c r="C358" s="4" t="s">
        <v>200</v>
      </c>
      <c r="D358" s="20"/>
      <c r="E358" s="20"/>
      <c r="F358" s="20">
        <f t="shared" si="17"/>
        <v>0</v>
      </c>
    </row>
    <row r="359" spans="1:6" x14ac:dyDescent="0.2">
      <c r="A359" s="18" t="s">
        <v>357</v>
      </c>
      <c r="B359" s="4" t="s">
        <v>365</v>
      </c>
      <c r="C359" s="4" t="s">
        <v>200</v>
      </c>
      <c r="D359" s="20"/>
      <c r="E359" s="20"/>
      <c r="F359" s="20">
        <f t="shared" si="17"/>
        <v>0</v>
      </c>
    </row>
    <row r="360" spans="1:6" x14ac:dyDescent="0.2">
      <c r="A360" s="18" t="s">
        <v>376</v>
      </c>
      <c r="B360" s="4" t="s">
        <v>381</v>
      </c>
      <c r="C360" s="4" t="s">
        <v>200</v>
      </c>
      <c r="D360" s="20"/>
      <c r="E360" s="20"/>
      <c r="F360" s="20">
        <f t="shared" si="17"/>
        <v>0</v>
      </c>
    </row>
    <row r="361" spans="1:6" x14ac:dyDescent="0.2">
      <c r="A361" s="18" t="s">
        <v>390</v>
      </c>
      <c r="B361" s="4" t="s">
        <v>398</v>
      </c>
      <c r="C361" s="4" t="s">
        <v>200</v>
      </c>
      <c r="D361" s="20"/>
      <c r="E361" s="20"/>
      <c r="F361" s="20">
        <f t="shared" si="17"/>
        <v>0</v>
      </c>
    </row>
    <row r="362" spans="1:6" x14ac:dyDescent="0.2">
      <c r="A362" s="18" t="s">
        <v>449</v>
      </c>
      <c r="B362" s="4" t="s">
        <v>450</v>
      </c>
      <c r="C362" s="4" t="s">
        <v>200</v>
      </c>
      <c r="D362" s="20"/>
      <c r="E362" s="20"/>
      <c r="F362" s="73">
        <f>F361+D362-E362</f>
        <v>0</v>
      </c>
    </row>
    <row r="363" spans="1:6" x14ac:dyDescent="0.2">
      <c r="A363" s="44"/>
      <c r="B363" s="69"/>
      <c r="C363" s="77"/>
      <c r="D363" s="73"/>
      <c r="E363" s="73"/>
      <c r="F363" s="73">
        <f>F362+D363-E363</f>
        <v>0</v>
      </c>
    </row>
    <row r="364" spans="1:6" x14ac:dyDescent="0.2">
      <c r="A364" s="4"/>
      <c r="B364" s="4"/>
      <c r="C364" s="4"/>
      <c r="D364" s="20"/>
      <c r="E364" s="20"/>
      <c r="F364" s="20"/>
    </row>
    <row r="365" spans="1:6" x14ac:dyDescent="0.2">
      <c r="A365" s="105" t="s">
        <v>10</v>
      </c>
      <c r="B365" s="112"/>
      <c r="C365" s="106"/>
      <c r="D365" s="20">
        <f>SUM(D351:D364)</f>
        <v>0</v>
      </c>
      <c r="E365" s="20">
        <f>SUM(E351:E364)</f>
        <v>0</v>
      </c>
      <c r="F365" s="20">
        <f>D365-E365</f>
        <v>0</v>
      </c>
    </row>
    <row r="366" spans="1:6" x14ac:dyDescent="0.2">
      <c r="A366" s="105" t="s">
        <v>11</v>
      </c>
      <c r="B366" s="112"/>
      <c r="C366" s="106"/>
      <c r="D366" s="20"/>
      <c r="E366" s="20"/>
      <c r="F366" s="20">
        <f>D366-E366</f>
        <v>0</v>
      </c>
    </row>
    <row r="367" spans="1:6" x14ac:dyDescent="0.2">
      <c r="A367" s="105" t="s">
        <v>10</v>
      </c>
      <c r="B367" s="112"/>
      <c r="C367" s="106"/>
      <c r="D367" s="20">
        <f>SUM(D365:D366)</f>
        <v>0</v>
      </c>
      <c r="E367" s="20">
        <f>SUM(E365:E366)</f>
        <v>0</v>
      </c>
      <c r="F367" s="20">
        <f>SUM(F365:F366)</f>
        <v>0</v>
      </c>
    </row>
  </sheetData>
  <mergeCells count="152">
    <mergeCell ref="A339:C339"/>
    <mergeCell ref="A340:C340"/>
    <mergeCell ref="A341:C341"/>
    <mergeCell ref="A367:C367"/>
    <mergeCell ref="A366:C366"/>
    <mergeCell ref="A365:C365"/>
    <mergeCell ref="F349:F350"/>
    <mergeCell ref="D349:E349"/>
    <mergeCell ref="C349:C350"/>
    <mergeCell ref="B349:B350"/>
    <mergeCell ref="A349:A350"/>
    <mergeCell ref="A347:B347"/>
    <mergeCell ref="A346:F346"/>
    <mergeCell ref="A1:B1"/>
    <mergeCell ref="A2:B2"/>
    <mergeCell ref="A3:F3"/>
    <mergeCell ref="A13:C13"/>
    <mergeCell ref="A14:C14"/>
    <mergeCell ref="A15:C15"/>
    <mergeCell ref="A18:B18"/>
    <mergeCell ref="A19:B19"/>
    <mergeCell ref="A20:F20"/>
    <mergeCell ref="A4:B4"/>
    <mergeCell ref="A6:A7"/>
    <mergeCell ref="B6:B7"/>
    <mergeCell ref="C6:C7"/>
    <mergeCell ref="D6:E6"/>
    <mergeCell ref="F6:F7"/>
    <mergeCell ref="A52:C52"/>
    <mergeCell ref="A61:B61"/>
    <mergeCell ref="A62:B62"/>
    <mergeCell ref="A63:F63"/>
    <mergeCell ref="A21:B21"/>
    <mergeCell ref="A23:A24"/>
    <mergeCell ref="B23:B24"/>
    <mergeCell ref="C23:C24"/>
    <mergeCell ref="D23:E23"/>
    <mergeCell ref="F23:F24"/>
    <mergeCell ref="A50:C50"/>
    <mergeCell ref="A51:C51"/>
    <mergeCell ref="A127:B127"/>
    <mergeCell ref="A129:A130"/>
    <mergeCell ref="B129:B130"/>
    <mergeCell ref="C129:C130"/>
    <mergeCell ref="D129:E129"/>
    <mergeCell ref="A149:C149"/>
    <mergeCell ref="A150:C150"/>
    <mergeCell ref="A151:C151"/>
    <mergeCell ref="F129:F130"/>
    <mergeCell ref="A141:B141"/>
    <mergeCell ref="A143:A144"/>
    <mergeCell ref="B143:B144"/>
    <mergeCell ref="C143:C144"/>
    <mergeCell ref="D143:E143"/>
    <mergeCell ref="F143:F144"/>
    <mergeCell ref="A134:C134"/>
    <mergeCell ref="A135:C135"/>
    <mergeCell ref="A136:C136"/>
    <mergeCell ref="A138:B138"/>
    <mergeCell ref="A139:B139"/>
    <mergeCell ref="A140:F140"/>
    <mergeCell ref="A116:C116"/>
    <mergeCell ref="A117:C117"/>
    <mergeCell ref="A118:C118"/>
    <mergeCell ref="A124:B124"/>
    <mergeCell ref="A125:B125"/>
    <mergeCell ref="A126:F126"/>
    <mergeCell ref="A64:B64"/>
    <mergeCell ref="A66:A67"/>
    <mergeCell ref="B66:B67"/>
    <mergeCell ref="C66:C67"/>
    <mergeCell ref="D66:E66"/>
    <mergeCell ref="F66:F67"/>
    <mergeCell ref="A191:B191"/>
    <mergeCell ref="A192:B192"/>
    <mergeCell ref="A193:F193"/>
    <mergeCell ref="A320:F320"/>
    <mergeCell ref="A321:B321"/>
    <mergeCell ref="A323:A324"/>
    <mergeCell ref="B323:B324"/>
    <mergeCell ref="C323:C324"/>
    <mergeCell ref="D323:E323"/>
    <mergeCell ref="F323:F324"/>
    <mergeCell ref="A203:C203"/>
    <mergeCell ref="A204:C204"/>
    <mergeCell ref="A205:C205"/>
    <mergeCell ref="A194:B194"/>
    <mergeCell ref="A196:A197"/>
    <mergeCell ref="B196:B197"/>
    <mergeCell ref="C196:C197"/>
    <mergeCell ref="D196:E196"/>
    <mergeCell ref="F196:F197"/>
    <mergeCell ref="A210:B210"/>
    <mergeCell ref="A211:B211"/>
    <mergeCell ref="A212:F212"/>
    <mergeCell ref="A242:B242"/>
    <mergeCell ref="A244:A245"/>
    <mergeCell ref="B244:B245"/>
    <mergeCell ref="C244:C245"/>
    <mergeCell ref="D244:E244"/>
    <mergeCell ref="A311:C311"/>
    <mergeCell ref="A312:C312"/>
    <mergeCell ref="A313:C313"/>
    <mergeCell ref="F244:F245"/>
    <mergeCell ref="A278:B278"/>
    <mergeCell ref="A280:A281"/>
    <mergeCell ref="B280:B281"/>
    <mergeCell ref="C280:C281"/>
    <mergeCell ref="D280:E280"/>
    <mergeCell ref="F280:F281"/>
    <mergeCell ref="A260:C260"/>
    <mergeCell ref="A261:C261"/>
    <mergeCell ref="A262:C262"/>
    <mergeCell ref="A275:B275"/>
    <mergeCell ref="A276:B276"/>
    <mergeCell ref="A277:F277"/>
    <mergeCell ref="A235:C235"/>
    <mergeCell ref="A236:C236"/>
    <mergeCell ref="A237:C237"/>
    <mergeCell ref="A239:B239"/>
    <mergeCell ref="A240:B240"/>
    <mergeCell ref="A241:F241"/>
    <mergeCell ref="A213:B213"/>
    <mergeCell ref="A215:A216"/>
    <mergeCell ref="B215:B216"/>
    <mergeCell ref="C215:C216"/>
    <mergeCell ref="D215:E215"/>
    <mergeCell ref="F215:F216"/>
    <mergeCell ref="A167:C167"/>
    <mergeCell ref="A168:C168"/>
    <mergeCell ref="A169:C169"/>
    <mergeCell ref="A154:B154"/>
    <mergeCell ref="A155:B155"/>
    <mergeCell ref="A156:F156"/>
    <mergeCell ref="A157:B157"/>
    <mergeCell ref="A159:A160"/>
    <mergeCell ref="B159:B160"/>
    <mergeCell ref="C159:C160"/>
    <mergeCell ref="D159:E159"/>
    <mergeCell ref="F159:F160"/>
    <mergeCell ref="A183:C183"/>
    <mergeCell ref="A184:C184"/>
    <mergeCell ref="A185:C185"/>
    <mergeCell ref="A171:B171"/>
    <mergeCell ref="A172:B172"/>
    <mergeCell ref="A173:F173"/>
    <mergeCell ref="A174:B174"/>
    <mergeCell ref="A176:A177"/>
    <mergeCell ref="B176:B177"/>
    <mergeCell ref="C176:C177"/>
    <mergeCell ref="D176:E176"/>
    <mergeCell ref="F176:F177"/>
  </mergeCells>
  <phoneticPr fontId="8" type="noConversion"/>
  <pageMargins left="0.51181102362204722" right="0.51181102362204722" top="0.74803149606299213" bottom="0.74803149606299213" header="0.31496062992125984" footer="0.31496062992125984"/>
  <pageSetup paperSize="9" orientation="portrait" horizontalDpi="360" verticalDpi="36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91"/>
  <sheetViews>
    <sheetView view="pageLayout" zoomScale="80" zoomScalePageLayoutView="80" workbookViewId="0">
      <selection activeCell="G92" sqref="G92"/>
    </sheetView>
  </sheetViews>
  <sheetFormatPr defaultColWidth="9.140625" defaultRowHeight="12" x14ac:dyDescent="0.2"/>
  <cols>
    <col min="1" max="1" width="9.140625" style="1"/>
    <col min="2" max="2" width="32.42578125" style="1" customWidth="1"/>
    <col min="3" max="3" width="9.140625" style="1"/>
    <col min="4" max="4" width="16.140625" style="1" customWidth="1"/>
    <col min="5" max="5" width="9.7109375" style="1" customWidth="1"/>
    <col min="6" max="6" width="16.28515625" style="1" customWidth="1"/>
    <col min="7" max="7" width="10.85546875" style="1" customWidth="1"/>
    <col min="8" max="8" width="22.7109375" style="1" customWidth="1"/>
    <col min="9" max="9" width="9.140625" style="1"/>
    <col min="10" max="10" width="11.42578125" style="1" customWidth="1"/>
    <col min="11" max="11" width="11.28515625" style="1" customWidth="1"/>
    <col min="12" max="12" width="17.140625" style="1" customWidth="1"/>
    <col min="13" max="16384" width="9.140625" style="1"/>
  </cols>
  <sheetData>
    <row r="1" spans="1:7" x14ac:dyDescent="0.2">
      <c r="A1" s="100" t="s">
        <v>0</v>
      </c>
      <c r="B1" s="100"/>
    </row>
    <row r="2" spans="1:7" x14ac:dyDescent="0.2">
      <c r="A2" s="100" t="s">
        <v>1</v>
      </c>
      <c r="B2" s="100"/>
    </row>
    <row r="3" spans="1:7" x14ac:dyDescent="0.2">
      <c r="A3" s="101" t="s">
        <v>2</v>
      </c>
      <c r="B3" s="101"/>
      <c r="C3" s="101"/>
      <c r="D3" s="101"/>
      <c r="E3" s="101"/>
      <c r="F3" s="101"/>
    </row>
    <row r="4" spans="1:7" x14ac:dyDescent="0.2">
      <c r="A4" s="122" t="s">
        <v>129</v>
      </c>
      <c r="B4" s="122"/>
      <c r="C4" s="125"/>
      <c r="D4" s="123" t="s">
        <v>130</v>
      </c>
    </row>
    <row r="6" spans="1:7" x14ac:dyDescent="0.2">
      <c r="A6" s="103" t="s">
        <v>3</v>
      </c>
      <c r="B6" s="103" t="s">
        <v>4</v>
      </c>
      <c r="C6" s="103" t="s">
        <v>5</v>
      </c>
      <c r="D6" s="105" t="s">
        <v>6</v>
      </c>
      <c r="E6" s="106"/>
      <c r="F6" s="103" t="s">
        <v>9</v>
      </c>
    </row>
    <row r="7" spans="1:7" x14ac:dyDescent="0.2">
      <c r="A7" s="104"/>
      <c r="B7" s="104"/>
      <c r="C7" s="104"/>
      <c r="D7" s="3" t="s">
        <v>7</v>
      </c>
      <c r="E7" s="3" t="s">
        <v>8</v>
      </c>
      <c r="F7" s="104"/>
    </row>
    <row r="8" spans="1:7" x14ac:dyDescent="0.2">
      <c r="A8" s="18" t="s">
        <v>1222</v>
      </c>
      <c r="B8" s="4" t="s">
        <v>193</v>
      </c>
      <c r="C8" s="4" t="s">
        <v>187</v>
      </c>
      <c r="D8" s="20"/>
      <c r="E8" s="20">
        <v>0</v>
      </c>
      <c r="F8" s="20">
        <f>D8+E8</f>
        <v>0</v>
      </c>
    </row>
    <row r="9" spans="1:7" x14ac:dyDescent="0.2">
      <c r="A9" s="18" t="s">
        <v>1222</v>
      </c>
      <c r="B9" s="4" t="s">
        <v>407</v>
      </c>
      <c r="C9" s="4" t="s">
        <v>187</v>
      </c>
      <c r="D9" s="20"/>
      <c r="E9" s="20"/>
      <c r="F9" s="20">
        <f>F8+D9</f>
        <v>0</v>
      </c>
    </row>
    <row r="10" spans="1:7" x14ac:dyDescent="0.2">
      <c r="A10" s="18" t="s">
        <v>1222</v>
      </c>
      <c r="B10" s="4" t="s">
        <v>1274</v>
      </c>
      <c r="C10" s="4" t="s">
        <v>187</v>
      </c>
      <c r="D10" s="20"/>
      <c r="E10" s="20"/>
      <c r="F10" s="20">
        <f t="shared" ref="F10:F26" si="0">F9+D10</f>
        <v>0</v>
      </c>
    </row>
    <row r="11" spans="1:7" x14ac:dyDescent="0.2">
      <c r="A11" s="18" t="s">
        <v>1222</v>
      </c>
      <c r="B11" s="4" t="s">
        <v>571</v>
      </c>
      <c r="C11" s="4" t="s">
        <v>187</v>
      </c>
      <c r="D11" s="20"/>
      <c r="E11" s="20"/>
      <c r="F11" s="20">
        <f t="shared" si="0"/>
        <v>0</v>
      </c>
    </row>
    <row r="12" spans="1:7" x14ac:dyDescent="0.2">
      <c r="A12" s="41" t="s">
        <v>247</v>
      </c>
      <c r="B12" s="4"/>
      <c r="C12" s="4"/>
      <c r="D12" s="20"/>
      <c r="E12" s="20"/>
      <c r="F12" s="20"/>
    </row>
    <row r="13" spans="1:7" x14ac:dyDescent="0.2">
      <c r="A13" s="18" t="s">
        <v>474</v>
      </c>
      <c r="B13" s="4" t="s">
        <v>1340</v>
      </c>
      <c r="C13" s="4" t="s">
        <v>187</v>
      </c>
      <c r="D13" s="20"/>
      <c r="E13" s="20"/>
      <c r="F13" s="20">
        <f>D13</f>
        <v>0</v>
      </c>
    </row>
    <row r="14" spans="1:7" x14ac:dyDescent="0.2">
      <c r="A14" s="18"/>
      <c r="B14" s="4" t="s">
        <v>1341</v>
      </c>
      <c r="C14" s="4" t="s">
        <v>187</v>
      </c>
      <c r="D14" s="20"/>
      <c r="E14" s="20"/>
      <c r="F14" s="20">
        <f t="shared" si="0"/>
        <v>0</v>
      </c>
      <c r="G14" s="31"/>
    </row>
    <row r="15" spans="1:7" x14ac:dyDescent="0.2">
      <c r="A15" s="18"/>
      <c r="B15" s="4" t="s">
        <v>1342</v>
      </c>
      <c r="C15" s="4" t="s">
        <v>187</v>
      </c>
      <c r="D15" s="20"/>
      <c r="E15" s="20"/>
      <c r="F15" s="20">
        <f t="shared" si="0"/>
        <v>0</v>
      </c>
    </row>
    <row r="16" spans="1:7" x14ac:dyDescent="0.2">
      <c r="A16" s="18"/>
      <c r="B16" s="4" t="s">
        <v>1343</v>
      </c>
      <c r="C16" s="4" t="s">
        <v>187</v>
      </c>
      <c r="D16" s="20"/>
      <c r="E16" s="20"/>
      <c r="F16" s="20">
        <f t="shared" si="0"/>
        <v>0</v>
      </c>
    </row>
    <row r="17" spans="1:7" x14ac:dyDescent="0.2">
      <c r="A17" s="41" t="s">
        <v>262</v>
      </c>
      <c r="B17" s="4"/>
      <c r="C17" s="4"/>
      <c r="D17" s="20"/>
      <c r="E17" s="20"/>
      <c r="F17" s="20"/>
    </row>
    <row r="18" spans="1:7" x14ac:dyDescent="0.2">
      <c r="A18" s="18" t="s">
        <v>527</v>
      </c>
      <c r="B18" s="4" t="s">
        <v>1387</v>
      </c>
      <c r="C18" s="4" t="s">
        <v>187</v>
      </c>
      <c r="D18" s="20"/>
      <c r="E18" s="20"/>
      <c r="F18" s="20">
        <f>D18</f>
        <v>0</v>
      </c>
    </row>
    <row r="19" spans="1:7" x14ac:dyDescent="0.2">
      <c r="A19" s="18" t="s">
        <v>476</v>
      </c>
      <c r="B19" s="4" t="s">
        <v>1340</v>
      </c>
      <c r="C19" s="4" t="s">
        <v>187</v>
      </c>
      <c r="D19" s="20"/>
      <c r="E19" s="20"/>
      <c r="F19" s="20">
        <f t="shared" si="0"/>
        <v>0</v>
      </c>
    </row>
    <row r="20" spans="1:7" x14ac:dyDescent="0.2">
      <c r="A20" s="18"/>
      <c r="B20" s="4" t="s">
        <v>1341</v>
      </c>
      <c r="C20" s="4" t="s">
        <v>187</v>
      </c>
      <c r="D20" s="20"/>
      <c r="E20" s="20"/>
      <c r="F20" s="20">
        <f t="shared" si="0"/>
        <v>0</v>
      </c>
      <c r="G20" s="31"/>
    </row>
    <row r="21" spans="1:7" x14ac:dyDescent="0.2">
      <c r="A21" s="18"/>
      <c r="B21" s="4" t="s">
        <v>1342</v>
      </c>
      <c r="C21" s="4" t="s">
        <v>187</v>
      </c>
      <c r="D21" s="20"/>
      <c r="E21" s="20"/>
      <c r="F21" s="20">
        <f t="shared" si="0"/>
        <v>0</v>
      </c>
    </row>
    <row r="22" spans="1:7" x14ac:dyDescent="0.2">
      <c r="A22" s="41"/>
      <c r="B22" s="4" t="s">
        <v>1390</v>
      </c>
      <c r="C22" s="4" t="s">
        <v>187</v>
      </c>
      <c r="D22" s="20"/>
      <c r="E22" s="20"/>
      <c r="F22" s="20">
        <f t="shared" si="0"/>
        <v>0</v>
      </c>
    </row>
    <row r="23" spans="1:7" x14ac:dyDescent="0.2">
      <c r="A23" s="41" t="s">
        <v>283</v>
      </c>
      <c r="B23" s="4"/>
      <c r="C23" s="4"/>
      <c r="D23" s="20"/>
      <c r="E23" s="20"/>
      <c r="F23" s="20">
        <f>D23</f>
        <v>0</v>
      </c>
    </row>
    <row r="24" spans="1:7" x14ac:dyDescent="0.2">
      <c r="A24" s="18"/>
      <c r="B24" s="4" t="s">
        <v>407</v>
      </c>
      <c r="C24" s="4" t="s">
        <v>187</v>
      </c>
      <c r="D24" s="20"/>
      <c r="E24" s="20"/>
      <c r="F24" s="20">
        <f t="shared" si="0"/>
        <v>0</v>
      </c>
    </row>
    <row r="25" spans="1:7" x14ac:dyDescent="0.2">
      <c r="A25" s="18"/>
      <c r="B25" s="4" t="s">
        <v>408</v>
      </c>
      <c r="C25" s="4" t="s">
        <v>187</v>
      </c>
      <c r="D25" s="20"/>
      <c r="E25" s="20"/>
      <c r="F25" s="20">
        <f t="shared" si="0"/>
        <v>0</v>
      </c>
    </row>
    <row r="26" spans="1:7" x14ac:dyDescent="0.2">
      <c r="A26" s="18" t="s">
        <v>798</v>
      </c>
      <c r="B26" s="27" t="s">
        <v>802</v>
      </c>
      <c r="C26" s="4" t="s">
        <v>187</v>
      </c>
      <c r="D26" s="20"/>
      <c r="E26" s="20"/>
      <c r="F26" s="20">
        <f t="shared" si="0"/>
        <v>0</v>
      </c>
    </row>
    <row r="27" spans="1:7" x14ac:dyDescent="0.2">
      <c r="A27" s="41" t="s">
        <v>299</v>
      </c>
      <c r="B27" s="4"/>
      <c r="C27" s="4"/>
      <c r="D27" s="20"/>
      <c r="E27" s="20"/>
      <c r="F27" s="20"/>
    </row>
    <row r="28" spans="1:7" x14ac:dyDescent="0.2">
      <c r="A28" s="18" t="s">
        <v>838</v>
      </c>
      <c r="B28" s="4" t="s">
        <v>193</v>
      </c>
      <c r="C28" s="4" t="s">
        <v>187</v>
      </c>
      <c r="D28" s="20"/>
      <c r="E28" s="20"/>
      <c r="F28" s="20">
        <f>D28</f>
        <v>0</v>
      </c>
    </row>
    <row r="29" spans="1:7" x14ac:dyDescent="0.2">
      <c r="A29" s="18"/>
      <c r="B29" s="4" t="s">
        <v>407</v>
      </c>
      <c r="C29" s="4" t="s">
        <v>187</v>
      </c>
      <c r="D29" s="20"/>
      <c r="E29" s="20"/>
      <c r="F29" s="20">
        <f t="shared" ref="F29:F31" si="1">F28+D29</f>
        <v>0</v>
      </c>
    </row>
    <row r="30" spans="1:7" x14ac:dyDescent="0.2">
      <c r="A30" s="18"/>
      <c r="B30" s="4" t="s">
        <v>408</v>
      </c>
      <c r="C30" s="4" t="s">
        <v>187</v>
      </c>
      <c r="D30" s="20"/>
      <c r="E30" s="20"/>
      <c r="F30" s="20">
        <f t="shared" si="1"/>
        <v>0</v>
      </c>
    </row>
    <row r="31" spans="1:7" x14ac:dyDescent="0.2">
      <c r="A31" s="18" t="s">
        <v>838</v>
      </c>
      <c r="B31" s="4" t="s">
        <v>597</v>
      </c>
      <c r="C31" s="4" t="s">
        <v>187</v>
      </c>
      <c r="D31" s="20"/>
      <c r="E31" s="20"/>
      <c r="F31" s="20">
        <f t="shared" si="1"/>
        <v>0</v>
      </c>
    </row>
    <row r="32" spans="1:7" x14ac:dyDescent="0.2">
      <c r="A32" s="41" t="s">
        <v>315</v>
      </c>
      <c r="B32" s="4"/>
      <c r="C32" s="4"/>
      <c r="D32" s="20"/>
      <c r="E32" s="20"/>
      <c r="F32" s="20"/>
    </row>
    <row r="33" spans="1:6" x14ac:dyDescent="0.2">
      <c r="A33" s="18" t="s">
        <v>885</v>
      </c>
      <c r="B33" s="4" t="s">
        <v>193</v>
      </c>
      <c r="C33" s="4" t="s">
        <v>187</v>
      </c>
      <c r="D33" s="20"/>
      <c r="E33" s="20"/>
      <c r="F33" s="20">
        <f>D33</f>
        <v>0</v>
      </c>
    </row>
    <row r="34" spans="1:6" x14ac:dyDescent="0.2">
      <c r="A34" s="18"/>
      <c r="B34" s="4" t="s">
        <v>407</v>
      </c>
      <c r="C34" s="4" t="s">
        <v>187</v>
      </c>
      <c r="D34" s="20"/>
      <c r="E34" s="20"/>
      <c r="F34" s="20">
        <f t="shared" ref="F34:F37" si="2">F33+D34</f>
        <v>0</v>
      </c>
    </row>
    <row r="35" spans="1:6" x14ac:dyDescent="0.2">
      <c r="A35" s="18"/>
      <c r="B35" s="4" t="s">
        <v>408</v>
      </c>
      <c r="C35" s="4" t="s">
        <v>187</v>
      </c>
      <c r="D35" s="20"/>
      <c r="E35" s="20"/>
      <c r="F35" s="20">
        <f t="shared" si="2"/>
        <v>0</v>
      </c>
    </row>
    <row r="36" spans="1:6" x14ac:dyDescent="0.2">
      <c r="A36" s="18"/>
      <c r="B36" s="4" t="s">
        <v>597</v>
      </c>
      <c r="C36" s="4" t="s">
        <v>187</v>
      </c>
      <c r="D36" s="20"/>
      <c r="E36" s="20"/>
      <c r="F36" s="20">
        <f t="shared" si="2"/>
        <v>0</v>
      </c>
    </row>
    <row r="37" spans="1:6" x14ac:dyDescent="0.2">
      <c r="A37" s="18"/>
      <c r="B37" s="4" t="s">
        <v>894</v>
      </c>
      <c r="C37" s="4" t="s">
        <v>187</v>
      </c>
      <c r="D37" s="20"/>
      <c r="E37" s="20"/>
      <c r="F37" s="20">
        <f t="shared" si="2"/>
        <v>0</v>
      </c>
    </row>
    <row r="38" spans="1:6" x14ac:dyDescent="0.2">
      <c r="A38" s="41" t="s">
        <v>330</v>
      </c>
      <c r="B38" s="4"/>
      <c r="C38" s="4"/>
      <c r="D38" s="20"/>
      <c r="E38" s="20"/>
      <c r="F38" s="20"/>
    </row>
    <row r="39" spans="1:6" x14ac:dyDescent="0.2">
      <c r="A39" s="18" t="s">
        <v>932</v>
      </c>
      <c r="B39" s="4" t="s">
        <v>193</v>
      </c>
      <c r="C39" s="4" t="s">
        <v>187</v>
      </c>
      <c r="D39" s="20"/>
      <c r="E39" s="20"/>
      <c r="F39" s="20">
        <f>D39</f>
        <v>0</v>
      </c>
    </row>
    <row r="40" spans="1:6" x14ac:dyDescent="0.2">
      <c r="A40" s="18"/>
      <c r="B40" s="4" t="s">
        <v>407</v>
      </c>
      <c r="C40" s="4" t="s">
        <v>187</v>
      </c>
      <c r="D40" s="20"/>
      <c r="E40" s="20"/>
      <c r="F40" s="20">
        <f t="shared" ref="F40:F42" si="3">F39+D40</f>
        <v>0</v>
      </c>
    </row>
    <row r="41" spans="1:6" x14ac:dyDescent="0.2">
      <c r="A41" s="18"/>
      <c r="B41" s="4" t="s">
        <v>408</v>
      </c>
      <c r="C41" s="4" t="s">
        <v>187</v>
      </c>
      <c r="D41" s="20"/>
      <c r="E41" s="20"/>
      <c r="F41" s="20">
        <f t="shared" si="3"/>
        <v>0</v>
      </c>
    </row>
    <row r="42" spans="1:6" x14ac:dyDescent="0.2">
      <c r="A42" s="18"/>
      <c r="B42" s="4" t="s">
        <v>597</v>
      </c>
      <c r="C42" s="4" t="s">
        <v>187</v>
      </c>
      <c r="D42" s="20"/>
      <c r="E42" s="20"/>
      <c r="F42" s="20">
        <f t="shared" si="3"/>
        <v>0</v>
      </c>
    </row>
    <row r="43" spans="1:6" x14ac:dyDescent="0.2">
      <c r="A43" s="41" t="s">
        <v>344</v>
      </c>
      <c r="B43" s="4"/>
      <c r="C43" s="4"/>
      <c r="D43" s="20"/>
      <c r="E43" s="20"/>
      <c r="F43" s="20"/>
    </row>
    <row r="44" spans="1:6" x14ac:dyDescent="0.2">
      <c r="A44" s="18" t="s">
        <v>613</v>
      </c>
      <c r="B44" s="4" t="s">
        <v>193</v>
      </c>
      <c r="C44" s="4" t="s">
        <v>187</v>
      </c>
      <c r="D44" s="20"/>
      <c r="E44" s="20"/>
      <c r="F44" s="20">
        <f>D44</f>
        <v>0</v>
      </c>
    </row>
    <row r="45" spans="1:6" x14ac:dyDescent="0.2">
      <c r="A45" s="18"/>
      <c r="B45" s="4" t="s">
        <v>407</v>
      </c>
      <c r="C45" s="4" t="s">
        <v>187</v>
      </c>
      <c r="D45" s="20"/>
      <c r="E45" s="20"/>
      <c r="F45" s="20">
        <f t="shared" ref="F45" si="4">F44+D45</f>
        <v>0</v>
      </c>
    </row>
    <row r="46" spans="1:6" x14ac:dyDescent="0.2">
      <c r="A46" s="18"/>
      <c r="B46" s="4" t="s">
        <v>408</v>
      </c>
      <c r="C46" s="4" t="s">
        <v>187</v>
      </c>
      <c r="D46" s="20"/>
      <c r="E46" s="20"/>
      <c r="F46" s="20">
        <f>F45+D46-E46</f>
        <v>0</v>
      </c>
    </row>
    <row r="47" spans="1:6" x14ac:dyDescent="0.2">
      <c r="A47" s="18"/>
      <c r="B47" s="4" t="s">
        <v>597</v>
      </c>
      <c r="C47" s="4" t="s">
        <v>187</v>
      </c>
      <c r="D47" s="20"/>
      <c r="E47" s="20"/>
      <c r="F47" s="20">
        <f>F46+D47-E47</f>
        <v>0</v>
      </c>
    </row>
    <row r="48" spans="1:6" x14ac:dyDescent="0.2">
      <c r="A48" s="41" t="s">
        <v>363</v>
      </c>
      <c r="B48" s="4"/>
      <c r="C48" s="4"/>
      <c r="D48" s="20"/>
      <c r="E48" s="20"/>
      <c r="F48" s="20"/>
    </row>
    <row r="49" spans="1:6" x14ac:dyDescent="0.2">
      <c r="A49" s="18" t="s">
        <v>485</v>
      </c>
      <c r="B49" s="4" t="s">
        <v>193</v>
      </c>
      <c r="C49" s="4" t="s">
        <v>187</v>
      </c>
      <c r="D49" s="20"/>
      <c r="E49" s="20"/>
      <c r="F49" s="20">
        <f>D49</f>
        <v>0</v>
      </c>
    </row>
    <row r="50" spans="1:6" x14ac:dyDescent="0.2">
      <c r="A50" s="18"/>
      <c r="B50" s="4" t="s">
        <v>407</v>
      </c>
      <c r="C50" s="4" t="s">
        <v>187</v>
      </c>
      <c r="D50" s="20"/>
      <c r="E50" s="20"/>
      <c r="F50" s="20">
        <f t="shared" ref="F50" si="5">F49+D50</f>
        <v>0</v>
      </c>
    </row>
    <row r="51" spans="1:6" x14ac:dyDescent="0.2">
      <c r="A51" s="18"/>
      <c r="B51" s="4" t="s">
        <v>408</v>
      </c>
      <c r="C51" s="4" t="s">
        <v>187</v>
      </c>
      <c r="D51" s="20"/>
      <c r="E51" s="20"/>
      <c r="F51" s="20">
        <f>F50+D51-E51</f>
        <v>0</v>
      </c>
    </row>
    <row r="52" spans="1:6" x14ac:dyDescent="0.2">
      <c r="A52" s="18"/>
      <c r="B52" s="4" t="s">
        <v>597</v>
      </c>
      <c r="C52" s="4" t="s">
        <v>187</v>
      </c>
      <c r="D52" s="20"/>
      <c r="E52" s="20"/>
      <c r="F52" s="20">
        <f>F51+D52-E52</f>
        <v>0</v>
      </c>
    </row>
    <row r="53" spans="1:6" x14ac:dyDescent="0.2">
      <c r="A53" s="41" t="s">
        <v>368</v>
      </c>
      <c r="B53" s="4"/>
      <c r="C53" s="4"/>
      <c r="D53" s="20"/>
      <c r="E53" s="20"/>
      <c r="F53" s="20"/>
    </row>
    <row r="54" spans="1:6" x14ac:dyDescent="0.2">
      <c r="A54" s="18" t="s">
        <v>372</v>
      </c>
      <c r="B54" s="4" t="s">
        <v>193</v>
      </c>
      <c r="C54" s="4" t="s">
        <v>187</v>
      </c>
      <c r="D54" s="20"/>
      <c r="E54" s="20"/>
      <c r="F54" s="20">
        <f>D54</f>
        <v>0</v>
      </c>
    </row>
    <row r="55" spans="1:6" x14ac:dyDescent="0.2">
      <c r="A55" s="18"/>
      <c r="B55" s="4" t="s">
        <v>407</v>
      </c>
      <c r="C55" s="4" t="s">
        <v>187</v>
      </c>
      <c r="D55" s="20"/>
      <c r="E55" s="20"/>
      <c r="F55" s="20">
        <f t="shared" ref="F55" si="6">F54+D55</f>
        <v>0</v>
      </c>
    </row>
    <row r="56" spans="1:6" x14ac:dyDescent="0.2">
      <c r="A56" s="18"/>
      <c r="B56" s="4" t="s">
        <v>408</v>
      </c>
      <c r="C56" s="4" t="s">
        <v>187</v>
      </c>
      <c r="D56" s="20"/>
      <c r="E56" s="20"/>
      <c r="F56" s="20">
        <f>F55+D56-E56</f>
        <v>0</v>
      </c>
    </row>
    <row r="57" spans="1:6" x14ac:dyDescent="0.2">
      <c r="A57" s="41" t="s">
        <v>397</v>
      </c>
      <c r="B57" s="4"/>
      <c r="C57" s="4"/>
      <c r="D57" s="20"/>
      <c r="E57" s="20"/>
      <c r="F57" s="20"/>
    </row>
    <row r="58" spans="1:6" x14ac:dyDescent="0.2">
      <c r="A58" s="18" t="s">
        <v>1126</v>
      </c>
      <c r="B58" s="4" t="s">
        <v>193</v>
      </c>
      <c r="C58" s="4" t="s">
        <v>187</v>
      </c>
      <c r="D58" s="20"/>
      <c r="E58" s="20"/>
      <c r="F58" s="20">
        <f>D58</f>
        <v>0</v>
      </c>
    </row>
    <row r="59" spans="1:6" x14ac:dyDescent="0.2">
      <c r="A59" s="18"/>
      <c r="B59" s="4" t="s">
        <v>407</v>
      </c>
      <c r="C59" s="4" t="s">
        <v>187</v>
      </c>
      <c r="D59" s="20"/>
      <c r="E59" s="20"/>
      <c r="F59" s="20">
        <f t="shared" ref="F59" si="7">F58+D59</f>
        <v>0</v>
      </c>
    </row>
    <row r="60" spans="1:6" x14ac:dyDescent="0.2">
      <c r="A60" s="18"/>
      <c r="B60" s="4" t="s">
        <v>408</v>
      </c>
      <c r="C60" s="4" t="s">
        <v>187</v>
      </c>
      <c r="D60" s="20"/>
      <c r="E60" s="20"/>
      <c r="F60" s="20">
        <f>F59+D60-E60</f>
        <v>0</v>
      </c>
    </row>
    <row r="61" spans="1:6" x14ac:dyDescent="0.2">
      <c r="A61" s="41" t="s">
        <v>453</v>
      </c>
      <c r="B61" s="4"/>
      <c r="C61" s="4"/>
      <c r="D61" s="20"/>
      <c r="E61" s="20"/>
      <c r="F61" s="20"/>
    </row>
    <row r="62" spans="1:6" x14ac:dyDescent="0.2">
      <c r="A62" s="18" t="s">
        <v>1181</v>
      </c>
      <c r="B62" s="4" t="s">
        <v>193</v>
      </c>
      <c r="C62" s="4" t="s">
        <v>187</v>
      </c>
      <c r="D62" s="20"/>
      <c r="E62" s="20"/>
      <c r="F62" s="20">
        <f>D62</f>
        <v>0</v>
      </c>
    </row>
    <row r="63" spans="1:6" x14ac:dyDescent="0.2">
      <c r="A63" s="18"/>
      <c r="B63" s="4" t="s">
        <v>407</v>
      </c>
      <c r="C63" s="4" t="s">
        <v>187</v>
      </c>
      <c r="D63" s="20"/>
      <c r="E63" s="20"/>
      <c r="F63" s="20">
        <f t="shared" ref="F63" si="8">F62+D63</f>
        <v>0</v>
      </c>
    </row>
    <row r="64" spans="1:6" x14ac:dyDescent="0.2">
      <c r="A64" s="18"/>
      <c r="B64" s="4" t="s">
        <v>408</v>
      </c>
      <c r="C64" s="4" t="s">
        <v>187</v>
      </c>
      <c r="D64" s="20"/>
      <c r="E64" s="20"/>
      <c r="F64" s="20">
        <f>F63+D64-E64</f>
        <v>0</v>
      </c>
    </row>
    <row r="65" spans="1:6" x14ac:dyDescent="0.2">
      <c r="A65" s="4"/>
      <c r="B65" s="4" t="s">
        <v>597</v>
      </c>
      <c r="C65" s="4" t="s">
        <v>187</v>
      </c>
      <c r="D65" s="20"/>
      <c r="E65" s="20"/>
      <c r="F65" s="20">
        <f>F64+D65-E65</f>
        <v>0</v>
      </c>
    </row>
    <row r="66" spans="1:6" x14ac:dyDescent="0.2">
      <c r="A66" s="4"/>
      <c r="B66" s="4" t="s">
        <v>1190</v>
      </c>
      <c r="C66" s="4" t="s">
        <v>187</v>
      </c>
      <c r="D66" s="20"/>
      <c r="E66" s="20"/>
      <c r="F66" s="20">
        <f>F65+D66-E66</f>
        <v>0</v>
      </c>
    </row>
    <row r="67" spans="1:6" x14ac:dyDescent="0.2">
      <c r="A67" s="105" t="s">
        <v>10</v>
      </c>
      <c r="B67" s="112"/>
      <c r="C67" s="106"/>
      <c r="D67" s="20">
        <f>SUM(D8:D66)</f>
        <v>0</v>
      </c>
      <c r="E67" s="20">
        <f>SUM(E8:E66)</f>
        <v>0</v>
      </c>
      <c r="F67" s="20">
        <f>D67-E67</f>
        <v>0</v>
      </c>
    </row>
    <row r="68" spans="1:6" x14ac:dyDescent="0.2">
      <c r="A68" s="105" t="s">
        <v>11</v>
      </c>
      <c r="B68" s="112"/>
      <c r="C68" s="106"/>
      <c r="D68" s="20"/>
      <c r="E68" s="20"/>
      <c r="F68" s="20">
        <f>D68-E68</f>
        <v>0</v>
      </c>
    </row>
    <row r="69" spans="1:6" x14ac:dyDescent="0.2">
      <c r="A69" s="105" t="s">
        <v>10</v>
      </c>
      <c r="B69" s="112"/>
      <c r="C69" s="106"/>
      <c r="D69" s="20">
        <f>SUM(D67:D68)</f>
        <v>0</v>
      </c>
      <c r="E69" s="20">
        <f>SUM(E67:E68)</f>
        <v>0</v>
      </c>
      <c r="F69" s="20">
        <f>SUM(F67:F68)</f>
        <v>0</v>
      </c>
    </row>
    <row r="70" spans="1:6" x14ac:dyDescent="0.2">
      <c r="A70" s="5"/>
      <c r="B70" s="5"/>
      <c r="C70" s="5"/>
      <c r="D70" s="39"/>
      <c r="E70" s="39"/>
      <c r="F70" s="39"/>
    </row>
    <row r="71" spans="1:6" x14ac:dyDescent="0.2">
      <c r="A71" s="5"/>
      <c r="B71" s="5"/>
      <c r="C71" s="5"/>
      <c r="D71" s="39"/>
      <c r="E71" s="39"/>
      <c r="F71" s="39"/>
    </row>
    <row r="72" spans="1:6" x14ac:dyDescent="0.2">
      <c r="A72" s="5"/>
      <c r="B72" s="5"/>
      <c r="C72" s="5"/>
      <c r="D72" s="39"/>
      <c r="E72" s="39"/>
      <c r="F72" s="39"/>
    </row>
    <row r="74" spans="1:6" x14ac:dyDescent="0.2">
      <c r="A74" s="100" t="s">
        <v>0</v>
      </c>
      <c r="B74" s="100"/>
    </row>
    <row r="75" spans="1:6" x14ac:dyDescent="0.2">
      <c r="A75" s="100" t="s">
        <v>1</v>
      </c>
      <c r="B75" s="100"/>
    </row>
    <row r="76" spans="1:6" x14ac:dyDescent="0.2">
      <c r="A76" s="101" t="s">
        <v>2</v>
      </c>
      <c r="B76" s="101"/>
      <c r="C76" s="101"/>
      <c r="D76" s="101"/>
      <c r="E76" s="101"/>
      <c r="F76" s="101"/>
    </row>
    <row r="77" spans="1:6" x14ac:dyDescent="0.2">
      <c r="A77" s="123" t="s">
        <v>660</v>
      </c>
      <c r="B77" s="123"/>
      <c r="C77" s="125"/>
      <c r="D77" s="123" t="s">
        <v>131</v>
      </c>
    </row>
    <row r="79" spans="1:6" x14ac:dyDescent="0.2">
      <c r="A79" s="103" t="s">
        <v>3</v>
      </c>
      <c r="B79" s="103" t="s">
        <v>4</v>
      </c>
      <c r="C79" s="103" t="s">
        <v>5</v>
      </c>
      <c r="D79" s="105" t="s">
        <v>6</v>
      </c>
      <c r="E79" s="106"/>
      <c r="F79" s="103" t="s">
        <v>9</v>
      </c>
    </row>
    <row r="80" spans="1:6" x14ac:dyDescent="0.2">
      <c r="A80" s="104"/>
      <c r="B80" s="104"/>
      <c r="C80" s="104"/>
      <c r="D80" s="3" t="s">
        <v>7</v>
      </c>
      <c r="E80" s="3" t="s">
        <v>8</v>
      </c>
      <c r="F80" s="104"/>
    </row>
    <row r="81" spans="1:7" x14ac:dyDescent="0.2">
      <c r="A81" s="41" t="s">
        <v>469</v>
      </c>
      <c r="B81" s="4"/>
      <c r="C81" s="4" t="s">
        <v>187</v>
      </c>
      <c r="D81" s="20"/>
      <c r="E81" s="20">
        <v>0</v>
      </c>
      <c r="F81" s="20">
        <f>D81+E81</f>
        <v>0</v>
      </c>
    </row>
    <row r="82" spans="1:7" x14ac:dyDescent="0.2">
      <c r="A82" s="18" t="s">
        <v>1227</v>
      </c>
      <c r="B82" s="4" t="s">
        <v>1241</v>
      </c>
      <c r="C82" s="4" t="s">
        <v>187</v>
      </c>
      <c r="D82" s="20"/>
      <c r="E82" s="20"/>
      <c r="F82" s="20">
        <f>D82+E82</f>
        <v>0</v>
      </c>
    </row>
    <row r="83" spans="1:7" x14ac:dyDescent="0.2">
      <c r="A83" s="18" t="s">
        <v>1222</v>
      </c>
      <c r="B83" s="4" t="s">
        <v>1247</v>
      </c>
      <c r="C83" s="4" t="s">
        <v>187</v>
      </c>
      <c r="D83" s="20"/>
      <c r="E83" s="20"/>
      <c r="F83" s="20">
        <f>F82+D83</f>
        <v>0</v>
      </c>
    </row>
    <row r="84" spans="1:7" x14ac:dyDescent="0.2">
      <c r="A84" s="18" t="s">
        <v>1237</v>
      </c>
      <c r="B84" s="4" t="s">
        <v>1244</v>
      </c>
      <c r="C84" s="4" t="s">
        <v>187</v>
      </c>
      <c r="D84" s="46"/>
      <c r="E84" s="20"/>
      <c r="F84" s="20">
        <f t="shared" ref="F84:F85" si="9">F83+D84</f>
        <v>0</v>
      </c>
    </row>
    <row r="85" spans="1:7" x14ac:dyDescent="0.2">
      <c r="A85" s="18" t="s">
        <v>1237</v>
      </c>
      <c r="B85" s="4" t="s">
        <v>1245</v>
      </c>
      <c r="C85" s="4" t="s">
        <v>187</v>
      </c>
      <c r="D85" s="46"/>
      <c r="E85" s="20"/>
      <c r="F85" s="20">
        <f t="shared" si="9"/>
        <v>0</v>
      </c>
    </row>
    <row r="86" spans="1:7" x14ac:dyDescent="0.2">
      <c r="A86" s="41" t="s">
        <v>247</v>
      </c>
      <c r="B86" s="4"/>
      <c r="C86" s="4"/>
      <c r="D86" s="46"/>
      <c r="E86" s="20"/>
      <c r="F86" s="20"/>
    </row>
    <row r="87" spans="1:7" x14ac:dyDescent="0.2">
      <c r="A87" s="18" t="s">
        <v>414</v>
      </c>
      <c r="B87" s="4" t="s">
        <v>1297</v>
      </c>
      <c r="C87" s="4" t="s">
        <v>187</v>
      </c>
      <c r="D87" s="46"/>
      <c r="E87" s="20"/>
      <c r="F87" s="20">
        <f>F86+D87</f>
        <v>0</v>
      </c>
    </row>
    <row r="88" spans="1:7" x14ac:dyDescent="0.2">
      <c r="A88" s="18" t="s">
        <v>742</v>
      </c>
      <c r="B88" s="4" t="s">
        <v>1298</v>
      </c>
      <c r="C88" s="4" t="s">
        <v>187</v>
      </c>
      <c r="D88" s="46"/>
      <c r="E88" s="20"/>
      <c r="F88" s="20">
        <f t="shared" ref="F88:F91" si="10">F87+D88</f>
        <v>0</v>
      </c>
    </row>
    <row r="89" spans="1:7" x14ac:dyDescent="0.2">
      <c r="A89" s="18" t="s">
        <v>474</v>
      </c>
      <c r="B89" s="4" t="s">
        <v>1299</v>
      </c>
      <c r="C89" s="4" t="s">
        <v>187</v>
      </c>
      <c r="D89" s="46"/>
      <c r="E89" s="20"/>
      <c r="F89" s="20">
        <f t="shared" si="10"/>
        <v>0</v>
      </c>
    </row>
    <row r="90" spans="1:7" x14ac:dyDescent="0.2">
      <c r="A90" s="18" t="s">
        <v>756</v>
      </c>
      <c r="B90" s="4" t="s">
        <v>1300</v>
      </c>
      <c r="C90" s="4" t="s">
        <v>187</v>
      </c>
      <c r="D90" s="46"/>
      <c r="E90" s="20"/>
      <c r="F90" s="20">
        <f t="shared" si="10"/>
        <v>0</v>
      </c>
    </row>
    <row r="91" spans="1:7" x14ac:dyDescent="0.2">
      <c r="A91" s="18" t="s">
        <v>756</v>
      </c>
      <c r="B91" s="4" t="s">
        <v>1301</v>
      </c>
      <c r="C91" s="4" t="s">
        <v>187</v>
      </c>
      <c r="D91" s="46"/>
      <c r="E91" s="20"/>
      <c r="F91" s="20">
        <f t="shared" si="10"/>
        <v>0</v>
      </c>
    </row>
    <row r="92" spans="1:7" x14ac:dyDescent="0.2">
      <c r="A92" s="41" t="s">
        <v>262</v>
      </c>
      <c r="B92" s="4"/>
      <c r="C92" s="4"/>
      <c r="D92" s="46"/>
      <c r="E92" s="20"/>
      <c r="F92" s="20"/>
      <c r="G92" s="31"/>
    </row>
    <row r="93" spans="1:7" x14ac:dyDescent="0.2">
      <c r="A93" s="18" t="s">
        <v>763</v>
      </c>
      <c r="B93" s="4" t="s">
        <v>1292</v>
      </c>
      <c r="C93" s="4" t="s">
        <v>187</v>
      </c>
      <c r="D93" s="46"/>
      <c r="E93" s="20"/>
      <c r="F93" s="20">
        <f t="shared" ref="F93" si="11">F92+D93</f>
        <v>0</v>
      </c>
    </row>
    <row r="94" spans="1:7" x14ac:dyDescent="0.2">
      <c r="A94" s="18" t="s">
        <v>476</v>
      </c>
      <c r="B94" s="4" t="s">
        <v>1293</v>
      </c>
      <c r="C94" s="4" t="s">
        <v>187</v>
      </c>
      <c r="D94" s="46"/>
      <c r="E94" s="20"/>
      <c r="F94" s="20">
        <f>F93+D94</f>
        <v>0</v>
      </c>
    </row>
    <row r="95" spans="1:7" x14ac:dyDescent="0.2">
      <c r="A95" s="51" t="s">
        <v>1365</v>
      </c>
      <c r="B95" s="4" t="s">
        <v>1294</v>
      </c>
      <c r="C95" s="4" t="s">
        <v>187</v>
      </c>
      <c r="D95" s="46"/>
      <c r="E95" s="20"/>
      <c r="F95" s="20">
        <f>F94+D95</f>
        <v>0</v>
      </c>
    </row>
    <row r="96" spans="1:7" x14ac:dyDescent="0.2">
      <c r="A96" s="18" t="s">
        <v>1365</v>
      </c>
      <c r="B96" s="4" t="s">
        <v>1295</v>
      </c>
      <c r="C96" s="4" t="s">
        <v>187</v>
      </c>
      <c r="D96" s="46"/>
      <c r="E96" s="20"/>
      <c r="F96" s="20">
        <f>F95+D96</f>
        <v>0</v>
      </c>
    </row>
    <row r="97" spans="1:6" x14ac:dyDescent="0.2">
      <c r="A97" s="18"/>
      <c r="B97" s="4"/>
      <c r="C97" s="4"/>
      <c r="D97" s="46"/>
      <c r="E97" s="20"/>
      <c r="F97" s="20">
        <f>D97+E97</f>
        <v>0</v>
      </c>
    </row>
    <row r="98" spans="1:6" x14ac:dyDescent="0.2">
      <c r="A98" s="18"/>
      <c r="B98" s="4"/>
      <c r="C98" s="4"/>
      <c r="D98" s="46"/>
      <c r="E98" s="20"/>
      <c r="F98" s="20">
        <f>F97+D98</f>
        <v>0</v>
      </c>
    </row>
    <row r="99" spans="1:6" x14ac:dyDescent="0.2">
      <c r="A99" s="18" t="s">
        <v>476</v>
      </c>
      <c r="B99" s="4"/>
      <c r="C99" s="4" t="s">
        <v>187</v>
      </c>
      <c r="D99" s="46"/>
      <c r="E99" s="20"/>
      <c r="F99" s="20">
        <f t="shared" ref="F99:F102" si="12">F98+D99</f>
        <v>0</v>
      </c>
    </row>
    <row r="100" spans="1:6" x14ac:dyDescent="0.2">
      <c r="A100" s="18" t="s">
        <v>476</v>
      </c>
      <c r="B100" s="4"/>
      <c r="C100" s="4" t="s">
        <v>187</v>
      </c>
      <c r="D100" s="46"/>
      <c r="E100" s="20"/>
      <c r="F100" s="20">
        <f t="shared" si="12"/>
        <v>0</v>
      </c>
    </row>
    <row r="101" spans="1:6" x14ac:dyDescent="0.2">
      <c r="A101" s="51" t="s">
        <v>1365</v>
      </c>
      <c r="B101" s="4" t="s">
        <v>1294</v>
      </c>
      <c r="C101" s="4" t="s">
        <v>187</v>
      </c>
      <c r="D101" s="46"/>
      <c r="E101" s="20"/>
      <c r="F101" s="20">
        <f t="shared" si="12"/>
        <v>0</v>
      </c>
    </row>
    <row r="102" spans="1:6" x14ac:dyDescent="0.2">
      <c r="A102" s="18" t="s">
        <v>1365</v>
      </c>
      <c r="B102" s="4" t="s">
        <v>1295</v>
      </c>
      <c r="C102" s="4" t="s">
        <v>187</v>
      </c>
      <c r="D102" s="46"/>
      <c r="E102" s="20"/>
      <c r="F102" s="20">
        <f t="shared" si="12"/>
        <v>0</v>
      </c>
    </row>
    <row r="103" spans="1:6" x14ac:dyDescent="0.2">
      <c r="A103" s="18" t="s">
        <v>283</v>
      </c>
      <c r="B103" s="4"/>
      <c r="C103" s="4"/>
      <c r="D103" s="20"/>
      <c r="E103" s="20"/>
      <c r="F103" s="20"/>
    </row>
    <row r="104" spans="1:6" x14ac:dyDescent="0.2">
      <c r="A104" s="18" t="s">
        <v>798</v>
      </c>
      <c r="B104" s="4" t="s">
        <v>691</v>
      </c>
      <c r="C104" s="4" t="s">
        <v>187</v>
      </c>
      <c r="D104" s="20"/>
      <c r="E104" s="20"/>
      <c r="F104" s="20">
        <f t="shared" ref="F104:F107" si="13">F103+D104</f>
        <v>0</v>
      </c>
    </row>
    <row r="105" spans="1:6" x14ac:dyDescent="0.2">
      <c r="A105" s="18" t="s">
        <v>798</v>
      </c>
      <c r="B105" s="4" t="s">
        <v>689</v>
      </c>
      <c r="C105" s="4" t="s">
        <v>187</v>
      </c>
      <c r="D105" s="20"/>
      <c r="E105" s="20"/>
      <c r="F105" s="20">
        <f t="shared" si="13"/>
        <v>0</v>
      </c>
    </row>
    <row r="106" spans="1:6" x14ac:dyDescent="0.2">
      <c r="A106" s="53" t="s">
        <v>798</v>
      </c>
      <c r="B106" s="4" t="s">
        <v>737</v>
      </c>
      <c r="C106" s="4" t="s">
        <v>187</v>
      </c>
      <c r="D106" s="20"/>
      <c r="E106" s="20"/>
      <c r="F106" s="20">
        <f t="shared" si="13"/>
        <v>0</v>
      </c>
    </row>
    <row r="107" spans="1:6" x14ac:dyDescent="0.2">
      <c r="A107" s="53" t="s">
        <v>798</v>
      </c>
      <c r="B107" s="4" t="s">
        <v>730</v>
      </c>
      <c r="C107" s="4" t="s">
        <v>187</v>
      </c>
      <c r="D107" s="20"/>
      <c r="E107" s="20"/>
      <c r="F107" s="20">
        <f t="shared" si="13"/>
        <v>0</v>
      </c>
    </row>
    <row r="108" spans="1:6" x14ac:dyDescent="0.2">
      <c r="A108" s="41" t="s">
        <v>299</v>
      </c>
      <c r="B108" s="4"/>
      <c r="C108" s="4" t="s">
        <v>187</v>
      </c>
      <c r="D108" s="20"/>
      <c r="E108" s="20"/>
      <c r="F108" s="20"/>
    </row>
    <row r="109" spans="1:6" x14ac:dyDescent="0.2">
      <c r="A109" s="18" t="s">
        <v>594</v>
      </c>
      <c r="B109" s="4" t="s">
        <v>690</v>
      </c>
      <c r="C109" s="4" t="s">
        <v>187</v>
      </c>
      <c r="D109" s="20"/>
      <c r="E109" s="20"/>
      <c r="F109" s="20">
        <f>D109+E109</f>
        <v>0</v>
      </c>
    </row>
    <row r="110" spans="1:6" x14ac:dyDescent="0.2">
      <c r="A110" s="18" t="s">
        <v>596</v>
      </c>
      <c r="B110" s="4" t="s">
        <v>730</v>
      </c>
      <c r="C110" s="4" t="s">
        <v>187</v>
      </c>
      <c r="D110" s="20"/>
      <c r="E110" s="20"/>
      <c r="F110" s="20">
        <f>F109+D110</f>
        <v>0</v>
      </c>
    </row>
    <row r="111" spans="1:6" x14ac:dyDescent="0.2">
      <c r="A111" s="18" t="s">
        <v>838</v>
      </c>
      <c r="B111" s="4" t="s">
        <v>691</v>
      </c>
      <c r="C111" s="4" t="s">
        <v>187</v>
      </c>
      <c r="D111" s="20"/>
      <c r="E111" s="20"/>
      <c r="F111" s="20">
        <f t="shared" ref="F111:F114" si="14">F110+D111</f>
        <v>0</v>
      </c>
    </row>
    <row r="112" spans="1:6" x14ac:dyDescent="0.2">
      <c r="A112" s="18" t="s">
        <v>838</v>
      </c>
      <c r="B112" s="4" t="s">
        <v>689</v>
      </c>
      <c r="C112" s="4" t="s">
        <v>187</v>
      </c>
      <c r="D112" s="20"/>
      <c r="E112" s="20"/>
      <c r="F112" s="20">
        <f t="shared" si="14"/>
        <v>0</v>
      </c>
    </row>
    <row r="113" spans="1:6" x14ac:dyDescent="0.2">
      <c r="A113" s="53" t="s">
        <v>838</v>
      </c>
      <c r="B113" s="4" t="s">
        <v>737</v>
      </c>
      <c r="C113" s="4" t="s">
        <v>187</v>
      </c>
      <c r="D113" s="20"/>
      <c r="E113" s="20"/>
      <c r="F113" s="20">
        <f t="shared" si="14"/>
        <v>0</v>
      </c>
    </row>
    <row r="114" spans="1:6" x14ac:dyDescent="0.2">
      <c r="A114" s="53" t="s">
        <v>838</v>
      </c>
      <c r="B114" s="4" t="s">
        <v>738</v>
      </c>
      <c r="C114" s="4" t="s">
        <v>187</v>
      </c>
      <c r="D114" s="20"/>
      <c r="E114" s="20"/>
      <c r="F114" s="20">
        <f t="shared" si="14"/>
        <v>0</v>
      </c>
    </row>
    <row r="115" spans="1:6" x14ac:dyDescent="0.2">
      <c r="A115" s="41" t="s">
        <v>315</v>
      </c>
      <c r="B115" s="4"/>
      <c r="C115" s="4" t="s">
        <v>187</v>
      </c>
      <c r="D115" s="20"/>
      <c r="E115" s="20"/>
      <c r="F115" s="20"/>
    </row>
    <row r="116" spans="1:6" x14ac:dyDescent="0.2">
      <c r="A116" s="18" t="s">
        <v>858</v>
      </c>
      <c r="B116" s="4" t="s">
        <v>690</v>
      </c>
      <c r="C116" s="4" t="s">
        <v>187</v>
      </c>
      <c r="D116" s="20"/>
      <c r="E116" s="20"/>
      <c r="F116" s="20">
        <f>D116+E116</f>
        <v>0</v>
      </c>
    </row>
    <row r="117" spans="1:6" x14ac:dyDescent="0.2">
      <c r="A117" s="18" t="s">
        <v>885</v>
      </c>
      <c r="B117" s="4" t="s">
        <v>691</v>
      </c>
      <c r="C117" s="4" t="s">
        <v>187</v>
      </c>
      <c r="D117" s="20"/>
      <c r="E117" s="20"/>
      <c r="F117" s="20">
        <f>F116+D117</f>
        <v>0</v>
      </c>
    </row>
    <row r="118" spans="1:6" x14ac:dyDescent="0.2">
      <c r="A118" s="18" t="s">
        <v>885</v>
      </c>
      <c r="B118" s="4" t="s">
        <v>689</v>
      </c>
      <c r="C118" s="4" t="s">
        <v>187</v>
      </c>
      <c r="D118" s="20"/>
      <c r="E118" s="20"/>
      <c r="F118" s="20">
        <f t="shared" ref="F118:F121" si="15">F117+D118</f>
        <v>0</v>
      </c>
    </row>
    <row r="119" spans="1:6" x14ac:dyDescent="0.2">
      <c r="A119" s="18" t="s">
        <v>885</v>
      </c>
      <c r="B119" s="4" t="s">
        <v>737</v>
      </c>
      <c r="C119" s="4" t="s">
        <v>187</v>
      </c>
      <c r="D119" s="20"/>
      <c r="E119" s="20"/>
      <c r="F119" s="20">
        <f t="shared" si="15"/>
        <v>0</v>
      </c>
    </row>
    <row r="120" spans="1:6" x14ac:dyDescent="0.2">
      <c r="A120" s="53" t="s">
        <v>885</v>
      </c>
      <c r="B120" s="4" t="s">
        <v>730</v>
      </c>
      <c r="C120" s="4" t="s">
        <v>187</v>
      </c>
      <c r="D120" s="20"/>
      <c r="E120" s="20"/>
      <c r="F120" s="20">
        <f t="shared" si="15"/>
        <v>0</v>
      </c>
    </row>
    <row r="121" spans="1:6" x14ac:dyDescent="0.2">
      <c r="A121" s="53" t="s">
        <v>885</v>
      </c>
      <c r="B121" s="4" t="s">
        <v>738</v>
      </c>
      <c r="C121" s="4" t="s">
        <v>187</v>
      </c>
      <c r="D121" s="20"/>
      <c r="E121" s="20"/>
      <c r="F121" s="20">
        <f t="shared" si="15"/>
        <v>0</v>
      </c>
    </row>
    <row r="122" spans="1:6" x14ac:dyDescent="0.2">
      <c r="A122" s="41" t="s">
        <v>330</v>
      </c>
      <c r="B122" s="4"/>
      <c r="C122" s="4" t="s">
        <v>187</v>
      </c>
      <c r="D122" s="20"/>
      <c r="E122" s="20"/>
      <c r="F122" s="20"/>
    </row>
    <row r="123" spans="1:6" x14ac:dyDescent="0.2">
      <c r="A123" s="18" t="s">
        <v>329</v>
      </c>
      <c r="B123" s="4" t="s">
        <v>690</v>
      </c>
      <c r="C123" s="4" t="s">
        <v>187</v>
      </c>
      <c r="D123" s="20"/>
      <c r="E123" s="20"/>
      <c r="F123" s="20">
        <f>D123+E123</f>
        <v>0</v>
      </c>
    </row>
    <row r="124" spans="1:6" x14ac:dyDescent="0.2">
      <c r="A124" s="18" t="s">
        <v>932</v>
      </c>
      <c r="B124" s="4" t="s">
        <v>689</v>
      </c>
      <c r="C124" s="4" t="s">
        <v>187</v>
      </c>
      <c r="D124" s="20"/>
      <c r="E124" s="20"/>
      <c r="F124" s="20">
        <f>F123+D124</f>
        <v>0</v>
      </c>
    </row>
    <row r="125" spans="1:6" x14ac:dyDescent="0.2">
      <c r="A125" s="18" t="s">
        <v>932</v>
      </c>
      <c r="B125" s="4" t="s">
        <v>737</v>
      </c>
      <c r="C125" s="4" t="s">
        <v>187</v>
      </c>
      <c r="D125" s="20"/>
      <c r="E125" s="20"/>
      <c r="F125" s="20">
        <f t="shared" ref="F125:F128" si="16">F124+D125</f>
        <v>0</v>
      </c>
    </row>
    <row r="126" spans="1:6" x14ac:dyDescent="0.2">
      <c r="A126" s="18" t="s">
        <v>934</v>
      </c>
      <c r="B126" s="4" t="s">
        <v>691</v>
      </c>
      <c r="C126" s="4" t="s">
        <v>187</v>
      </c>
      <c r="D126" s="20"/>
      <c r="E126" s="20"/>
      <c r="F126" s="20">
        <f t="shared" si="16"/>
        <v>0</v>
      </c>
    </row>
    <row r="127" spans="1:6" x14ac:dyDescent="0.2">
      <c r="A127" s="53" t="s">
        <v>934</v>
      </c>
      <c r="B127" s="4" t="s">
        <v>730</v>
      </c>
      <c r="C127" s="4" t="s">
        <v>187</v>
      </c>
      <c r="D127" s="20"/>
      <c r="E127" s="20"/>
      <c r="F127" s="20">
        <f t="shared" si="16"/>
        <v>0</v>
      </c>
    </row>
    <row r="128" spans="1:6" x14ac:dyDescent="0.2">
      <c r="A128" s="53" t="s">
        <v>934</v>
      </c>
      <c r="B128" s="4" t="s">
        <v>738</v>
      </c>
      <c r="C128" s="4" t="s">
        <v>187</v>
      </c>
      <c r="D128" s="20"/>
      <c r="E128" s="20"/>
      <c r="F128" s="20">
        <f t="shared" si="16"/>
        <v>0</v>
      </c>
    </row>
    <row r="129" spans="1:6" x14ac:dyDescent="0.2">
      <c r="A129" s="41" t="s">
        <v>344</v>
      </c>
      <c r="B129" s="4"/>
      <c r="C129" s="4" t="s">
        <v>187</v>
      </c>
      <c r="D129" s="20"/>
      <c r="E129" s="20"/>
      <c r="F129" s="20"/>
    </row>
    <row r="130" spans="1:6" x14ac:dyDescent="0.2">
      <c r="A130" s="18" t="s">
        <v>964</v>
      </c>
      <c r="B130" s="4" t="s">
        <v>690</v>
      </c>
      <c r="C130" s="4" t="s">
        <v>187</v>
      </c>
      <c r="D130" s="20"/>
      <c r="E130" s="20"/>
      <c r="F130" s="20">
        <f>D130+E130</f>
        <v>0</v>
      </c>
    </row>
    <row r="131" spans="1:6" x14ac:dyDescent="0.2">
      <c r="A131" s="18" t="s">
        <v>613</v>
      </c>
      <c r="B131" s="4" t="s">
        <v>689</v>
      </c>
      <c r="C131" s="4" t="s">
        <v>187</v>
      </c>
      <c r="D131" s="20"/>
      <c r="E131" s="20"/>
      <c r="F131" s="20">
        <f>F130+D131</f>
        <v>0</v>
      </c>
    </row>
    <row r="132" spans="1:6" x14ac:dyDescent="0.2">
      <c r="A132" s="18" t="s">
        <v>613</v>
      </c>
      <c r="B132" s="4" t="s">
        <v>737</v>
      </c>
      <c r="C132" s="4" t="s">
        <v>187</v>
      </c>
      <c r="D132" s="20"/>
      <c r="E132" s="20"/>
      <c r="F132" s="20">
        <f t="shared" ref="F132:F135" si="17">F131+D132</f>
        <v>0</v>
      </c>
    </row>
    <row r="133" spans="1:6" x14ac:dyDescent="0.2">
      <c r="A133" s="18" t="str">
        <f>A132</f>
        <v>26 Agust</v>
      </c>
      <c r="B133" s="4" t="s">
        <v>730</v>
      </c>
      <c r="C133" s="4" t="s">
        <v>187</v>
      </c>
      <c r="D133" s="20"/>
      <c r="E133" s="20"/>
      <c r="F133" s="20">
        <f t="shared" si="17"/>
        <v>0</v>
      </c>
    </row>
    <row r="134" spans="1:6" x14ac:dyDescent="0.2">
      <c r="A134" s="18" t="str">
        <f>A133</f>
        <v>26 Agust</v>
      </c>
      <c r="B134" s="4" t="s">
        <v>738</v>
      </c>
      <c r="C134" s="4" t="s">
        <v>187</v>
      </c>
      <c r="D134" s="20"/>
      <c r="E134" s="20"/>
      <c r="F134" s="20">
        <f t="shared" si="17"/>
        <v>0</v>
      </c>
    </row>
    <row r="135" spans="1:6" x14ac:dyDescent="0.2">
      <c r="A135" s="53" t="s">
        <v>348</v>
      </c>
      <c r="B135" s="4" t="s">
        <v>691</v>
      </c>
      <c r="C135" s="4" t="s">
        <v>187</v>
      </c>
      <c r="D135" s="20"/>
      <c r="E135" s="20"/>
      <c r="F135" s="20">
        <f t="shared" si="17"/>
        <v>0</v>
      </c>
    </row>
    <row r="136" spans="1:6" x14ac:dyDescent="0.2">
      <c r="A136" s="41" t="s">
        <v>363</v>
      </c>
      <c r="B136" s="4"/>
      <c r="C136" s="4" t="s">
        <v>187</v>
      </c>
      <c r="D136" s="20"/>
      <c r="E136" s="20"/>
      <c r="F136" s="20"/>
    </row>
    <row r="137" spans="1:6" x14ac:dyDescent="0.2">
      <c r="A137" s="18" t="s">
        <v>362</v>
      </c>
      <c r="B137" s="4" t="s">
        <v>690</v>
      </c>
      <c r="C137" s="4" t="s">
        <v>187</v>
      </c>
      <c r="D137" s="20"/>
      <c r="E137" s="20"/>
      <c r="F137" s="20">
        <f>D137+E137</f>
        <v>0</v>
      </c>
    </row>
    <row r="138" spans="1:6" x14ac:dyDescent="0.2">
      <c r="A138" s="18" t="s">
        <v>485</v>
      </c>
      <c r="B138" s="4" t="s">
        <v>689</v>
      </c>
      <c r="C138" s="4" t="s">
        <v>187</v>
      </c>
      <c r="D138" s="20"/>
      <c r="E138" s="20"/>
      <c r="F138" s="20">
        <f>F137+D138</f>
        <v>0</v>
      </c>
    </row>
    <row r="139" spans="1:6" x14ac:dyDescent="0.2">
      <c r="A139" s="18" t="s">
        <v>485</v>
      </c>
      <c r="B139" s="4" t="s">
        <v>737</v>
      </c>
      <c r="C139" s="4" t="s">
        <v>187</v>
      </c>
      <c r="D139" s="20"/>
      <c r="E139" s="20"/>
      <c r="F139" s="20">
        <f t="shared" ref="F139:F142" si="18">F138+D139</f>
        <v>0</v>
      </c>
    </row>
    <row r="140" spans="1:6" x14ac:dyDescent="0.2">
      <c r="A140" s="18" t="s">
        <v>485</v>
      </c>
      <c r="B140" s="4" t="s">
        <v>730</v>
      </c>
      <c r="C140" s="4" t="s">
        <v>187</v>
      </c>
      <c r="D140" s="20"/>
      <c r="E140" s="20"/>
      <c r="F140" s="20">
        <f t="shared" si="18"/>
        <v>0</v>
      </c>
    </row>
    <row r="141" spans="1:6" x14ac:dyDescent="0.2">
      <c r="A141" s="18" t="s">
        <v>485</v>
      </c>
      <c r="B141" s="4" t="s">
        <v>738</v>
      </c>
      <c r="C141" s="4" t="s">
        <v>187</v>
      </c>
      <c r="D141" s="20"/>
      <c r="E141" s="20"/>
      <c r="F141" s="20">
        <f t="shared" si="18"/>
        <v>0</v>
      </c>
    </row>
    <row r="142" spans="1:6" x14ac:dyDescent="0.2">
      <c r="A142" s="53" t="s">
        <v>1047</v>
      </c>
      <c r="B142" s="4" t="s">
        <v>691</v>
      </c>
      <c r="C142" s="4" t="s">
        <v>187</v>
      </c>
      <c r="D142" s="20"/>
      <c r="E142" s="20"/>
      <c r="F142" s="20">
        <f t="shared" si="18"/>
        <v>0</v>
      </c>
    </row>
    <row r="143" spans="1:6" x14ac:dyDescent="0.2">
      <c r="A143" s="41" t="s">
        <v>368</v>
      </c>
      <c r="B143" s="4"/>
      <c r="C143" s="4" t="s">
        <v>187</v>
      </c>
      <c r="D143" s="20"/>
      <c r="E143" s="20"/>
      <c r="F143" s="20"/>
    </row>
    <row r="144" spans="1:6" x14ac:dyDescent="0.2">
      <c r="A144" s="18" t="s">
        <v>631</v>
      </c>
      <c r="B144" s="4" t="s">
        <v>690</v>
      </c>
      <c r="C144" s="4" t="s">
        <v>187</v>
      </c>
      <c r="D144" s="20"/>
      <c r="E144" s="20"/>
      <c r="F144" s="20">
        <f>D144+E144</f>
        <v>0</v>
      </c>
    </row>
    <row r="145" spans="1:6" x14ac:dyDescent="0.2">
      <c r="A145" s="18" t="s">
        <v>372</v>
      </c>
      <c r="B145" s="4" t="s">
        <v>689</v>
      </c>
      <c r="C145" s="4" t="s">
        <v>187</v>
      </c>
      <c r="D145" s="20"/>
      <c r="E145" s="20"/>
      <c r="F145" s="20">
        <f>F144+D145</f>
        <v>0</v>
      </c>
    </row>
    <row r="146" spans="1:6" x14ac:dyDescent="0.2">
      <c r="A146" s="18" t="s">
        <v>372</v>
      </c>
      <c r="B146" s="4" t="s">
        <v>737</v>
      </c>
      <c r="C146" s="4" t="s">
        <v>187</v>
      </c>
      <c r="D146" s="20"/>
      <c r="E146" s="20"/>
      <c r="F146" s="20">
        <f t="shared" ref="F146:F149" si="19">F145+D146</f>
        <v>0</v>
      </c>
    </row>
    <row r="147" spans="1:6" x14ac:dyDescent="0.2">
      <c r="A147" s="18" t="s">
        <v>372</v>
      </c>
      <c r="B147" s="4" t="s">
        <v>730</v>
      </c>
      <c r="C147" s="4" t="s">
        <v>187</v>
      </c>
      <c r="D147" s="20"/>
      <c r="E147" s="20"/>
      <c r="F147" s="20">
        <f t="shared" si="19"/>
        <v>0</v>
      </c>
    </row>
    <row r="148" spans="1:6" x14ac:dyDescent="0.2">
      <c r="A148" s="18" t="s">
        <v>372</v>
      </c>
      <c r="B148" s="4" t="s">
        <v>738</v>
      </c>
      <c r="C148" s="4" t="s">
        <v>187</v>
      </c>
      <c r="D148" s="20"/>
      <c r="E148" s="20"/>
      <c r="F148" s="20">
        <f t="shared" si="19"/>
        <v>0</v>
      </c>
    </row>
    <row r="149" spans="1:6" x14ac:dyDescent="0.2">
      <c r="A149" s="53" t="s">
        <v>1088</v>
      </c>
      <c r="B149" s="4" t="s">
        <v>691</v>
      </c>
      <c r="C149" s="4" t="s">
        <v>187</v>
      </c>
      <c r="D149" s="20"/>
      <c r="E149" s="20"/>
      <c r="F149" s="20">
        <f t="shared" si="19"/>
        <v>0</v>
      </c>
    </row>
    <row r="150" spans="1:6" x14ac:dyDescent="0.2">
      <c r="A150" s="41" t="s">
        <v>397</v>
      </c>
      <c r="B150" s="4"/>
      <c r="C150" s="4" t="s">
        <v>187</v>
      </c>
      <c r="D150" s="20"/>
      <c r="E150" s="20"/>
      <c r="F150" s="20"/>
    </row>
    <row r="151" spans="1:6" x14ac:dyDescent="0.2">
      <c r="A151" s="18" t="s">
        <v>1102</v>
      </c>
      <c r="B151" s="4" t="s">
        <v>690</v>
      </c>
      <c r="C151" s="4" t="s">
        <v>187</v>
      </c>
      <c r="D151" s="20"/>
      <c r="E151" s="20"/>
      <c r="F151" s="20">
        <f>D151+E151</f>
        <v>0</v>
      </c>
    </row>
    <row r="152" spans="1:6" x14ac:dyDescent="0.2">
      <c r="A152" s="18" t="s">
        <v>1126</v>
      </c>
      <c r="B152" s="4" t="s">
        <v>689</v>
      </c>
      <c r="C152" s="4" t="s">
        <v>187</v>
      </c>
      <c r="D152" s="20"/>
      <c r="E152" s="20"/>
      <c r="F152" s="20">
        <f>F151+D152</f>
        <v>0</v>
      </c>
    </row>
    <row r="153" spans="1:6" x14ac:dyDescent="0.2">
      <c r="A153" s="18" t="s">
        <v>1126</v>
      </c>
      <c r="B153" s="4" t="s">
        <v>737</v>
      </c>
      <c r="C153" s="4" t="s">
        <v>187</v>
      </c>
      <c r="D153" s="20"/>
      <c r="E153" s="20"/>
      <c r="F153" s="20">
        <f t="shared" ref="F153:F156" si="20">F152+D153</f>
        <v>0</v>
      </c>
    </row>
    <row r="154" spans="1:6" x14ac:dyDescent="0.2">
      <c r="A154" s="18" t="s">
        <v>1126</v>
      </c>
      <c r="B154" s="4" t="s">
        <v>691</v>
      </c>
      <c r="C154" s="4" t="s">
        <v>187</v>
      </c>
      <c r="D154" s="20"/>
      <c r="E154" s="20"/>
      <c r="F154" s="20">
        <f t="shared" si="20"/>
        <v>0</v>
      </c>
    </row>
    <row r="155" spans="1:6" x14ac:dyDescent="0.2">
      <c r="A155" s="18" t="s">
        <v>1126</v>
      </c>
      <c r="B155" s="4" t="s">
        <v>730</v>
      </c>
      <c r="C155" s="4" t="s">
        <v>187</v>
      </c>
      <c r="D155" s="20"/>
      <c r="E155" s="20"/>
      <c r="F155" s="20">
        <f t="shared" si="20"/>
        <v>0</v>
      </c>
    </row>
    <row r="156" spans="1:6" x14ac:dyDescent="0.2">
      <c r="A156" s="53" t="str">
        <f>A155</f>
        <v>27 Nov</v>
      </c>
      <c r="B156" s="4" t="s">
        <v>738</v>
      </c>
      <c r="C156" s="4" t="s">
        <v>187</v>
      </c>
      <c r="D156" s="20"/>
      <c r="E156" s="20"/>
      <c r="F156" s="20">
        <f t="shared" si="20"/>
        <v>0</v>
      </c>
    </row>
    <row r="157" spans="1:6" x14ac:dyDescent="0.2">
      <c r="A157" s="41" t="s">
        <v>453</v>
      </c>
      <c r="B157" s="4"/>
      <c r="C157" s="4" t="s">
        <v>187</v>
      </c>
      <c r="D157" s="20"/>
      <c r="E157" s="20"/>
      <c r="F157" s="20"/>
    </row>
    <row r="158" spans="1:6" x14ac:dyDescent="0.2">
      <c r="A158" s="18" t="s">
        <v>1138</v>
      </c>
      <c r="B158" s="4" t="s">
        <v>690</v>
      </c>
      <c r="C158" s="4" t="s">
        <v>187</v>
      </c>
      <c r="D158" s="20"/>
      <c r="E158" s="20"/>
      <c r="F158" s="20">
        <f>D158+E158</f>
        <v>0</v>
      </c>
    </row>
    <row r="159" spans="1:6" x14ac:dyDescent="0.2">
      <c r="A159" s="18" t="s">
        <v>643</v>
      </c>
      <c r="B159" s="4" t="s">
        <v>689</v>
      </c>
      <c r="C159" s="4" t="s">
        <v>187</v>
      </c>
      <c r="D159" s="20"/>
      <c r="E159" s="20"/>
      <c r="F159" s="20">
        <f>F158+D159</f>
        <v>0</v>
      </c>
    </row>
    <row r="160" spans="1:6" x14ac:dyDescent="0.2">
      <c r="A160" s="18" t="s">
        <v>643</v>
      </c>
      <c r="B160" s="4" t="s">
        <v>691</v>
      </c>
      <c r="C160" s="4" t="s">
        <v>187</v>
      </c>
      <c r="D160" s="20"/>
      <c r="E160" s="20"/>
      <c r="F160" s="20">
        <f t="shared" ref="F160:F163" si="21">F159+D160</f>
        <v>0</v>
      </c>
    </row>
    <row r="161" spans="1:6" x14ac:dyDescent="0.2">
      <c r="A161" s="18" t="s">
        <v>1181</v>
      </c>
      <c r="B161" s="4" t="s">
        <v>737</v>
      </c>
      <c r="C161" s="4" t="s">
        <v>187</v>
      </c>
      <c r="D161" s="20"/>
      <c r="E161" s="20"/>
      <c r="F161" s="20">
        <f t="shared" si="21"/>
        <v>0</v>
      </c>
    </row>
    <row r="162" spans="1:6" x14ac:dyDescent="0.2">
      <c r="A162" s="18" t="s">
        <v>1181</v>
      </c>
      <c r="B162" s="4" t="s">
        <v>730</v>
      </c>
      <c r="C162" s="4" t="s">
        <v>187</v>
      </c>
      <c r="D162" s="20"/>
      <c r="E162" s="20"/>
      <c r="F162" s="20">
        <f t="shared" si="21"/>
        <v>0</v>
      </c>
    </row>
    <row r="163" spans="1:6" x14ac:dyDescent="0.2">
      <c r="A163" s="53" t="str">
        <f>A162</f>
        <v>29 Des</v>
      </c>
      <c r="B163" s="4" t="s">
        <v>738</v>
      </c>
      <c r="C163" s="4" t="s">
        <v>187</v>
      </c>
      <c r="D163" s="20"/>
      <c r="E163" s="20"/>
      <c r="F163" s="20">
        <f t="shared" si="21"/>
        <v>0</v>
      </c>
    </row>
    <row r="164" spans="1:6" x14ac:dyDescent="0.2">
      <c r="A164" s="53"/>
      <c r="B164" s="4"/>
      <c r="C164" s="4"/>
      <c r="D164" s="20"/>
      <c r="E164" s="20"/>
      <c r="F164" s="20"/>
    </row>
    <row r="165" spans="1:6" x14ac:dyDescent="0.2">
      <c r="A165" s="53"/>
      <c r="B165" s="4"/>
      <c r="C165" s="4"/>
      <c r="D165" s="20"/>
      <c r="E165" s="20"/>
      <c r="F165" s="20"/>
    </row>
    <row r="166" spans="1:6" x14ac:dyDescent="0.2">
      <c r="A166" s="53"/>
      <c r="B166" s="4"/>
      <c r="C166" s="4"/>
      <c r="D166" s="20"/>
      <c r="E166" s="20"/>
      <c r="F166" s="20"/>
    </row>
    <row r="167" spans="1:6" x14ac:dyDescent="0.2">
      <c r="A167" s="53"/>
      <c r="B167" s="4"/>
      <c r="C167" s="4" t="s">
        <v>187</v>
      </c>
      <c r="D167" s="20"/>
      <c r="E167" s="20"/>
      <c r="F167" s="20">
        <f>F108+D167</f>
        <v>0</v>
      </c>
    </row>
    <row r="168" spans="1:6" x14ac:dyDescent="0.2">
      <c r="A168" s="53"/>
      <c r="B168" s="27"/>
      <c r="C168" s="4" t="s">
        <v>187</v>
      </c>
      <c r="D168" s="20"/>
      <c r="E168" s="20"/>
      <c r="F168" s="20">
        <f>F90+D168</f>
        <v>0</v>
      </c>
    </row>
    <row r="169" spans="1:6" x14ac:dyDescent="0.2">
      <c r="A169" s="105" t="s">
        <v>10</v>
      </c>
      <c r="B169" s="112"/>
      <c r="C169" s="106"/>
      <c r="D169" s="20">
        <f>SUM(D81:D168)</f>
        <v>0</v>
      </c>
      <c r="E169" s="20">
        <f>SUM(E81:E89)</f>
        <v>0</v>
      </c>
      <c r="F169" s="20">
        <f>D169-E169</f>
        <v>0</v>
      </c>
    </row>
    <row r="170" spans="1:6" x14ac:dyDescent="0.2">
      <c r="A170" s="105" t="s">
        <v>11</v>
      </c>
      <c r="B170" s="112"/>
      <c r="C170" s="106"/>
      <c r="D170" s="20"/>
      <c r="E170" s="20"/>
      <c r="F170" s="20">
        <f>D170-E170</f>
        <v>0</v>
      </c>
    </row>
    <row r="171" spans="1:6" x14ac:dyDescent="0.2">
      <c r="A171" s="105" t="s">
        <v>10</v>
      </c>
      <c r="B171" s="112"/>
      <c r="C171" s="106"/>
      <c r="D171" s="20">
        <f>SUM(D169:D170)</f>
        <v>0</v>
      </c>
      <c r="E171" s="20">
        <f>SUM(E169:E170)</f>
        <v>0</v>
      </c>
      <c r="F171" s="20">
        <f>SUM(F169:F170)</f>
        <v>0</v>
      </c>
    </row>
    <row r="174" spans="1:6" x14ac:dyDescent="0.2">
      <c r="A174" s="100" t="s">
        <v>0</v>
      </c>
      <c r="B174" s="100"/>
    </row>
    <row r="175" spans="1:6" x14ac:dyDescent="0.2">
      <c r="A175" s="100" t="s">
        <v>1</v>
      </c>
      <c r="B175" s="100"/>
    </row>
    <row r="176" spans="1:6" x14ac:dyDescent="0.2">
      <c r="A176" s="101" t="s">
        <v>2</v>
      </c>
      <c r="B176" s="101"/>
      <c r="C176" s="101"/>
      <c r="D176" s="101"/>
      <c r="E176" s="101"/>
      <c r="F176" s="101"/>
    </row>
    <row r="177" spans="1:6" x14ac:dyDescent="0.2">
      <c r="A177" s="2" t="s">
        <v>661</v>
      </c>
      <c r="B177" s="2"/>
      <c r="D177" s="2" t="s">
        <v>349</v>
      </c>
    </row>
    <row r="179" spans="1:6" x14ac:dyDescent="0.2">
      <c r="A179" s="103" t="s">
        <v>3</v>
      </c>
      <c r="B179" s="103" t="s">
        <v>4</v>
      </c>
      <c r="C179" s="103" t="s">
        <v>5</v>
      </c>
      <c r="D179" s="105" t="s">
        <v>6</v>
      </c>
      <c r="E179" s="106"/>
      <c r="F179" s="103" t="s">
        <v>9</v>
      </c>
    </row>
    <row r="180" spans="1:6" x14ac:dyDescent="0.2">
      <c r="A180" s="104"/>
      <c r="B180" s="104"/>
      <c r="C180" s="104"/>
      <c r="D180" s="3" t="s">
        <v>7</v>
      </c>
      <c r="E180" s="3" t="s">
        <v>8</v>
      </c>
      <c r="F180" s="104"/>
    </row>
    <row r="181" spans="1:6" x14ac:dyDescent="0.2">
      <c r="A181" s="18" t="s">
        <v>974</v>
      </c>
      <c r="B181" s="4" t="s">
        <v>979</v>
      </c>
      <c r="C181" s="4" t="s">
        <v>187</v>
      </c>
      <c r="D181" s="20"/>
      <c r="E181" s="20">
        <v>0</v>
      </c>
      <c r="F181" s="20">
        <f>D181+E181</f>
        <v>0</v>
      </c>
    </row>
    <row r="182" spans="1:6" x14ac:dyDescent="0.2">
      <c r="A182" s="18" t="s">
        <v>1158</v>
      </c>
      <c r="B182" s="27" t="s">
        <v>1159</v>
      </c>
      <c r="C182" s="4" t="s">
        <v>187</v>
      </c>
      <c r="D182" s="20"/>
      <c r="E182" s="20"/>
      <c r="F182" s="20">
        <f>F181+D182</f>
        <v>0</v>
      </c>
    </row>
    <row r="183" spans="1:6" x14ac:dyDescent="0.2">
      <c r="A183" s="18"/>
      <c r="B183" s="4"/>
      <c r="C183" s="4" t="s">
        <v>187</v>
      </c>
      <c r="D183" s="20"/>
      <c r="E183" s="20"/>
      <c r="F183" s="20">
        <f t="shared" ref="F183:F186" si="22">F182+D183</f>
        <v>0</v>
      </c>
    </row>
    <row r="184" spans="1:6" x14ac:dyDescent="0.2">
      <c r="A184" s="18"/>
      <c r="B184" s="27"/>
      <c r="C184" s="4" t="s">
        <v>187</v>
      </c>
      <c r="D184" s="20"/>
      <c r="E184" s="20"/>
      <c r="F184" s="20">
        <f t="shared" si="22"/>
        <v>0</v>
      </c>
    </row>
    <row r="185" spans="1:6" x14ac:dyDescent="0.2">
      <c r="A185" s="18"/>
      <c r="B185" s="4"/>
      <c r="C185" s="4" t="s">
        <v>187</v>
      </c>
      <c r="D185" s="20"/>
      <c r="E185" s="20"/>
      <c r="F185" s="20">
        <f t="shared" si="22"/>
        <v>0</v>
      </c>
    </row>
    <row r="186" spans="1:6" x14ac:dyDescent="0.2">
      <c r="A186" s="53"/>
      <c r="B186" s="27"/>
      <c r="C186" s="4" t="s">
        <v>187</v>
      </c>
      <c r="D186" s="20"/>
      <c r="E186" s="20"/>
      <c r="F186" s="20">
        <f t="shared" si="22"/>
        <v>0</v>
      </c>
    </row>
    <row r="187" spans="1:6" x14ac:dyDescent="0.2">
      <c r="A187" s="105" t="s">
        <v>10</v>
      </c>
      <c r="B187" s="112"/>
      <c r="C187" s="106"/>
      <c r="D187" s="20">
        <f>SUM(D181:D186)</f>
        <v>0</v>
      </c>
      <c r="E187" s="20">
        <f>SUM(E181:E185)</f>
        <v>0</v>
      </c>
      <c r="F187" s="20">
        <f>D187-E187</f>
        <v>0</v>
      </c>
    </row>
    <row r="188" spans="1:6" x14ac:dyDescent="0.2">
      <c r="A188" s="105" t="s">
        <v>11</v>
      </c>
      <c r="B188" s="112"/>
      <c r="C188" s="106"/>
      <c r="D188" s="20"/>
      <c r="E188" s="20"/>
      <c r="F188" s="20">
        <f>D188-E188</f>
        <v>0</v>
      </c>
    </row>
    <row r="189" spans="1:6" x14ac:dyDescent="0.2">
      <c r="A189" s="105" t="s">
        <v>10</v>
      </c>
      <c r="B189" s="112"/>
      <c r="C189" s="106"/>
      <c r="D189" s="20">
        <f>SUM(D187:D188)</f>
        <v>0</v>
      </c>
      <c r="E189" s="20">
        <f>SUM(E187:E188)</f>
        <v>0</v>
      </c>
      <c r="F189" s="20">
        <f>SUM(F187:F188)</f>
        <v>0</v>
      </c>
    </row>
    <row r="192" spans="1:6" x14ac:dyDescent="0.2">
      <c r="A192" s="100" t="s">
        <v>0</v>
      </c>
      <c r="B192" s="100"/>
    </row>
    <row r="193" spans="1:6" x14ac:dyDescent="0.2">
      <c r="A193" s="100" t="s">
        <v>1</v>
      </c>
      <c r="B193" s="100"/>
    </row>
    <row r="194" spans="1:6" x14ac:dyDescent="0.2">
      <c r="A194" s="101" t="s">
        <v>2</v>
      </c>
      <c r="B194" s="101"/>
      <c r="C194" s="101"/>
      <c r="D194" s="101"/>
      <c r="E194" s="101"/>
      <c r="F194" s="101"/>
    </row>
    <row r="195" spans="1:6" x14ac:dyDescent="0.2">
      <c r="A195" s="2" t="s">
        <v>663</v>
      </c>
      <c r="B195" s="2"/>
      <c r="D195" s="2" t="s">
        <v>662</v>
      </c>
    </row>
    <row r="197" spans="1:6" x14ac:dyDescent="0.2">
      <c r="A197" s="103" t="s">
        <v>3</v>
      </c>
      <c r="B197" s="103" t="s">
        <v>4</v>
      </c>
      <c r="C197" s="103" t="s">
        <v>5</v>
      </c>
      <c r="D197" s="105" t="s">
        <v>6</v>
      </c>
      <c r="E197" s="106"/>
      <c r="F197" s="103" t="s">
        <v>9</v>
      </c>
    </row>
    <row r="198" spans="1:6" x14ac:dyDescent="0.2">
      <c r="A198" s="104"/>
      <c r="B198" s="104"/>
      <c r="C198" s="104"/>
      <c r="D198" s="3" t="s">
        <v>7</v>
      </c>
      <c r="E198" s="3" t="s">
        <v>8</v>
      </c>
      <c r="F198" s="104"/>
    </row>
    <row r="199" spans="1:6" x14ac:dyDescent="0.2">
      <c r="A199" s="18" t="s">
        <v>512</v>
      </c>
      <c r="B199" s="4" t="s">
        <v>748</v>
      </c>
      <c r="C199" s="4" t="s">
        <v>187</v>
      </c>
      <c r="D199" s="20"/>
      <c r="E199" s="20">
        <v>0</v>
      </c>
      <c r="F199" s="20">
        <f>D199+E199</f>
        <v>0</v>
      </c>
    </row>
    <row r="200" spans="1:6" x14ac:dyDescent="0.2">
      <c r="A200" s="18" t="s">
        <v>512</v>
      </c>
      <c r="B200" s="27" t="s">
        <v>749</v>
      </c>
      <c r="C200" s="4" t="s">
        <v>187</v>
      </c>
      <c r="D200" s="20"/>
      <c r="E200" s="20"/>
      <c r="F200" s="20">
        <f>F199+D200</f>
        <v>0</v>
      </c>
    </row>
    <row r="201" spans="1:6" x14ac:dyDescent="0.2">
      <c r="A201" s="18" t="s">
        <v>516</v>
      </c>
      <c r="B201" s="4" t="s">
        <v>750</v>
      </c>
      <c r="C201" s="4" t="s">
        <v>187</v>
      </c>
      <c r="D201" s="20"/>
      <c r="E201" s="20"/>
      <c r="F201" s="20">
        <f t="shared" ref="F201:F214" si="23">F200+D201</f>
        <v>0</v>
      </c>
    </row>
    <row r="202" spans="1:6" x14ac:dyDescent="0.2">
      <c r="A202" s="18" t="s">
        <v>824</v>
      </c>
      <c r="B202" s="4" t="s">
        <v>825</v>
      </c>
      <c r="C202" s="4" t="s">
        <v>187</v>
      </c>
      <c r="D202" s="20"/>
      <c r="E202" s="20"/>
      <c r="F202" s="20">
        <f t="shared" si="23"/>
        <v>0</v>
      </c>
    </row>
    <row r="203" spans="1:6" x14ac:dyDescent="0.2">
      <c r="A203" s="18" t="s">
        <v>824</v>
      </c>
      <c r="B203" s="4" t="s">
        <v>826</v>
      </c>
      <c r="C203" s="4" t="s">
        <v>187</v>
      </c>
      <c r="D203" s="20"/>
      <c r="E203" s="20"/>
      <c r="F203" s="20">
        <f t="shared" si="23"/>
        <v>0</v>
      </c>
    </row>
    <row r="204" spans="1:6" x14ac:dyDescent="0.2">
      <c r="A204" s="18" t="s">
        <v>481</v>
      </c>
      <c r="B204" s="4" t="s">
        <v>947</v>
      </c>
      <c r="C204" s="4" t="s">
        <v>187</v>
      </c>
      <c r="D204" s="20"/>
      <c r="E204" s="20"/>
      <c r="F204" s="20">
        <f t="shared" si="23"/>
        <v>0</v>
      </c>
    </row>
    <row r="205" spans="1:6" x14ac:dyDescent="0.2">
      <c r="A205" s="18" t="s">
        <v>952</v>
      </c>
      <c r="B205" s="27" t="s">
        <v>953</v>
      </c>
      <c r="C205" s="4" t="s">
        <v>187</v>
      </c>
      <c r="D205" s="20"/>
      <c r="E205" s="20"/>
      <c r="F205" s="20">
        <f t="shared" si="23"/>
        <v>0</v>
      </c>
    </row>
    <row r="206" spans="1:6" x14ac:dyDescent="0.2">
      <c r="A206" s="18" t="s">
        <v>485</v>
      </c>
      <c r="B206" s="4" t="s">
        <v>1044</v>
      </c>
      <c r="C206" s="4" t="s">
        <v>187</v>
      </c>
      <c r="D206" s="20"/>
      <c r="E206" s="20"/>
      <c r="F206" s="20">
        <f t="shared" si="23"/>
        <v>0</v>
      </c>
    </row>
    <row r="207" spans="1:6" x14ac:dyDescent="0.2">
      <c r="A207" s="53" t="str">
        <f>A206</f>
        <v>26 Sept</v>
      </c>
      <c r="B207" s="4" t="s">
        <v>1045</v>
      </c>
      <c r="C207" s="4" t="s">
        <v>187</v>
      </c>
      <c r="D207" s="20"/>
      <c r="E207" s="20"/>
      <c r="F207" s="20">
        <f t="shared" si="23"/>
        <v>0</v>
      </c>
    </row>
    <row r="208" spans="1:6" x14ac:dyDescent="0.2">
      <c r="A208" s="53" t="s">
        <v>1097</v>
      </c>
      <c r="B208" s="4" t="s">
        <v>1133</v>
      </c>
      <c r="C208" s="4" t="s">
        <v>187</v>
      </c>
      <c r="D208" s="20"/>
      <c r="E208" s="20"/>
      <c r="F208" s="20">
        <f t="shared" si="23"/>
        <v>0</v>
      </c>
    </row>
    <row r="209" spans="1:6" x14ac:dyDescent="0.2">
      <c r="A209" s="53" t="s">
        <v>1162</v>
      </c>
      <c r="B209" s="4" t="s">
        <v>1163</v>
      </c>
      <c r="C209" s="4" t="s">
        <v>187</v>
      </c>
      <c r="D209" s="20"/>
      <c r="E209" s="20"/>
      <c r="F209" s="20">
        <f t="shared" si="23"/>
        <v>0</v>
      </c>
    </row>
    <row r="210" spans="1:6" x14ac:dyDescent="0.2">
      <c r="A210" s="53" t="s">
        <v>1162</v>
      </c>
      <c r="B210" s="4" t="s">
        <v>1170</v>
      </c>
      <c r="C210" s="4" t="s">
        <v>187</v>
      </c>
      <c r="D210" s="20"/>
      <c r="E210" s="20"/>
      <c r="F210" s="20">
        <f t="shared" si="23"/>
        <v>0</v>
      </c>
    </row>
    <row r="211" spans="1:6" x14ac:dyDescent="0.2">
      <c r="A211" s="53" t="s">
        <v>639</v>
      </c>
      <c r="B211" s="4" t="s">
        <v>1174</v>
      </c>
      <c r="C211" s="4" t="s">
        <v>187</v>
      </c>
      <c r="D211" s="20"/>
      <c r="E211" s="20"/>
      <c r="F211" s="20">
        <f t="shared" si="23"/>
        <v>0</v>
      </c>
    </row>
    <row r="212" spans="1:6" x14ac:dyDescent="0.2">
      <c r="A212" s="53" t="s">
        <v>1175</v>
      </c>
      <c r="B212" s="4" t="s">
        <v>1177</v>
      </c>
      <c r="C212" s="4" t="s">
        <v>187</v>
      </c>
      <c r="D212" s="20"/>
      <c r="E212" s="20"/>
      <c r="F212" s="20">
        <f t="shared" si="23"/>
        <v>0</v>
      </c>
    </row>
    <row r="213" spans="1:6" x14ac:dyDescent="0.2">
      <c r="A213" s="53"/>
      <c r="B213" s="4"/>
      <c r="C213" s="4" t="s">
        <v>187</v>
      </c>
      <c r="D213" s="20"/>
      <c r="E213" s="20"/>
      <c r="F213" s="20">
        <f t="shared" si="23"/>
        <v>0</v>
      </c>
    </row>
    <row r="214" spans="1:6" x14ac:dyDescent="0.2">
      <c r="A214" s="53"/>
      <c r="B214" s="27"/>
      <c r="C214" s="4" t="s">
        <v>187</v>
      </c>
      <c r="D214" s="20"/>
      <c r="E214" s="20"/>
      <c r="F214" s="20">
        <f t="shared" si="23"/>
        <v>0</v>
      </c>
    </row>
    <row r="215" spans="1:6" x14ac:dyDescent="0.2">
      <c r="A215" s="105" t="s">
        <v>10</v>
      </c>
      <c r="B215" s="112"/>
      <c r="C215" s="106"/>
      <c r="D215" s="20">
        <f>SUM(D199:D214)</f>
        <v>0</v>
      </c>
      <c r="E215" s="20">
        <f>SUM(E199:E206)</f>
        <v>0</v>
      </c>
      <c r="F215" s="20">
        <f>D215-E215</f>
        <v>0</v>
      </c>
    </row>
    <row r="216" spans="1:6" x14ac:dyDescent="0.2">
      <c r="A216" s="105" t="s">
        <v>11</v>
      </c>
      <c r="B216" s="112"/>
      <c r="C216" s="106"/>
      <c r="D216" s="20"/>
      <c r="E216" s="20"/>
      <c r="F216" s="20">
        <f>D216-E216</f>
        <v>0</v>
      </c>
    </row>
    <row r="217" spans="1:6" x14ac:dyDescent="0.2">
      <c r="A217" s="105" t="s">
        <v>10</v>
      </c>
      <c r="B217" s="112"/>
      <c r="C217" s="106"/>
      <c r="D217" s="20">
        <f>SUM(D215:D216)</f>
        <v>0</v>
      </c>
      <c r="E217" s="20">
        <f>SUM(E215:E216)</f>
        <v>0</v>
      </c>
      <c r="F217" s="20">
        <f>SUM(F215:F216)</f>
        <v>0</v>
      </c>
    </row>
    <row r="220" spans="1:6" x14ac:dyDescent="0.2">
      <c r="A220" s="100" t="s">
        <v>0</v>
      </c>
      <c r="B220" s="100"/>
    </row>
    <row r="221" spans="1:6" x14ac:dyDescent="0.2">
      <c r="A221" s="100" t="s">
        <v>1</v>
      </c>
      <c r="B221" s="100"/>
    </row>
    <row r="222" spans="1:6" x14ac:dyDescent="0.2">
      <c r="A222" s="101" t="s">
        <v>2</v>
      </c>
      <c r="B222" s="101"/>
      <c r="C222" s="101"/>
      <c r="D222" s="101"/>
      <c r="E222" s="101"/>
      <c r="F222" s="101"/>
    </row>
    <row r="223" spans="1:6" x14ac:dyDescent="0.2">
      <c r="A223" s="2" t="s">
        <v>665</v>
      </c>
      <c r="B223" s="2"/>
      <c r="D223" s="2" t="s">
        <v>664</v>
      </c>
    </row>
    <row r="225" spans="1:6" x14ac:dyDescent="0.2">
      <c r="A225" s="103" t="s">
        <v>3</v>
      </c>
      <c r="B225" s="103" t="s">
        <v>4</v>
      </c>
      <c r="C225" s="103" t="s">
        <v>5</v>
      </c>
      <c r="D225" s="105" t="s">
        <v>6</v>
      </c>
      <c r="E225" s="106"/>
      <c r="F225" s="103" t="s">
        <v>9</v>
      </c>
    </row>
    <row r="226" spans="1:6" x14ac:dyDescent="0.2">
      <c r="A226" s="104"/>
      <c r="B226" s="104"/>
      <c r="C226" s="104"/>
      <c r="D226" s="3" t="s">
        <v>7</v>
      </c>
      <c r="E226" s="3" t="s">
        <v>8</v>
      </c>
      <c r="F226" s="104"/>
    </row>
    <row r="227" spans="1:6" x14ac:dyDescent="0.2">
      <c r="A227" s="18"/>
      <c r="B227" s="4"/>
      <c r="C227" s="4" t="s">
        <v>187</v>
      </c>
      <c r="D227" s="20"/>
      <c r="E227" s="20">
        <v>0</v>
      </c>
      <c r="F227" s="20">
        <f>D227+E227</f>
        <v>0</v>
      </c>
    </row>
    <row r="228" spans="1:6" x14ac:dyDescent="0.2">
      <c r="A228" s="18"/>
      <c r="B228" s="27"/>
      <c r="C228" s="4" t="s">
        <v>187</v>
      </c>
      <c r="D228" s="20"/>
      <c r="E228" s="20"/>
      <c r="F228" s="20">
        <f>F227+D228</f>
        <v>0</v>
      </c>
    </row>
    <row r="229" spans="1:6" x14ac:dyDescent="0.2">
      <c r="A229" s="18"/>
      <c r="B229" s="4"/>
      <c r="C229" s="4" t="s">
        <v>187</v>
      </c>
      <c r="D229" s="20"/>
      <c r="E229" s="20"/>
      <c r="F229" s="20">
        <f t="shared" ref="F229:F232" si="24">F228+D229</f>
        <v>0</v>
      </c>
    </row>
    <row r="230" spans="1:6" x14ac:dyDescent="0.2">
      <c r="A230" s="18"/>
      <c r="B230" s="27"/>
      <c r="C230" s="4" t="s">
        <v>187</v>
      </c>
      <c r="D230" s="20"/>
      <c r="E230" s="20"/>
      <c r="F230" s="20">
        <f t="shared" si="24"/>
        <v>0</v>
      </c>
    </row>
    <row r="231" spans="1:6" x14ac:dyDescent="0.2">
      <c r="A231" s="18"/>
      <c r="B231" s="4"/>
      <c r="C231" s="4" t="s">
        <v>187</v>
      </c>
      <c r="D231" s="20"/>
      <c r="E231" s="20"/>
      <c r="F231" s="20">
        <f t="shared" si="24"/>
        <v>0</v>
      </c>
    </row>
    <row r="232" spans="1:6" x14ac:dyDescent="0.2">
      <c r="A232" s="53"/>
      <c r="B232" s="27"/>
      <c r="C232" s="4" t="s">
        <v>187</v>
      </c>
      <c r="D232" s="20"/>
      <c r="E232" s="20"/>
      <c r="F232" s="20">
        <f t="shared" si="24"/>
        <v>0</v>
      </c>
    </row>
    <row r="233" spans="1:6" x14ac:dyDescent="0.2">
      <c r="A233" s="105" t="s">
        <v>10</v>
      </c>
      <c r="B233" s="112"/>
      <c r="C233" s="106"/>
      <c r="D233" s="20">
        <f>SUM(D227:D232)</f>
        <v>0</v>
      </c>
      <c r="E233" s="20">
        <f>SUM(E227:E231)</f>
        <v>0</v>
      </c>
      <c r="F233" s="20">
        <f>D233-E233</f>
        <v>0</v>
      </c>
    </row>
    <row r="234" spans="1:6" x14ac:dyDescent="0.2">
      <c r="A234" s="105" t="s">
        <v>11</v>
      </c>
      <c r="B234" s="112"/>
      <c r="C234" s="106"/>
      <c r="D234" s="20"/>
      <c r="E234" s="20"/>
      <c r="F234" s="20">
        <f>D234-E234</f>
        <v>0</v>
      </c>
    </row>
    <row r="235" spans="1:6" x14ac:dyDescent="0.2">
      <c r="A235" s="105" t="s">
        <v>10</v>
      </c>
      <c r="B235" s="112"/>
      <c r="C235" s="106"/>
      <c r="D235" s="20">
        <f>SUM(D233:D234)</f>
        <v>0</v>
      </c>
      <c r="E235" s="20">
        <f>SUM(E233:E234)</f>
        <v>0</v>
      </c>
      <c r="F235" s="20">
        <f>SUM(F233:F234)</f>
        <v>0</v>
      </c>
    </row>
    <row r="238" spans="1:6" x14ac:dyDescent="0.2">
      <c r="A238" s="100" t="s">
        <v>0</v>
      </c>
      <c r="B238" s="100"/>
    </row>
    <row r="239" spans="1:6" x14ac:dyDescent="0.2">
      <c r="A239" s="100" t="s">
        <v>1</v>
      </c>
      <c r="B239" s="100"/>
    </row>
    <row r="240" spans="1:6" x14ac:dyDescent="0.2">
      <c r="A240" s="101" t="s">
        <v>2</v>
      </c>
      <c r="B240" s="101"/>
      <c r="C240" s="101"/>
      <c r="D240" s="101"/>
      <c r="E240" s="101"/>
      <c r="F240" s="101"/>
    </row>
    <row r="241" spans="1:8" x14ac:dyDescent="0.2">
      <c r="A241" s="122" t="s">
        <v>666</v>
      </c>
      <c r="B241" s="122"/>
      <c r="C241" s="125"/>
      <c r="D241" s="123" t="s">
        <v>133</v>
      </c>
    </row>
    <row r="243" spans="1:8" x14ac:dyDescent="0.2">
      <c r="A243" s="103" t="s">
        <v>3</v>
      </c>
      <c r="B243" s="103" t="s">
        <v>4</v>
      </c>
      <c r="C243" s="103" t="s">
        <v>5</v>
      </c>
      <c r="D243" s="105" t="s">
        <v>6</v>
      </c>
      <c r="E243" s="106"/>
      <c r="F243" s="103" t="s">
        <v>9</v>
      </c>
    </row>
    <row r="244" spans="1:8" x14ac:dyDescent="0.2">
      <c r="A244" s="104"/>
      <c r="B244" s="104"/>
      <c r="C244" s="104"/>
      <c r="D244" s="3" t="s">
        <v>7</v>
      </c>
      <c r="E244" s="3" t="s">
        <v>8</v>
      </c>
      <c r="F244" s="104"/>
    </row>
    <row r="245" spans="1:8" x14ac:dyDescent="0.2">
      <c r="A245" s="18" t="s">
        <v>495</v>
      </c>
      <c r="B245" s="4" t="s">
        <v>431</v>
      </c>
      <c r="C245" s="4" t="s">
        <v>239</v>
      </c>
      <c r="D245" s="20"/>
      <c r="E245" s="20">
        <v>0</v>
      </c>
      <c r="F245" s="20">
        <f>D245+E245</f>
        <v>0</v>
      </c>
    </row>
    <row r="246" spans="1:8" x14ac:dyDescent="0.2">
      <c r="A246" s="18"/>
      <c r="B246" s="4" t="s">
        <v>432</v>
      </c>
      <c r="C246" s="4" t="s">
        <v>239</v>
      </c>
      <c r="D246" s="20"/>
      <c r="E246" s="20"/>
      <c r="F246" s="20">
        <f>F245+D246</f>
        <v>0</v>
      </c>
    </row>
    <row r="247" spans="1:8" x14ac:dyDescent="0.2">
      <c r="A247" s="18"/>
      <c r="B247" s="4" t="s">
        <v>433</v>
      </c>
      <c r="C247" s="4" t="s">
        <v>239</v>
      </c>
      <c r="D247" s="20"/>
      <c r="E247" s="20"/>
      <c r="F247" s="46">
        <f t="shared" ref="F247:F257" si="25">F246+D247</f>
        <v>0</v>
      </c>
    </row>
    <row r="248" spans="1:8" x14ac:dyDescent="0.2">
      <c r="A248" s="18" t="s">
        <v>416</v>
      </c>
      <c r="B248" s="4" t="s">
        <v>431</v>
      </c>
      <c r="C248" s="4" t="s">
        <v>239</v>
      </c>
      <c r="D248" s="20"/>
      <c r="E248" s="20"/>
      <c r="F248" s="20">
        <f t="shared" si="25"/>
        <v>0</v>
      </c>
    </row>
    <row r="249" spans="1:8" x14ac:dyDescent="0.2">
      <c r="A249" s="18"/>
      <c r="B249" s="4" t="s">
        <v>432</v>
      </c>
      <c r="C249" s="4" t="s">
        <v>239</v>
      </c>
      <c r="D249" s="20"/>
      <c r="E249" s="20"/>
      <c r="F249" s="20">
        <f t="shared" si="25"/>
        <v>0</v>
      </c>
    </row>
    <row r="250" spans="1:8" x14ac:dyDescent="0.2">
      <c r="A250" s="18"/>
      <c r="B250" s="4" t="s">
        <v>433</v>
      </c>
      <c r="C250" s="4" t="s">
        <v>239</v>
      </c>
      <c r="D250" s="20"/>
      <c r="E250" s="20"/>
      <c r="F250" s="20">
        <f t="shared" si="25"/>
        <v>0</v>
      </c>
    </row>
    <row r="251" spans="1:8" x14ac:dyDescent="0.2">
      <c r="A251" s="18" t="s">
        <v>269</v>
      </c>
      <c r="B251" s="4" t="s">
        <v>431</v>
      </c>
      <c r="C251" s="4" t="s">
        <v>239</v>
      </c>
      <c r="D251" s="20"/>
      <c r="E251" s="20"/>
      <c r="F251" s="20">
        <f t="shared" si="25"/>
        <v>0</v>
      </c>
    </row>
    <row r="252" spans="1:8" x14ac:dyDescent="0.2">
      <c r="A252" s="18"/>
      <c r="B252" s="4" t="s">
        <v>432</v>
      </c>
      <c r="C252" s="4" t="s">
        <v>239</v>
      </c>
      <c r="D252" s="20"/>
      <c r="E252" s="20"/>
      <c r="F252" s="20">
        <f t="shared" si="25"/>
        <v>0</v>
      </c>
      <c r="H252" s="31"/>
    </row>
    <row r="253" spans="1:8" x14ac:dyDescent="0.2">
      <c r="A253" s="18"/>
      <c r="B253" s="4" t="s">
        <v>433</v>
      </c>
      <c r="C253" s="4" t="s">
        <v>239</v>
      </c>
      <c r="D253" s="20"/>
      <c r="E253" s="20"/>
      <c r="F253" s="20">
        <f t="shared" si="25"/>
        <v>0</v>
      </c>
    </row>
    <row r="254" spans="1:8" x14ac:dyDescent="0.2">
      <c r="A254" s="18" t="s">
        <v>284</v>
      </c>
      <c r="B254" s="4" t="s">
        <v>431</v>
      </c>
      <c r="C254" s="4" t="s">
        <v>239</v>
      </c>
      <c r="D254" s="20"/>
      <c r="E254" s="20"/>
      <c r="F254" s="20">
        <f t="shared" si="25"/>
        <v>0</v>
      </c>
    </row>
    <row r="255" spans="1:8" x14ac:dyDescent="0.2">
      <c r="A255" s="18"/>
      <c r="B255" s="4" t="s">
        <v>432</v>
      </c>
      <c r="C255" s="4" t="s">
        <v>239</v>
      </c>
      <c r="D255" s="20"/>
      <c r="E255" s="20"/>
      <c r="F255" s="20">
        <f t="shared" si="25"/>
        <v>0</v>
      </c>
    </row>
    <row r="256" spans="1:8" x14ac:dyDescent="0.2">
      <c r="A256" s="18"/>
      <c r="B256" s="4" t="s">
        <v>433</v>
      </c>
      <c r="C256" s="4" t="s">
        <v>239</v>
      </c>
      <c r="D256" s="20"/>
      <c r="E256" s="20"/>
      <c r="F256" s="20">
        <f t="shared" si="25"/>
        <v>0</v>
      </c>
    </row>
    <row r="257" spans="1:8" x14ac:dyDescent="0.2">
      <c r="A257" s="18" t="s">
        <v>290</v>
      </c>
      <c r="B257" s="4" t="s">
        <v>431</v>
      </c>
      <c r="C257" s="4" t="s">
        <v>239</v>
      </c>
      <c r="D257" s="20"/>
      <c r="E257" s="20"/>
      <c r="F257" s="20">
        <f t="shared" si="25"/>
        <v>0</v>
      </c>
    </row>
    <row r="258" spans="1:8" x14ac:dyDescent="0.2">
      <c r="A258" s="18"/>
      <c r="B258" s="4" t="s">
        <v>432</v>
      </c>
      <c r="C258" s="4" t="s">
        <v>239</v>
      </c>
      <c r="D258" s="20"/>
      <c r="E258" s="20"/>
      <c r="F258" s="20">
        <f t="shared" ref="F258:F265" si="26">F257+D258</f>
        <v>0</v>
      </c>
    </row>
    <row r="259" spans="1:8" x14ac:dyDescent="0.2">
      <c r="A259" s="18"/>
      <c r="B259" s="4" t="s">
        <v>433</v>
      </c>
      <c r="C259" s="4" t="s">
        <v>239</v>
      </c>
      <c r="D259" s="20"/>
      <c r="E259" s="20"/>
      <c r="F259" s="20">
        <f t="shared" si="26"/>
        <v>0</v>
      </c>
      <c r="H259" s="31"/>
    </row>
    <row r="260" spans="1:8" x14ac:dyDescent="0.2">
      <c r="A260" s="18" t="s">
        <v>438</v>
      </c>
      <c r="B260" s="4" t="s">
        <v>431</v>
      </c>
      <c r="C260" s="4" t="s">
        <v>239</v>
      </c>
      <c r="D260" s="20"/>
      <c r="E260" s="20"/>
      <c r="F260" s="20">
        <f t="shared" si="26"/>
        <v>0</v>
      </c>
      <c r="H260" s="31"/>
    </row>
    <row r="261" spans="1:8" x14ac:dyDescent="0.2">
      <c r="A261" s="18"/>
      <c r="B261" s="4" t="s">
        <v>432</v>
      </c>
      <c r="C261" s="4" t="s">
        <v>239</v>
      </c>
      <c r="D261" s="20"/>
      <c r="E261" s="20"/>
      <c r="F261" s="20">
        <f t="shared" si="26"/>
        <v>0</v>
      </c>
    </row>
    <row r="262" spans="1:8" x14ac:dyDescent="0.2">
      <c r="A262" s="18"/>
      <c r="B262" s="4" t="s">
        <v>433</v>
      </c>
      <c r="C262" s="4" t="s">
        <v>239</v>
      </c>
      <c r="D262" s="20"/>
      <c r="E262" s="20"/>
      <c r="F262" s="20">
        <f t="shared" si="26"/>
        <v>0</v>
      </c>
      <c r="H262" s="31"/>
    </row>
    <row r="263" spans="1:8" x14ac:dyDescent="0.2">
      <c r="A263" s="18" t="s">
        <v>440</v>
      </c>
      <c r="B263" s="4" t="s">
        <v>431</v>
      </c>
      <c r="C263" s="4" t="s">
        <v>239</v>
      </c>
      <c r="D263" s="20"/>
      <c r="E263" s="20"/>
      <c r="F263" s="20">
        <f t="shared" si="26"/>
        <v>0</v>
      </c>
    </row>
    <row r="264" spans="1:8" x14ac:dyDescent="0.2">
      <c r="A264" s="18"/>
      <c r="B264" s="4" t="s">
        <v>432</v>
      </c>
      <c r="C264" s="4" t="s">
        <v>239</v>
      </c>
      <c r="D264" s="20"/>
      <c r="E264" s="20"/>
      <c r="F264" s="20">
        <f t="shared" si="26"/>
        <v>0</v>
      </c>
      <c r="H264" s="13"/>
    </row>
    <row r="265" spans="1:8" x14ac:dyDescent="0.2">
      <c r="A265" s="18"/>
      <c r="B265" s="4" t="s">
        <v>433</v>
      </c>
      <c r="C265" s="4" t="s">
        <v>239</v>
      </c>
      <c r="D265" s="20"/>
      <c r="E265" s="20"/>
      <c r="F265" s="20">
        <f t="shared" si="26"/>
        <v>0</v>
      </c>
      <c r="H265" s="31"/>
    </row>
    <row r="266" spans="1:8" x14ac:dyDescent="0.2">
      <c r="A266" s="18" t="s">
        <v>444</v>
      </c>
      <c r="B266" s="4" t="s">
        <v>431</v>
      </c>
      <c r="C266" s="4" t="s">
        <v>239</v>
      </c>
      <c r="D266" s="20"/>
      <c r="E266" s="20"/>
      <c r="F266" s="20">
        <f t="shared" ref="F266:F268" si="27">F265+D266</f>
        <v>0</v>
      </c>
    </row>
    <row r="267" spans="1:8" x14ac:dyDescent="0.2">
      <c r="A267" s="18"/>
      <c r="B267" s="4" t="s">
        <v>432</v>
      </c>
      <c r="C267" s="4" t="s">
        <v>239</v>
      </c>
      <c r="D267" s="20"/>
      <c r="E267" s="20"/>
      <c r="F267" s="20">
        <f t="shared" si="27"/>
        <v>0</v>
      </c>
    </row>
    <row r="268" spans="1:8" x14ac:dyDescent="0.2">
      <c r="A268" s="18"/>
      <c r="B268" s="4" t="s">
        <v>433</v>
      </c>
      <c r="C268" s="4" t="s">
        <v>239</v>
      </c>
      <c r="D268" s="20"/>
      <c r="E268" s="20"/>
      <c r="F268" s="20">
        <f t="shared" si="27"/>
        <v>0</v>
      </c>
    </row>
    <row r="269" spans="1:8" x14ac:dyDescent="0.2">
      <c r="A269" s="18" t="s">
        <v>447</v>
      </c>
      <c r="B269" s="4" t="s">
        <v>431</v>
      </c>
      <c r="C269" s="4" t="s">
        <v>239</v>
      </c>
      <c r="D269" s="20"/>
      <c r="E269" s="20"/>
      <c r="F269" s="20">
        <f t="shared" ref="F269:F274" si="28">F268+D269</f>
        <v>0</v>
      </c>
    </row>
    <row r="270" spans="1:8" x14ac:dyDescent="0.2">
      <c r="A270" s="18"/>
      <c r="B270" s="4" t="s">
        <v>432</v>
      </c>
      <c r="C270" s="4" t="s">
        <v>239</v>
      </c>
      <c r="D270" s="20"/>
      <c r="E270" s="20"/>
      <c r="F270" s="20">
        <f t="shared" si="28"/>
        <v>0</v>
      </c>
    </row>
    <row r="271" spans="1:8" x14ac:dyDescent="0.2">
      <c r="A271" s="18"/>
      <c r="B271" s="4" t="s">
        <v>433</v>
      </c>
      <c r="C271" s="4" t="s">
        <v>239</v>
      </c>
      <c r="D271" s="20"/>
      <c r="E271" s="20"/>
      <c r="F271" s="20">
        <f t="shared" si="28"/>
        <v>0</v>
      </c>
    </row>
    <row r="272" spans="1:8" x14ac:dyDescent="0.2">
      <c r="A272" s="18" t="s">
        <v>448</v>
      </c>
      <c r="B272" s="4" t="s">
        <v>431</v>
      </c>
      <c r="C272" s="4" t="s">
        <v>239</v>
      </c>
      <c r="D272" s="20"/>
      <c r="E272" s="20"/>
      <c r="F272" s="20">
        <f t="shared" si="28"/>
        <v>0</v>
      </c>
      <c r="H272" s="47"/>
    </row>
    <row r="273" spans="1:8" x14ac:dyDescent="0.2">
      <c r="A273" s="18"/>
      <c r="B273" s="4" t="s">
        <v>432</v>
      </c>
      <c r="C273" s="4" t="s">
        <v>239</v>
      </c>
      <c r="D273" s="20"/>
      <c r="E273" s="20"/>
      <c r="F273" s="20">
        <f t="shared" si="28"/>
        <v>0</v>
      </c>
      <c r="H273" s="47"/>
    </row>
    <row r="274" spans="1:8" x14ac:dyDescent="0.2">
      <c r="A274" s="18"/>
      <c r="B274" s="4" t="s">
        <v>433</v>
      </c>
      <c r="C274" s="4" t="s">
        <v>239</v>
      </c>
      <c r="D274" s="20"/>
      <c r="E274" s="20"/>
      <c r="F274" s="20">
        <f t="shared" si="28"/>
        <v>0</v>
      </c>
    </row>
    <row r="275" spans="1:8" x14ac:dyDescent="0.2">
      <c r="A275" s="18" t="s">
        <v>454</v>
      </c>
      <c r="B275" s="4" t="s">
        <v>431</v>
      </c>
      <c r="C275" s="4" t="s">
        <v>239</v>
      </c>
      <c r="D275" s="20"/>
      <c r="E275" s="20"/>
      <c r="F275" s="20">
        <f t="shared" ref="F275:F277" si="29">F274+D275</f>
        <v>0</v>
      </c>
    </row>
    <row r="276" spans="1:8" x14ac:dyDescent="0.2">
      <c r="A276" s="18"/>
      <c r="B276" s="4" t="s">
        <v>432</v>
      </c>
      <c r="C276" s="4" t="s">
        <v>239</v>
      </c>
      <c r="D276" s="20"/>
      <c r="E276" s="20"/>
      <c r="F276" s="20">
        <f t="shared" si="29"/>
        <v>0</v>
      </c>
    </row>
    <row r="277" spans="1:8" x14ac:dyDescent="0.2">
      <c r="A277" s="18"/>
      <c r="B277" s="4" t="s">
        <v>433</v>
      </c>
      <c r="C277" s="4" t="s">
        <v>239</v>
      </c>
      <c r="D277" s="20"/>
      <c r="E277" s="20"/>
      <c r="F277" s="20">
        <f t="shared" si="29"/>
        <v>0</v>
      </c>
    </row>
    <row r="278" spans="1:8" x14ac:dyDescent="0.2">
      <c r="A278" s="18" t="s">
        <v>455</v>
      </c>
      <c r="B278" s="4" t="s">
        <v>431</v>
      </c>
      <c r="C278" s="4" t="s">
        <v>239</v>
      </c>
      <c r="D278" s="20"/>
      <c r="E278" s="20"/>
      <c r="F278" s="20">
        <f t="shared" ref="F278:F280" si="30">F277+D278</f>
        <v>0</v>
      </c>
    </row>
    <row r="279" spans="1:8" x14ac:dyDescent="0.2">
      <c r="A279" s="18"/>
      <c r="B279" s="4" t="s">
        <v>432</v>
      </c>
      <c r="C279" s="4" t="s">
        <v>239</v>
      </c>
      <c r="D279" s="20"/>
      <c r="E279" s="20"/>
      <c r="F279" s="20">
        <f t="shared" si="30"/>
        <v>0</v>
      </c>
    </row>
    <row r="280" spans="1:8" x14ac:dyDescent="0.2">
      <c r="A280" s="18"/>
      <c r="B280" s="4" t="s">
        <v>433</v>
      </c>
      <c r="C280" s="4" t="s">
        <v>239</v>
      </c>
      <c r="D280" s="20"/>
      <c r="E280" s="20"/>
      <c r="F280" s="20">
        <f t="shared" si="30"/>
        <v>0</v>
      </c>
    </row>
    <row r="281" spans="1:8" x14ac:dyDescent="0.2">
      <c r="A281" s="4"/>
      <c r="B281" s="4"/>
      <c r="C281" s="4"/>
      <c r="D281" s="20"/>
      <c r="E281" s="20"/>
      <c r="F281" s="20"/>
    </row>
    <row r="282" spans="1:8" x14ac:dyDescent="0.2">
      <c r="A282" s="105" t="s">
        <v>10</v>
      </c>
      <c r="B282" s="112"/>
      <c r="C282" s="106"/>
      <c r="D282" s="20">
        <f>SUM(D245:D281)</f>
        <v>0</v>
      </c>
      <c r="E282" s="20">
        <f>SUM(E245:E281)</f>
        <v>0</v>
      </c>
      <c r="F282" s="20">
        <f>D282-E282</f>
        <v>0</v>
      </c>
    </row>
    <row r="283" spans="1:8" x14ac:dyDescent="0.2">
      <c r="A283" s="105" t="s">
        <v>11</v>
      </c>
      <c r="B283" s="112"/>
      <c r="C283" s="106"/>
      <c r="D283" s="20"/>
      <c r="E283" s="20"/>
      <c r="F283" s="20">
        <f>D283-E283</f>
        <v>0</v>
      </c>
    </row>
    <row r="284" spans="1:8" x14ac:dyDescent="0.2">
      <c r="A284" s="105" t="s">
        <v>10</v>
      </c>
      <c r="B284" s="112"/>
      <c r="C284" s="106"/>
      <c r="D284" s="20">
        <f>SUM(D282:D283)</f>
        <v>0</v>
      </c>
      <c r="E284" s="20">
        <f>SUM(E282:E283)</f>
        <v>0</v>
      </c>
      <c r="F284" s="20">
        <f>SUM(F282:F283)</f>
        <v>0</v>
      </c>
    </row>
    <row r="295" spans="1:6" x14ac:dyDescent="0.2">
      <c r="A295" s="100" t="s">
        <v>0</v>
      </c>
      <c r="B295" s="100"/>
    </row>
    <row r="296" spans="1:6" x14ac:dyDescent="0.2">
      <c r="A296" s="100" t="s">
        <v>1</v>
      </c>
      <c r="B296" s="100"/>
    </row>
    <row r="297" spans="1:6" x14ac:dyDescent="0.2">
      <c r="A297" s="101" t="s">
        <v>2</v>
      </c>
      <c r="B297" s="101"/>
      <c r="C297" s="101"/>
      <c r="D297" s="101"/>
      <c r="E297" s="101"/>
      <c r="F297" s="101"/>
    </row>
    <row r="298" spans="1:6" x14ac:dyDescent="0.2">
      <c r="A298" s="109" t="s">
        <v>350</v>
      </c>
      <c r="B298" s="109"/>
      <c r="D298" s="2" t="s">
        <v>135</v>
      </c>
    </row>
    <row r="300" spans="1:6" x14ac:dyDescent="0.2">
      <c r="A300" s="103" t="s">
        <v>3</v>
      </c>
      <c r="B300" s="103" t="s">
        <v>4</v>
      </c>
      <c r="C300" s="103" t="s">
        <v>5</v>
      </c>
      <c r="D300" s="105" t="s">
        <v>6</v>
      </c>
      <c r="E300" s="106"/>
      <c r="F300" s="103" t="s">
        <v>9</v>
      </c>
    </row>
    <row r="301" spans="1:6" x14ac:dyDescent="0.2">
      <c r="A301" s="104"/>
      <c r="B301" s="104"/>
      <c r="C301" s="104"/>
      <c r="D301" s="3" t="s">
        <v>7</v>
      </c>
      <c r="E301" s="3" t="s">
        <v>8</v>
      </c>
      <c r="F301" s="104"/>
    </row>
    <row r="302" spans="1:6" x14ac:dyDescent="0.2">
      <c r="A302" s="18"/>
      <c r="B302" s="18"/>
      <c r="C302" s="4" t="s">
        <v>187</v>
      </c>
      <c r="D302" s="20"/>
      <c r="E302" s="20"/>
      <c r="F302" s="20">
        <f>D302+E302</f>
        <v>0</v>
      </c>
    </row>
    <row r="303" spans="1:6" x14ac:dyDescent="0.2">
      <c r="A303" s="18"/>
      <c r="B303" s="4"/>
      <c r="C303" s="4" t="s">
        <v>187</v>
      </c>
      <c r="D303" s="20"/>
      <c r="E303" s="20"/>
      <c r="F303" s="20">
        <f>F302+D303</f>
        <v>0</v>
      </c>
    </row>
    <row r="304" spans="1:6" x14ac:dyDescent="0.2">
      <c r="A304" s="18"/>
      <c r="B304" s="4"/>
      <c r="C304" s="4" t="s">
        <v>187</v>
      </c>
      <c r="D304" s="20"/>
      <c r="E304" s="20"/>
      <c r="F304" s="20">
        <f t="shared" ref="F304" si="31">F303+D304</f>
        <v>0</v>
      </c>
    </row>
    <row r="305" spans="1:6" x14ac:dyDescent="0.2">
      <c r="A305" s="4"/>
      <c r="B305" s="4"/>
      <c r="C305" s="4"/>
      <c r="D305" s="20"/>
      <c r="E305" s="20"/>
      <c r="F305" s="20"/>
    </row>
    <row r="306" spans="1:6" x14ac:dyDescent="0.2">
      <c r="A306" s="105" t="s">
        <v>10</v>
      </c>
      <c r="B306" s="112"/>
      <c r="C306" s="106"/>
      <c r="D306" s="20">
        <f>SUM(D302:D305)</f>
        <v>0</v>
      </c>
      <c r="E306" s="20">
        <f>SUM(E302:E305)</f>
        <v>0</v>
      </c>
      <c r="F306" s="20">
        <f>D306-E306</f>
        <v>0</v>
      </c>
    </row>
    <row r="307" spans="1:6" x14ac:dyDescent="0.2">
      <c r="A307" s="105" t="s">
        <v>11</v>
      </c>
      <c r="B307" s="112"/>
      <c r="C307" s="106"/>
      <c r="D307" s="20"/>
      <c r="E307" s="20"/>
      <c r="F307" s="20">
        <f>D307-E307</f>
        <v>0</v>
      </c>
    </row>
    <row r="308" spans="1:6" x14ac:dyDescent="0.2">
      <c r="A308" s="105" t="s">
        <v>10</v>
      </c>
      <c r="B308" s="112"/>
      <c r="C308" s="106"/>
      <c r="D308" s="20">
        <f>SUM(D306:D307)</f>
        <v>0</v>
      </c>
      <c r="E308" s="20">
        <f>SUM(E306:E307)</f>
        <v>0</v>
      </c>
      <c r="F308" s="20">
        <f>SUM(F306:F307)</f>
        <v>0</v>
      </c>
    </row>
    <row r="310" spans="1:6" x14ac:dyDescent="0.2">
      <c r="A310" s="100" t="s">
        <v>0</v>
      </c>
      <c r="B310" s="100"/>
    </row>
    <row r="311" spans="1:6" x14ac:dyDescent="0.2">
      <c r="A311" s="100" t="s">
        <v>1</v>
      </c>
      <c r="B311" s="100"/>
    </row>
    <row r="312" spans="1:6" x14ac:dyDescent="0.2">
      <c r="A312" s="101" t="s">
        <v>2</v>
      </c>
      <c r="B312" s="101"/>
      <c r="C312" s="101"/>
      <c r="D312" s="101"/>
      <c r="E312" s="101"/>
      <c r="F312" s="101"/>
    </row>
    <row r="313" spans="1:6" x14ac:dyDescent="0.2">
      <c r="A313" s="122" t="s">
        <v>248</v>
      </c>
      <c r="B313" s="122"/>
      <c r="C313" s="125"/>
      <c r="D313" s="123" t="s">
        <v>667</v>
      </c>
    </row>
    <row r="315" spans="1:6" x14ac:dyDescent="0.2">
      <c r="A315" s="103" t="s">
        <v>3</v>
      </c>
      <c r="B315" s="103" t="s">
        <v>4</v>
      </c>
      <c r="C315" s="103" t="s">
        <v>5</v>
      </c>
      <c r="D315" s="105" t="s">
        <v>6</v>
      </c>
      <c r="E315" s="106"/>
      <c r="F315" s="103" t="s">
        <v>9</v>
      </c>
    </row>
    <row r="316" spans="1:6" x14ac:dyDescent="0.2">
      <c r="A316" s="104"/>
      <c r="B316" s="104"/>
      <c r="C316" s="104"/>
      <c r="D316" s="3" t="s">
        <v>7</v>
      </c>
      <c r="E316" s="3" t="s">
        <v>8</v>
      </c>
      <c r="F316" s="104"/>
    </row>
    <row r="317" spans="1:6" x14ac:dyDescent="0.2">
      <c r="A317" s="18" t="s">
        <v>519</v>
      </c>
      <c r="B317" s="4" t="s">
        <v>1334</v>
      </c>
      <c r="C317" s="4" t="s">
        <v>187</v>
      </c>
      <c r="D317" s="20"/>
      <c r="E317" s="20">
        <v>0</v>
      </c>
      <c r="F317" s="20">
        <f>D317+E317</f>
        <v>0</v>
      </c>
    </row>
    <row r="318" spans="1:6" x14ac:dyDescent="0.2">
      <c r="A318" s="18" t="s">
        <v>284</v>
      </c>
      <c r="B318" s="27" t="s">
        <v>805</v>
      </c>
      <c r="C318" s="4" t="s">
        <v>187</v>
      </c>
      <c r="D318" s="20"/>
      <c r="E318" s="20"/>
      <c r="F318" s="20">
        <f>F317+D318</f>
        <v>0</v>
      </c>
    </row>
    <row r="319" spans="1:6" x14ac:dyDescent="0.2">
      <c r="A319" s="18" t="s">
        <v>549</v>
      </c>
      <c r="B319" s="4" t="s">
        <v>1112</v>
      </c>
      <c r="C319" s="4" t="s">
        <v>187</v>
      </c>
      <c r="D319" s="20"/>
      <c r="E319" s="20"/>
      <c r="F319" s="20">
        <f t="shared" ref="F319:F324" si="32">F318+D319</f>
        <v>0</v>
      </c>
    </row>
    <row r="320" spans="1:6" x14ac:dyDescent="0.2">
      <c r="A320" s="18" t="s">
        <v>1162</v>
      </c>
      <c r="B320" s="27" t="s">
        <v>1167</v>
      </c>
      <c r="C320" s="4" t="s">
        <v>187</v>
      </c>
      <c r="D320" s="20"/>
      <c r="E320" s="20"/>
      <c r="F320" s="20">
        <f t="shared" si="32"/>
        <v>0</v>
      </c>
    </row>
    <row r="321" spans="1:6" x14ac:dyDescent="0.2">
      <c r="A321" s="18"/>
      <c r="B321" s="4"/>
      <c r="C321" s="4" t="s">
        <v>187</v>
      </c>
      <c r="D321" s="20"/>
      <c r="E321" s="20"/>
      <c r="F321" s="20">
        <f t="shared" si="32"/>
        <v>0</v>
      </c>
    </row>
    <row r="322" spans="1:6" x14ac:dyDescent="0.2">
      <c r="A322" s="18"/>
      <c r="B322" s="4"/>
      <c r="C322" s="4" t="s">
        <v>187</v>
      </c>
      <c r="D322" s="20"/>
      <c r="E322" s="20"/>
      <c r="F322" s="20">
        <f t="shared" si="32"/>
        <v>0</v>
      </c>
    </row>
    <row r="323" spans="1:6" x14ac:dyDescent="0.2">
      <c r="A323" s="18"/>
      <c r="B323" s="4"/>
      <c r="C323" s="4" t="s">
        <v>187</v>
      </c>
      <c r="D323" s="20"/>
      <c r="E323" s="20"/>
      <c r="F323" s="20">
        <f t="shared" si="32"/>
        <v>0</v>
      </c>
    </row>
    <row r="324" spans="1:6" x14ac:dyDescent="0.2">
      <c r="A324" s="18"/>
      <c r="B324" s="4"/>
      <c r="C324" s="4" t="s">
        <v>187</v>
      </c>
      <c r="D324" s="20"/>
      <c r="E324" s="20"/>
      <c r="F324" s="20">
        <f t="shared" si="32"/>
        <v>0</v>
      </c>
    </row>
    <row r="325" spans="1:6" x14ac:dyDescent="0.2">
      <c r="A325" s="18"/>
      <c r="B325" s="27"/>
      <c r="C325" s="4" t="s">
        <v>187</v>
      </c>
      <c r="D325" s="20"/>
      <c r="E325" s="20"/>
      <c r="F325" s="20">
        <f>F324+D325</f>
        <v>0</v>
      </c>
    </row>
    <row r="326" spans="1:6" x14ac:dyDescent="0.2">
      <c r="A326" s="53"/>
      <c r="B326" s="27"/>
      <c r="C326" s="4" t="s">
        <v>187</v>
      </c>
      <c r="D326" s="20"/>
      <c r="E326" s="20"/>
      <c r="F326" s="20">
        <f t="shared" ref="F326:F330" si="33">F325+D326</f>
        <v>0</v>
      </c>
    </row>
    <row r="327" spans="1:6" x14ac:dyDescent="0.2">
      <c r="A327" s="53"/>
      <c r="B327" s="4"/>
      <c r="C327" s="4" t="s">
        <v>187</v>
      </c>
      <c r="D327" s="20"/>
      <c r="E327" s="20"/>
      <c r="F327" s="20">
        <f t="shared" si="33"/>
        <v>0</v>
      </c>
    </row>
    <row r="328" spans="1:6" x14ac:dyDescent="0.2">
      <c r="A328" s="53"/>
      <c r="B328" s="4"/>
      <c r="C328" s="4" t="s">
        <v>187</v>
      </c>
      <c r="D328" s="20"/>
      <c r="E328" s="20"/>
      <c r="F328" s="20">
        <f t="shared" si="33"/>
        <v>0</v>
      </c>
    </row>
    <row r="329" spans="1:6" x14ac:dyDescent="0.2">
      <c r="A329" s="53"/>
      <c r="B329" s="4"/>
      <c r="C329" s="4" t="s">
        <v>187</v>
      </c>
      <c r="D329" s="20"/>
      <c r="E329" s="20"/>
      <c r="F329" s="20">
        <f t="shared" si="33"/>
        <v>0</v>
      </c>
    </row>
    <row r="330" spans="1:6" x14ac:dyDescent="0.2">
      <c r="A330" s="53"/>
      <c r="B330" s="4"/>
      <c r="C330" s="4" t="s">
        <v>187</v>
      </c>
      <c r="D330" s="20"/>
      <c r="E330" s="20"/>
      <c r="F330" s="20">
        <f t="shared" si="33"/>
        <v>0</v>
      </c>
    </row>
    <row r="331" spans="1:6" x14ac:dyDescent="0.2">
      <c r="A331" s="53"/>
      <c r="B331" s="27"/>
      <c r="C331" s="4" t="s">
        <v>187</v>
      </c>
      <c r="D331" s="20"/>
      <c r="E331" s="20"/>
      <c r="F331" s="20">
        <f>F326+D331</f>
        <v>0</v>
      </c>
    </row>
    <row r="332" spans="1:6" x14ac:dyDescent="0.2">
      <c r="A332" s="105" t="s">
        <v>10</v>
      </c>
      <c r="B332" s="112"/>
      <c r="C332" s="106"/>
      <c r="D332" s="20">
        <f>SUM(D317:D331)</f>
        <v>0</v>
      </c>
      <c r="E332" s="20">
        <f>SUM(E317:E325)</f>
        <v>0</v>
      </c>
      <c r="F332" s="20">
        <f>D332-E332</f>
        <v>0</v>
      </c>
    </row>
    <row r="333" spans="1:6" x14ac:dyDescent="0.2">
      <c r="A333" s="105" t="s">
        <v>11</v>
      </c>
      <c r="B333" s="112"/>
      <c r="C333" s="106"/>
      <c r="D333" s="20"/>
      <c r="E333" s="20"/>
      <c r="F333" s="20">
        <f>D333-E333</f>
        <v>0</v>
      </c>
    </row>
    <row r="334" spans="1:6" x14ac:dyDescent="0.2">
      <c r="A334" s="105" t="s">
        <v>10</v>
      </c>
      <c r="B334" s="112"/>
      <c r="C334" s="106"/>
      <c r="D334" s="20">
        <f>SUM(D332:D333)</f>
        <v>0</v>
      </c>
      <c r="E334" s="20">
        <f>SUM(E332:E333)</f>
        <v>0</v>
      </c>
      <c r="F334" s="20">
        <f>SUM(F332:F333)</f>
        <v>0</v>
      </c>
    </row>
    <row r="336" spans="1:6" x14ac:dyDescent="0.2">
      <c r="A336" s="100" t="s">
        <v>0</v>
      </c>
      <c r="B336" s="100"/>
    </row>
    <row r="337" spans="1:6" x14ac:dyDescent="0.2">
      <c r="A337" s="100" t="s">
        <v>1</v>
      </c>
      <c r="B337" s="100"/>
    </row>
    <row r="338" spans="1:6" x14ac:dyDescent="0.2">
      <c r="A338" s="101" t="s">
        <v>2</v>
      </c>
      <c r="B338" s="101"/>
      <c r="C338" s="101"/>
      <c r="D338" s="101"/>
      <c r="E338" s="101"/>
      <c r="F338" s="101"/>
    </row>
    <row r="339" spans="1:6" x14ac:dyDescent="0.2">
      <c r="A339" s="109" t="s">
        <v>132</v>
      </c>
      <c r="B339" s="109"/>
      <c r="D339" s="2" t="s">
        <v>668</v>
      </c>
    </row>
    <row r="341" spans="1:6" x14ac:dyDescent="0.2">
      <c r="A341" s="103" t="s">
        <v>3</v>
      </c>
      <c r="B341" s="103" t="s">
        <v>4</v>
      </c>
      <c r="C341" s="103" t="s">
        <v>5</v>
      </c>
      <c r="D341" s="105" t="s">
        <v>6</v>
      </c>
      <c r="E341" s="106"/>
      <c r="F341" s="103" t="s">
        <v>9</v>
      </c>
    </row>
    <row r="342" spans="1:6" x14ac:dyDescent="0.2">
      <c r="A342" s="104"/>
      <c r="B342" s="104"/>
      <c r="C342" s="104"/>
      <c r="D342" s="3" t="s">
        <v>7</v>
      </c>
      <c r="E342" s="3" t="s">
        <v>8</v>
      </c>
      <c r="F342" s="104"/>
    </row>
    <row r="343" spans="1:6" x14ac:dyDescent="0.2">
      <c r="A343" s="4"/>
      <c r="B343" s="4"/>
      <c r="C343" s="4"/>
      <c r="D343" s="20">
        <v>0</v>
      </c>
      <c r="E343" s="20">
        <v>0</v>
      </c>
      <c r="F343" s="20">
        <f>D343+E343</f>
        <v>0</v>
      </c>
    </row>
    <row r="344" spans="1:6" x14ac:dyDescent="0.2">
      <c r="A344" s="4"/>
      <c r="B344" s="4"/>
      <c r="C344" s="4"/>
      <c r="D344" s="20"/>
      <c r="E344" s="20"/>
      <c r="F344" s="20"/>
    </row>
    <row r="345" spans="1:6" x14ac:dyDescent="0.2">
      <c r="A345" s="4"/>
      <c r="B345" s="4"/>
      <c r="C345" s="4"/>
      <c r="D345" s="20"/>
      <c r="E345" s="20"/>
      <c r="F345" s="20"/>
    </row>
    <row r="346" spans="1:6" x14ac:dyDescent="0.2">
      <c r="A346" s="4"/>
      <c r="B346" s="4"/>
      <c r="C346" s="4"/>
      <c r="D346" s="20"/>
      <c r="E346" s="20"/>
      <c r="F346" s="20"/>
    </row>
    <row r="347" spans="1:6" x14ac:dyDescent="0.2">
      <c r="A347" s="4"/>
      <c r="B347" s="4"/>
      <c r="C347" s="4"/>
      <c r="D347" s="20"/>
      <c r="E347" s="20"/>
      <c r="F347" s="20"/>
    </row>
    <row r="348" spans="1:6" x14ac:dyDescent="0.2">
      <c r="A348" s="4"/>
      <c r="B348" s="4"/>
      <c r="C348" s="4"/>
      <c r="D348" s="20"/>
      <c r="E348" s="20"/>
      <c r="F348" s="20"/>
    </row>
    <row r="349" spans="1:6" x14ac:dyDescent="0.2">
      <c r="A349" s="4"/>
      <c r="B349" s="4"/>
      <c r="C349" s="4"/>
      <c r="D349" s="20"/>
      <c r="E349" s="20"/>
      <c r="F349" s="20"/>
    </row>
    <row r="350" spans="1:6" x14ac:dyDescent="0.2">
      <c r="A350" s="4"/>
      <c r="B350" s="4"/>
      <c r="C350" s="4"/>
      <c r="D350" s="20"/>
      <c r="E350" s="20"/>
      <c r="F350" s="20"/>
    </row>
    <row r="351" spans="1:6" x14ac:dyDescent="0.2">
      <c r="A351" s="4"/>
      <c r="B351" s="4"/>
      <c r="C351" s="4"/>
      <c r="D351" s="20"/>
      <c r="E351" s="20"/>
      <c r="F351" s="20"/>
    </row>
    <row r="352" spans="1:6" x14ac:dyDescent="0.2">
      <c r="A352" s="105" t="s">
        <v>10</v>
      </c>
      <c r="B352" s="112"/>
      <c r="C352" s="106"/>
      <c r="D352" s="20">
        <f>SUM(D343:D351)</f>
        <v>0</v>
      </c>
      <c r="E352" s="20">
        <f>SUM(E343:E351)</f>
        <v>0</v>
      </c>
      <c r="F352" s="20">
        <f>D352-E352</f>
        <v>0</v>
      </c>
    </row>
    <row r="353" spans="1:6" x14ac:dyDescent="0.2">
      <c r="A353" s="105" t="s">
        <v>11</v>
      </c>
      <c r="B353" s="112"/>
      <c r="C353" s="106"/>
      <c r="D353" s="20"/>
      <c r="E353" s="20"/>
      <c r="F353" s="20">
        <f>D353-E353</f>
        <v>0</v>
      </c>
    </row>
    <row r="354" spans="1:6" x14ac:dyDescent="0.2">
      <c r="A354" s="105" t="s">
        <v>10</v>
      </c>
      <c r="B354" s="112"/>
      <c r="C354" s="106"/>
      <c r="D354" s="20">
        <f>SUM(D352:D353)</f>
        <v>0</v>
      </c>
      <c r="E354" s="20">
        <f>SUM(E352:E353)</f>
        <v>0</v>
      </c>
      <c r="F354" s="20">
        <f>SUM(F352:F353)</f>
        <v>0</v>
      </c>
    </row>
    <row r="359" spans="1:6" x14ac:dyDescent="0.2">
      <c r="A359" s="100" t="s">
        <v>0</v>
      </c>
      <c r="B359" s="100"/>
    </row>
    <row r="360" spans="1:6" x14ac:dyDescent="0.2">
      <c r="A360" s="100" t="s">
        <v>1</v>
      </c>
      <c r="B360" s="100"/>
    </row>
    <row r="361" spans="1:6" x14ac:dyDescent="0.2">
      <c r="A361" s="101" t="s">
        <v>2</v>
      </c>
      <c r="B361" s="101"/>
      <c r="C361" s="101"/>
      <c r="D361" s="101"/>
      <c r="E361" s="101"/>
      <c r="F361" s="101"/>
    </row>
    <row r="362" spans="1:6" x14ac:dyDescent="0.2">
      <c r="A362" s="109" t="s">
        <v>134</v>
      </c>
      <c r="B362" s="109"/>
      <c r="D362" s="2" t="s">
        <v>669</v>
      </c>
    </row>
    <row r="364" spans="1:6" x14ac:dyDescent="0.2">
      <c r="A364" s="103" t="s">
        <v>3</v>
      </c>
      <c r="B364" s="103" t="s">
        <v>4</v>
      </c>
      <c r="C364" s="103" t="s">
        <v>5</v>
      </c>
      <c r="D364" s="105" t="s">
        <v>6</v>
      </c>
      <c r="E364" s="106"/>
      <c r="F364" s="103" t="s">
        <v>9</v>
      </c>
    </row>
    <row r="365" spans="1:6" x14ac:dyDescent="0.2">
      <c r="A365" s="104"/>
      <c r="B365" s="104"/>
      <c r="C365" s="104"/>
      <c r="D365" s="3" t="s">
        <v>7</v>
      </c>
      <c r="E365" s="3" t="s">
        <v>8</v>
      </c>
      <c r="F365" s="104"/>
    </row>
    <row r="366" spans="1:6" x14ac:dyDescent="0.2">
      <c r="A366" s="18" t="s">
        <v>357</v>
      </c>
      <c r="B366" s="4" t="s">
        <v>1055</v>
      </c>
      <c r="C366" s="4" t="s">
        <v>187</v>
      </c>
      <c r="D366" s="20"/>
      <c r="E366" s="20">
        <v>0</v>
      </c>
      <c r="F366" s="20">
        <f>D366+E366</f>
        <v>0</v>
      </c>
    </row>
    <row r="367" spans="1:6" x14ac:dyDescent="0.2">
      <c r="A367" s="18" t="str">
        <f>A366</f>
        <v>30 Sept</v>
      </c>
      <c r="B367" s="4" t="s">
        <v>1056</v>
      </c>
      <c r="C367" s="4" t="s">
        <v>187</v>
      </c>
      <c r="D367" s="20"/>
      <c r="E367" s="20"/>
      <c r="F367" s="20">
        <f>F366+D367</f>
        <v>0</v>
      </c>
    </row>
    <row r="368" spans="1:6" x14ac:dyDescent="0.2">
      <c r="A368" s="18" t="str">
        <f>A367</f>
        <v>30 Sept</v>
      </c>
      <c r="B368" s="4" t="s">
        <v>1057</v>
      </c>
      <c r="C368" s="4" t="s">
        <v>187</v>
      </c>
      <c r="D368" s="20"/>
      <c r="E368" s="20"/>
      <c r="F368" s="20">
        <f t="shared" ref="F368:F372" si="34">F367+D368</f>
        <v>0</v>
      </c>
    </row>
    <row r="369" spans="1:6" x14ac:dyDescent="0.2">
      <c r="A369" s="18" t="s">
        <v>1102</v>
      </c>
      <c r="B369" s="4" t="s">
        <v>1107</v>
      </c>
      <c r="C369" s="4" t="s">
        <v>187</v>
      </c>
      <c r="D369" s="20"/>
      <c r="E369" s="20"/>
      <c r="F369" s="20">
        <f t="shared" si="34"/>
        <v>0</v>
      </c>
    </row>
    <row r="370" spans="1:6" x14ac:dyDescent="0.2">
      <c r="A370" s="18" t="s">
        <v>1102</v>
      </c>
      <c r="B370" s="4" t="s">
        <v>1108</v>
      </c>
      <c r="C370" s="4" t="s">
        <v>187</v>
      </c>
      <c r="D370" s="20"/>
      <c r="E370" s="20"/>
      <c r="F370" s="20">
        <f t="shared" si="34"/>
        <v>0</v>
      </c>
    </row>
    <row r="371" spans="1:6" x14ac:dyDescent="0.2">
      <c r="A371" s="18"/>
      <c r="B371" s="4"/>
      <c r="C371" s="4" t="s">
        <v>187</v>
      </c>
      <c r="D371" s="20"/>
      <c r="E371" s="20"/>
      <c r="F371" s="20">
        <f t="shared" si="34"/>
        <v>0</v>
      </c>
    </row>
    <row r="372" spans="1:6" x14ac:dyDescent="0.2">
      <c r="A372" s="4"/>
      <c r="B372" s="4"/>
      <c r="C372" s="4" t="s">
        <v>187</v>
      </c>
      <c r="D372" s="20"/>
      <c r="E372" s="20"/>
      <c r="F372" s="20">
        <f t="shared" si="34"/>
        <v>0</v>
      </c>
    </row>
    <row r="373" spans="1:6" x14ac:dyDescent="0.2">
      <c r="A373" s="4"/>
      <c r="B373" s="4"/>
      <c r="C373" s="4"/>
      <c r="D373" s="20"/>
      <c r="E373" s="20"/>
      <c r="F373" s="20"/>
    </row>
    <row r="374" spans="1:6" x14ac:dyDescent="0.2">
      <c r="A374" s="105" t="s">
        <v>10</v>
      </c>
      <c r="B374" s="112"/>
      <c r="C374" s="106"/>
      <c r="D374" s="20">
        <f>SUM(D366:D373)</f>
        <v>0</v>
      </c>
      <c r="E374" s="20">
        <f>SUM(E366:E373)</f>
        <v>0</v>
      </c>
      <c r="F374" s="20">
        <f>D374-E374</f>
        <v>0</v>
      </c>
    </row>
    <row r="375" spans="1:6" x14ac:dyDescent="0.2">
      <c r="A375" s="105" t="s">
        <v>11</v>
      </c>
      <c r="B375" s="112"/>
      <c r="C375" s="106"/>
      <c r="D375" s="20"/>
      <c r="E375" s="20"/>
      <c r="F375" s="20">
        <f>D375-E375</f>
        <v>0</v>
      </c>
    </row>
    <row r="376" spans="1:6" x14ac:dyDescent="0.2">
      <c r="A376" s="105" t="s">
        <v>10</v>
      </c>
      <c r="B376" s="112"/>
      <c r="C376" s="106"/>
      <c r="D376" s="20">
        <f>SUM(D374:D375)</f>
        <v>0</v>
      </c>
      <c r="E376" s="20">
        <f>SUM(E374:E375)</f>
        <v>0</v>
      </c>
      <c r="F376" s="20">
        <f>SUM(F374:F375)</f>
        <v>0</v>
      </c>
    </row>
    <row r="380" spans="1:6" x14ac:dyDescent="0.2">
      <c r="A380" s="100" t="s">
        <v>0</v>
      </c>
      <c r="B380" s="100"/>
    </row>
    <row r="381" spans="1:6" x14ac:dyDescent="0.2">
      <c r="A381" s="100" t="s">
        <v>1</v>
      </c>
      <c r="B381" s="100"/>
    </row>
    <row r="382" spans="1:6" x14ac:dyDescent="0.2">
      <c r="A382" s="101" t="s">
        <v>2</v>
      </c>
      <c r="B382" s="101"/>
      <c r="C382" s="101"/>
      <c r="D382" s="101"/>
      <c r="E382" s="101"/>
      <c r="F382" s="101"/>
    </row>
    <row r="383" spans="1:6" x14ac:dyDescent="0.2">
      <c r="A383" s="109" t="s">
        <v>136</v>
      </c>
      <c r="B383" s="109"/>
      <c r="D383" s="2" t="s">
        <v>670</v>
      </c>
    </row>
    <row r="385" spans="1:6" x14ac:dyDescent="0.2">
      <c r="A385" s="103" t="s">
        <v>3</v>
      </c>
      <c r="B385" s="103" t="s">
        <v>4</v>
      </c>
      <c r="C385" s="103" t="s">
        <v>5</v>
      </c>
      <c r="D385" s="105" t="s">
        <v>6</v>
      </c>
      <c r="E385" s="106"/>
      <c r="F385" s="103" t="s">
        <v>9</v>
      </c>
    </row>
    <row r="386" spans="1:6" x14ac:dyDescent="0.2">
      <c r="A386" s="104"/>
      <c r="B386" s="104"/>
      <c r="C386" s="104"/>
      <c r="D386" s="3" t="s">
        <v>7</v>
      </c>
      <c r="E386" s="3" t="s">
        <v>8</v>
      </c>
      <c r="F386" s="104"/>
    </row>
    <row r="387" spans="1:6" x14ac:dyDescent="0.2">
      <c r="A387" s="18" t="s">
        <v>476</v>
      </c>
      <c r="B387" s="27" t="s">
        <v>1413</v>
      </c>
      <c r="C387" s="4" t="s">
        <v>187</v>
      </c>
      <c r="D387" s="20"/>
      <c r="E387" s="20">
        <v>0</v>
      </c>
      <c r="F387" s="20">
        <f>D387+E387</f>
        <v>0</v>
      </c>
    </row>
    <row r="388" spans="1:6" x14ac:dyDescent="0.2">
      <c r="A388" s="18" t="s">
        <v>1365</v>
      </c>
      <c r="B388" s="27" t="s">
        <v>1414</v>
      </c>
      <c r="C388" s="4" t="s">
        <v>187</v>
      </c>
      <c r="D388" s="20"/>
      <c r="E388" s="20"/>
      <c r="F388" s="20">
        <f>F387+D388</f>
        <v>0</v>
      </c>
    </row>
    <row r="389" spans="1:6" x14ac:dyDescent="0.2">
      <c r="A389" s="18" t="s">
        <v>596</v>
      </c>
      <c r="B389" s="27" t="s">
        <v>834</v>
      </c>
      <c r="C389" s="4" t="s">
        <v>187</v>
      </c>
      <c r="D389" s="20"/>
      <c r="E389" s="20"/>
      <c r="F389" s="20">
        <f t="shared" ref="F389:F393" si="35">F388+D389</f>
        <v>0</v>
      </c>
    </row>
    <row r="390" spans="1:6" x14ac:dyDescent="0.2">
      <c r="A390" s="18" t="s">
        <v>1017</v>
      </c>
      <c r="B390" s="27" t="s">
        <v>1018</v>
      </c>
      <c r="C390" s="4" t="s">
        <v>187</v>
      </c>
      <c r="D390" s="20"/>
      <c r="E390" s="20"/>
      <c r="F390" s="20">
        <f t="shared" si="35"/>
        <v>0</v>
      </c>
    </row>
    <row r="391" spans="1:6" x14ac:dyDescent="0.2">
      <c r="A391" s="18" t="s">
        <v>1047</v>
      </c>
      <c r="B391" s="27" t="s">
        <v>1052</v>
      </c>
      <c r="C391" s="4" t="s">
        <v>187</v>
      </c>
      <c r="D391" s="20"/>
      <c r="E391" s="20"/>
      <c r="F391" s="20">
        <f t="shared" si="35"/>
        <v>0</v>
      </c>
    </row>
    <row r="392" spans="1:6" x14ac:dyDescent="0.2">
      <c r="A392" s="18"/>
      <c r="B392" s="27"/>
      <c r="C392" s="4" t="s">
        <v>187</v>
      </c>
      <c r="D392" s="20"/>
      <c r="E392" s="20"/>
      <c r="F392" s="20">
        <f t="shared" si="35"/>
        <v>0</v>
      </c>
    </row>
    <row r="393" spans="1:6" x14ac:dyDescent="0.2">
      <c r="A393" s="18"/>
      <c r="B393" s="4"/>
      <c r="C393" s="4" t="s">
        <v>187</v>
      </c>
      <c r="D393" s="20"/>
      <c r="E393" s="20"/>
      <c r="F393" s="20">
        <f t="shared" si="35"/>
        <v>0</v>
      </c>
    </row>
    <row r="394" spans="1:6" x14ac:dyDescent="0.2">
      <c r="A394" s="105" t="s">
        <v>10</v>
      </c>
      <c r="B394" s="112"/>
      <c r="C394" s="106"/>
      <c r="D394" s="20">
        <f>SUM(D387:D393)</f>
        <v>0</v>
      </c>
      <c r="E394" s="20">
        <f>SUM(E387:E393)</f>
        <v>0</v>
      </c>
      <c r="F394" s="20">
        <f>D394-E394</f>
        <v>0</v>
      </c>
    </row>
    <row r="395" spans="1:6" x14ac:dyDescent="0.2">
      <c r="A395" s="105" t="s">
        <v>11</v>
      </c>
      <c r="B395" s="112"/>
      <c r="C395" s="106"/>
      <c r="D395" s="20"/>
      <c r="E395" s="20"/>
      <c r="F395" s="20">
        <f>D395-E395</f>
        <v>0</v>
      </c>
    </row>
    <row r="396" spans="1:6" x14ac:dyDescent="0.2">
      <c r="A396" s="105" t="s">
        <v>10</v>
      </c>
      <c r="B396" s="112"/>
      <c r="C396" s="106"/>
      <c r="D396" s="20">
        <f>SUM(D394:D395)</f>
        <v>0</v>
      </c>
      <c r="E396" s="20">
        <f>SUM(E394:E395)</f>
        <v>0</v>
      </c>
      <c r="F396" s="20">
        <f>SUM(F394:F395)</f>
        <v>0</v>
      </c>
    </row>
    <row r="397" spans="1:6" x14ac:dyDescent="0.2">
      <c r="A397" s="100" t="s">
        <v>0</v>
      </c>
      <c r="B397" s="100"/>
    </row>
    <row r="398" spans="1:6" x14ac:dyDescent="0.2">
      <c r="A398" s="100" t="s">
        <v>1</v>
      </c>
      <c r="B398" s="100"/>
    </row>
    <row r="399" spans="1:6" x14ac:dyDescent="0.2">
      <c r="A399" s="101" t="s">
        <v>2</v>
      </c>
      <c r="B399" s="101"/>
      <c r="C399" s="101"/>
      <c r="D399" s="101"/>
      <c r="E399" s="101"/>
      <c r="F399" s="101"/>
    </row>
    <row r="400" spans="1:6" x14ac:dyDescent="0.2">
      <c r="A400" s="140" t="s">
        <v>182</v>
      </c>
      <c r="B400" s="140"/>
      <c r="C400" s="125"/>
      <c r="D400" s="123" t="s">
        <v>671</v>
      </c>
    </row>
    <row r="402" spans="1:8" x14ac:dyDescent="0.2">
      <c r="A402" s="103" t="s">
        <v>3</v>
      </c>
      <c r="B402" s="103" t="s">
        <v>4</v>
      </c>
      <c r="C402" s="103" t="s">
        <v>5</v>
      </c>
      <c r="D402" s="105" t="s">
        <v>6</v>
      </c>
      <c r="E402" s="106"/>
      <c r="F402" s="103" t="s">
        <v>9</v>
      </c>
    </row>
    <row r="403" spans="1:8" x14ac:dyDescent="0.2">
      <c r="A403" s="104"/>
      <c r="B403" s="104"/>
      <c r="C403" s="104"/>
      <c r="D403" s="3" t="s">
        <v>7</v>
      </c>
      <c r="E403" s="3" t="s">
        <v>8</v>
      </c>
      <c r="F403" s="104"/>
    </row>
    <row r="404" spans="1:8" x14ac:dyDescent="0.2">
      <c r="A404" s="18" t="s">
        <v>1215</v>
      </c>
      <c r="B404" s="4" t="s">
        <v>1258</v>
      </c>
      <c r="C404" s="4" t="s">
        <v>187</v>
      </c>
      <c r="D404" s="46"/>
      <c r="E404" s="20">
        <v>0</v>
      </c>
      <c r="F404" s="20">
        <f>D404+E404</f>
        <v>0</v>
      </c>
    </row>
    <row r="405" spans="1:8" x14ac:dyDescent="0.2">
      <c r="A405" s="18" t="s">
        <v>1259</v>
      </c>
      <c r="B405" s="4" t="s">
        <v>1260</v>
      </c>
      <c r="C405" s="4" t="s">
        <v>187</v>
      </c>
      <c r="D405" s="46"/>
      <c r="E405" s="20"/>
      <c r="F405" s="20">
        <f>F404+D405</f>
        <v>0</v>
      </c>
    </row>
    <row r="406" spans="1:8" x14ac:dyDescent="0.2">
      <c r="A406" s="18" t="s">
        <v>731</v>
      </c>
      <c r="B406" s="4" t="s">
        <v>1261</v>
      </c>
      <c r="C406" s="4" t="s">
        <v>187</v>
      </c>
      <c r="D406" s="46"/>
      <c r="E406" s="20"/>
      <c r="F406" s="20">
        <f>F405+D406</f>
        <v>0</v>
      </c>
    </row>
    <row r="407" spans="1:8" x14ac:dyDescent="0.2">
      <c r="A407" s="41" t="s">
        <v>247</v>
      </c>
      <c r="B407" s="4"/>
      <c r="C407" s="4"/>
      <c r="D407" s="46"/>
      <c r="E407" s="20"/>
      <c r="F407" s="20"/>
    </row>
    <row r="408" spans="1:8" x14ac:dyDescent="0.2">
      <c r="A408" s="18" t="s">
        <v>519</v>
      </c>
      <c r="B408" s="4" t="s">
        <v>1261</v>
      </c>
      <c r="C408" s="4" t="s">
        <v>187</v>
      </c>
      <c r="D408" s="46"/>
      <c r="E408" s="20"/>
      <c r="F408" s="20">
        <f>D408</f>
        <v>0</v>
      </c>
    </row>
    <row r="409" spans="1:8" x14ac:dyDescent="0.2">
      <c r="A409" s="41" t="s">
        <v>262</v>
      </c>
      <c r="B409" s="4"/>
      <c r="C409" s="4"/>
      <c r="D409" s="46"/>
      <c r="E409" s="20"/>
      <c r="F409" s="20"/>
    </row>
    <row r="410" spans="1:8" x14ac:dyDescent="0.2">
      <c r="A410" s="18" t="s">
        <v>580</v>
      </c>
      <c r="B410" s="4" t="s">
        <v>1318</v>
      </c>
      <c r="C410" s="4" t="s">
        <v>187</v>
      </c>
      <c r="D410" s="46"/>
      <c r="E410" s="20"/>
      <c r="F410" s="20">
        <f>D410</f>
        <v>0</v>
      </c>
    </row>
    <row r="411" spans="1:8" x14ac:dyDescent="0.2">
      <c r="A411" s="51" t="s">
        <v>527</v>
      </c>
      <c r="B411" s="4" t="s">
        <v>1370</v>
      </c>
      <c r="C411" s="4" t="s">
        <v>187</v>
      </c>
      <c r="D411" s="46"/>
      <c r="E411" s="20"/>
      <c r="F411" s="20">
        <f>F410+D411</f>
        <v>0</v>
      </c>
    </row>
    <row r="412" spans="1:8" x14ac:dyDescent="0.2">
      <c r="A412" s="18" t="s">
        <v>527</v>
      </c>
      <c r="B412" s="4" t="s">
        <v>1371</v>
      </c>
      <c r="C412" s="4" t="s">
        <v>187</v>
      </c>
      <c r="D412" s="46"/>
      <c r="E412" s="20"/>
      <c r="F412" s="20">
        <f t="shared" ref="F412:F413" si="36">F411+D412</f>
        <v>0</v>
      </c>
      <c r="H412" s="31"/>
    </row>
    <row r="413" spans="1:8" x14ac:dyDescent="0.2">
      <c r="A413" s="18" t="s">
        <v>1365</v>
      </c>
      <c r="B413" s="4" t="s">
        <v>1372</v>
      </c>
      <c r="C413" s="4" t="s">
        <v>187</v>
      </c>
      <c r="D413" s="46"/>
      <c r="E413" s="20"/>
      <c r="F413" s="20">
        <f t="shared" si="36"/>
        <v>0</v>
      </c>
    </row>
    <row r="414" spans="1:8" x14ac:dyDescent="0.2">
      <c r="A414" s="96" t="s">
        <v>283</v>
      </c>
      <c r="B414" s="4"/>
      <c r="C414" s="4"/>
      <c r="D414" s="46"/>
      <c r="E414" s="20"/>
      <c r="F414" s="20"/>
    </row>
    <row r="415" spans="1:8" x14ac:dyDescent="0.2">
      <c r="A415" s="53"/>
      <c r="B415" s="4"/>
      <c r="C415" s="4"/>
      <c r="D415" s="46"/>
      <c r="E415" s="20"/>
      <c r="F415" s="20"/>
    </row>
    <row r="416" spans="1:8" x14ac:dyDescent="0.2">
      <c r="A416" s="41" t="s">
        <v>299</v>
      </c>
      <c r="B416" s="4"/>
      <c r="C416" s="4"/>
      <c r="D416" s="46"/>
      <c r="E416" s="20"/>
      <c r="F416" s="20"/>
    </row>
    <row r="417" spans="1:6" x14ac:dyDescent="0.2">
      <c r="A417" s="18" t="s">
        <v>836</v>
      </c>
      <c r="B417" s="4" t="s">
        <v>532</v>
      </c>
      <c r="C417" s="4" t="s">
        <v>187</v>
      </c>
      <c r="D417" s="46"/>
      <c r="E417" s="20"/>
      <c r="F417" s="20">
        <f>D417</f>
        <v>0</v>
      </c>
    </row>
    <row r="418" spans="1:6" x14ac:dyDescent="0.2">
      <c r="A418" s="18" t="s">
        <v>838</v>
      </c>
      <c r="B418" s="4" t="s">
        <v>536</v>
      </c>
      <c r="C418" s="4" t="s">
        <v>187</v>
      </c>
      <c r="D418" s="46"/>
      <c r="E418" s="20"/>
      <c r="F418" s="20">
        <f t="shared" ref="F418" si="37">F417+D418</f>
        <v>0</v>
      </c>
    </row>
    <row r="419" spans="1:6" x14ac:dyDescent="0.2">
      <c r="A419" s="41" t="s">
        <v>315</v>
      </c>
      <c r="B419" s="4"/>
      <c r="C419" s="4"/>
      <c r="D419" s="46"/>
      <c r="E419" s="20"/>
      <c r="F419" s="20"/>
    </row>
    <row r="420" spans="1:6" x14ac:dyDescent="0.2">
      <c r="A420" s="18" t="s">
        <v>861</v>
      </c>
      <c r="B420" s="4" t="s">
        <v>863</v>
      </c>
      <c r="C420" s="4" t="s">
        <v>187</v>
      </c>
      <c r="D420" s="46"/>
      <c r="E420" s="20"/>
      <c r="F420" s="20">
        <f>D420</f>
        <v>0</v>
      </c>
    </row>
    <row r="421" spans="1:6" x14ac:dyDescent="0.2">
      <c r="A421" s="18" t="s">
        <v>598</v>
      </c>
      <c r="B421" s="4" t="s">
        <v>532</v>
      </c>
      <c r="C421" s="4" t="s">
        <v>187</v>
      </c>
      <c r="D421" s="46"/>
      <c r="E421" s="20"/>
      <c r="F421" s="20">
        <f t="shared" ref="F421" si="38">F420+D421</f>
        <v>0</v>
      </c>
    </row>
    <row r="422" spans="1:6" x14ac:dyDescent="0.2">
      <c r="A422" s="41" t="s">
        <v>330</v>
      </c>
      <c r="B422" s="4"/>
      <c r="C422" s="4"/>
      <c r="D422" s="46"/>
      <c r="E422" s="20"/>
      <c r="F422" s="20"/>
    </row>
    <row r="423" spans="1:6" x14ac:dyDescent="0.2">
      <c r="A423" s="18" t="s">
        <v>608</v>
      </c>
      <c r="B423" s="4" t="s">
        <v>532</v>
      </c>
      <c r="C423" s="4" t="s">
        <v>187</v>
      </c>
      <c r="D423" s="46"/>
      <c r="E423" s="20"/>
      <c r="F423" s="20">
        <f>D423</f>
        <v>0</v>
      </c>
    </row>
    <row r="424" spans="1:6" x14ac:dyDescent="0.2">
      <c r="A424" s="18" t="s">
        <v>610</v>
      </c>
      <c r="B424" s="4" t="s">
        <v>537</v>
      </c>
      <c r="C424" s="4" t="s">
        <v>187</v>
      </c>
      <c r="D424" s="46"/>
      <c r="E424" s="20"/>
      <c r="F424" s="20">
        <f t="shared" ref="F424:F425" si="39">F423+D424</f>
        <v>0</v>
      </c>
    </row>
    <row r="425" spans="1:6" x14ac:dyDescent="0.2">
      <c r="A425" s="53" t="s">
        <v>929</v>
      </c>
      <c r="B425" s="4" t="s">
        <v>537</v>
      </c>
      <c r="C425" s="4" t="s">
        <v>187</v>
      </c>
      <c r="D425" s="46"/>
      <c r="E425" s="20"/>
      <c r="F425" s="20">
        <f t="shared" si="39"/>
        <v>0</v>
      </c>
    </row>
    <row r="426" spans="1:6" x14ac:dyDescent="0.2">
      <c r="A426" s="41" t="s">
        <v>442</v>
      </c>
      <c r="B426" s="4"/>
      <c r="C426" s="4"/>
      <c r="D426" s="46"/>
      <c r="E426" s="20"/>
      <c r="F426" s="20"/>
    </row>
    <row r="427" spans="1:6" x14ac:dyDescent="0.2">
      <c r="A427" s="18" t="s">
        <v>617</v>
      </c>
      <c r="B427" s="4" t="s">
        <v>532</v>
      </c>
      <c r="C427" s="4" t="s">
        <v>187</v>
      </c>
      <c r="D427" s="46"/>
      <c r="E427" s="20"/>
      <c r="F427" s="20">
        <f>D427</f>
        <v>0</v>
      </c>
    </row>
    <row r="428" spans="1:6" x14ac:dyDescent="0.2">
      <c r="A428" s="41" t="s">
        <v>363</v>
      </c>
      <c r="B428" s="4"/>
      <c r="C428" s="4"/>
      <c r="D428" s="46"/>
      <c r="E428" s="20"/>
      <c r="F428" s="20"/>
    </row>
    <row r="429" spans="1:6" x14ac:dyDescent="0.2">
      <c r="A429" s="18" t="s">
        <v>1017</v>
      </c>
      <c r="B429" s="4" t="s">
        <v>532</v>
      </c>
      <c r="C429" s="4" t="s">
        <v>187</v>
      </c>
      <c r="D429" s="46"/>
      <c r="E429" s="20"/>
      <c r="F429" s="20">
        <f>D429</f>
        <v>0</v>
      </c>
    </row>
    <row r="430" spans="1:6" x14ac:dyDescent="0.2">
      <c r="A430" s="18" t="s">
        <v>1017</v>
      </c>
      <c r="B430" s="4" t="s">
        <v>537</v>
      </c>
      <c r="C430" s="4" t="s">
        <v>187</v>
      </c>
      <c r="D430" s="46"/>
      <c r="E430" s="20"/>
      <c r="F430" s="20">
        <f t="shared" ref="F430:F436" si="40">F429+D430</f>
        <v>0</v>
      </c>
    </row>
    <row r="431" spans="1:6" x14ac:dyDescent="0.2">
      <c r="A431" s="53" t="s">
        <v>362</v>
      </c>
      <c r="B431" s="4" t="s">
        <v>532</v>
      </c>
      <c r="C431" s="4" t="s">
        <v>187</v>
      </c>
      <c r="D431" s="46"/>
      <c r="E431" s="20"/>
      <c r="F431" s="20">
        <f t="shared" si="40"/>
        <v>0</v>
      </c>
    </row>
    <row r="432" spans="1:6" x14ac:dyDescent="0.2">
      <c r="A432" s="53" t="s">
        <v>1033</v>
      </c>
      <c r="B432" s="4" t="s">
        <v>532</v>
      </c>
      <c r="C432" s="4" t="s">
        <v>187</v>
      </c>
      <c r="D432" s="46"/>
      <c r="E432" s="20"/>
      <c r="F432" s="20">
        <f t="shared" si="40"/>
        <v>0</v>
      </c>
    </row>
    <row r="433" spans="1:6" x14ac:dyDescent="0.2">
      <c r="A433" s="53" t="s">
        <v>544</v>
      </c>
      <c r="B433" s="4" t="s">
        <v>537</v>
      </c>
      <c r="C433" s="4" t="s">
        <v>187</v>
      </c>
      <c r="D433" s="46"/>
      <c r="E433" s="20"/>
      <c r="F433" s="20">
        <f t="shared" si="40"/>
        <v>0</v>
      </c>
    </row>
    <row r="434" spans="1:6" x14ac:dyDescent="0.2">
      <c r="A434" s="53" t="s">
        <v>1047</v>
      </c>
      <c r="B434" s="4" t="s">
        <v>532</v>
      </c>
      <c r="C434" s="4" t="s">
        <v>187</v>
      </c>
      <c r="D434" s="46"/>
      <c r="E434" s="20"/>
      <c r="F434" s="20">
        <f t="shared" si="40"/>
        <v>0</v>
      </c>
    </row>
    <row r="435" spans="1:6" x14ac:dyDescent="0.2">
      <c r="A435" s="53"/>
      <c r="B435" s="4"/>
      <c r="C435" s="4" t="s">
        <v>187</v>
      </c>
      <c r="D435" s="46"/>
      <c r="E435" s="20"/>
      <c r="F435" s="20">
        <f t="shared" si="40"/>
        <v>0</v>
      </c>
    </row>
    <row r="436" spans="1:6" x14ac:dyDescent="0.2">
      <c r="A436" s="53"/>
      <c r="B436" s="4"/>
      <c r="C436" s="4" t="s">
        <v>187</v>
      </c>
      <c r="D436" s="46"/>
      <c r="E436" s="20"/>
      <c r="F436" s="20">
        <f t="shared" si="40"/>
        <v>0</v>
      </c>
    </row>
    <row r="437" spans="1:6" x14ac:dyDescent="0.2">
      <c r="A437" s="41" t="s">
        <v>368</v>
      </c>
      <c r="B437" s="4"/>
      <c r="C437" s="4"/>
      <c r="D437" s="46"/>
      <c r="E437" s="20"/>
      <c r="F437" s="20"/>
    </row>
    <row r="438" spans="1:6" x14ac:dyDescent="0.2">
      <c r="A438" s="18" t="s">
        <v>1066</v>
      </c>
      <c r="B438" s="4" t="s">
        <v>532</v>
      </c>
      <c r="C438" s="4" t="s">
        <v>187</v>
      </c>
      <c r="D438" s="46"/>
      <c r="E438" s="20"/>
      <c r="F438" s="20">
        <f>D438</f>
        <v>0</v>
      </c>
    </row>
    <row r="439" spans="1:6" x14ac:dyDescent="0.2">
      <c r="A439" s="18" t="s">
        <v>1070</v>
      </c>
      <c r="B439" s="4" t="s">
        <v>536</v>
      </c>
      <c r="C439" s="4" t="s">
        <v>187</v>
      </c>
      <c r="D439" s="46"/>
      <c r="E439" s="20"/>
      <c r="F439" s="20">
        <f t="shared" ref="F439" si="41">F438+D439</f>
        <v>0</v>
      </c>
    </row>
    <row r="440" spans="1:6" x14ac:dyDescent="0.2">
      <c r="A440" s="18"/>
      <c r="B440" s="4"/>
      <c r="C440" s="4" t="s">
        <v>187</v>
      </c>
      <c r="D440" s="46"/>
      <c r="E440" s="20"/>
      <c r="F440" s="20"/>
    </row>
    <row r="441" spans="1:6" x14ac:dyDescent="0.2">
      <c r="A441" s="18"/>
      <c r="B441" s="4"/>
      <c r="C441" s="4" t="s">
        <v>187</v>
      </c>
      <c r="D441" s="46"/>
      <c r="E441" s="20"/>
      <c r="F441" s="20"/>
    </row>
    <row r="442" spans="1:6" x14ac:dyDescent="0.2">
      <c r="A442" s="18"/>
      <c r="B442" s="4"/>
      <c r="C442" s="4" t="s">
        <v>187</v>
      </c>
      <c r="D442" s="46"/>
      <c r="E442" s="20"/>
      <c r="F442" s="20"/>
    </row>
    <row r="443" spans="1:6" x14ac:dyDescent="0.2">
      <c r="A443" s="18"/>
      <c r="B443" s="4"/>
      <c r="C443" s="4"/>
      <c r="D443" s="46"/>
      <c r="E443" s="20"/>
      <c r="F443" s="20"/>
    </row>
    <row r="444" spans="1:6" x14ac:dyDescent="0.2">
      <c r="A444" s="41" t="s">
        <v>397</v>
      </c>
      <c r="B444" s="4"/>
      <c r="C444" s="4"/>
      <c r="D444" s="46"/>
      <c r="E444" s="20"/>
      <c r="F444" s="20"/>
    </row>
    <row r="445" spans="1:6" x14ac:dyDescent="0.2">
      <c r="A445" s="18" t="s">
        <v>1101</v>
      </c>
      <c r="B445" s="4" t="s">
        <v>532</v>
      </c>
      <c r="C445" s="4" t="s">
        <v>187</v>
      </c>
      <c r="D445" s="46"/>
      <c r="E445" s="20"/>
      <c r="F445" s="20">
        <f>D445</f>
        <v>0</v>
      </c>
    </row>
    <row r="446" spans="1:6" x14ac:dyDescent="0.2">
      <c r="A446" s="18" t="s">
        <v>1113</v>
      </c>
      <c r="B446" s="4" t="s">
        <v>532</v>
      </c>
      <c r="C446" s="4" t="s">
        <v>187</v>
      </c>
      <c r="D446" s="46"/>
      <c r="E446" s="20"/>
      <c r="F446" s="20">
        <f t="shared" ref="F446:F447" si="42">F445+D446</f>
        <v>0</v>
      </c>
    </row>
    <row r="447" spans="1:6" x14ac:dyDescent="0.2">
      <c r="A447" s="53" t="s">
        <v>1126</v>
      </c>
      <c r="B447" s="4" t="s">
        <v>532</v>
      </c>
      <c r="C447" s="4" t="s">
        <v>187</v>
      </c>
      <c r="D447" s="46"/>
      <c r="E447" s="20"/>
      <c r="F447" s="20">
        <f t="shared" si="42"/>
        <v>0</v>
      </c>
    </row>
    <row r="448" spans="1:6" x14ac:dyDescent="0.2">
      <c r="A448" s="41" t="s">
        <v>453</v>
      </c>
      <c r="B448" s="4"/>
      <c r="C448" s="4"/>
      <c r="D448" s="46"/>
      <c r="E448" s="20"/>
      <c r="F448" s="20"/>
    </row>
    <row r="449" spans="1:6" x14ac:dyDescent="0.2">
      <c r="A449" s="18" t="s">
        <v>1175</v>
      </c>
      <c r="B449" s="4" t="s">
        <v>536</v>
      </c>
      <c r="C449" s="4" t="s">
        <v>187</v>
      </c>
      <c r="D449" s="46"/>
      <c r="E449" s="20"/>
      <c r="F449" s="20">
        <f>D449</f>
        <v>0</v>
      </c>
    </row>
    <row r="450" spans="1:6" x14ac:dyDescent="0.2">
      <c r="A450" s="18" t="s">
        <v>1181</v>
      </c>
      <c r="B450" s="4" t="s">
        <v>536</v>
      </c>
      <c r="C450" s="4" t="s">
        <v>187</v>
      </c>
      <c r="D450" s="46"/>
      <c r="E450" s="20"/>
      <c r="F450" s="20">
        <f t="shared" ref="F450:F456" si="43">F449+D450</f>
        <v>0</v>
      </c>
    </row>
    <row r="451" spans="1:6" x14ac:dyDescent="0.2">
      <c r="A451" s="53" t="s">
        <v>449</v>
      </c>
      <c r="B451" s="4" t="s">
        <v>532</v>
      </c>
      <c r="C451" s="4" t="s">
        <v>187</v>
      </c>
      <c r="D451" s="46"/>
      <c r="E451" s="20"/>
      <c r="F451" s="20">
        <f t="shared" si="43"/>
        <v>0</v>
      </c>
    </row>
    <row r="452" spans="1:6" x14ac:dyDescent="0.2">
      <c r="A452" s="53"/>
      <c r="B452" s="4"/>
      <c r="C452" s="4" t="s">
        <v>187</v>
      </c>
      <c r="D452" s="20"/>
      <c r="E452" s="20"/>
      <c r="F452" s="20">
        <f t="shared" si="43"/>
        <v>0</v>
      </c>
    </row>
    <row r="453" spans="1:6" x14ac:dyDescent="0.2">
      <c r="A453" s="53"/>
      <c r="B453" s="4"/>
      <c r="C453" s="4" t="s">
        <v>187</v>
      </c>
      <c r="D453" s="20"/>
      <c r="E453" s="20"/>
      <c r="F453" s="20">
        <f t="shared" si="43"/>
        <v>0</v>
      </c>
    </row>
    <row r="454" spans="1:6" x14ac:dyDescent="0.2">
      <c r="A454" s="53"/>
      <c r="B454" s="4"/>
      <c r="C454" s="4" t="s">
        <v>187</v>
      </c>
      <c r="D454" s="20"/>
      <c r="E454" s="20"/>
      <c r="F454" s="20">
        <f t="shared" si="43"/>
        <v>0</v>
      </c>
    </row>
    <row r="455" spans="1:6" x14ac:dyDescent="0.2">
      <c r="A455" s="53"/>
      <c r="B455" s="4"/>
      <c r="C455" s="4" t="s">
        <v>187</v>
      </c>
      <c r="D455" s="20"/>
      <c r="E455" s="20"/>
      <c r="F455" s="20">
        <f t="shared" si="43"/>
        <v>0</v>
      </c>
    </row>
    <row r="456" spans="1:6" x14ac:dyDescent="0.2">
      <c r="A456" s="53"/>
      <c r="B456" s="4"/>
      <c r="C456" s="4" t="s">
        <v>187</v>
      </c>
      <c r="D456" s="20"/>
      <c r="E456" s="20"/>
      <c r="F456" s="20">
        <f t="shared" si="43"/>
        <v>0</v>
      </c>
    </row>
    <row r="457" spans="1:6" x14ac:dyDescent="0.2">
      <c r="A457" s="53"/>
      <c r="B457" s="18"/>
      <c r="C457" s="4" t="s">
        <v>187</v>
      </c>
      <c r="D457" s="20"/>
      <c r="E457" s="20"/>
      <c r="F457" s="20"/>
    </row>
    <row r="458" spans="1:6" x14ac:dyDescent="0.2">
      <c r="A458" s="105" t="s">
        <v>10</v>
      </c>
      <c r="B458" s="112"/>
      <c r="C458" s="106"/>
      <c r="D458" s="20">
        <f>SUM(D404:D457)</f>
        <v>0</v>
      </c>
      <c r="E458" s="20">
        <f>SUM(E404:E410)</f>
        <v>0</v>
      </c>
      <c r="F458" s="20">
        <f>D458-E458</f>
        <v>0</v>
      </c>
    </row>
    <row r="459" spans="1:6" x14ac:dyDescent="0.2">
      <c r="A459" s="105" t="s">
        <v>11</v>
      </c>
      <c r="B459" s="112"/>
      <c r="C459" s="106"/>
      <c r="D459" s="20"/>
      <c r="E459" s="20"/>
      <c r="F459" s="20">
        <f>D459-E459</f>
        <v>0</v>
      </c>
    </row>
    <row r="460" spans="1:6" x14ac:dyDescent="0.2">
      <c r="A460" s="105" t="s">
        <v>10</v>
      </c>
      <c r="B460" s="112"/>
      <c r="C460" s="106"/>
      <c r="D460" s="20">
        <f>SUM(D458:D459)</f>
        <v>0</v>
      </c>
      <c r="E460" s="20">
        <f>SUM(E458:E459)</f>
        <v>0</v>
      </c>
      <c r="F460" s="20">
        <f>SUM(F458:F459)</f>
        <v>0</v>
      </c>
    </row>
    <row r="461" spans="1:6" x14ac:dyDescent="0.2">
      <c r="A461" s="100" t="s">
        <v>0</v>
      </c>
      <c r="B461" s="100"/>
    </row>
    <row r="462" spans="1:6" x14ac:dyDescent="0.2">
      <c r="A462" s="100" t="s">
        <v>1</v>
      </c>
      <c r="B462" s="100"/>
    </row>
    <row r="463" spans="1:6" x14ac:dyDescent="0.2">
      <c r="A463" s="101" t="s">
        <v>2</v>
      </c>
      <c r="B463" s="101"/>
      <c r="C463" s="101"/>
      <c r="D463" s="101"/>
      <c r="E463" s="101"/>
      <c r="F463" s="101"/>
    </row>
    <row r="464" spans="1:6" x14ac:dyDescent="0.2">
      <c r="A464" s="122" t="s">
        <v>137</v>
      </c>
      <c r="B464" s="122"/>
      <c r="D464" s="2" t="s">
        <v>672</v>
      </c>
    </row>
    <row r="466" spans="1:6" x14ac:dyDescent="0.2">
      <c r="A466" s="103" t="s">
        <v>3</v>
      </c>
      <c r="B466" s="103" t="s">
        <v>4</v>
      </c>
      <c r="C466" s="103" t="s">
        <v>5</v>
      </c>
      <c r="D466" s="105" t="s">
        <v>6</v>
      </c>
      <c r="E466" s="106"/>
      <c r="F466" s="103" t="s">
        <v>9</v>
      </c>
    </row>
    <row r="467" spans="1:6" x14ac:dyDescent="0.2">
      <c r="A467" s="104"/>
      <c r="B467" s="104"/>
      <c r="C467" s="104"/>
      <c r="D467" s="3" t="s">
        <v>7</v>
      </c>
      <c r="E467" s="3" t="s">
        <v>8</v>
      </c>
      <c r="F467" s="104"/>
    </row>
    <row r="468" spans="1:6" x14ac:dyDescent="0.2">
      <c r="A468" s="18" t="s">
        <v>228</v>
      </c>
      <c r="B468" s="4" t="s">
        <v>250</v>
      </c>
      <c r="C468" s="4" t="s">
        <v>200</v>
      </c>
      <c r="D468" s="20"/>
      <c r="E468" s="20">
        <v>0</v>
      </c>
      <c r="F468" s="20">
        <f>D468+E468</f>
        <v>0</v>
      </c>
    </row>
    <row r="469" spans="1:6" x14ac:dyDescent="0.2">
      <c r="A469" s="18" t="s">
        <v>244</v>
      </c>
      <c r="B469" s="4" t="s">
        <v>258</v>
      </c>
      <c r="C469" s="4" t="s">
        <v>200</v>
      </c>
      <c r="D469" s="20"/>
      <c r="E469" s="20"/>
      <c r="F469" s="20">
        <f>F468+D469</f>
        <v>0</v>
      </c>
    </row>
    <row r="470" spans="1:6" x14ac:dyDescent="0.2">
      <c r="A470" s="18" t="s">
        <v>269</v>
      </c>
      <c r="B470" s="4" t="s">
        <v>279</v>
      </c>
      <c r="C470" s="4" t="s">
        <v>200</v>
      </c>
      <c r="D470" s="20"/>
      <c r="E470" s="20"/>
      <c r="F470" s="20">
        <f t="shared" ref="F470:F479" si="44">F469+D470</f>
        <v>0</v>
      </c>
    </row>
    <row r="471" spans="1:6" x14ac:dyDescent="0.2">
      <c r="A471" s="18" t="s">
        <v>284</v>
      </c>
      <c r="B471" s="4" t="s">
        <v>286</v>
      </c>
      <c r="C471" s="4" t="s">
        <v>200</v>
      </c>
      <c r="D471" s="20"/>
      <c r="E471" s="20"/>
      <c r="F471" s="20">
        <f t="shared" si="44"/>
        <v>0</v>
      </c>
    </row>
    <row r="472" spans="1:6" x14ac:dyDescent="0.2">
      <c r="A472" s="18" t="s">
        <v>290</v>
      </c>
      <c r="B472" s="4" t="s">
        <v>303</v>
      </c>
      <c r="C472" s="4" t="s">
        <v>200</v>
      </c>
      <c r="D472" s="20"/>
      <c r="E472" s="20"/>
      <c r="F472" s="20">
        <f t="shared" si="44"/>
        <v>0</v>
      </c>
    </row>
    <row r="473" spans="1:6" x14ac:dyDescent="0.2">
      <c r="A473" s="18" t="s">
        <v>308</v>
      </c>
      <c r="B473" s="4" t="s">
        <v>317</v>
      </c>
      <c r="C473" s="4" t="s">
        <v>200</v>
      </c>
      <c r="D473" s="20"/>
      <c r="E473" s="20"/>
      <c r="F473" s="20">
        <f t="shared" si="44"/>
        <v>0</v>
      </c>
    </row>
    <row r="474" spans="1:6" x14ac:dyDescent="0.2">
      <c r="A474" s="18" t="s">
        <v>322</v>
      </c>
      <c r="B474" s="4" t="s">
        <v>332</v>
      </c>
      <c r="C474" s="4" t="s">
        <v>200</v>
      </c>
      <c r="D474" s="20"/>
      <c r="E474" s="20"/>
      <c r="F474" s="20">
        <f t="shared" si="44"/>
        <v>0</v>
      </c>
    </row>
    <row r="475" spans="1:6" x14ac:dyDescent="0.2">
      <c r="A475" s="18" t="s">
        <v>335</v>
      </c>
      <c r="B475" s="4" t="s">
        <v>354</v>
      </c>
      <c r="C475" s="4" t="s">
        <v>200</v>
      </c>
      <c r="D475" s="20"/>
      <c r="E475" s="20"/>
      <c r="F475" s="20">
        <f t="shared" si="44"/>
        <v>0</v>
      </c>
    </row>
    <row r="476" spans="1:6" x14ac:dyDescent="0.2">
      <c r="A476" s="18" t="s">
        <v>357</v>
      </c>
      <c r="B476" s="4" t="s">
        <v>366</v>
      </c>
      <c r="C476" s="4" t="s">
        <v>200</v>
      </c>
      <c r="D476" s="20"/>
      <c r="E476" s="20"/>
      <c r="F476" s="20">
        <f t="shared" si="44"/>
        <v>0</v>
      </c>
    </row>
    <row r="477" spans="1:6" x14ac:dyDescent="0.2">
      <c r="A477" s="18" t="s">
        <v>376</v>
      </c>
      <c r="B477" s="4" t="s">
        <v>382</v>
      </c>
      <c r="C477" s="4" t="s">
        <v>200</v>
      </c>
      <c r="D477" s="20"/>
      <c r="E477" s="20"/>
      <c r="F477" s="20">
        <f t="shared" si="44"/>
        <v>0</v>
      </c>
    </row>
    <row r="478" spans="1:6" x14ac:dyDescent="0.2">
      <c r="A478" s="18" t="s">
        <v>390</v>
      </c>
      <c r="B478" s="4" t="s">
        <v>399</v>
      </c>
      <c r="C478" s="4" t="s">
        <v>200</v>
      </c>
      <c r="D478" s="20"/>
      <c r="E478" s="20"/>
      <c r="F478" s="20">
        <f t="shared" si="44"/>
        <v>0</v>
      </c>
    </row>
    <row r="479" spans="1:6" x14ac:dyDescent="0.2">
      <c r="A479" s="18" t="s">
        <v>449</v>
      </c>
      <c r="B479" s="4" t="s">
        <v>451</v>
      </c>
      <c r="C479" s="4" t="s">
        <v>200</v>
      </c>
      <c r="D479" s="20"/>
      <c r="E479" s="20"/>
      <c r="F479" s="20">
        <f t="shared" si="44"/>
        <v>0</v>
      </c>
    </row>
    <row r="480" spans="1:6" x14ac:dyDescent="0.2">
      <c r="A480" s="4"/>
      <c r="B480" s="4"/>
      <c r="C480" s="4"/>
      <c r="D480" s="20"/>
      <c r="E480" s="20"/>
      <c r="F480" s="20"/>
    </row>
    <row r="481" spans="1:6" x14ac:dyDescent="0.2">
      <c r="A481" s="105" t="s">
        <v>10</v>
      </c>
      <c r="B481" s="112"/>
      <c r="C481" s="106"/>
      <c r="D481" s="20">
        <f>SUM(D468:D480)</f>
        <v>0</v>
      </c>
      <c r="E481" s="20">
        <f>SUM(E468:E480)</f>
        <v>0</v>
      </c>
      <c r="F481" s="20">
        <f>D481-E481</f>
        <v>0</v>
      </c>
    </row>
    <row r="482" spans="1:6" x14ac:dyDescent="0.2">
      <c r="A482" s="105" t="s">
        <v>11</v>
      </c>
      <c r="B482" s="112"/>
      <c r="C482" s="106"/>
      <c r="D482" s="20"/>
      <c r="E482" s="20"/>
      <c r="F482" s="20">
        <f>D482-E482</f>
        <v>0</v>
      </c>
    </row>
    <row r="483" spans="1:6" x14ac:dyDescent="0.2">
      <c r="A483" s="105" t="s">
        <v>10</v>
      </c>
      <c r="B483" s="112"/>
      <c r="C483" s="106"/>
      <c r="D483" s="20">
        <f>SUM(D481:D482)</f>
        <v>0</v>
      </c>
      <c r="E483" s="20">
        <f>SUM(E481:E482)</f>
        <v>0</v>
      </c>
      <c r="F483" s="20">
        <f>SUM(F481:F482)</f>
        <v>0</v>
      </c>
    </row>
    <row r="484" spans="1:6" x14ac:dyDescent="0.2">
      <c r="A484" s="5"/>
      <c r="B484" s="5"/>
      <c r="C484" s="5"/>
    </row>
    <row r="491" spans="1:6" x14ac:dyDescent="0.2">
      <c r="B491" s="31">
        <f>D8+D9+D10+D11+D82+D83+D84+D85+D86+D87+D404+D405+D406</f>
        <v>0</v>
      </c>
    </row>
  </sheetData>
  <mergeCells count="152">
    <mergeCell ref="A68:C68"/>
    <mergeCell ref="F6:F7"/>
    <mergeCell ref="A1:B1"/>
    <mergeCell ref="A2:B2"/>
    <mergeCell ref="A3:F3"/>
    <mergeCell ref="A67:C67"/>
    <mergeCell ref="A4:B4"/>
    <mergeCell ref="A6:A7"/>
    <mergeCell ref="B6:B7"/>
    <mergeCell ref="C6:C7"/>
    <mergeCell ref="D6:E6"/>
    <mergeCell ref="C243:C244"/>
    <mergeCell ref="A69:C69"/>
    <mergeCell ref="A238:B238"/>
    <mergeCell ref="A239:B239"/>
    <mergeCell ref="A240:F240"/>
    <mergeCell ref="D243:E243"/>
    <mergeCell ref="F243:F244"/>
    <mergeCell ref="A333:C333"/>
    <mergeCell ref="A334:C334"/>
    <mergeCell ref="A241:B241"/>
    <mergeCell ref="A243:A244"/>
    <mergeCell ref="B243:B244"/>
    <mergeCell ref="B300:B301"/>
    <mergeCell ref="C300:C301"/>
    <mergeCell ref="D300:E300"/>
    <mergeCell ref="F300:F301"/>
    <mergeCell ref="A74:B74"/>
    <mergeCell ref="A75:B75"/>
    <mergeCell ref="A76:F76"/>
    <mergeCell ref="A79:A80"/>
    <mergeCell ref="B79:B80"/>
    <mergeCell ref="C79:C80"/>
    <mergeCell ref="D79:E79"/>
    <mergeCell ref="F79:F80"/>
    <mergeCell ref="A336:B336"/>
    <mergeCell ref="A337:B337"/>
    <mergeCell ref="A338:F338"/>
    <mergeCell ref="A282:C282"/>
    <mergeCell ref="A283:C283"/>
    <mergeCell ref="A284:C284"/>
    <mergeCell ref="A310:B310"/>
    <mergeCell ref="A311:B311"/>
    <mergeCell ref="A312:F312"/>
    <mergeCell ref="A313:B313"/>
    <mergeCell ref="A315:A316"/>
    <mergeCell ref="B315:B316"/>
    <mergeCell ref="C315:C316"/>
    <mergeCell ref="D315:E315"/>
    <mergeCell ref="F315:F316"/>
    <mergeCell ref="A332:C332"/>
    <mergeCell ref="A306:C306"/>
    <mergeCell ref="A307:C307"/>
    <mergeCell ref="A308:C308"/>
    <mergeCell ref="A295:B295"/>
    <mergeCell ref="A296:B296"/>
    <mergeCell ref="A297:F297"/>
    <mergeCell ref="A298:B298"/>
    <mergeCell ref="A300:A301"/>
    <mergeCell ref="A361:F361"/>
    <mergeCell ref="A339:B339"/>
    <mergeCell ref="A341:A342"/>
    <mergeCell ref="B341:B342"/>
    <mergeCell ref="C341:C342"/>
    <mergeCell ref="D341:E341"/>
    <mergeCell ref="F341:F342"/>
    <mergeCell ref="A352:C352"/>
    <mergeCell ref="A353:C353"/>
    <mergeCell ref="A354:C354"/>
    <mergeCell ref="A359:B359"/>
    <mergeCell ref="A360:B360"/>
    <mergeCell ref="A382:F382"/>
    <mergeCell ref="A362:B362"/>
    <mergeCell ref="A364:A365"/>
    <mergeCell ref="B364:B365"/>
    <mergeCell ref="C364:C365"/>
    <mergeCell ref="D364:E364"/>
    <mergeCell ref="F364:F365"/>
    <mergeCell ref="A374:C374"/>
    <mergeCell ref="A375:C375"/>
    <mergeCell ref="A376:C376"/>
    <mergeCell ref="A380:B380"/>
    <mergeCell ref="A381:B381"/>
    <mergeCell ref="A400:B400"/>
    <mergeCell ref="A402:A403"/>
    <mergeCell ref="B402:B403"/>
    <mergeCell ref="C402:C403"/>
    <mergeCell ref="A462:B462"/>
    <mergeCell ref="A458:C458"/>
    <mergeCell ref="A459:C459"/>
    <mergeCell ref="A399:F399"/>
    <mergeCell ref="A383:B383"/>
    <mergeCell ref="A385:A386"/>
    <mergeCell ref="B385:B386"/>
    <mergeCell ref="C385:C386"/>
    <mergeCell ref="D385:E385"/>
    <mergeCell ref="F385:F386"/>
    <mergeCell ref="A394:C394"/>
    <mergeCell ref="A395:C395"/>
    <mergeCell ref="A396:C396"/>
    <mergeCell ref="A397:B397"/>
    <mergeCell ref="A398:B398"/>
    <mergeCell ref="A481:C481"/>
    <mergeCell ref="A482:C482"/>
    <mergeCell ref="A483:C483"/>
    <mergeCell ref="D402:E402"/>
    <mergeCell ref="A464:B464"/>
    <mergeCell ref="A466:A467"/>
    <mergeCell ref="B466:B467"/>
    <mergeCell ref="C466:C467"/>
    <mergeCell ref="A463:F463"/>
    <mergeCell ref="D466:E466"/>
    <mergeCell ref="F466:F467"/>
    <mergeCell ref="A460:C460"/>
    <mergeCell ref="A461:B461"/>
    <mergeCell ref="F402:F403"/>
    <mergeCell ref="A169:C169"/>
    <mergeCell ref="A170:C170"/>
    <mergeCell ref="A171:C171"/>
    <mergeCell ref="A174:B174"/>
    <mergeCell ref="A175:B175"/>
    <mergeCell ref="A176:F176"/>
    <mergeCell ref="A179:A180"/>
    <mergeCell ref="B179:B180"/>
    <mergeCell ref="C179:C180"/>
    <mergeCell ref="D179:E179"/>
    <mergeCell ref="F179:F180"/>
    <mergeCell ref="A187:C187"/>
    <mergeCell ref="A188:C188"/>
    <mergeCell ref="A189:C189"/>
    <mergeCell ref="A192:B192"/>
    <mergeCell ref="A193:B193"/>
    <mergeCell ref="A194:F194"/>
    <mergeCell ref="A197:A198"/>
    <mergeCell ref="B197:B198"/>
    <mergeCell ref="C197:C198"/>
    <mergeCell ref="D197:E197"/>
    <mergeCell ref="F197:F198"/>
    <mergeCell ref="A233:C233"/>
    <mergeCell ref="A234:C234"/>
    <mergeCell ref="A235:C235"/>
    <mergeCell ref="A215:C215"/>
    <mergeCell ref="A216:C216"/>
    <mergeCell ref="A217:C217"/>
    <mergeCell ref="A220:B220"/>
    <mergeCell ref="A221:B221"/>
    <mergeCell ref="A222:F222"/>
    <mergeCell ref="A225:A226"/>
    <mergeCell ref="B225:B226"/>
    <mergeCell ref="C225:C226"/>
    <mergeCell ref="D225:E225"/>
    <mergeCell ref="F225:F226"/>
  </mergeCells>
  <phoneticPr fontId="8" type="noConversion"/>
  <pageMargins left="0.51181102362204722" right="0.51181102362204722" top="0.74803149606299213" bottom="0.74803149606299213" header="0.31496062992125984" footer="0.31496062992125984"/>
  <pageSetup paperSize="9"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06"/>
  <sheetViews>
    <sheetView showWhiteSpace="0" view="pageLayout" topLeftCell="A569" zoomScaleNormal="100" workbookViewId="0">
      <selection activeCell="J535" sqref="J535"/>
    </sheetView>
  </sheetViews>
  <sheetFormatPr defaultColWidth="9.140625" defaultRowHeight="12" x14ac:dyDescent="0.2"/>
  <cols>
    <col min="1" max="1" width="9.140625" style="1"/>
    <col min="2" max="2" width="37.28515625" style="1" customWidth="1"/>
    <col min="3" max="3" width="8" style="1" customWidth="1"/>
    <col min="4" max="4" width="11.85546875" style="1" customWidth="1"/>
    <col min="5" max="5" width="12.140625" style="1" customWidth="1"/>
    <col min="6" max="6" width="14.28515625" style="47" customWidth="1"/>
    <col min="7" max="7" width="9.85546875" style="1" bestFit="1" customWidth="1"/>
    <col min="8" max="8" width="22.5703125" style="13" customWidth="1"/>
    <col min="9" max="9" width="9.140625" style="1"/>
    <col min="10" max="10" width="11.7109375" style="1" customWidth="1"/>
    <col min="11" max="11" width="11.42578125" style="1" customWidth="1"/>
    <col min="12" max="12" width="17.7109375" style="1" customWidth="1"/>
    <col min="13" max="16384" width="9.140625" style="1"/>
  </cols>
  <sheetData>
    <row r="1" spans="1:7" x14ac:dyDescent="0.2">
      <c r="A1" s="100" t="s">
        <v>0</v>
      </c>
      <c r="B1" s="100"/>
    </row>
    <row r="2" spans="1:7" x14ac:dyDescent="0.2">
      <c r="A2" s="100" t="s">
        <v>1</v>
      </c>
      <c r="B2" s="100"/>
    </row>
    <row r="3" spans="1:7" x14ac:dyDescent="0.2">
      <c r="A3" s="101" t="s">
        <v>2</v>
      </c>
      <c r="B3" s="101"/>
      <c r="C3" s="101"/>
      <c r="D3" s="101"/>
      <c r="E3" s="101"/>
      <c r="F3" s="101"/>
    </row>
    <row r="4" spans="1:7" x14ac:dyDescent="0.2">
      <c r="A4" s="122" t="s">
        <v>183</v>
      </c>
      <c r="B4" s="122"/>
      <c r="C4" s="125"/>
      <c r="D4" s="123" t="s">
        <v>138</v>
      </c>
    </row>
    <row r="6" spans="1:7" x14ac:dyDescent="0.2">
      <c r="A6" s="103" t="s">
        <v>3</v>
      </c>
      <c r="B6" s="103" t="s">
        <v>4</v>
      </c>
      <c r="C6" s="103" t="s">
        <v>5</v>
      </c>
      <c r="D6" s="105" t="s">
        <v>6</v>
      </c>
      <c r="E6" s="106"/>
      <c r="F6" s="107" t="s">
        <v>9</v>
      </c>
    </row>
    <row r="7" spans="1:7" x14ac:dyDescent="0.2">
      <c r="A7" s="104"/>
      <c r="B7" s="104"/>
      <c r="C7" s="104"/>
      <c r="D7" s="3" t="s">
        <v>7</v>
      </c>
      <c r="E7" s="3" t="s">
        <v>8</v>
      </c>
      <c r="F7" s="108"/>
    </row>
    <row r="8" spans="1:7" x14ac:dyDescent="0.2">
      <c r="A8" s="18" t="s">
        <v>1222</v>
      </c>
      <c r="B8" s="4" t="s">
        <v>192</v>
      </c>
      <c r="C8" s="4" t="s">
        <v>187</v>
      </c>
      <c r="D8" s="20"/>
      <c r="E8" s="20">
        <v>0</v>
      </c>
      <c r="F8" s="28">
        <f>D8+E8</f>
        <v>0</v>
      </c>
    </row>
    <row r="9" spans="1:7" x14ac:dyDescent="0.2">
      <c r="A9" s="18" t="s">
        <v>1222</v>
      </c>
      <c r="B9" s="4" t="s">
        <v>1268</v>
      </c>
      <c r="C9" s="4" t="s">
        <v>187</v>
      </c>
      <c r="D9" s="20"/>
      <c r="E9" s="20"/>
      <c r="F9" s="28">
        <f>F8+D9</f>
        <v>0</v>
      </c>
    </row>
    <row r="10" spans="1:7" x14ac:dyDescent="0.2">
      <c r="A10" s="18" t="s">
        <v>474</v>
      </c>
      <c r="B10" s="4" t="s">
        <v>1338</v>
      </c>
      <c r="C10" s="4" t="s">
        <v>187</v>
      </c>
      <c r="D10" s="20"/>
      <c r="E10" s="20"/>
      <c r="F10" s="28">
        <f t="shared" ref="F10:F28" si="0">F9+D10</f>
        <v>0</v>
      </c>
      <c r="G10" s="31"/>
    </row>
    <row r="11" spans="1:7" x14ac:dyDescent="0.2">
      <c r="A11" s="18" t="s">
        <v>474</v>
      </c>
      <c r="B11" s="4" t="s">
        <v>1339</v>
      </c>
      <c r="C11" s="4" t="s">
        <v>187</v>
      </c>
      <c r="D11" s="20"/>
      <c r="E11" s="20"/>
      <c r="F11" s="28">
        <f>F10+D11</f>
        <v>0</v>
      </c>
    </row>
    <row r="12" spans="1:7" x14ac:dyDescent="0.2">
      <c r="A12" s="18" t="s">
        <v>527</v>
      </c>
      <c r="B12" s="4" t="s">
        <v>1387</v>
      </c>
      <c r="C12" s="4" t="s">
        <v>187</v>
      </c>
      <c r="D12" s="20"/>
      <c r="E12" s="20"/>
      <c r="F12" s="28">
        <f t="shared" ref="F12:F13" si="1">F11+D12</f>
        <v>0</v>
      </c>
    </row>
    <row r="13" spans="1:7" x14ac:dyDescent="0.2">
      <c r="A13" s="18" t="s">
        <v>476</v>
      </c>
      <c r="B13" s="4" t="s">
        <v>1389</v>
      </c>
      <c r="C13" s="4" t="s">
        <v>187</v>
      </c>
      <c r="D13" s="20"/>
      <c r="E13" s="20"/>
      <c r="F13" s="28">
        <f t="shared" si="1"/>
        <v>0</v>
      </c>
    </row>
    <row r="14" spans="1:7" x14ac:dyDescent="0.2">
      <c r="A14" s="18" t="s">
        <v>476</v>
      </c>
      <c r="B14" s="4" t="s">
        <v>1390</v>
      </c>
      <c r="C14" s="4" t="s">
        <v>187</v>
      </c>
      <c r="D14" s="20"/>
      <c r="E14" s="20"/>
      <c r="F14" s="28">
        <f t="shared" si="0"/>
        <v>0</v>
      </c>
    </row>
    <row r="15" spans="1:7" x14ac:dyDescent="0.2">
      <c r="A15" s="18" t="s">
        <v>838</v>
      </c>
      <c r="B15" s="4" t="s">
        <v>586</v>
      </c>
      <c r="C15" s="4" t="s">
        <v>187</v>
      </c>
      <c r="D15" s="20"/>
      <c r="E15" s="20"/>
      <c r="F15" s="28">
        <f t="shared" si="0"/>
        <v>0</v>
      </c>
    </row>
    <row r="16" spans="1:7" x14ac:dyDescent="0.2">
      <c r="A16" s="18" t="s">
        <v>885</v>
      </c>
      <c r="B16" s="4" t="s">
        <v>192</v>
      </c>
      <c r="C16" s="4" t="s">
        <v>187</v>
      </c>
      <c r="D16" s="20"/>
      <c r="E16" s="20"/>
      <c r="F16" s="28">
        <f t="shared" si="0"/>
        <v>0</v>
      </c>
    </row>
    <row r="17" spans="1:6" x14ac:dyDescent="0.2">
      <c r="A17" s="18" t="s">
        <v>885</v>
      </c>
      <c r="B17" s="4" t="s">
        <v>886</v>
      </c>
      <c r="C17" s="4" t="s">
        <v>187</v>
      </c>
      <c r="D17" s="20"/>
      <c r="E17" s="20"/>
      <c r="F17" s="28">
        <f t="shared" si="0"/>
        <v>0</v>
      </c>
    </row>
    <row r="18" spans="1:6" x14ac:dyDescent="0.2">
      <c r="A18" s="18" t="s">
        <v>885</v>
      </c>
      <c r="B18" s="4" t="s">
        <v>893</v>
      </c>
      <c r="C18" s="4" t="s">
        <v>187</v>
      </c>
      <c r="D18" s="20"/>
      <c r="E18" s="20"/>
      <c r="F18" s="28">
        <f t="shared" si="0"/>
        <v>0</v>
      </c>
    </row>
    <row r="19" spans="1:6" x14ac:dyDescent="0.2">
      <c r="A19" s="18" t="s">
        <v>932</v>
      </c>
      <c r="B19" s="4" t="s">
        <v>192</v>
      </c>
      <c r="C19" s="4" t="s">
        <v>187</v>
      </c>
      <c r="D19" s="20"/>
      <c r="E19" s="20"/>
      <c r="F19" s="28">
        <f t="shared" si="0"/>
        <v>0</v>
      </c>
    </row>
    <row r="20" spans="1:6" x14ac:dyDescent="0.2">
      <c r="A20" s="18" t="s">
        <v>932</v>
      </c>
      <c r="B20" s="4" t="s">
        <v>886</v>
      </c>
      <c r="C20" s="4" t="s">
        <v>187</v>
      </c>
      <c r="D20" s="20"/>
      <c r="E20" s="20"/>
      <c r="F20" s="28">
        <f t="shared" si="0"/>
        <v>0</v>
      </c>
    </row>
    <row r="21" spans="1:6" x14ac:dyDescent="0.2">
      <c r="A21" s="18" t="s">
        <v>613</v>
      </c>
      <c r="B21" s="4" t="s">
        <v>192</v>
      </c>
      <c r="C21" s="4" t="s">
        <v>187</v>
      </c>
      <c r="D21" s="20"/>
      <c r="E21" s="20"/>
      <c r="F21" s="28">
        <f t="shared" si="0"/>
        <v>0</v>
      </c>
    </row>
    <row r="22" spans="1:6" x14ac:dyDescent="0.2">
      <c r="A22" s="18" t="s">
        <v>613</v>
      </c>
      <c r="B22" s="4" t="s">
        <v>886</v>
      </c>
      <c r="C22" s="4" t="s">
        <v>187</v>
      </c>
      <c r="D22" s="20"/>
      <c r="E22" s="20"/>
      <c r="F22" s="28">
        <f t="shared" si="0"/>
        <v>0</v>
      </c>
    </row>
    <row r="23" spans="1:6" x14ac:dyDescent="0.2">
      <c r="A23" s="18" t="s">
        <v>485</v>
      </c>
      <c r="B23" s="4" t="s">
        <v>192</v>
      </c>
      <c r="C23" s="4" t="s">
        <v>187</v>
      </c>
      <c r="D23" s="20"/>
      <c r="E23" s="20"/>
      <c r="F23" s="28">
        <f t="shared" si="0"/>
        <v>0</v>
      </c>
    </row>
    <row r="24" spans="1:6" x14ac:dyDescent="0.2">
      <c r="A24" s="18" t="s">
        <v>485</v>
      </c>
      <c r="B24" s="4" t="s">
        <v>886</v>
      </c>
      <c r="C24" s="4" t="s">
        <v>187</v>
      </c>
      <c r="D24" s="20"/>
      <c r="E24" s="20"/>
      <c r="F24" s="28">
        <f t="shared" si="0"/>
        <v>0</v>
      </c>
    </row>
    <row r="25" spans="1:6" x14ac:dyDescent="0.2">
      <c r="A25" s="18" t="s">
        <v>372</v>
      </c>
      <c r="B25" s="4" t="s">
        <v>192</v>
      </c>
      <c r="C25" s="4" t="s">
        <v>187</v>
      </c>
      <c r="D25" s="20"/>
      <c r="E25" s="20"/>
      <c r="F25" s="28">
        <f t="shared" si="0"/>
        <v>0</v>
      </c>
    </row>
    <row r="26" spans="1:6" x14ac:dyDescent="0.2">
      <c r="A26" s="18" t="s">
        <v>1126</v>
      </c>
      <c r="B26" s="4" t="s">
        <v>192</v>
      </c>
      <c r="C26" s="4" t="s">
        <v>187</v>
      </c>
      <c r="D26" s="20"/>
      <c r="E26" s="20"/>
      <c r="F26" s="28">
        <f t="shared" si="0"/>
        <v>0</v>
      </c>
    </row>
    <row r="27" spans="1:6" x14ac:dyDescent="0.2">
      <c r="A27" s="18" t="s">
        <v>1181</v>
      </c>
      <c r="B27" s="4" t="s">
        <v>192</v>
      </c>
      <c r="C27" s="4" t="s">
        <v>187</v>
      </c>
      <c r="D27" s="20"/>
      <c r="E27" s="20"/>
      <c r="F27" s="28">
        <f t="shared" si="0"/>
        <v>0</v>
      </c>
    </row>
    <row r="28" spans="1:6" x14ac:dyDescent="0.2">
      <c r="A28" s="18" t="s">
        <v>1181</v>
      </c>
      <c r="B28" s="4" t="s">
        <v>886</v>
      </c>
      <c r="C28" s="4" t="s">
        <v>187</v>
      </c>
      <c r="D28" s="20"/>
      <c r="E28" s="20"/>
      <c r="F28" s="28">
        <f t="shared" si="0"/>
        <v>0</v>
      </c>
    </row>
    <row r="29" spans="1:6" x14ac:dyDescent="0.2">
      <c r="A29" s="53" t="s">
        <v>1181</v>
      </c>
      <c r="B29" s="4" t="s">
        <v>1189</v>
      </c>
      <c r="C29" s="4" t="s">
        <v>187</v>
      </c>
      <c r="D29" s="20"/>
      <c r="E29" s="20"/>
      <c r="F29" s="28">
        <f t="shared" ref="F29" si="2">F28+D29</f>
        <v>0</v>
      </c>
    </row>
    <row r="30" spans="1:6" x14ac:dyDescent="0.2">
      <c r="A30" s="105" t="s">
        <v>10</v>
      </c>
      <c r="B30" s="112"/>
      <c r="C30" s="106"/>
      <c r="D30" s="20">
        <f>SUM(D8:D28)</f>
        <v>0</v>
      </c>
      <c r="E30" s="20">
        <f>SUM(E8:E28)</f>
        <v>0</v>
      </c>
      <c r="F30" s="28">
        <f>D30-E30</f>
        <v>0</v>
      </c>
    </row>
    <row r="31" spans="1:6" x14ac:dyDescent="0.2">
      <c r="A31" s="105" t="s">
        <v>11</v>
      </c>
      <c r="B31" s="112"/>
      <c r="C31" s="106"/>
      <c r="D31" s="20"/>
      <c r="E31" s="20"/>
      <c r="F31" s="28">
        <f>D31-E31</f>
        <v>0</v>
      </c>
    </row>
    <row r="32" spans="1:6" x14ac:dyDescent="0.2">
      <c r="A32" s="105" t="s">
        <v>10</v>
      </c>
      <c r="B32" s="112"/>
      <c r="C32" s="106"/>
      <c r="D32" s="20">
        <f>SUM(D30:D31)</f>
        <v>0</v>
      </c>
      <c r="E32" s="20">
        <f>SUM(E30:E31)</f>
        <v>0</v>
      </c>
      <c r="F32" s="28">
        <f>SUM(F30:F31)</f>
        <v>0</v>
      </c>
    </row>
    <row r="33" spans="1:6" x14ac:dyDescent="0.2">
      <c r="D33" s="13"/>
      <c r="E33" s="13"/>
      <c r="F33" s="48"/>
    </row>
    <row r="34" spans="1:6" x14ac:dyDescent="0.2">
      <c r="D34" s="13"/>
      <c r="E34" s="13"/>
      <c r="F34" s="48"/>
    </row>
    <row r="35" spans="1:6" x14ac:dyDescent="0.2">
      <c r="D35" s="13"/>
      <c r="E35" s="13"/>
      <c r="F35" s="48"/>
    </row>
    <row r="36" spans="1:6" x14ac:dyDescent="0.2">
      <c r="A36" s="100" t="s">
        <v>0</v>
      </c>
      <c r="B36" s="100"/>
      <c r="F36" s="1"/>
    </row>
    <row r="37" spans="1:6" x14ac:dyDescent="0.2">
      <c r="A37" s="100" t="s">
        <v>1</v>
      </c>
      <c r="B37" s="100"/>
      <c r="F37" s="1"/>
    </row>
    <row r="38" spans="1:6" x14ac:dyDescent="0.2">
      <c r="A38" s="101" t="s">
        <v>2</v>
      </c>
      <c r="B38" s="101"/>
      <c r="C38" s="101"/>
      <c r="D38" s="101"/>
      <c r="E38" s="101"/>
      <c r="F38" s="101"/>
    </row>
    <row r="39" spans="1:6" x14ac:dyDescent="0.2">
      <c r="A39" s="2" t="s">
        <v>673</v>
      </c>
      <c r="B39" s="123"/>
      <c r="C39" s="125"/>
      <c r="D39" s="123" t="s">
        <v>139</v>
      </c>
      <c r="F39" s="1"/>
    </row>
    <row r="40" spans="1:6" x14ac:dyDescent="0.2">
      <c r="F40" s="1"/>
    </row>
    <row r="41" spans="1:6" x14ac:dyDescent="0.2">
      <c r="A41" s="103" t="s">
        <v>3</v>
      </c>
      <c r="B41" s="103" t="s">
        <v>4</v>
      </c>
      <c r="C41" s="103" t="s">
        <v>5</v>
      </c>
      <c r="D41" s="105" t="s">
        <v>6</v>
      </c>
      <c r="E41" s="106"/>
      <c r="F41" s="103" t="s">
        <v>9</v>
      </c>
    </row>
    <row r="42" spans="1:6" x14ac:dyDescent="0.2">
      <c r="A42" s="104"/>
      <c r="B42" s="104"/>
      <c r="C42" s="104"/>
      <c r="D42" s="3" t="s">
        <v>7</v>
      </c>
      <c r="E42" s="3" t="s">
        <v>8</v>
      </c>
      <c r="F42" s="104"/>
    </row>
    <row r="43" spans="1:6" x14ac:dyDescent="0.2">
      <c r="A43" s="41" t="s">
        <v>469</v>
      </c>
      <c r="B43" s="4"/>
      <c r="C43" s="4" t="s">
        <v>187</v>
      </c>
      <c r="D43" s="20"/>
      <c r="E43" s="20">
        <v>0</v>
      </c>
      <c r="F43" s="20">
        <f>D43+E43</f>
        <v>0</v>
      </c>
    </row>
    <row r="44" spans="1:6" x14ac:dyDescent="0.2">
      <c r="A44" s="18" t="s">
        <v>1227</v>
      </c>
      <c r="B44" s="4" t="s">
        <v>1241</v>
      </c>
      <c r="C44" s="4" t="s">
        <v>187</v>
      </c>
      <c r="D44" s="20"/>
      <c r="E44" s="20"/>
      <c r="F44" s="20">
        <f>D44+E44</f>
        <v>0</v>
      </c>
    </row>
    <row r="45" spans="1:6" x14ac:dyDescent="0.2">
      <c r="A45" s="18" t="s">
        <v>1222</v>
      </c>
      <c r="B45" s="4" t="s">
        <v>1242</v>
      </c>
      <c r="C45" s="4" t="s">
        <v>187</v>
      </c>
      <c r="D45" s="20"/>
      <c r="E45" s="20"/>
      <c r="F45" s="20">
        <f>F44+D45</f>
        <v>0</v>
      </c>
    </row>
    <row r="46" spans="1:6" x14ac:dyDescent="0.2">
      <c r="A46" s="18" t="s">
        <v>1237</v>
      </c>
      <c r="B46" s="4" t="s">
        <v>1244</v>
      </c>
      <c r="C46" s="4" t="s">
        <v>187</v>
      </c>
      <c r="D46" s="20"/>
      <c r="E46" s="20"/>
      <c r="F46" s="20">
        <f t="shared" ref="F46:F47" si="3">F45+D46</f>
        <v>0</v>
      </c>
    </row>
    <row r="47" spans="1:6" x14ac:dyDescent="0.2">
      <c r="A47" s="18" t="s">
        <v>1237</v>
      </c>
      <c r="B47" s="4" t="s">
        <v>1245</v>
      </c>
      <c r="C47" s="4" t="s">
        <v>187</v>
      </c>
      <c r="D47" s="20"/>
      <c r="E47" s="20"/>
      <c r="F47" s="20">
        <f t="shared" si="3"/>
        <v>0</v>
      </c>
    </row>
    <row r="48" spans="1:6" x14ac:dyDescent="0.2">
      <c r="A48" s="41" t="s">
        <v>247</v>
      </c>
      <c r="B48" s="4"/>
      <c r="C48" s="4"/>
      <c r="D48" s="20"/>
      <c r="E48" s="20"/>
      <c r="F48" s="20"/>
    </row>
    <row r="49" spans="1:6" x14ac:dyDescent="0.2">
      <c r="A49" s="18" t="s">
        <v>742</v>
      </c>
      <c r="B49" s="4" t="s">
        <v>1292</v>
      </c>
      <c r="C49" s="4" t="s">
        <v>187</v>
      </c>
      <c r="D49" s="20"/>
      <c r="E49" s="20"/>
      <c r="F49" s="20">
        <f>D49+E49</f>
        <v>0</v>
      </c>
    </row>
    <row r="50" spans="1:6" x14ac:dyDescent="0.2">
      <c r="A50" s="18" t="s">
        <v>474</v>
      </c>
      <c r="B50" s="4" t="s">
        <v>1293</v>
      </c>
      <c r="C50" s="4" t="s">
        <v>187</v>
      </c>
      <c r="D50" s="20"/>
      <c r="E50" s="20"/>
      <c r="F50" s="20">
        <f>F49+D50</f>
        <v>0</v>
      </c>
    </row>
    <row r="51" spans="1:6" x14ac:dyDescent="0.2">
      <c r="A51" s="18" t="s">
        <v>474</v>
      </c>
      <c r="B51" s="4" t="s">
        <v>1294</v>
      </c>
      <c r="C51" s="4" t="s">
        <v>187</v>
      </c>
      <c r="D51" s="20"/>
      <c r="E51" s="20"/>
      <c r="F51" s="20">
        <f t="shared" ref="F51:F52" si="4">F50+D51</f>
        <v>0</v>
      </c>
    </row>
    <row r="52" spans="1:6" x14ac:dyDescent="0.2">
      <c r="A52" s="18" t="s">
        <v>756</v>
      </c>
      <c r="B52" s="4" t="s">
        <v>1295</v>
      </c>
      <c r="C52" s="4" t="s">
        <v>187</v>
      </c>
      <c r="D52" s="20"/>
      <c r="E52" s="20"/>
      <c r="F52" s="20">
        <f t="shared" si="4"/>
        <v>0</v>
      </c>
    </row>
    <row r="53" spans="1:6" x14ac:dyDescent="0.2">
      <c r="A53" s="41" t="s">
        <v>262</v>
      </c>
      <c r="B53" s="4"/>
      <c r="C53" s="4" t="s">
        <v>187</v>
      </c>
      <c r="D53" s="20"/>
      <c r="E53" s="20"/>
      <c r="F53" s="20"/>
    </row>
    <row r="54" spans="1:6" x14ac:dyDescent="0.2">
      <c r="A54" s="18" t="s">
        <v>1384</v>
      </c>
      <c r="B54" s="4" t="s">
        <v>1292</v>
      </c>
      <c r="C54" s="4" t="s">
        <v>187</v>
      </c>
      <c r="D54" s="20"/>
      <c r="E54" s="20"/>
      <c r="F54" s="20">
        <f>D54+E54</f>
        <v>0</v>
      </c>
    </row>
    <row r="55" spans="1:6" x14ac:dyDescent="0.2">
      <c r="A55" s="18" t="s">
        <v>476</v>
      </c>
      <c r="B55" s="4" t="s">
        <v>1293</v>
      </c>
      <c r="C55" s="4" t="s">
        <v>187</v>
      </c>
      <c r="D55" s="20"/>
      <c r="E55" s="20"/>
      <c r="F55" s="20">
        <f>F54+D55</f>
        <v>0</v>
      </c>
    </row>
    <row r="56" spans="1:6" x14ac:dyDescent="0.2">
      <c r="A56" s="18" t="s">
        <v>1365</v>
      </c>
      <c r="B56" s="4" t="s">
        <v>1294</v>
      </c>
      <c r="C56" s="4" t="s">
        <v>187</v>
      </c>
      <c r="D56" s="20"/>
      <c r="E56" s="20"/>
      <c r="F56" s="20">
        <f t="shared" ref="F56:F57" si="5">F55+D56</f>
        <v>0</v>
      </c>
    </row>
    <row r="57" spans="1:6" x14ac:dyDescent="0.2">
      <c r="A57" s="18" t="s">
        <v>1365</v>
      </c>
      <c r="B57" s="4" t="s">
        <v>1295</v>
      </c>
      <c r="C57" s="4" t="s">
        <v>187</v>
      </c>
      <c r="D57" s="20"/>
      <c r="E57" s="20"/>
      <c r="F57" s="20">
        <f t="shared" si="5"/>
        <v>0</v>
      </c>
    </row>
    <row r="58" spans="1:6" x14ac:dyDescent="0.2">
      <c r="A58" s="41" t="s">
        <v>283</v>
      </c>
      <c r="B58" s="4"/>
      <c r="C58" s="4" t="s">
        <v>187</v>
      </c>
      <c r="D58" s="20"/>
      <c r="E58" s="20"/>
      <c r="F58" s="20"/>
    </row>
    <row r="59" spans="1:6" x14ac:dyDescent="0.2">
      <c r="A59" s="18" t="s">
        <v>778</v>
      </c>
      <c r="B59" s="4" t="s">
        <v>690</v>
      </c>
      <c r="C59" s="4" t="s">
        <v>187</v>
      </c>
      <c r="D59" s="20"/>
      <c r="E59" s="20"/>
      <c r="F59" s="20">
        <f>D59+E59</f>
        <v>0</v>
      </c>
    </row>
    <row r="60" spans="1:6" x14ac:dyDescent="0.2">
      <c r="A60" s="18" t="s">
        <v>798</v>
      </c>
      <c r="B60" s="4" t="s">
        <v>691</v>
      </c>
      <c r="C60" s="4" t="s">
        <v>187</v>
      </c>
      <c r="D60" s="20"/>
      <c r="E60" s="20"/>
      <c r="F60" s="20">
        <f>F59+D60</f>
        <v>0</v>
      </c>
    </row>
    <row r="61" spans="1:6" x14ac:dyDescent="0.2">
      <c r="A61" s="18" t="s">
        <v>798</v>
      </c>
      <c r="B61" s="4" t="s">
        <v>689</v>
      </c>
      <c r="C61" s="4" t="s">
        <v>187</v>
      </c>
      <c r="D61" s="20"/>
      <c r="E61" s="20"/>
      <c r="F61" s="20">
        <f t="shared" ref="F61:F62" si="6">F60+D61</f>
        <v>0</v>
      </c>
    </row>
    <row r="62" spans="1:6" x14ac:dyDescent="0.2">
      <c r="A62" s="18" t="s">
        <v>798</v>
      </c>
      <c r="B62" s="4" t="s">
        <v>737</v>
      </c>
      <c r="C62" s="4" t="s">
        <v>187</v>
      </c>
      <c r="D62" s="20"/>
      <c r="E62" s="20"/>
      <c r="F62" s="20">
        <f t="shared" si="6"/>
        <v>0</v>
      </c>
    </row>
    <row r="63" spans="1:6" x14ac:dyDescent="0.2">
      <c r="A63" s="41" t="s">
        <v>299</v>
      </c>
      <c r="B63" s="4"/>
      <c r="C63" s="4" t="s">
        <v>187</v>
      </c>
      <c r="D63" s="20"/>
      <c r="E63" s="20"/>
      <c r="F63" s="20"/>
    </row>
    <row r="64" spans="1:6" x14ac:dyDescent="0.2">
      <c r="A64" s="18" t="s">
        <v>594</v>
      </c>
      <c r="B64" s="4" t="s">
        <v>690</v>
      </c>
      <c r="C64" s="4" t="s">
        <v>187</v>
      </c>
      <c r="D64" s="20"/>
      <c r="E64" s="20"/>
      <c r="F64" s="20">
        <f>D64+E64</f>
        <v>0</v>
      </c>
    </row>
    <row r="65" spans="1:6" x14ac:dyDescent="0.2">
      <c r="A65" s="18" t="s">
        <v>838</v>
      </c>
      <c r="B65" s="4" t="s">
        <v>691</v>
      </c>
      <c r="C65" s="4" t="s">
        <v>187</v>
      </c>
      <c r="D65" s="20"/>
      <c r="E65" s="20"/>
      <c r="F65" s="20">
        <f>F64+D65</f>
        <v>0</v>
      </c>
    </row>
    <row r="66" spans="1:6" x14ac:dyDescent="0.2">
      <c r="A66" s="18" t="s">
        <v>838</v>
      </c>
      <c r="B66" s="4" t="s">
        <v>689</v>
      </c>
      <c r="C66" s="4" t="s">
        <v>187</v>
      </c>
      <c r="D66" s="20"/>
      <c r="E66" s="20"/>
      <c r="F66" s="20">
        <f t="shared" ref="F66:F67" si="7">F65+D66</f>
        <v>0</v>
      </c>
    </row>
    <row r="67" spans="1:6" x14ac:dyDescent="0.2">
      <c r="A67" s="18" t="s">
        <v>838</v>
      </c>
      <c r="B67" s="4" t="s">
        <v>737</v>
      </c>
      <c r="C67" s="4" t="s">
        <v>187</v>
      </c>
      <c r="D67" s="20"/>
      <c r="E67" s="20"/>
      <c r="F67" s="20">
        <f t="shared" si="7"/>
        <v>0</v>
      </c>
    </row>
    <row r="68" spans="1:6" x14ac:dyDescent="0.2">
      <c r="A68" s="41" t="s">
        <v>315</v>
      </c>
      <c r="B68" s="4"/>
      <c r="C68" s="4" t="s">
        <v>187</v>
      </c>
      <c r="D68" s="20"/>
      <c r="E68" s="20"/>
      <c r="F68" s="20"/>
    </row>
    <row r="69" spans="1:6" x14ac:dyDescent="0.2">
      <c r="A69" s="18" t="s">
        <v>858</v>
      </c>
      <c r="B69" s="4" t="s">
        <v>690</v>
      </c>
      <c r="C69" s="4" t="s">
        <v>187</v>
      </c>
      <c r="D69" s="20"/>
      <c r="E69" s="20"/>
      <c r="F69" s="20">
        <f>D69+E69</f>
        <v>0</v>
      </c>
    </row>
    <row r="70" spans="1:6" x14ac:dyDescent="0.2">
      <c r="A70" s="18" t="s">
        <v>885</v>
      </c>
      <c r="B70" s="4" t="s">
        <v>691</v>
      </c>
      <c r="C70" s="4" t="s">
        <v>187</v>
      </c>
      <c r="D70" s="20"/>
      <c r="E70" s="20"/>
      <c r="F70" s="20">
        <f>F69+D70</f>
        <v>0</v>
      </c>
    </row>
    <row r="71" spans="1:6" x14ac:dyDescent="0.2">
      <c r="A71" s="18" t="s">
        <v>885</v>
      </c>
      <c r="B71" s="4" t="s">
        <v>689</v>
      </c>
      <c r="C71" s="4" t="s">
        <v>187</v>
      </c>
      <c r="D71" s="20"/>
      <c r="E71" s="20"/>
      <c r="F71" s="20">
        <f t="shared" ref="F71:F72" si="8">F70+D71</f>
        <v>0</v>
      </c>
    </row>
    <row r="72" spans="1:6" x14ac:dyDescent="0.2">
      <c r="A72" s="18" t="s">
        <v>885</v>
      </c>
      <c r="B72" s="4" t="s">
        <v>737</v>
      </c>
      <c r="C72" s="4" t="s">
        <v>187</v>
      </c>
      <c r="D72" s="20"/>
      <c r="E72" s="20"/>
      <c r="F72" s="20">
        <f t="shared" si="8"/>
        <v>0</v>
      </c>
    </row>
    <row r="73" spans="1:6" x14ac:dyDescent="0.2">
      <c r="A73" s="41" t="s">
        <v>330</v>
      </c>
      <c r="B73" s="4"/>
      <c r="C73" s="4" t="s">
        <v>187</v>
      </c>
      <c r="D73" s="20"/>
      <c r="E73" s="20"/>
      <c r="F73" s="20"/>
    </row>
    <row r="74" spans="1:6" x14ac:dyDescent="0.2">
      <c r="A74" s="18" t="s">
        <v>329</v>
      </c>
      <c r="B74" s="4" t="s">
        <v>690</v>
      </c>
      <c r="C74" s="4" t="s">
        <v>187</v>
      </c>
      <c r="D74" s="20"/>
      <c r="E74" s="20"/>
      <c r="F74" s="20">
        <f>D74+E74</f>
        <v>0</v>
      </c>
    </row>
    <row r="75" spans="1:6" x14ac:dyDescent="0.2">
      <c r="A75" s="18" t="s">
        <v>932</v>
      </c>
      <c r="B75" s="4" t="s">
        <v>689</v>
      </c>
      <c r="C75" s="4" t="s">
        <v>187</v>
      </c>
      <c r="D75" s="20"/>
      <c r="E75" s="20"/>
      <c r="F75" s="20">
        <f>F74+D75</f>
        <v>0</v>
      </c>
    </row>
    <row r="76" spans="1:6" x14ac:dyDescent="0.2">
      <c r="A76" s="18" t="s">
        <v>932</v>
      </c>
      <c r="B76" s="4" t="s">
        <v>737</v>
      </c>
      <c r="C76" s="4" t="s">
        <v>187</v>
      </c>
      <c r="D76" s="20"/>
      <c r="E76" s="20"/>
      <c r="F76" s="20">
        <f t="shared" ref="F76:F77" si="9">F75+D76</f>
        <v>0</v>
      </c>
    </row>
    <row r="77" spans="1:6" x14ac:dyDescent="0.2">
      <c r="A77" s="18" t="s">
        <v>934</v>
      </c>
      <c r="B77" s="4" t="s">
        <v>691</v>
      </c>
      <c r="C77" s="4" t="s">
        <v>187</v>
      </c>
      <c r="D77" s="20"/>
      <c r="E77" s="20"/>
      <c r="F77" s="20">
        <f t="shared" si="9"/>
        <v>0</v>
      </c>
    </row>
    <row r="78" spans="1:6" x14ac:dyDescent="0.2">
      <c r="A78" s="41" t="s">
        <v>344</v>
      </c>
      <c r="B78" s="4"/>
      <c r="C78" s="4" t="s">
        <v>187</v>
      </c>
      <c r="D78" s="20"/>
      <c r="E78" s="20"/>
      <c r="F78" s="20"/>
    </row>
    <row r="79" spans="1:6" x14ac:dyDescent="0.2">
      <c r="A79" s="18" t="s">
        <v>964</v>
      </c>
      <c r="B79" s="4" t="s">
        <v>690</v>
      </c>
      <c r="C79" s="4" t="s">
        <v>187</v>
      </c>
      <c r="D79" s="20"/>
      <c r="E79" s="20"/>
      <c r="F79" s="20">
        <f>D79+E79</f>
        <v>0</v>
      </c>
    </row>
    <row r="80" spans="1:6" x14ac:dyDescent="0.2">
      <c r="A80" s="18" t="s">
        <v>613</v>
      </c>
      <c r="B80" s="4" t="s">
        <v>689</v>
      </c>
      <c r="C80" s="4" t="s">
        <v>187</v>
      </c>
      <c r="D80" s="20"/>
      <c r="E80" s="20"/>
      <c r="F80" s="20">
        <f>F79+D80</f>
        <v>0</v>
      </c>
    </row>
    <row r="81" spans="1:6" x14ac:dyDescent="0.2">
      <c r="A81" s="18" t="s">
        <v>613</v>
      </c>
      <c r="B81" s="4" t="s">
        <v>737</v>
      </c>
      <c r="C81" s="4" t="s">
        <v>187</v>
      </c>
      <c r="D81" s="20"/>
      <c r="E81" s="20"/>
      <c r="F81" s="20">
        <f t="shared" ref="F81:F82" si="10">F80+D81</f>
        <v>0</v>
      </c>
    </row>
    <row r="82" spans="1:6" x14ac:dyDescent="0.2">
      <c r="A82" s="18" t="s">
        <v>348</v>
      </c>
      <c r="B82" s="4" t="s">
        <v>691</v>
      </c>
      <c r="C82" s="4" t="s">
        <v>187</v>
      </c>
      <c r="D82" s="20"/>
      <c r="E82" s="20"/>
      <c r="F82" s="20">
        <f t="shared" si="10"/>
        <v>0</v>
      </c>
    </row>
    <row r="83" spans="1:6" x14ac:dyDescent="0.2">
      <c r="A83" s="41" t="s">
        <v>363</v>
      </c>
      <c r="B83" s="4"/>
      <c r="C83" s="4" t="s">
        <v>187</v>
      </c>
      <c r="D83" s="20"/>
      <c r="E83" s="20"/>
      <c r="F83" s="20"/>
    </row>
    <row r="84" spans="1:6" x14ac:dyDescent="0.2">
      <c r="A84" s="18" t="s">
        <v>362</v>
      </c>
      <c r="B84" s="4" t="s">
        <v>690</v>
      </c>
      <c r="C84" s="4" t="s">
        <v>187</v>
      </c>
      <c r="D84" s="20"/>
      <c r="E84" s="20"/>
      <c r="F84" s="20">
        <f>D84+E84</f>
        <v>0</v>
      </c>
    </row>
    <row r="85" spans="1:6" x14ac:dyDescent="0.2">
      <c r="A85" s="18" t="s">
        <v>485</v>
      </c>
      <c r="B85" s="4" t="s">
        <v>689</v>
      </c>
      <c r="C85" s="4" t="s">
        <v>187</v>
      </c>
      <c r="D85" s="20"/>
      <c r="E85" s="20"/>
      <c r="F85" s="20">
        <f>F84+D85</f>
        <v>0</v>
      </c>
    </row>
    <row r="86" spans="1:6" x14ac:dyDescent="0.2">
      <c r="A86" s="18" t="s">
        <v>485</v>
      </c>
      <c r="B86" s="4" t="s">
        <v>737</v>
      </c>
      <c r="C86" s="4" t="s">
        <v>187</v>
      </c>
      <c r="D86" s="20"/>
      <c r="E86" s="20"/>
      <c r="F86" s="20">
        <f t="shared" ref="F86:F87" si="11">F85+D86</f>
        <v>0</v>
      </c>
    </row>
    <row r="87" spans="1:6" x14ac:dyDescent="0.2">
      <c r="A87" s="18" t="s">
        <v>1047</v>
      </c>
      <c r="B87" s="4" t="s">
        <v>691</v>
      </c>
      <c r="C87" s="4" t="s">
        <v>187</v>
      </c>
      <c r="D87" s="20"/>
      <c r="E87" s="20"/>
      <c r="F87" s="20">
        <f t="shared" si="11"/>
        <v>0</v>
      </c>
    </row>
    <row r="88" spans="1:6" x14ac:dyDescent="0.2">
      <c r="A88" s="41" t="s">
        <v>368</v>
      </c>
      <c r="B88" s="4"/>
      <c r="C88" s="4" t="s">
        <v>187</v>
      </c>
      <c r="D88" s="20"/>
      <c r="E88" s="20"/>
      <c r="F88" s="20"/>
    </row>
    <row r="89" spans="1:6" x14ac:dyDescent="0.2">
      <c r="A89" s="18" t="s">
        <v>631</v>
      </c>
      <c r="B89" s="4" t="s">
        <v>690</v>
      </c>
      <c r="C89" s="4" t="s">
        <v>187</v>
      </c>
      <c r="D89" s="20"/>
      <c r="E89" s="20"/>
      <c r="F89" s="20">
        <f>D89+E89</f>
        <v>0</v>
      </c>
    </row>
    <row r="90" spans="1:6" x14ac:dyDescent="0.2">
      <c r="A90" s="18" t="s">
        <v>372</v>
      </c>
      <c r="B90" s="4" t="s">
        <v>689</v>
      </c>
      <c r="C90" s="4" t="s">
        <v>187</v>
      </c>
      <c r="D90" s="20"/>
      <c r="E90" s="20"/>
      <c r="F90" s="20">
        <f>F89+D90</f>
        <v>0</v>
      </c>
    </row>
    <row r="91" spans="1:6" x14ac:dyDescent="0.2">
      <c r="A91" s="18" t="s">
        <v>372</v>
      </c>
      <c r="B91" s="4" t="s">
        <v>737</v>
      </c>
      <c r="C91" s="4" t="s">
        <v>187</v>
      </c>
      <c r="D91" s="20"/>
      <c r="E91" s="20"/>
      <c r="F91" s="20">
        <f t="shared" ref="F91:F92" si="12">F90+D91</f>
        <v>0</v>
      </c>
    </row>
    <row r="92" spans="1:6" x14ac:dyDescent="0.2">
      <c r="A92" s="18" t="s">
        <v>1088</v>
      </c>
      <c r="B92" s="4" t="s">
        <v>691</v>
      </c>
      <c r="C92" s="4" t="s">
        <v>187</v>
      </c>
      <c r="D92" s="20"/>
      <c r="E92" s="20"/>
      <c r="F92" s="20">
        <f t="shared" si="12"/>
        <v>0</v>
      </c>
    </row>
    <row r="93" spans="1:6" x14ac:dyDescent="0.2">
      <c r="A93" s="41" t="s">
        <v>397</v>
      </c>
      <c r="B93" s="4"/>
      <c r="C93" s="4" t="s">
        <v>187</v>
      </c>
      <c r="D93" s="20"/>
      <c r="E93" s="20"/>
      <c r="F93" s="20"/>
    </row>
    <row r="94" spans="1:6" x14ac:dyDescent="0.2">
      <c r="A94" s="18" t="s">
        <v>1102</v>
      </c>
      <c r="B94" s="4" t="s">
        <v>690</v>
      </c>
      <c r="C94" s="4" t="s">
        <v>187</v>
      </c>
      <c r="D94" s="20"/>
      <c r="E94" s="20"/>
      <c r="F94" s="20">
        <f>D94+E94</f>
        <v>0</v>
      </c>
    </row>
    <row r="95" spans="1:6" x14ac:dyDescent="0.2">
      <c r="A95" s="18" t="s">
        <v>1126</v>
      </c>
      <c r="B95" s="4" t="s">
        <v>689</v>
      </c>
      <c r="C95" s="4" t="s">
        <v>187</v>
      </c>
      <c r="D95" s="20"/>
      <c r="E95" s="20"/>
      <c r="F95" s="20">
        <f>F94+D95</f>
        <v>0</v>
      </c>
    </row>
    <row r="96" spans="1:6" x14ac:dyDescent="0.2">
      <c r="A96" s="18" t="s">
        <v>1126</v>
      </c>
      <c r="B96" s="4" t="s">
        <v>737</v>
      </c>
      <c r="C96" s="4" t="s">
        <v>187</v>
      </c>
      <c r="D96" s="20"/>
      <c r="E96" s="20"/>
      <c r="F96" s="20">
        <f t="shared" ref="F96:F97" si="13">F95+D96</f>
        <v>0</v>
      </c>
    </row>
    <row r="97" spans="1:6" x14ac:dyDescent="0.2">
      <c r="A97" s="18" t="s">
        <v>1126</v>
      </c>
      <c r="B97" s="4" t="s">
        <v>691</v>
      </c>
      <c r="C97" s="4" t="s">
        <v>187</v>
      </c>
      <c r="D97" s="20"/>
      <c r="E97" s="20"/>
      <c r="F97" s="20">
        <f t="shared" si="13"/>
        <v>0</v>
      </c>
    </row>
    <row r="98" spans="1:6" x14ac:dyDescent="0.2">
      <c r="A98" s="41" t="s">
        <v>453</v>
      </c>
      <c r="B98" s="4"/>
      <c r="C98" s="4" t="s">
        <v>187</v>
      </c>
      <c r="D98" s="20"/>
      <c r="E98" s="20"/>
      <c r="F98" s="20"/>
    </row>
    <row r="99" spans="1:6" x14ac:dyDescent="0.2">
      <c r="A99" s="18" t="s">
        <v>1138</v>
      </c>
      <c r="B99" s="4" t="s">
        <v>690</v>
      </c>
      <c r="C99" s="4" t="s">
        <v>187</v>
      </c>
      <c r="D99" s="20"/>
      <c r="E99" s="20"/>
      <c r="F99" s="20">
        <f>D99+E99</f>
        <v>0</v>
      </c>
    </row>
    <row r="100" spans="1:6" x14ac:dyDescent="0.2">
      <c r="A100" s="18" t="s">
        <v>643</v>
      </c>
      <c r="B100" s="4" t="s">
        <v>689</v>
      </c>
      <c r="C100" s="4" t="s">
        <v>187</v>
      </c>
      <c r="D100" s="20"/>
      <c r="E100" s="20"/>
      <c r="F100" s="20">
        <f>F99+D100</f>
        <v>0</v>
      </c>
    </row>
    <row r="101" spans="1:6" x14ac:dyDescent="0.2">
      <c r="A101" s="18" t="s">
        <v>643</v>
      </c>
      <c r="B101" s="4" t="s">
        <v>691</v>
      </c>
      <c r="C101" s="4" t="s">
        <v>187</v>
      </c>
      <c r="D101" s="20"/>
      <c r="E101" s="20"/>
      <c r="F101" s="20">
        <f t="shared" ref="F101:F107" si="14">F100+D101</f>
        <v>0</v>
      </c>
    </row>
    <row r="102" spans="1:6" x14ac:dyDescent="0.2">
      <c r="A102" s="18" t="s">
        <v>1181</v>
      </c>
      <c r="B102" s="4" t="s">
        <v>737</v>
      </c>
      <c r="C102" s="4" t="s">
        <v>187</v>
      </c>
      <c r="D102" s="20"/>
      <c r="E102" s="20"/>
      <c r="F102" s="20">
        <f t="shared" si="14"/>
        <v>0</v>
      </c>
    </row>
    <row r="103" spans="1:6" x14ac:dyDescent="0.2">
      <c r="A103" s="53" t="s">
        <v>449</v>
      </c>
      <c r="B103" s="4" t="s">
        <v>1196</v>
      </c>
      <c r="C103" s="4" t="s">
        <v>187</v>
      </c>
      <c r="D103" s="20"/>
      <c r="E103" s="20"/>
      <c r="F103" s="20">
        <f t="shared" si="14"/>
        <v>0</v>
      </c>
    </row>
    <row r="104" spans="1:6" x14ac:dyDescent="0.2">
      <c r="A104" s="53" t="s">
        <v>449</v>
      </c>
      <c r="B104" s="4" t="s">
        <v>1197</v>
      </c>
      <c r="C104" s="4" t="s">
        <v>187</v>
      </c>
      <c r="D104" s="20"/>
      <c r="E104" s="20"/>
      <c r="F104" s="20">
        <f t="shared" si="14"/>
        <v>0</v>
      </c>
    </row>
    <row r="105" spans="1:6" x14ac:dyDescent="0.2">
      <c r="A105" s="53"/>
      <c r="B105" s="4"/>
      <c r="C105" s="4" t="s">
        <v>187</v>
      </c>
      <c r="D105" s="20"/>
      <c r="E105" s="20"/>
      <c r="F105" s="20">
        <f t="shared" si="14"/>
        <v>0</v>
      </c>
    </row>
    <row r="106" spans="1:6" x14ac:dyDescent="0.2">
      <c r="A106" s="53"/>
      <c r="B106" s="4"/>
      <c r="C106" s="4" t="s">
        <v>187</v>
      </c>
      <c r="D106" s="20"/>
      <c r="E106" s="20"/>
      <c r="F106" s="20">
        <f t="shared" si="14"/>
        <v>0</v>
      </c>
    </row>
    <row r="107" spans="1:6" x14ac:dyDescent="0.2">
      <c r="A107" s="53"/>
      <c r="B107" s="4"/>
      <c r="C107" s="4" t="s">
        <v>187</v>
      </c>
      <c r="D107" s="20"/>
      <c r="E107" s="20"/>
      <c r="F107" s="20">
        <f t="shared" si="14"/>
        <v>0</v>
      </c>
    </row>
    <row r="108" spans="1:6" x14ac:dyDescent="0.2">
      <c r="A108" s="53"/>
      <c r="B108" s="4"/>
      <c r="C108" s="4" t="s">
        <v>187</v>
      </c>
      <c r="D108" s="20"/>
      <c r="E108" s="20"/>
      <c r="F108" s="20"/>
    </row>
    <row r="109" spans="1:6" x14ac:dyDescent="0.2">
      <c r="A109" s="53"/>
      <c r="B109" s="27"/>
      <c r="C109" s="4" t="s">
        <v>187</v>
      </c>
      <c r="D109" s="20"/>
      <c r="E109" s="20"/>
      <c r="F109" s="20"/>
    </row>
    <row r="110" spans="1:6" x14ac:dyDescent="0.2">
      <c r="A110" s="105" t="s">
        <v>10</v>
      </c>
      <c r="B110" s="112"/>
      <c r="C110" s="106"/>
      <c r="D110" s="20">
        <f>SUM(D43:D109)</f>
        <v>0</v>
      </c>
      <c r="E110" s="20">
        <f>SUM(E43:E51)</f>
        <v>0</v>
      </c>
      <c r="F110" s="20">
        <f>D110-E110</f>
        <v>0</v>
      </c>
    </row>
    <row r="111" spans="1:6" x14ac:dyDescent="0.2">
      <c r="A111" s="105" t="s">
        <v>11</v>
      </c>
      <c r="B111" s="112"/>
      <c r="C111" s="106"/>
      <c r="D111" s="20"/>
      <c r="E111" s="20"/>
      <c r="F111" s="20">
        <f>D111-E111</f>
        <v>0</v>
      </c>
    </row>
    <row r="112" spans="1:6" x14ac:dyDescent="0.2">
      <c r="A112" s="105" t="s">
        <v>10</v>
      </c>
      <c r="B112" s="112"/>
      <c r="C112" s="106"/>
      <c r="D112" s="20">
        <f>SUM(D110:D111)</f>
        <v>0</v>
      </c>
      <c r="E112" s="20">
        <f>SUM(E110:E111)</f>
        <v>0</v>
      </c>
      <c r="F112" s="20">
        <f>SUM(F110:F111)</f>
        <v>0</v>
      </c>
    </row>
    <row r="113" spans="1:6" x14ac:dyDescent="0.2">
      <c r="F113" s="1"/>
    </row>
    <row r="114" spans="1:6" x14ac:dyDescent="0.2">
      <c r="F114" s="1"/>
    </row>
    <row r="115" spans="1:6" x14ac:dyDescent="0.2">
      <c r="A115" s="100" t="s">
        <v>0</v>
      </c>
      <c r="B115" s="100"/>
      <c r="F115" s="1"/>
    </row>
    <row r="116" spans="1:6" x14ac:dyDescent="0.2">
      <c r="A116" s="100" t="s">
        <v>1</v>
      </c>
      <c r="B116" s="100"/>
      <c r="F116" s="1"/>
    </row>
    <row r="117" spans="1:6" x14ac:dyDescent="0.2">
      <c r="A117" s="101" t="s">
        <v>2</v>
      </c>
      <c r="B117" s="101"/>
      <c r="C117" s="101"/>
      <c r="D117" s="101"/>
      <c r="E117" s="101"/>
      <c r="F117" s="101"/>
    </row>
    <row r="118" spans="1:6" x14ac:dyDescent="0.2">
      <c r="A118" s="2" t="s">
        <v>674</v>
      </c>
      <c r="B118" s="2"/>
      <c r="D118" s="2" t="s">
        <v>345</v>
      </c>
      <c r="F118" s="1"/>
    </row>
    <row r="119" spans="1:6" x14ac:dyDescent="0.2">
      <c r="F119" s="1"/>
    </row>
    <row r="120" spans="1:6" x14ac:dyDescent="0.2">
      <c r="A120" s="103" t="s">
        <v>3</v>
      </c>
      <c r="B120" s="103" t="s">
        <v>4</v>
      </c>
      <c r="C120" s="103" t="s">
        <v>5</v>
      </c>
      <c r="D120" s="105" t="s">
        <v>6</v>
      </c>
      <c r="E120" s="106"/>
      <c r="F120" s="103" t="s">
        <v>9</v>
      </c>
    </row>
    <row r="121" spans="1:6" x14ac:dyDescent="0.2">
      <c r="A121" s="104"/>
      <c r="B121" s="104"/>
      <c r="C121" s="104"/>
      <c r="D121" s="3" t="s">
        <v>7</v>
      </c>
      <c r="E121" s="3" t="s">
        <v>8</v>
      </c>
      <c r="F121" s="104"/>
    </row>
    <row r="122" spans="1:6" x14ac:dyDescent="0.2">
      <c r="A122" s="18" t="s">
        <v>974</v>
      </c>
      <c r="B122" s="4" t="s">
        <v>978</v>
      </c>
      <c r="C122" s="4" t="s">
        <v>187</v>
      </c>
      <c r="D122" s="20"/>
      <c r="E122" s="20">
        <v>0</v>
      </c>
      <c r="F122" s="20">
        <f>D122+E122</f>
        <v>0</v>
      </c>
    </row>
    <row r="123" spans="1:6" x14ac:dyDescent="0.2">
      <c r="A123" s="18" t="s">
        <v>1137</v>
      </c>
      <c r="B123" s="27" t="s">
        <v>1157</v>
      </c>
      <c r="C123" s="4" t="s">
        <v>187</v>
      </c>
      <c r="D123" s="20"/>
      <c r="E123" s="20"/>
      <c r="F123" s="20">
        <f>F122+D123</f>
        <v>0</v>
      </c>
    </row>
    <row r="124" spans="1:6" x14ac:dyDescent="0.2">
      <c r="A124" s="18"/>
      <c r="B124" s="4"/>
      <c r="C124" s="4" t="s">
        <v>187</v>
      </c>
      <c r="D124" s="20"/>
      <c r="E124" s="20"/>
      <c r="F124" s="20">
        <f t="shared" ref="F124:F127" si="15">F123+D124</f>
        <v>0</v>
      </c>
    </row>
    <row r="125" spans="1:6" x14ac:dyDescent="0.2">
      <c r="A125" s="18"/>
      <c r="B125" s="27"/>
      <c r="C125" s="4" t="s">
        <v>187</v>
      </c>
      <c r="D125" s="20"/>
      <c r="E125" s="20"/>
      <c r="F125" s="20">
        <f t="shared" si="15"/>
        <v>0</v>
      </c>
    </row>
    <row r="126" spans="1:6" x14ac:dyDescent="0.2">
      <c r="A126" s="18"/>
      <c r="B126" s="4"/>
      <c r="C126" s="4" t="s">
        <v>187</v>
      </c>
      <c r="D126" s="20"/>
      <c r="E126" s="20"/>
      <c r="F126" s="20">
        <f t="shared" si="15"/>
        <v>0</v>
      </c>
    </row>
    <row r="127" spans="1:6" x14ac:dyDescent="0.2">
      <c r="A127" s="53"/>
      <c r="B127" s="27"/>
      <c r="C127" s="4" t="s">
        <v>187</v>
      </c>
      <c r="D127" s="20"/>
      <c r="E127" s="20"/>
      <c r="F127" s="20">
        <f t="shared" si="15"/>
        <v>0</v>
      </c>
    </row>
    <row r="128" spans="1:6" x14ac:dyDescent="0.2">
      <c r="A128" s="105" t="s">
        <v>10</v>
      </c>
      <c r="B128" s="112"/>
      <c r="C128" s="106"/>
      <c r="D128" s="20">
        <f>SUM(D122:D127)</f>
        <v>0</v>
      </c>
      <c r="E128" s="20">
        <f>SUM(E122:E126)</f>
        <v>0</v>
      </c>
      <c r="F128" s="20">
        <f>D128-E128</f>
        <v>0</v>
      </c>
    </row>
    <row r="129" spans="1:6" x14ac:dyDescent="0.2">
      <c r="A129" s="105" t="s">
        <v>11</v>
      </c>
      <c r="B129" s="112"/>
      <c r="C129" s="106"/>
      <c r="D129" s="20"/>
      <c r="E129" s="20"/>
      <c r="F129" s="20">
        <f>D129-E129</f>
        <v>0</v>
      </c>
    </row>
    <row r="130" spans="1:6" x14ac:dyDescent="0.2">
      <c r="A130" s="105" t="s">
        <v>10</v>
      </c>
      <c r="B130" s="112"/>
      <c r="C130" s="106"/>
      <c r="D130" s="20">
        <f>SUM(D128:D129)</f>
        <v>0</v>
      </c>
      <c r="E130" s="20">
        <f>SUM(E128:E129)</f>
        <v>0</v>
      </c>
      <c r="F130" s="20">
        <f>SUM(F128:F129)</f>
        <v>0</v>
      </c>
    </row>
    <row r="131" spans="1:6" x14ac:dyDescent="0.2">
      <c r="F131" s="1"/>
    </row>
    <row r="132" spans="1:6" x14ac:dyDescent="0.2">
      <c r="F132" s="1"/>
    </row>
    <row r="133" spans="1:6" x14ac:dyDescent="0.2">
      <c r="A133" s="100" t="s">
        <v>0</v>
      </c>
      <c r="B133" s="100"/>
      <c r="F133" s="1"/>
    </row>
    <row r="134" spans="1:6" x14ac:dyDescent="0.2">
      <c r="A134" s="100" t="s">
        <v>1</v>
      </c>
      <c r="B134" s="100"/>
      <c r="F134" s="1"/>
    </row>
    <row r="135" spans="1:6" x14ac:dyDescent="0.2">
      <c r="A135" s="101" t="s">
        <v>2</v>
      </c>
      <c r="B135" s="101"/>
      <c r="C135" s="101"/>
      <c r="D135" s="101"/>
      <c r="E135" s="101"/>
      <c r="F135" s="101"/>
    </row>
    <row r="136" spans="1:6" x14ac:dyDescent="0.2">
      <c r="A136" s="123" t="s">
        <v>675</v>
      </c>
      <c r="B136" s="123"/>
      <c r="C136" s="125"/>
      <c r="D136" s="123" t="s">
        <v>676</v>
      </c>
      <c r="F136" s="1"/>
    </row>
    <row r="137" spans="1:6" x14ac:dyDescent="0.2">
      <c r="F137" s="1"/>
    </row>
    <row r="138" spans="1:6" x14ac:dyDescent="0.2">
      <c r="A138" s="103" t="s">
        <v>3</v>
      </c>
      <c r="B138" s="103" t="s">
        <v>4</v>
      </c>
      <c r="C138" s="103" t="s">
        <v>5</v>
      </c>
      <c r="D138" s="105" t="s">
        <v>6</v>
      </c>
      <c r="E138" s="106"/>
      <c r="F138" s="103" t="s">
        <v>9</v>
      </c>
    </row>
    <row r="139" spans="1:6" x14ac:dyDescent="0.2">
      <c r="A139" s="104"/>
      <c r="B139" s="104"/>
      <c r="C139" s="104"/>
      <c r="D139" s="3" t="s">
        <v>7</v>
      </c>
      <c r="E139" s="3" t="s">
        <v>8</v>
      </c>
      <c r="F139" s="104"/>
    </row>
    <row r="140" spans="1:6" x14ac:dyDescent="0.2">
      <c r="A140" s="18" t="s">
        <v>246</v>
      </c>
      <c r="B140" s="4" t="s">
        <v>1314</v>
      </c>
      <c r="C140" s="4" t="s">
        <v>187</v>
      </c>
      <c r="D140" s="20"/>
      <c r="E140" s="20">
        <v>0</v>
      </c>
      <c r="F140" s="20">
        <f>D140+E140</f>
        <v>0</v>
      </c>
    </row>
    <row r="141" spans="1:6" x14ac:dyDescent="0.2">
      <c r="A141" s="18" t="s">
        <v>1162</v>
      </c>
      <c r="B141" s="27" t="s">
        <v>1169</v>
      </c>
      <c r="C141" s="4" t="s">
        <v>187</v>
      </c>
      <c r="D141" s="20"/>
      <c r="E141" s="20"/>
      <c r="F141" s="20">
        <f>F140+D141</f>
        <v>0</v>
      </c>
    </row>
    <row r="142" spans="1:6" x14ac:dyDescent="0.2">
      <c r="A142" s="18"/>
      <c r="B142" s="4"/>
      <c r="C142" s="4" t="s">
        <v>187</v>
      </c>
      <c r="D142" s="20"/>
      <c r="E142" s="20"/>
      <c r="F142" s="20">
        <f t="shared" ref="F142:F145" si="16">F141+D142</f>
        <v>0</v>
      </c>
    </row>
    <row r="143" spans="1:6" x14ac:dyDescent="0.2">
      <c r="A143" s="18"/>
      <c r="B143" s="27"/>
      <c r="C143" s="4" t="s">
        <v>187</v>
      </c>
      <c r="D143" s="20"/>
      <c r="E143" s="20"/>
      <c r="F143" s="20">
        <f t="shared" si="16"/>
        <v>0</v>
      </c>
    </row>
    <row r="144" spans="1:6" x14ac:dyDescent="0.2">
      <c r="A144" s="18"/>
      <c r="B144" s="4"/>
      <c r="C144" s="4" t="s">
        <v>187</v>
      </c>
      <c r="D144" s="20"/>
      <c r="E144" s="20"/>
      <c r="F144" s="20">
        <f t="shared" si="16"/>
        <v>0</v>
      </c>
    </row>
    <row r="145" spans="1:6" x14ac:dyDescent="0.2">
      <c r="A145" s="53"/>
      <c r="B145" s="27"/>
      <c r="C145" s="4" t="s">
        <v>187</v>
      </c>
      <c r="D145" s="20"/>
      <c r="E145" s="20"/>
      <c r="F145" s="20">
        <f t="shared" si="16"/>
        <v>0</v>
      </c>
    </row>
    <row r="146" spans="1:6" x14ac:dyDescent="0.2">
      <c r="A146" s="105" t="s">
        <v>10</v>
      </c>
      <c r="B146" s="112"/>
      <c r="C146" s="106"/>
      <c r="D146" s="20">
        <f>SUM(D140:D145)</f>
        <v>0</v>
      </c>
      <c r="E146" s="20">
        <f>SUM(E140:E144)</f>
        <v>0</v>
      </c>
      <c r="F146" s="20">
        <f>D146-E146</f>
        <v>0</v>
      </c>
    </row>
    <row r="147" spans="1:6" x14ac:dyDescent="0.2">
      <c r="A147" s="105" t="s">
        <v>11</v>
      </c>
      <c r="B147" s="112"/>
      <c r="C147" s="106"/>
      <c r="D147" s="20"/>
      <c r="E147" s="20"/>
      <c r="F147" s="20">
        <f>D147-E147</f>
        <v>0</v>
      </c>
    </row>
    <row r="148" spans="1:6" x14ac:dyDescent="0.2">
      <c r="A148" s="105" t="s">
        <v>10</v>
      </c>
      <c r="B148" s="112"/>
      <c r="C148" s="106"/>
      <c r="D148" s="20">
        <f>SUM(D146:D147)</f>
        <v>0</v>
      </c>
      <c r="E148" s="20">
        <f>SUM(E146:E147)</f>
        <v>0</v>
      </c>
      <c r="F148" s="20">
        <f>SUM(F146:F147)</f>
        <v>0</v>
      </c>
    </row>
    <row r="149" spans="1:6" x14ac:dyDescent="0.2">
      <c r="F149" s="1"/>
    </row>
    <row r="150" spans="1:6" x14ac:dyDescent="0.2">
      <c r="F150" s="1"/>
    </row>
    <row r="151" spans="1:6" x14ac:dyDescent="0.2">
      <c r="A151" s="100" t="s">
        <v>0</v>
      </c>
      <c r="B151" s="100"/>
      <c r="F151" s="1"/>
    </row>
    <row r="152" spans="1:6" x14ac:dyDescent="0.2">
      <c r="A152" s="100" t="s">
        <v>1</v>
      </c>
      <c r="B152" s="100"/>
      <c r="F152" s="1"/>
    </row>
    <row r="153" spans="1:6" x14ac:dyDescent="0.2">
      <c r="A153" s="101" t="s">
        <v>2</v>
      </c>
      <c r="B153" s="101"/>
      <c r="C153" s="101"/>
      <c r="D153" s="101"/>
      <c r="E153" s="101"/>
      <c r="F153" s="101"/>
    </row>
    <row r="154" spans="1:6" x14ac:dyDescent="0.2">
      <c r="A154" s="2" t="s">
        <v>678</v>
      </c>
      <c r="B154" s="2"/>
      <c r="D154" s="2" t="s">
        <v>677</v>
      </c>
      <c r="F154" s="1"/>
    </row>
    <row r="155" spans="1:6" x14ac:dyDescent="0.2">
      <c r="F155" s="1"/>
    </row>
    <row r="156" spans="1:6" x14ac:dyDescent="0.2">
      <c r="A156" s="103" t="s">
        <v>3</v>
      </c>
      <c r="B156" s="103" t="s">
        <v>4</v>
      </c>
      <c r="C156" s="103" t="s">
        <v>5</v>
      </c>
      <c r="D156" s="105" t="s">
        <v>6</v>
      </c>
      <c r="E156" s="106"/>
      <c r="F156" s="103" t="s">
        <v>9</v>
      </c>
    </row>
    <row r="157" spans="1:6" x14ac:dyDescent="0.2">
      <c r="A157" s="104"/>
      <c r="B157" s="104"/>
      <c r="C157" s="104"/>
      <c r="D157" s="3" t="s">
        <v>7</v>
      </c>
      <c r="E157" s="3" t="s">
        <v>8</v>
      </c>
      <c r="F157" s="104"/>
    </row>
    <row r="158" spans="1:6" x14ac:dyDescent="0.2">
      <c r="A158" s="18"/>
      <c r="B158" s="4"/>
      <c r="C158" s="4" t="s">
        <v>187</v>
      </c>
      <c r="D158" s="20"/>
      <c r="E158" s="20">
        <v>0</v>
      </c>
      <c r="F158" s="20">
        <f>D158+E158</f>
        <v>0</v>
      </c>
    </row>
    <row r="159" spans="1:6" x14ac:dyDescent="0.2">
      <c r="A159" s="18"/>
      <c r="B159" s="27"/>
      <c r="C159" s="4" t="s">
        <v>187</v>
      </c>
      <c r="D159" s="20"/>
      <c r="E159" s="20"/>
      <c r="F159" s="20">
        <f>F158+D159</f>
        <v>0</v>
      </c>
    </row>
    <row r="160" spans="1:6" x14ac:dyDescent="0.2">
      <c r="A160" s="18"/>
      <c r="B160" s="4"/>
      <c r="C160" s="4" t="s">
        <v>187</v>
      </c>
      <c r="D160" s="20"/>
      <c r="E160" s="20"/>
      <c r="F160" s="20">
        <f t="shared" ref="F160:F163" si="17">F159+D160</f>
        <v>0</v>
      </c>
    </row>
    <row r="161" spans="1:6" x14ac:dyDescent="0.2">
      <c r="A161" s="18"/>
      <c r="B161" s="27"/>
      <c r="C161" s="4" t="s">
        <v>187</v>
      </c>
      <c r="D161" s="20"/>
      <c r="E161" s="20"/>
      <c r="F161" s="20">
        <f t="shared" si="17"/>
        <v>0</v>
      </c>
    </row>
    <row r="162" spans="1:6" x14ac:dyDescent="0.2">
      <c r="A162" s="18"/>
      <c r="B162" s="4"/>
      <c r="C162" s="4" t="s">
        <v>187</v>
      </c>
      <c r="D162" s="20"/>
      <c r="E162" s="20"/>
      <c r="F162" s="20">
        <f t="shared" si="17"/>
        <v>0</v>
      </c>
    </row>
    <row r="163" spans="1:6" x14ac:dyDescent="0.2">
      <c r="A163" s="53"/>
      <c r="B163" s="27"/>
      <c r="C163" s="4" t="s">
        <v>187</v>
      </c>
      <c r="D163" s="20"/>
      <c r="E163" s="20"/>
      <c r="F163" s="20">
        <f t="shared" si="17"/>
        <v>0</v>
      </c>
    </row>
    <row r="164" spans="1:6" x14ac:dyDescent="0.2">
      <c r="A164" s="105" t="s">
        <v>10</v>
      </c>
      <c r="B164" s="112"/>
      <c r="C164" s="106"/>
      <c r="D164" s="20">
        <f>SUM(D158:D163)</f>
        <v>0</v>
      </c>
      <c r="E164" s="20">
        <f>SUM(E158:E162)</f>
        <v>0</v>
      </c>
      <c r="F164" s="20">
        <f>D164-E164</f>
        <v>0</v>
      </c>
    </row>
    <row r="165" spans="1:6" x14ac:dyDescent="0.2">
      <c r="A165" s="105" t="s">
        <v>11</v>
      </c>
      <c r="B165" s="112"/>
      <c r="C165" s="106"/>
      <c r="D165" s="20"/>
      <c r="E165" s="20"/>
      <c r="F165" s="20">
        <f>D165-E165</f>
        <v>0</v>
      </c>
    </row>
    <row r="166" spans="1:6" x14ac:dyDescent="0.2">
      <c r="A166" s="105" t="s">
        <v>10</v>
      </c>
      <c r="B166" s="112"/>
      <c r="C166" s="106"/>
      <c r="D166" s="20">
        <f>SUM(D164:D165)</f>
        <v>0</v>
      </c>
      <c r="E166" s="20">
        <f>SUM(E164:E165)</f>
        <v>0</v>
      </c>
      <c r="F166" s="20">
        <f>SUM(F164:F165)</f>
        <v>0</v>
      </c>
    </row>
    <row r="167" spans="1:6" x14ac:dyDescent="0.2">
      <c r="F167" s="1"/>
    </row>
    <row r="168" spans="1:6" x14ac:dyDescent="0.2">
      <c r="F168" s="1"/>
    </row>
    <row r="169" spans="1:6" x14ac:dyDescent="0.2">
      <c r="D169" s="13"/>
      <c r="E169" s="13"/>
      <c r="F169" s="48"/>
    </row>
    <row r="170" spans="1:6" x14ac:dyDescent="0.2">
      <c r="A170" s="100" t="s">
        <v>0</v>
      </c>
      <c r="B170" s="100"/>
      <c r="D170" s="13"/>
      <c r="E170" s="13"/>
      <c r="F170" s="48"/>
    </row>
    <row r="171" spans="1:6" x14ac:dyDescent="0.2">
      <c r="A171" s="100" t="s">
        <v>1</v>
      </c>
      <c r="B171" s="100"/>
      <c r="D171" s="13"/>
      <c r="E171" s="13"/>
      <c r="F171" s="48"/>
    </row>
    <row r="172" spans="1:6" x14ac:dyDescent="0.2">
      <c r="A172" s="101" t="s">
        <v>2</v>
      </c>
      <c r="B172" s="101"/>
      <c r="C172" s="101"/>
      <c r="D172" s="101"/>
      <c r="E172" s="101"/>
      <c r="F172" s="101"/>
    </row>
    <row r="173" spans="1:6" x14ac:dyDescent="0.2">
      <c r="A173" s="122" t="s">
        <v>195</v>
      </c>
      <c r="B173" s="122"/>
      <c r="C173" s="125"/>
      <c r="D173" s="123" t="s">
        <v>679</v>
      </c>
      <c r="E173" s="125"/>
    </row>
    <row r="174" spans="1:6" x14ac:dyDescent="0.2">
      <c r="A174" s="125"/>
      <c r="B174" s="125"/>
      <c r="C174" s="125"/>
      <c r="D174" s="125"/>
      <c r="E174" s="125"/>
    </row>
    <row r="175" spans="1:6" x14ac:dyDescent="0.2">
      <c r="A175" s="134" t="s">
        <v>3</v>
      </c>
      <c r="B175" s="134" t="s">
        <v>4</v>
      </c>
      <c r="C175" s="134" t="s">
        <v>5</v>
      </c>
      <c r="D175" s="135" t="s">
        <v>6</v>
      </c>
      <c r="E175" s="136"/>
      <c r="F175" s="107" t="s">
        <v>9</v>
      </c>
    </row>
    <row r="176" spans="1:6" x14ac:dyDescent="0.2">
      <c r="A176" s="137"/>
      <c r="B176" s="137"/>
      <c r="C176" s="137"/>
      <c r="D176" s="124" t="s">
        <v>7</v>
      </c>
      <c r="E176" s="124" t="s">
        <v>8</v>
      </c>
      <c r="F176" s="108"/>
    </row>
    <row r="177" spans="1:6" x14ac:dyDescent="0.2">
      <c r="A177" s="138" t="s">
        <v>469</v>
      </c>
      <c r="B177" s="127"/>
      <c r="C177" s="127"/>
      <c r="D177" s="46"/>
      <c r="E177" s="46"/>
      <c r="F177" s="28"/>
    </row>
    <row r="178" spans="1:6" x14ac:dyDescent="0.2">
      <c r="A178" s="139" t="s">
        <v>731</v>
      </c>
      <c r="B178" s="127" t="s">
        <v>1262</v>
      </c>
      <c r="C178" s="127" t="s">
        <v>187</v>
      </c>
      <c r="D178" s="46"/>
      <c r="E178" s="46"/>
      <c r="F178" s="28">
        <f>D178</f>
        <v>0</v>
      </c>
    </row>
    <row r="179" spans="1:6" x14ac:dyDescent="0.2">
      <c r="A179" s="138" t="s">
        <v>247</v>
      </c>
      <c r="B179" s="127"/>
      <c r="C179" s="127"/>
      <c r="D179" s="46"/>
      <c r="E179" s="46"/>
      <c r="F179" s="28"/>
    </row>
    <row r="180" spans="1:6" x14ac:dyDescent="0.2">
      <c r="A180" s="133" t="s">
        <v>509</v>
      </c>
      <c r="B180" s="127" t="s">
        <v>1322</v>
      </c>
      <c r="C180" s="127" t="s">
        <v>187</v>
      </c>
      <c r="D180" s="46"/>
      <c r="E180" s="46"/>
      <c r="F180" s="28">
        <f>D180</f>
        <v>0</v>
      </c>
    </row>
    <row r="181" spans="1:6" x14ac:dyDescent="0.2">
      <c r="A181" s="138" t="s">
        <v>262</v>
      </c>
      <c r="B181" s="127"/>
      <c r="C181" s="127"/>
      <c r="D181" s="46"/>
      <c r="E181" s="46"/>
      <c r="F181" s="28"/>
    </row>
    <row r="182" spans="1:6" x14ac:dyDescent="0.2">
      <c r="A182" s="18"/>
      <c r="B182" s="4"/>
      <c r="C182" s="4" t="s">
        <v>187</v>
      </c>
      <c r="D182" s="20"/>
      <c r="E182" s="20"/>
      <c r="F182" s="28">
        <f>D182</f>
        <v>0</v>
      </c>
    </row>
    <row r="183" spans="1:6" x14ac:dyDescent="0.2">
      <c r="A183" s="41" t="s">
        <v>283</v>
      </c>
      <c r="B183" s="4"/>
      <c r="C183" s="4"/>
      <c r="D183" s="20"/>
      <c r="E183" s="20"/>
      <c r="F183" s="28"/>
    </row>
    <row r="184" spans="1:6" x14ac:dyDescent="0.2">
      <c r="A184" s="18" t="s">
        <v>587</v>
      </c>
      <c r="B184" s="4" t="s">
        <v>804</v>
      </c>
      <c r="C184" s="4" t="s">
        <v>187</v>
      </c>
      <c r="D184" s="20"/>
      <c r="E184" s="20"/>
      <c r="F184" s="28">
        <f>D184</f>
        <v>0</v>
      </c>
    </row>
    <row r="185" spans="1:6" x14ac:dyDescent="0.2">
      <c r="A185" s="41" t="s">
        <v>299</v>
      </c>
      <c r="B185" s="4"/>
      <c r="C185" s="4"/>
      <c r="D185" s="20"/>
      <c r="E185" s="20"/>
      <c r="F185" s="28"/>
    </row>
    <row r="186" spans="1:6" x14ac:dyDescent="0.2">
      <c r="A186" s="18" t="s">
        <v>596</v>
      </c>
      <c r="B186" s="4" t="s">
        <v>833</v>
      </c>
      <c r="C186" s="4" t="s">
        <v>187</v>
      </c>
      <c r="D186" s="20"/>
      <c r="E186" s="20"/>
      <c r="F186" s="28">
        <f>D186</f>
        <v>0</v>
      </c>
    </row>
    <row r="187" spans="1:6" x14ac:dyDescent="0.2">
      <c r="A187" s="18" t="s">
        <v>838</v>
      </c>
      <c r="B187" s="4" t="s">
        <v>843</v>
      </c>
      <c r="C187" s="4" t="s">
        <v>187</v>
      </c>
      <c r="D187" s="20"/>
      <c r="E187" s="20"/>
      <c r="F187" s="28">
        <f>F186+D187</f>
        <v>0</v>
      </c>
    </row>
    <row r="188" spans="1:6" x14ac:dyDescent="0.2">
      <c r="A188" s="18"/>
      <c r="B188" s="4"/>
      <c r="C188" s="4"/>
      <c r="D188" s="20"/>
      <c r="E188" s="20"/>
      <c r="F188" s="28"/>
    </row>
    <row r="189" spans="1:6" x14ac:dyDescent="0.2">
      <c r="A189" s="41" t="s">
        <v>315</v>
      </c>
      <c r="B189" s="4"/>
      <c r="C189" s="4"/>
      <c r="D189" s="20"/>
      <c r="E189" s="20"/>
      <c r="F189" s="28"/>
    </row>
    <row r="190" spans="1:6" x14ac:dyDescent="0.2">
      <c r="A190" s="18" t="s">
        <v>534</v>
      </c>
      <c r="B190" s="4" t="s">
        <v>872</v>
      </c>
      <c r="C190" s="4" t="s">
        <v>187</v>
      </c>
      <c r="D190" s="20"/>
      <c r="E190" s="20"/>
      <c r="F190" s="28">
        <f>D190</f>
        <v>0</v>
      </c>
    </row>
    <row r="191" spans="1:6" x14ac:dyDescent="0.2">
      <c r="A191" s="41" t="s">
        <v>442</v>
      </c>
      <c r="B191" s="4"/>
      <c r="C191" s="4"/>
      <c r="D191" s="20"/>
      <c r="E191" s="20"/>
      <c r="F191" s="28"/>
    </row>
    <row r="192" spans="1:6" x14ac:dyDescent="0.2">
      <c r="A192" s="18" t="s">
        <v>613</v>
      </c>
      <c r="B192" s="4" t="s">
        <v>992</v>
      </c>
      <c r="C192" s="4" t="s">
        <v>187</v>
      </c>
      <c r="D192" s="20"/>
      <c r="E192" s="20"/>
      <c r="F192" s="28">
        <f>D192</f>
        <v>0</v>
      </c>
    </row>
    <row r="193" spans="1:6" x14ac:dyDescent="0.2">
      <c r="A193" s="41" t="s">
        <v>363</v>
      </c>
      <c r="B193" s="4"/>
      <c r="C193" s="4"/>
      <c r="D193" s="20"/>
      <c r="E193" s="20"/>
      <c r="F193" s="28"/>
    </row>
    <row r="194" spans="1:6" x14ac:dyDescent="0.2">
      <c r="A194" s="18" t="s">
        <v>362</v>
      </c>
      <c r="B194" s="4" t="s">
        <v>1021</v>
      </c>
      <c r="C194" s="4" t="s">
        <v>187</v>
      </c>
      <c r="D194" s="20"/>
      <c r="E194" s="20"/>
      <c r="F194" s="28">
        <f>D194</f>
        <v>0</v>
      </c>
    </row>
    <row r="195" spans="1:6" x14ac:dyDescent="0.2">
      <c r="A195" s="41" t="s">
        <v>368</v>
      </c>
      <c r="B195" s="4"/>
      <c r="C195" s="4"/>
      <c r="D195" s="20"/>
      <c r="E195" s="20"/>
      <c r="F195" s="28"/>
    </row>
    <row r="196" spans="1:6" x14ac:dyDescent="0.2">
      <c r="A196" s="18" t="s">
        <v>1078</v>
      </c>
      <c r="B196" s="4" t="s">
        <v>1081</v>
      </c>
      <c r="C196" s="4" t="s">
        <v>187</v>
      </c>
      <c r="D196" s="20"/>
      <c r="E196" s="20"/>
      <c r="F196" s="28">
        <f>D196</f>
        <v>0</v>
      </c>
    </row>
    <row r="197" spans="1:6" x14ac:dyDescent="0.2">
      <c r="A197" s="41"/>
      <c r="B197" s="4"/>
      <c r="C197" s="4"/>
      <c r="D197" s="20"/>
      <c r="E197" s="20"/>
      <c r="F197" s="28"/>
    </row>
    <row r="198" spans="1:6" x14ac:dyDescent="0.2">
      <c r="A198" s="18"/>
      <c r="B198" s="4"/>
      <c r="C198" s="4"/>
      <c r="D198" s="20"/>
      <c r="E198" s="20"/>
      <c r="F198" s="28"/>
    </row>
    <row r="199" spans="1:6" x14ac:dyDescent="0.2">
      <c r="A199" s="18"/>
      <c r="B199" s="4"/>
      <c r="C199" s="4"/>
      <c r="D199" s="20"/>
      <c r="E199" s="20"/>
      <c r="F199" s="28"/>
    </row>
    <row r="200" spans="1:6" x14ac:dyDescent="0.2">
      <c r="A200" s="18"/>
      <c r="B200" s="4"/>
      <c r="C200" s="4"/>
      <c r="D200" s="20"/>
      <c r="E200" s="20"/>
      <c r="F200" s="28"/>
    </row>
    <row r="201" spans="1:6" x14ac:dyDescent="0.2">
      <c r="A201" s="4"/>
      <c r="B201" s="4"/>
      <c r="C201" s="4"/>
      <c r="D201" s="20"/>
      <c r="E201" s="20"/>
      <c r="F201" s="28"/>
    </row>
    <row r="202" spans="1:6" x14ac:dyDescent="0.2">
      <c r="A202" s="105" t="s">
        <v>10</v>
      </c>
      <c r="B202" s="112"/>
      <c r="C202" s="106"/>
      <c r="D202" s="20">
        <f>SUM(D177:D201)</f>
        <v>0</v>
      </c>
      <c r="E202" s="20">
        <f>SUM(E177:E201)</f>
        <v>0</v>
      </c>
      <c r="F202" s="28">
        <f>D202-E202</f>
        <v>0</v>
      </c>
    </row>
    <row r="203" spans="1:6" x14ac:dyDescent="0.2">
      <c r="A203" s="105" t="s">
        <v>11</v>
      </c>
      <c r="B203" s="112"/>
      <c r="C203" s="106"/>
      <c r="D203" s="20"/>
      <c r="E203" s="20"/>
      <c r="F203" s="28">
        <f>D203-E203</f>
        <v>0</v>
      </c>
    </row>
    <row r="204" spans="1:6" x14ac:dyDescent="0.2">
      <c r="A204" s="105" t="s">
        <v>10</v>
      </c>
      <c r="B204" s="112"/>
      <c r="C204" s="106"/>
      <c r="D204" s="20">
        <f>SUM(D202:D203)</f>
        <v>0</v>
      </c>
      <c r="E204" s="20">
        <f>SUM(E202:E203)</f>
        <v>0</v>
      </c>
      <c r="F204" s="28">
        <f>SUM(F202:F203)</f>
        <v>0</v>
      </c>
    </row>
    <row r="209" spans="1:6" x14ac:dyDescent="0.2">
      <c r="A209" s="100" t="s">
        <v>0</v>
      </c>
      <c r="B209" s="100"/>
    </row>
    <row r="210" spans="1:6" x14ac:dyDescent="0.2">
      <c r="A210" s="100" t="s">
        <v>1</v>
      </c>
      <c r="B210" s="100"/>
    </row>
    <row r="211" spans="1:6" x14ac:dyDescent="0.2">
      <c r="A211" s="101" t="s">
        <v>2</v>
      </c>
      <c r="B211" s="101"/>
      <c r="C211" s="101"/>
      <c r="D211" s="101"/>
      <c r="E211" s="101"/>
      <c r="F211" s="101"/>
    </row>
    <row r="212" spans="1:6" x14ac:dyDescent="0.2">
      <c r="A212" s="122" t="s">
        <v>346</v>
      </c>
      <c r="B212" s="122"/>
      <c r="C212" s="125"/>
      <c r="D212" s="123" t="s">
        <v>680</v>
      </c>
    </row>
    <row r="214" spans="1:6" x14ac:dyDescent="0.2">
      <c r="A214" s="103" t="s">
        <v>3</v>
      </c>
      <c r="B214" s="103" t="s">
        <v>4</v>
      </c>
      <c r="C214" s="103" t="s">
        <v>5</v>
      </c>
      <c r="D214" s="105" t="s">
        <v>6</v>
      </c>
      <c r="E214" s="106"/>
      <c r="F214" s="107" t="s">
        <v>9</v>
      </c>
    </row>
    <row r="215" spans="1:6" x14ac:dyDescent="0.2">
      <c r="A215" s="104"/>
      <c r="B215" s="104"/>
      <c r="C215" s="104"/>
      <c r="D215" s="3" t="s">
        <v>7</v>
      </c>
      <c r="E215" s="3" t="s">
        <v>8</v>
      </c>
      <c r="F215" s="108"/>
    </row>
    <row r="216" spans="1:6" x14ac:dyDescent="0.2">
      <c r="A216" s="18" t="s">
        <v>1222</v>
      </c>
      <c r="B216" s="4" t="s">
        <v>1282</v>
      </c>
      <c r="C216" s="4" t="s">
        <v>187</v>
      </c>
      <c r="D216" s="20"/>
      <c r="E216" s="20">
        <v>0</v>
      </c>
      <c r="F216" s="28">
        <f>D216+E216</f>
        <v>0</v>
      </c>
    </row>
    <row r="217" spans="1:6" x14ac:dyDescent="0.2">
      <c r="A217" s="18" t="s">
        <v>1222</v>
      </c>
      <c r="B217" s="4" t="s">
        <v>1283</v>
      </c>
      <c r="C217" s="4" t="s">
        <v>187</v>
      </c>
      <c r="D217" s="20"/>
      <c r="E217" s="20"/>
      <c r="F217" s="28">
        <f>F216+D217</f>
        <v>0</v>
      </c>
    </row>
    <row r="218" spans="1:6" x14ac:dyDescent="0.2">
      <c r="A218" s="18" t="s">
        <v>1222</v>
      </c>
      <c r="B218" s="4" t="s">
        <v>1284</v>
      </c>
      <c r="C218" s="4" t="s">
        <v>187</v>
      </c>
      <c r="D218" s="20"/>
      <c r="E218" s="20"/>
      <c r="F218" s="28">
        <f t="shared" ref="F218:F237" si="18">F217+D218</f>
        <v>0</v>
      </c>
    </row>
    <row r="219" spans="1:6" x14ac:dyDescent="0.2">
      <c r="A219" s="50" t="s">
        <v>247</v>
      </c>
      <c r="B219" s="4"/>
      <c r="C219" s="4"/>
      <c r="D219" s="20"/>
      <c r="E219" s="20"/>
      <c r="F219" s="28"/>
    </row>
    <row r="220" spans="1:6" x14ac:dyDescent="0.2">
      <c r="A220" s="18" t="s">
        <v>756</v>
      </c>
      <c r="B220" s="4" t="s">
        <v>1353</v>
      </c>
      <c r="C220" s="4" t="s">
        <v>187</v>
      </c>
      <c r="D220" s="20"/>
      <c r="E220" s="20"/>
      <c r="F220" s="28">
        <f>D220+E220</f>
        <v>0</v>
      </c>
    </row>
    <row r="221" spans="1:6" x14ac:dyDescent="0.2">
      <c r="A221" s="18" t="s">
        <v>474</v>
      </c>
      <c r="B221" s="4" t="s">
        <v>1354</v>
      </c>
      <c r="C221" s="4" t="s">
        <v>187</v>
      </c>
      <c r="D221" s="20"/>
      <c r="E221" s="20"/>
      <c r="F221" s="28">
        <f>F220+D221</f>
        <v>0</v>
      </c>
    </row>
    <row r="222" spans="1:6" x14ac:dyDescent="0.2">
      <c r="A222" s="18" t="s">
        <v>756</v>
      </c>
      <c r="B222" s="4" t="s">
        <v>1355</v>
      </c>
      <c r="C222" s="4" t="s">
        <v>187</v>
      </c>
      <c r="D222" s="20"/>
      <c r="E222" s="20"/>
      <c r="F222" s="28">
        <f t="shared" si="18"/>
        <v>0</v>
      </c>
    </row>
    <row r="223" spans="1:6" x14ac:dyDescent="0.2">
      <c r="A223" s="50" t="s">
        <v>262</v>
      </c>
      <c r="B223" s="4"/>
      <c r="C223" s="4"/>
      <c r="D223" s="20"/>
      <c r="E223" s="20"/>
      <c r="F223" s="28"/>
    </row>
    <row r="224" spans="1:6" x14ac:dyDescent="0.2">
      <c r="A224" s="18" t="s">
        <v>476</v>
      </c>
      <c r="B224" s="4" t="s">
        <v>1410</v>
      </c>
      <c r="C224" s="4" t="s">
        <v>187</v>
      </c>
      <c r="D224" s="20"/>
      <c r="E224" s="20"/>
      <c r="F224" s="28">
        <f>D224+E224</f>
        <v>0</v>
      </c>
    </row>
    <row r="225" spans="1:6" x14ac:dyDescent="0.2">
      <c r="A225" s="18" t="s">
        <v>583</v>
      </c>
      <c r="B225" s="4" t="s">
        <v>1411</v>
      </c>
      <c r="C225" s="4" t="s">
        <v>187</v>
      </c>
      <c r="D225" s="20"/>
      <c r="E225" s="20"/>
      <c r="F225" s="28">
        <f>F224+D225</f>
        <v>0</v>
      </c>
    </row>
    <row r="226" spans="1:6" x14ac:dyDescent="0.2">
      <c r="A226" s="18" t="s">
        <v>1404</v>
      </c>
      <c r="B226" s="4"/>
      <c r="C226" s="4"/>
      <c r="D226" s="20"/>
      <c r="E226" s="20"/>
      <c r="F226" s="28"/>
    </row>
    <row r="227" spans="1:6" x14ac:dyDescent="0.2">
      <c r="A227" s="50"/>
      <c r="B227" s="4"/>
      <c r="C227" s="4"/>
      <c r="D227" s="20"/>
      <c r="E227" s="20"/>
      <c r="F227" s="28"/>
    </row>
    <row r="228" spans="1:6" x14ac:dyDescent="0.2">
      <c r="A228" s="18" t="s">
        <v>798</v>
      </c>
      <c r="B228" s="4" t="s">
        <v>410</v>
      </c>
      <c r="C228" s="4" t="s">
        <v>187</v>
      </c>
      <c r="D228" s="20"/>
      <c r="E228" s="20"/>
      <c r="F228" s="28">
        <f>D228+E228</f>
        <v>0</v>
      </c>
    </row>
    <row r="229" spans="1:6" x14ac:dyDescent="0.2">
      <c r="A229" s="18" t="s">
        <v>798</v>
      </c>
      <c r="B229" s="4" t="s">
        <v>577</v>
      </c>
      <c r="C229" s="4" t="s">
        <v>187</v>
      </c>
      <c r="D229" s="20"/>
      <c r="E229" s="20"/>
      <c r="F229" s="28">
        <f>F228+D229</f>
        <v>0</v>
      </c>
    </row>
    <row r="230" spans="1:6" x14ac:dyDescent="0.2">
      <c r="A230" s="18" t="s">
        <v>798</v>
      </c>
      <c r="B230" s="4" t="s">
        <v>627</v>
      </c>
      <c r="C230" s="4" t="s">
        <v>187</v>
      </c>
      <c r="D230" s="20"/>
      <c r="E230" s="20"/>
      <c r="F230" s="28">
        <f t="shared" ref="F230" si="19">F229+D230</f>
        <v>0</v>
      </c>
    </row>
    <row r="231" spans="1:6" x14ac:dyDescent="0.2">
      <c r="A231" s="50" t="s">
        <v>299</v>
      </c>
      <c r="B231" s="4"/>
      <c r="C231" s="4"/>
      <c r="D231" s="20"/>
      <c r="E231" s="20"/>
      <c r="F231" s="28"/>
    </row>
    <row r="232" spans="1:6" x14ac:dyDescent="0.2">
      <c r="A232" s="18" t="s">
        <v>596</v>
      </c>
      <c r="B232" s="4" t="s">
        <v>410</v>
      </c>
      <c r="C232" s="4" t="s">
        <v>187</v>
      </c>
      <c r="D232" s="20"/>
      <c r="E232" s="20"/>
      <c r="F232" s="28">
        <f>D232+E232</f>
        <v>0</v>
      </c>
    </row>
    <row r="233" spans="1:6" x14ac:dyDescent="0.2">
      <c r="A233" s="18" t="s">
        <v>596</v>
      </c>
      <c r="B233" s="4" t="s">
        <v>577</v>
      </c>
      <c r="C233" s="4" t="s">
        <v>187</v>
      </c>
      <c r="D233" s="20"/>
      <c r="E233" s="20"/>
      <c r="F233" s="28">
        <f>F232+D233</f>
        <v>0</v>
      </c>
    </row>
    <row r="234" spans="1:6" x14ac:dyDescent="0.2">
      <c r="A234" s="50" t="s">
        <v>315</v>
      </c>
      <c r="B234" s="4"/>
      <c r="C234" s="4"/>
      <c r="D234" s="20"/>
      <c r="E234" s="20"/>
      <c r="F234" s="28"/>
    </row>
    <row r="235" spans="1:6" x14ac:dyDescent="0.2">
      <c r="A235" s="18" t="s">
        <v>885</v>
      </c>
      <c r="B235" s="4" t="s">
        <v>577</v>
      </c>
      <c r="C235" s="4" t="s">
        <v>187</v>
      </c>
      <c r="D235" s="20"/>
      <c r="E235" s="20"/>
      <c r="F235" s="28">
        <f>D235+E235</f>
        <v>0</v>
      </c>
    </row>
    <row r="236" spans="1:6" x14ac:dyDescent="0.2">
      <c r="A236" s="18" t="str">
        <f>A235</f>
        <v>26 Juni</v>
      </c>
      <c r="B236" s="4" t="s">
        <v>410</v>
      </c>
      <c r="C236" s="4" t="s">
        <v>187</v>
      </c>
      <c r="D236" s="20"/>
      <c r="E236" s="20"/>
      <c r="F236" s="28">
        <f>F235+D236</f>
        <v>0</v>
      </c>
    </row>
    <row r="237" spans="1:6" x14ac:dyDescent="0.2">
      <c r="A237" s="18" t="s">
        <v>885</v>
      </c>
      <c r="B237" s="4" t="s">
        <v>627</v>
      </c>
      <c r="C237" s="4" t="s">
        <v>187</v>
      </c>
      <c r="D237" s="20"/>
      <c r="E237" s="20"/>
      <c r="F237" s="28">
        <f t="shared" si="18"/>
        <v>0</v>
      </c>
    </row>
    <row r="238" spans="1:6" x14ac:dyDescent="0.2">
      <c r="A238" s="50" t="s">
        <v>330</v>
      </c>
      <c r="B238" s="4"/>
      <c r="C238" s="4"/>
      <c r="D238" s="20"/>
      <c r="E238" s="20"/>
      <c r="F238" s="28"/>
    </row>
    <row r="239" spans="1:6" x14ac:dyDescent="0.2">
      <c r="A239" s="18" t="s">
        <v>934</v>
      </c>
      <c r="B239" s="4" t="s">
        <v>627</v>
      </c>
      <c r="C239" s="4" t="s">
        <v>187</v>
      </c>
      <c r="D239" s="20"/>
      <c r="E239" s="20"/>
      <c r="F239" s="28">
        <f>D239+E239</f>
        <v>0</v>
      </c>
    </row>
    <row r="240" spans="1:6" x14ac:dyDescent="0.2">
      <c r="A240" s="18" t="s">
        <v>934</v>
      </c>
      <c r="B240" s="4" t="s">
        <v>577</v>
      </c>
      <c r="C240" s="4" t="s">
        <v>187</v>
      </c>
      <c r="D240" s="20"/>
      <c r="E240" s="20"/>
      <c r="F240" s="28">
        <f>F239+D240</f>
        <v>0</v>
      </c>
    </row>
    <row r="241" spans="1:6" x14ac:dyDescent="0.2">
      <c r="A241" s="18" t="s">
        <v>934</v>
      </c>
      <c r="B241" s="4" t="s">
        <v>939</v>
      </c>
      <c r="C241" s="4" t="s">
        <v>187</v>
      </c>
      <c r="D241" s="20"/>
      <c r="E241" s="20"/>
      <c r="F241" s="28">
        <f t="shared" ref="F241" si="20">F240+D241</f>
        <v>0</v>
      </c>
    </row>
    <row r="242" spans="1:6" x14ac:dyDescent="0.2">
      <c r="A242" s="50" t="s">
        <v>442</v>
      </c>
      <c r="B242" s="4"/>
      <c r="C242" s="4"/>
      <c r="D242" s="20"/>
      <c r="E242" s="20"/>
      <c r="F242" s="28"/>
    </row>
    <row r="243" spans="1:6" x14ac:dyDescent="0.2">
      <c r="A243" s="18" t="s">
        <v>613</v>
      </c>
      <c r="B243" s="4" t="s">
        <v>627</v>
      </c>
      <c r="C243" s="4" t="s">
        <v>187</v>
      </c>
      <c r="D243" s="20"/>
      <c r="E243" s="20"/>
      <c r="F243" s="28">
        <f>D243+E243</f>
        <v>0</v>
      </c>
    </row>
    <row r="244" spans="1:6" x14ac:dyDescent="0.2">
      <c r="A244" s="18" t="str">
        <f>A243</f>
        <v>26 Agust</v>
      </c>
      <c r="B244" s="4" t="s">
        <v>577</v>
      </c>
      <c r="C244" s="4" t="s">
        <v>187</v>
      </c>
      <c r="D244" s="20"/>
      <c r="E244" s="20"/>
      <c r="F244" s="28">
        <f>F243+D244</f>
        <v>0</v>
      </c>
    </row>
    <row r="245" spans="1:6" x14ac:dyDescent="0.2">
      <c r="A245" s="18" t="str">
        <f>A244</f>
        <v>26 Agust</v>
      </c>
      <c r="B245" s="4" t="s">
        <v>939</v>
      </c>
      <c r="C245" s="4" t="s">
        <v>187</v>
      </c>
      <c r="D245" s="20"/>
      <c r="E245" s="20"/>
      <c r="F245" s="28">
        <f t="shared" ref="F245" si="21">F244+D245</f>
        <v>0</v>
      </c>
    </row>
    <row r="246" spans="1:6" x14ac:dyDescent="0.2">
      <c r="A246" s="50" t="s">
        <v>363</v>
      </c>
      <c r="B246" s="4"/>
      <c r="C246" s="4"/>
      <c r="D246" s="20"/>
      <c r="E246" s="20"/>
      <c r="F246" s="28"/>
    </row>
    <row r="247" spans="1:6" x14ac:dyDescent="0.2">
      <c r="A247" s="18" t="s">
        <v>485</v>
      </c>
      <c r="B247" s="4" t="s">
        <v>627</v>
      </c>
      <c r="C247" s="4" t="s">
        <v>187</v>
      </c>
      <c r="D247" s="20"/>
      <c r="E247" s="20"/>
      <c r="F247" s="28">
        <f>D247+E247</f>
        <v>0</v>
      </c>
    </row>
    <row r="248" spans="1:6" x14ac:dyDescent="0.2">
      <c r="A248" s="18" t="s">
        <v>485</v>
      </c>
      <c r="B248" s="4" t="s">
        <v>577</v>
      </c>
      <c r="C248" s="4" t="s">
        <v>187</v>
      </c>
      <c r="D248" s="20"/>
      <c r="E248" s="20"/>
      <c r="F248" s="28">
        <f>F247+D248</f>
        <v>0</v>
      </c>
    </row>
    <row r="249" spans="1:6" x14ac:dyDescent="0.2">
      <c r="A249" s="18" t="s">
        <v>485</v>
      </c>
      <c r="B249" s="4" t="s">
        <v>939</v>
      </c>
      <c r="C249" s="4" t="s">
        <v>187</v>
      </c>
      <c r="D249" s="20"/>
      <c r="E249" s="20"/>
      <c r="F249" s="28">
        <f t="shared" ref="F249" si="22">F248+D249</f>
        <v>0</v>
      </c>
    </row>
    <row r="250" spans="1:6" x14ac:dyDescent="0.2">
      <c r="A250" s="50" t="s">
        <v>368</v>
      </c>
      <c r="B250" s="4"/>
      <c r="C250" s="4"/>
      <c r="D250" s="20"/>
      <c r="E250" s="20"/>
      <c r="F250" s="28"/>
    </row>
    <row r="251" spans="1:6" x14ac:dyDescent="0.2">
      <c r="A251" s="18" t="s">
        <v>372</v>
      </c>
      <c r="B251" s="4" t="s">
        <v>627</v>
      </c>
      <c r="C251" s="4" t="s">
        <v>187</v>
      </c>
      <c r="D251" s="20"/>
      <c r="E251" s="20"/>
      <c r="F251" s="28">
        <f>D251+E251</f>
        <v>0</v>
      </c>
    </row>
    <row r="252" spans="1:6" x14ac:dyDescent="0.2">
      <c r="A252" s="18" t="s">
        <v>372</v>
      </c>
      <c r="B252" s="4" t="s">
        <v>577</v>
      </c>
      <c r="C252" s="4" t="s">
        <v>187</v>
      </c>
      <c r="D252" s="20"/>
      <c r="E252" s="20"/>
      <c r="F252" s="28">
        <f>F251+D252</f>
        <v>0</v>
      </c>
    </row>
    <row r="253" spans="1:6" x14ac:dyDescent="0.2">
      <c r="A253" s="18" t="s">
        <v>372</v>
      </c>
      <c r="B253" s="4" t="s">
        <v>939</v>
      </c>
      <c r="C253" s="4" t="s">
        <v>187</v>
      </c>
      <c r="D253" s="20"/>
      <c r="E253" s="20"/>
      <c r="F253" s="28">
        <f t="shared" ref="F253" si="23">F252+D253</f>
        <v>0</v>
      </c>
    </row>
    <row r="254" spans="1:6" x14ac:dyDescent="0.2">
      <c r="A254" s="50" t="s">
        <v>1129</v>
      </c>
      <c r="B254" s="4"/>
      <c r="C254" s="4"/>
      <c r="D254" s="20"/>
      <c r="E254" s="20"/>
      <c r="F254" s="28"/>
    </row>
    <row r="255" spans="1:6" x14ac:dyDescent="0.2">
      <c r="A255" s="18" t="s">
        <v>1126</v>
      </c>
      <c r="B255" s="4" t="s">
        <v>627</v>
      </c>
      <c r="C255" s="4" t="s">
        <v>187</v>
      </c>
      <c r="D255" s="20"/>
      <c r="E255" s="20"/>
      <c r="F255" s="28">
        <f>D255+E255</f>
        <v>0</v>
      </c>
    </row>
    <row r="256" spans="1:6" x14ac:dyDescent="0.2">
      <c r="A256" s="18" t="str">
        <f>A255</f>
        <v>27 Nov</v>
      </c>
      <c r="B256" s="4" t="s">
        <v>577</v>
      </c>
      <c r="C256" s="4" t="s">
        <v>187</v>
      </c>
      <c r="D256" s="20"/>
      <c r="E256" s="20"/>
      <c r="F256" s="28">
        <f>F255+D256</f>
        <v>0</v>
      </c>
    </row>
    <row r="257" spans="1:6" x14ac:dyDescent="0.2">
      <c r="A257" s="18" t="str">
        <f>A256</f>
        <v>27 Nov</v>
      </c>
      <c r="B257" s="4" t="s">
        <v>939</v>
      </c>
      <c r="C257" s="4" t="s">
        <v>187</v>
      </c>
      <c r="D257" s="20"/>
      <c r="E257" s="20"/>
      <c r="F257" s="28">
        <f t="shared" ref="F257" si="24">F256+D257</f>
        <v>0</v>
      </c>
    </row>
    <row r="258" spans="1:6" x14ac:dyDescent="0.2">
      <c r="A258" s="50" t="s">
        <v>453</v>
      </c>
      <c r="B258" s="4"/>
      <c r="C258" s="4"/>
      <c r="D258" s="20"/>
      <c r="E258" s="20"/>
      <c r="F258" s="28"/>
    </row>
    <row r="259" spans="1:6" x14ac:dyDescent="0.2">
      <c r="A259" s="18" t="s">
        <v>1181</v>
      </c>
      <c r="B259" s="4" t="s">
        <v>627</v>
      </c>
      <c r="C259" s="4" t="s">
        <v>187</v>
      </c>
      <c r="D259" s="20"/>
      <c r="E259" s="20"/>
      <c r="F259" s="28">
        <f>D259+E259</f>
        <v>0</v>
      </c>
    </row>
    <row r="260" spans="1:6" x14ac:dyDescent="0.2">
      <c r="A260" s="18"/>
      <c r="B260" s="4" t="s">
        <v>577</v>
      </c>
      <c r="C260" s="4" t="s">
        <v>187</v>
      </c>
      <c r="D260" s="20"/>
      <c r="E260" s="20"/>
      <c r="F260" s="28">
        <f>F259+D260</f>
        <v>0</v>
      </c>
    </row>
    <row r="261" spans="1:6" x14ac:dyDescent="0.2">
      <c r="A261" s="18"/>
      <c r="B261" s="4" t="s">
        <v>939</v>
      </c>
      <c r="C261" s="4" t="s">
        <v>187</v>
      </c>
      <c r="D261" s="20"/>
      <c r="E261" s="20"/>
      <c r="F261" s="28">
        <f t="shared" ref="F261" si="25">F260+D261</f>
        <v>0</v>
      </c>
    </row>
    <row r="262" spans="1:6" x14ac:dyDescent="0.2">
      <c r="A262" s="18"/>
      <c r="B262" s="4"/>
      <c r="C262" s="4"/>
      <c r="D262" s="20"/>
      <c r="E262" s="20"/>
      <c r="F262" s="28"/>
    </row>
    <row r="263" spans="1:6" x14ac:dyDescent="0.2">
      <c r="A263" s="18"/>
      <c r="B263" s="4"/>
      <c r="C263" s="4"/>
      <c r="D263" s="20"/>
      <c r="E263" s="20"/>
      <c r="F263" s="28"/>
    </row>
    <row r="264" spans="1:6" x14ac:dyDescent="0.2">
      <c r="A264" s="18"/>
      <c r="B264" s="4"/>
      <c r="C264" s="4"/>
      <c r="D264" s="20"/>
      <c r="E264" s="20"/>
      <c r="F264" s="28"/>
    </row>
    <row r="265" spans="1:6" x14ac:dyDescent="0.2">
      <c r="A265" s="18"/>
      <c r="B265" s="4"/>
      <c r="C265" s="4"/>
      <c r="D265" s="20"/>
      <c r="E265" s="20"/>
      <c r="F265" s="28"/>
    </row>
    <row r="266" spans="1:6" x14ac:dyDescent="0.2">
      <c r="A266" s="18"/>
      <c r="B266" s="4"/>
      <c r="C266" s="4"/>
      <c r="D266" s="20"/>
      <c r="E266" s="20"/>
      <c r="F266" s="28"/>
    </row>
    <row r="267" spans="1:6" x14ac:dyDescent="0.2">
      <c r="A267" s="18"/>
      <c r="B267" s="4"/>
      <c r="C267" s="4"/>
      <c r="D267" s="20"/>
      <c r="E267" s="20"/>
      <c r="F267" s="28"/>
    </row>
    <row r="268" spans="1:6" x14ac:dyDescent="0.2">
      <c r="A268" s="4"/>
      <c r="B268" s="4"/>
      <c r="C268" s="4"/>
      <c r="D268" s="20"/>
      <c r="E268" s="20"/>
      <c r="F268" s="28"/>
    </row>
    <row r="269" spans="1:6" x14ac:dyDescent="0.2">
      <c r="A269" s="105" t="s">
        <v>10</v>
      </c>
      <c r="B269" s="112"/>
      <c r="C269" s="106"/>
      <c r="D269" s="20">
        <f>SUM(D216:D268)</f>
        <v>0</v>
      </c>
      <c r="E269" s="20">
        <f>SUM(E216:E268)</f>
        <v>0</v>
      </c>
      <c r="F269" s="28">
        <f>D269-E269</f>
        <v>0</v>
      </c>
    </row>
    <row r="270" spans="1:6" x14ac:dyDescent="0.2">
      <c r="A270" s="105" t="s">
        <v>11</v>
      </c>
      <c r="B270" s="112"/>
      <c r="C270" s="106"/>
      <c r="D270" s="20"/>
      <c r="E270" s="20"/>
      <c r="F270" s="28">
        <f>D270-E270</f>
        <v>0</v>
      </c>
    </row>
    <row r="271" spans="1:6" x14ac:dyDescent="0.2">
      <c r="A271" s="105" t="s">
        <v>10</v>
      </c>
      <c r="B271" s="112"/>
      <c r="C271" s="106"/>
      <c r="D271" s="20">
        <f>SUM(D269:D270)</f>
        <v>0</v>
      </c>
      <c r="E271" s="20">
        <f>SUM(E269:E270)</f>
        <v>0</v>
      </c>
      <c r="F271" s="28">
        <f>SUM(F269:F270)</f>
        <v>0</v>
      </c>
    </row>
    <row r="272" spans="1:6" x14ac:dyDescent="0.2">
      <c r="A272" s="100" t="s">
        <v>0</v>
      </c>
      <c r="B272" s="100"/>
    </row>
    <row r="273" spans="1:6" x14ac:dyDescent="0.2">
      <c r="A273" s="100" t="s">
        <v>1</v>
      </c>
      <c r="B273" s="100"/>
    </row>
    <row r="274" spans="1:6" x14ac:dyDescent="0.2">
      <c r="A274" s="101" t="s">
        <v>2</v>
      </c>
      <c r="B274" s="101"/>
      <c r="C274" s="101"/>
      <c r="D274" s="101"/>
      <c r="E274" s="101"/>
      <c r="F274" s="101"/>
    </row>
    <row r="275" spans="1:6" x14ac:dyDescent="0.2">
      <c r="A275" s="109" t="s">
        <v>184</v>
      </c>
      <c r="B275" s="109"/>
      <c r="D275" s="2" t="s">
        <v>140</v>
      </c>
    </row>
    <row r="277" spans="1:6" x14ac:dyDescent="0.2">
      <c r="A277" s="103" t="s">
        <v>3</v>
      </c>
      <c r="B277" s="103" t="s">
        <v>4</v>
      </c>
      <c r="C277" s="103" t="s">
        <v>5</v>
      </c>
      <c r="D277" s="105" t="s">
        <v>6</v>
      </c>
      <c r="E277" s="106"/>
      <c r="F277" s="107" t="s">
        <v>9</v>
      </c>
    </row>
    <row r="278" spans="1:6" x14ac:dyDescent="0.2">
      <c r="A278" s="104"/>
      <c r="B278" s="104"/>
      <c r="C278" s="104"/>
      <c r="D278" s="3" t="s">
        <v>7</v>
      </c>
      <c r="E278" s="3" t="s">
        <v>8</v>
      </c>
      <c r="F278" s="108"/>
    </row>
    <row r="279" spans="1:6" x14ac:dyDescent="0.2">
      <c r="A279" s="18" t="s">
        <v>1086</v>
      </c>
      <c r="B279" s="4" t="s">
        <v>1087</v>
      </c>
      <c r="C279" s="4" t="s">
        <v>187</v>
      </c>
      <c r="D279" s="20"/>
      <c r="E279" s="20">
        <v>0</v>
      </c>
      <c r="F279" s="28">
        <f>D279+E279</f>
        <v>0</v>
      </c>
    </row>
    <row r="280" spans="1:6" x14ac:dyDescent="0.2">
      <c r="A280" s="18"/>
      <c r="B280" s="4"/>
      <c r="C280" s="4" t="s">
        <v>187</v>
      </c>
      <c r="D280" s="20"/>
      <c r="E280" s="20"/>
      <c r="F280" s="28">
        <f>F279+D280</f>
        <v>0</v>
      </c>
    </row>
    <row r="281" spans="1:6" x14ac:dyDescent="0.2">
      <c r="A281" s="105" t="s">
        <v>10</v>
      </c>
      <c r="B281" s="112"/>
      <c r="C281" s="106"/>
      <c r="D281" s="20">
        <f>SUM(D279:D280)</f>
        <v>0</v>
      </c>
      <c r="E281" s="20">
        <f>SUM(E279:E280)</f>
        <v>0</v>
      </c>
      <c r="F281" s="28">
        <f>D281-E281</f>
        <v>0</v>
      </c>
    </row>
    <row r="282" spans="1:6" x14ac:dyDescent="0.2">
      <c r="A282" s="105" t="s">
        <v>11</v>
      </c>
      <c r="B282" s="112"/>
      <c r="C282" s="106"/>
      <c r="D282" s="20"/>
      <c r="E282" s="20"/>
      <c r="F282" s="28">
        <f>D282-E282</f>
        <v>0</v>
      </c>
    </row>
    <row r="283" spans="1:6" x14ac:dyDescent="0.2">
      <c r="A283" s="105" t="s">
        <v>10</v>
      </c>
      <c r="B283" s="112"/>
      <c r="C283" s="106"/>
      <c r="D283" s="20">
        <f>SUM(D281:D282)</f>
        <v>0</v>
      </c>
      <c r="E283" s="20">
        <f>SUM(E281:E282)</f>
        <v>0</v>
      </c>
      <c r="F283" s="28">
        <f>SUM(F281:F282)</f>
        <v>0</v>
      </c>
    </row>
    <row r="285" spans="1:6" x14ac:dyDescent="0.2">
      <c r="A285" s="100" t="s">
        <v>0</v>
      </c>
      <c r="B285" s="100"/>
    </row>
    <row r="286" spans="1:6" x14ac:dyDescent="0.2">
      <c r="A286" s="100" t="s">
        <v>1</v>
      </c>
      <c r="B286" s="100"/>
    </row>
    <row r="287" spans="1:6" x14ac:dyDescent="0.2">
      <c r="A287" s="101" t="s">
        <v>2</v>
      </c>
      <c r="B287" s="101"/>
      <c r="C287" s="101"/>
      <c r="D287" s="101"/>
      <c r="E287" s="101"/>
      <c r="F287" s="101"/>
    </row>
    <row r="288" spans="1:6" x14ac:dyDescent="0.2">
      <c r="A288" s="109" t="s">
        <v>141</v>
      </c>
      <c r="B288" s="109"/>
      <c r="D288" s="2" t="s">
        <v>142</v>
      </c>
    </row>
    <row r="290" spans="1:6" x14ac:dyDescent="0.2">
      <c r="A290" s="103" t="s">
        <v>3</v>
      </c>
      <c r="B290" s="103" t="s">
        <v>4</v>
      </c>
      <c r="C290" s="103" t="s">
        <v>5</v>
      </c>
      <c r="D290" s="105" t="s">
        <v>6</v>
      </c>
      <c r="E290" s="106"/>
      <c r="F290" s="107" t="s">
        <v>9</v>
      </c>
    </row>
    <row r="291" spans="1:6" x14ac:dyDescent="0.2">
      <c r="A291" s="104"/>
      <c r="B291" s="104"/>
      <c r="C291" s="104"/>
      <c r="D291" s="3" t="s">
        <v>7</v>
      </c>
      <c r="E291" s="3" t="s">
        <v>8</v>
      </c>
      <c r="F291" s="108"/>
    </row>
    <row r="292" spans="1:6" x14ac:dyDescent="0.2">
      <c r="A292" s="18" t="s">
        <v>733</v>
      </c>
      <c r="B292" s="4" t="s">
        <v>734</v>
      </c>
      <c r="C292" s="4" t="s">
        <v>187</v>
      </c>
      <c r="D292" s="20"/>
      <c r="E292" s="20"/>
      <c r="F292" s="20">
        <f>D292</f>
        <v>0</v>
      </c>
    </row>
    <row r="293" spans="1:6" x14ac:dyDescent="0.2">
      <c r="A293" s="53" t="s">
        <v>733</v>
      </c>
      <c r="B293" s="27" t="s">
        <v>735</v>
      </c>
      <c r="C293" s="4" t="s">
        <v>187</v>
      </c>
      <c r="D293" s="20"/>
      <c r="E293" s="20"/>
      <c r="F293" s="20">
        <f t="shared" ref="F293:F304" si="26">F292+D293</f>
        <v>0</v>
      </c>
    </row>
    <row r="294" spans="1:6" x14ac:dyDescent="0.2">
      <c r="A294" s="53" t="s">
        <v>540</v>
      </c>
      <c r="B294" s="4" t="s">
        <v>734</v>
      </c>
      <c r="C294" s="4" t="s">
        <v>187</v>
      </c>
      <c r="D294" s="20"/>
      <c r="E294" s="20"/>
      <c r="F294" s="20">
        <f t="shared" si="26"/>
        <v>0</v>
      </c>
    </row>
    <row r="295" spans="1:6" x14ac:dyDescent="0.2">
      <c r="A295" s="53"/>
      <c r="B295" s="4"/>
      <c r="C295" s="4" t="s">
        <v>187</v>
      </c>
      <c r="D295" s="20"/>
      <c r="E295" s="20"/>
      <c r="F295" s="20">
        <f t="shared" si="26"/>
        <v>0</v>
      </c>
    </row>
    <row r="296" spans="1:6" x14ac:dyDescent="0.2">
      <c r="A296" s="53"/>
      <c r="B296" s="4"/>
      <c r="C296" s="4" t="s">
        <v>187</v>
      </c>
      <c r="D296" s="20"/>
      <c r="E296" s="20"/>
      <c r="F296" s="20">
        <f t="shared" si="26"/>
        <v>0</v>
      </c>
    </row>
    <row r="297" spans="1:6" x14ac:dyDescent="0.2">
      <c r="A297" s="53"/>
      <c r="B297" s="4"/>
      <c r="C297" s="4" t="s">
        <v>187</v>
      </c>
      <c r="D297" s="20"/>
      <c r="E297" s="20"/>
      <c r="F297" s="20">
        <f t="shared" si="26"/>
        <v>0</v>
      </c>
    </row>
    <row r="298" spans="1:6" x14ac:dyDescent="0.2">
      <c r="A298" s="53"/>
      <c r="B298" s="4"/>
      <c r="C298" s="4" t="s">
        <v>187</v>
      </c>
      <c r="D298" s="20"/>
      <c r="E298" s="20"/>
      <c r="F298" s="20">
        <f t="shared" si="26"/>
        <v>0</v>
      </c>
    </row>
    <row r="299" spans="1:6" x14ac:dyDescent="0.2">
      <c r="A299" s="53"/>
      <c r="B299" s="4"/>
      <c r="C299" s="4" t="s">
        <v>187</v>
      </c>
      <c r="D299" s="20"/>
      <c r="E299" s="20"/>
      <c r="F299" s="20">
        <f t="shared" si="26"/>
        <v>0</v>
      </c>
    </row>
    <row r="300" spans="1:6" x14ac:dyDescent="0.2">
      <c r="A300" s="53"/>
      <c r="B300" s="4"/>
      <c r="C300" s="4" t="s">
        <v>187</v>
      </c>
      <c r="D300" s="20"/>
      <c r="E300" s="20"/>
      <c r="F300" s="20">
        <f t="shared" si="26"/>
        <v>0</v>
      </c>
    </row>
    <row r="301" spans="1:6" x14ac:dyDescent="0.2">
      <c r="A301" s="53"/>
      <c r="B301" s="4"/>
      <c r="C301" s="4" t="s">
        <v>187</v>
      </c>
      <c r="D301" s="20"/>
      <c r="E301" s="20"/>
      <c r="F301" s="20">
        <f t="shared" si="26"/>
        <v>0</v>
      </c>
    </row>
    <row r="302" spans="1:6" x14ac:dyDescent="0.2">
      <c r="A302" s="53"/>
      <c r="B302" s="4"/>
      <c r="C302" s="4" t="s">
        <v>187</v>
      </c>
      <c r="D302" s="20"/>
      <c r="E302" s="20"/>
      <c r="F302" s="20">
        <f t="shared" si="26"/>
        <v>0</v>
      </c>
    </row>
    <row r="303" spans="1:6" x14ac:dyDescent="0.2">
      <c r="A303" s="53"/>
      <c r="B303" s="4"/>
      <c r="C303" s="10"/>
      <c r="D303" s="20"/>
      <c r="E303" s="20"/>
      <c r="F303" s="20">
        <f t="shared" si="26"/>
        <v>0</v>
      </c>
    </row>
    <row r="304" spans="1:6" x14ac:dyDescent="0.2">
      <c r="A304" s="53"/>
      <c r="B304" s="4"/>
      <c r="C304" s="10"/>
      <c r="D304" s="20"/>
      <c r="E304" s="20"/>
      <c r="F304" s="20">
        <f t="shared" si="26"/>
        <v>0</v>
      </c>
    </row>
    <row r="305" spans="1:6" x14ac:dyDescent="0.2">
      <c r="A305" s="53"/>
      <c r="B305" s="4"/>
      <c r="C305" s="10"/>
      <c r="D305" s="20"/>
      <c r="E305" s="20"/>
      <c r="F305" s="20"/>
    </row>
    <row r="306" spans="1:6" x14ac:dyDescent="0.2">
      <c r="A306" s="105" t="s">
        <v>10</v>
      </c>
      <c r="B306" s="112"/>
      <c r="C306" s="106"/>
      <c r="D306" s="20">
        <f>SUM(D292:D292)</f>
        <v>0</v>
      </c>
      <c r="E306" s="20">
        <f>SUM(E292:E292)</f>
        <v>0</v>
      </c>
      <c r="F306" s="20">
        <f>D306-E306</f>
        <v>0</v>
      </c>
    </row>
    <row r="307" spans="1:6" x14ac:dyDescent="0.2">
      <c r="A307" s="105" t="s">
        <v>11</v>
      </c>
      <c r="B307" s="112"/>
      <c r="C307" s="106"/>
      <c r="D307" s="20"/>
      <c r="E307" s="20"/>
      <c r="F307" s="20">
        <f>D307-E307</f>
        <v>0</v>
      </c>
    </row>
    <row r="308" spans="1:6" x14ac:dyDescent="0.2">
      <c r="A308" s="105" t="s">
        <v>10</v>
      </c>
      <c r="B308" s="112"/>
      <c r="C308" s="106"/>
      <c r="D308" s="20">
        <f>SUM(D306:D307)</f>
        <v>0</v>
      </c>
      <c r="E308" s="20">
        <f>SUM(E306:E307)</f>
        <v>0</v>
      </c>
      <c r="F308" s="20">
        <f>SUM(F306:F307)</f>
        <v>0</v>
      </c>
    </row>
    <row r="312" spans="1:6" x14ac:dyDescent="0.2">
      <c r="A312" s="100" t="s">
        <v>0</v>
      </c>
      <c r="B312" s="100"/>
    </row>
    <row r="313" spans="1:6" x14ac:dyDescent="0.2">
      <c r="A313" s="100" t="s">
        <v>1</v>
      </c>
      <c r="B313" s="100"/>
    </row>
    <row r="314" spans="1:6" x14ac:dyDescent="0.2">
      <c r="A314" s="101" t="s">
        <v>2</v>
      </c>
      <c r="B314" s="101"/>
      <c r="C314" s="101"/>
      <c r="D314" s="101"/>
      <c r="E314" s="101"/>
      <c r="F314" s="101"/>
    </row>
    <row r="315" spans="1:6" x14ac:dyDescent="0.2">
      <c r="A315" s="122" t="s">
        <v>143</v>
      </c>
      <c r="B315" s="122"/>
      <c r="C315" s="125"/>
      <c r="D315" s="123" t="s">
        <v>144</v>
      </c>
    </row>
    <row r="317" spans="1:6" x14ac:dyDescent="0.2">
      <c r="A317" s="103" t="s">
        <v>3</v>
      </c>
      <c r="B317" s="103" t="s">
        <v>4</v>
      </c>
      <c r="C317" s="103" t="s">
        <v>5</v>
      </c>
      <c r="D317" s="105" t="s">
        <v>6</v>
      </c>
      <c r="E317" s="106"/>
      <c r="F317" s="107" t="s">
        <v>9</v>
      </c>
    </row>
    <row r="318" spans="1:6" x14ac:dyDescent="0.2">
      <c r="A318" s="104"/>
      <c r="B318" s="104"/>
      <c r="C318" s="104"/>
      <c r="D318" s="3" t="s">
        <v>7</v>
      </c>
      <c r="E318" s="3" t="s">
        <v>8</v>
      </c>
      <c r="F318" s="108"/>
    </row>
    <row r="319" spans="1:6" x14ac:dyDescent="0.2">
      <c r="A319" s="18" t="s">
        <v>228</v>
      </c>
      <c r="B319" s="4" t="s">
        <v>411</v>
      </c>
      <c r="C319" s="4" t="s">
        <v>239</v>
      </c>
      <c r="D319" s="20"/>
      <c r="E319" s="20"/>
      <c r="F319" s="28">
        <f>D319</f>
        <v>0</v>
      </c>
    </row>
    <row r="320" spans="1:6" x14ac:dyDescent="0.2">
      <c r="A320" s="18" t="s">
        <v>228</v>
      </c>
      <c r="B320" s="4" t="s">
        <v>412</v>
      </c>
      <c r="C320" s="4" t="s">
        <v>239</v>
      </c>
      <c r="D320" s="20"/>
      <c r="E320" s="20"/>
      <c r="F320" s="28">
        <f>F319+D320</f>
        <v>0</v>
      </c>
    </row>
    <row r="321" spans="1:6" x14ac:dyDescent="0.2">
      <c r="A321" s="18" t="s">
        <v>228</v>
      </c>
      <c r="B321" s="4" t="s">
        <v>413</v>
      </c>
      <c r="C321" s="4" t="s">
        <v>239</v>
      </c>
      <c r="D321" s="20"/>
      <c r="E321" s="20"/>
      <c r="F321" s="28">
        <f t="shared" ref="F321:F325" si="27">F320+D321</f>
        <v>0</v>
      </c>
    </row>
    <row r="322" spans="1:6" x14ac:dyDescent="0.2">
      <c r="A322" s="50" t="s">
        <v>247</v>
      </c>
      <c r="B322" s="4"/>
      <c r="C322" s="4"/>
      <c r="D322" s="20"/>
      <c r="E322" s="20"/>
      <c r="F322" s="28"/>
    </row>
    <row r="323" spans="1:6" x14ac:dyDescent="0.2">
      <c r="A323" s="18" t="s">
        <v>416</v>
      </c>
      <c r="B323" s="4" t="s">
        <v>411</v>
      </c>
      <c r="C323" s="4" t="s">
        <v>239</v>
      </c>
      <c r="D323" s="20"/>
      <c r="E323" s="20"/>
      <c r="F323" s="28">
        <f>D323</f>
        <v>0</v>
      </c>
    </row>
    <row r="324" spans="1:6" x14ac:dyDescent="0.2">
      <c r="A324" s="18" t="str">
        <f>A323</f>
        <v>28 Feb</v>
      </c>
      <c r="B324" s="4" t="s">
        <v>412</v>
      </c>
      <c r="C324" s="4" t="s">
        <v>239</v>
      </c>
      <c r="D324" s="20"/>
      <c r="E324" s="20"/>
      <c r="F324" s="28">
        <f t="shared" si="27"/>
        <v>0</v>
      </c>
    </row>
    <row r="325" spans="1:6" x14ac:dyDescent="0.2">
      <c r="A325" s="18" t="str">
        <f>A324</f>
        <v>28 Feb</v>
      </c>
      <c r="B325" s="4" t="s">
        <v>413</v>
      </c>
      <c r="C325" s="4" t="s">
        <v>239</v>
      </c>
      <c r="D325" s="20"/>
      <c r="E325" s="20"/>
      <c r="F325" s="28">
        <f t="shared" si="27"/>
        <v>0</v>
      </c>
    </row>
    <row r="326" spans="1:6" x14ac:dyDescent="0.2">
      <c r="A326" s="50" t="s">
        <v>262</v>
      </c>
      <c r="B326" s="4"/>
      <c r="C326" s="4"/>
      <c r="D326" s="20"/>
      <c r="E326" s="20"/>
      <c r="F326" s="28"/>
    </row>
    <row r="327" spans="1:6" x14ac:dyDescent="0.2">
      <c r="A327" s="18" t="s">
        <v>269</v>
      </c>
      <c r="B327" s="4" t="s">
        <v>411</v>
      </c>
      <c r="C327" s="4" t="s">
        <v>239</v>
      </c>
      <c r="D327" s="20"/>
      <c r="E327" s="20"/>
      <c r="F327" s="28">
        <f>D327</f>
        <v>0</v>
      </c>
    </row>
    <row r="328" spans="1:6" x14ac:dyDescent="0.2">
      <c r="A328" s="37" t="s">
        <v>269</v>
      </c>
      <c r="B328" s="4" t="s">
        <v>412</v>
      </c>
      <c r="C328" s="4" t="s">
        <v>239</v>
      </c>
      <c r="D328" s="20"/>
      <c r="E328" s="20"/>
      <c r="F328" s="28">
        <f>F327+D328</f>
        <v>0</v>
      </c>
    </row>
    <row r="329" spans="1:6" x14ac:dyDescent="0.2">
      <c r="A329" s="18" t="s">
        <v>269</v>
      </c>
      <c r="B329" s="4" t="s">
        <v>413</v>
      </c>
      <c r="C329" s="4" t="s">
        <v>239</v>
      </c>
      <c r="D329" s="20"/>
      <c r="E329" s="20"/>
      <c r="F329" s="28">
        <f t="shared" ref="F329:F333" si="28">F328+D329</f>
        <v>0</v>
      </c>
    </row>
    <row r="330" spans="1:6" x14ac:dyDescent="0.2">
      <c r="A330" s="50" t="s">
        <v>283</v>
      </c>
      <c r="B330" s="4"/>
      <c r="C330" s="4"/>
      <c r="D330" s="20"/>
      <c r="E330" s="20"/>
      <c r="F330" s="28"/>
    </row>
    <row r="331" spans="1:6" x14ac:dyDescent="0.2">
      <c r="A331" s="18" t="s">
        <v>284</v>
      </c>
      <c r="B331" s="4" t="s">
        <v>411</v>
      </c>
      <c r="C331" s="4" t="s">
        <v>239</v>
      </c>
      <c r="D331" s="20"/>
      <c r="E331" s="20"/>
      <c r="F331" s="28">
        <f t="shared" si="28"/>
        <v>0</v>
      </c>
    </row>
    <row r="332" spans="1:6" x14ac:dyDescent="0.2">
      <c r="A332" s="18" t="str">
        <f>A331</f>
        <v>30 April</v>
      </c>
      <c r="B332" s="4" t="s">
        <v>412</v>
      </c>
      <c r="C332" s="4" t="s">
        <v>239</v>
      </c>
      <c r="D332" s="20"/>
      <c r="E332" s="20"/>
      <c r="F332" s="28">
        <f t="shared" si="28"/>
        <v>0</v>
      </c>
    </row>
    <row r="333" spans="1:6" x14ac:dyDescent="0.2">
      <c r="A333" s="18" t="str">
        <f>A332</f>
        <v>30 April</v>
      </c>
      <c r="B333" s="4" t="s">
        <v>413</v>
      </c>
      <c r="C333" s="4" t="s">
        <v>239</v>
      </c>
      <c r="D333" s="20"/>
      <c r="E333" s="20"/>
      <c r="F333" s="28">
        <f t="shared" si="28"/>
        <v>0</v>
      </c>
    </row>
    <row r="334" spans="1:6" x14ac:dyDescent="0.2">
      <c r="A334" s="50" t="s">
        <v>299</v>
      </c>
      <c r="B334" s="4" t="s">
        <v>411</v>
      </c>
      <c r="C334" s="4" t="s">
        <v>239</v>
      </c>
      <c r="D334" s="20"/>
      <c r="E334" s="20"/>
      <c r="F334" s="28">
        <f>D334</f>
        <v>0</v>
      </c>
    </row>
    <row r="335" spans="1:6" x14ac:dyDescent="0.2">
      <c r="A335" s="18" t="str">
        <f>A334</f>
        <v>MEI</v>
      </c>
      <c r="B335" s="4" t="s">
        <v>412</v>
      </c>
      <c r="C335" s="4" t="s">
        <v>239</v>
      </c>
      <c r="D335" s="20"/>
      <c r="E335" s="20"/>
      <c r="F335" s="28">
        <f t="shared" ref="F335:F336" si="29">F334+D335</f>
        <v>0</v>
      </c>
    </row>
    <row r="336" spans="1:6" x14ac:dyDescent="0.2">
      <c r="A336" s="18" t="str">
        <f>A335</f>
        <v>MEI</v>
      </c>
      <c r="B336" s="4" t="s">
        <v>413</v>
      </c>
      <c r="C336" s="4" t="s">
        <v>239</v>
      </c>
      <c r="D336" s="20"/>
      <c r="E336" s="20"/>
      <c r="F336" s="28">
        <f t="shared" si="29"/>
        <v>0</v>
      </c>
    </row>
    <row r="337" spans="1:6" x14ac:dyDescent="0.2">
      <c r="A337" s="50" t="s">
        <v>299</v>
      </c>
      <c r="B337" s="4"/>
      <c r="C337" s="4"/>
      <c r="D337" s="20"/>
      <c r="E337" s="20"/>
      <c r="F337" s="28"/>
    </row>
    <row r="338" spans="1:6" x14ac:dyDescent="0.2">
      <c r="A338" s="18" t="s">
        <v>290</v>
      </c>
      <c r="B338" s="4" t="s">
        <v>411</v>
      </c>
      <c r="C338" s="4" t="s">
        <v>239</v>
      </c>
      <c r="D338" s="20"/>
      <c r="E338" s="20"/>
      <c r="F338" s="28">
        <f>D338</f>
        <v>0</v>
      </c>
    </row>
    <row r="339" spans="1:6" x14ac:dyDescent="0.2">
      <c r="A339" s="18" t="str">
        <f>A338</f>
        <v>31 Mei</v>
      </c>
      <c r="B339" s="4" t="s">
        <v>412</v>
      </c>
      <c r="C339" s="4" t="s">
        <v>239</v>
      </c>
      <c r="D339" s="20"/>
      <c r="E339" s="20"/>
      <c r="F339" s="28">
        <f t="shared" ref="F339:F340" si="30">F338+D339</f>
        <v>0</v>
      </c>
    </row>
    <row r="340" spans="1:6" x14ac:dyDescent="0.2">
      <c r="A340" s="18" t="str">
        <f>A339</f>
        <v>31 Mei</v>
      </c>
      <c r="B340" s="4" t="s">
        <v>413</v>
      </c>
      <c r="C340" s="4" t="s">
        <v>239</v>
      </c>
      <c r="D340" s="20"/>
      <c r="E340" s="20"/>
      <c r="F340" s="28">
        <f t="shared" si="30"/>
        <v>0</v>
      </c>
    </row>
    <row r="341" spans="1:6" x14ac:dyDescent="0.2">
      <c r="A341" s="50" t="s">
        <v>315</v>
      </c>
      <c r="B341" s="4"/>
      <c r="C341" s="4"/>
      <c r="D341" s="20"/>
      <c r="E341" s="20"/>
      <c r="F341" s="28"/>
    </row>
    <row r="342" spans="1:6" x14ac:dyDescent="0.2">
      <c r="A342" s="18" t="s">
        <v>885</v>
      </c>
      <c r="B342" s="4" t="s">
        <v>890</v>
      </c>
      <c r="C342" s="4" t="s">
        <v>187</v>
      </c>
      <c r="D342" s="20"/>
      <c r="E342" s="20"/>
      <c r="F342" s="28">
        <f>D342</f>
        <v>0</v>
      </c>
    </row>
    <row r="343" spans="1:6" x14ac:dyDescent="0.2">
      <c r="A343" s="18" t="s">
        <v>308</v>
      </c>
      <c r="B343" s="4" t="s">
        <v>411</v>
      </c>
      <c r="C343" s="4" t="s">
        <v>239</v>
      </c>
      <c r="D343" s="20"/>
      <c r="E343" s="20"/>
      <c r="F343" s="28">
        <f t="shared" ref="F343:F345" si="31">F342+D343</f>
        <v>0</v>
      </c>
    </row>
    <row r="344" spans="1:6" x14ac:dyDescent="0.2">
      <c r="A344" s="18" t="str">
        <f>A343</f>
        <v>30 Juni</v>
      </c>
      <c r="B344" s="4" t="s">
        <v>412</v>
      </c>
      <c r="C344" s="4" t="s">
        <v>239</v>
      </c>
      <c r="D344" s="20"/>
      <c r="E344" s="20"/>
      <c r="F344" s="28">
        <f t="shared" si="31"/>
        <v>0</v>
      </c>
    </row>
    <row r="345" spans="1:6" x14ac:dyDescent="0.2">
      <c r="A345" s="18" t="str">
        <f>A344</f>
        <v>30 Juni</v>
      </c>
      <c r="B345" s="4" t="s">
        <v>413</v>
      </c>
      <c r="C345" s="4" t="s">
        <v>239</v>
      </c>
      <c r="D345" s="20"/>
      <c r="E345" s="20"/>
      <c r="F345" s="28">
        <f t="shared" si="31"/>
        <v>0</v>
      </c>
    </row>
    <row r="346" spans="1:6" x14ac:dyDescent="0.2">
      <c r="A346" s="50" t="s">
        <v>330</v>
      </c>
      <c r="B346" s="4"/>
      <c r="C346" s="4"/>
      <c r="D346" s="20"/>
      <c r="E346" s="20"/>
      <c r="F346" s="28"/>
    </row>
    <row r="347" spans="1:6" x14ac:dyDescent="0.2">
      <c r="A347" s="18" t="s">
        <v>611</v>
      </c>
      <c r="B347" s="4" t="s">
        <v>927</v>
      </c>
      <c r="C347" s="4" t="s">
        <v>187</v>
      </c>
      <c r="D347" s="20"/>
      <c r="E347" s="20"/>
      <c r="F347" s="28">
        <f>D347</f>
        <v>0</v>
      </c>
    </row>
    <row r="348" spans="1:6" x14ac:dyDescent="0.2">
      <c r="A348" s="18" t="str">
        <f>A347</f>
        <v>22 Juli</v>
      </c>
      <c r="B348" s="4" t="s">
        <v>927</v>
      </c>
      <c r="C348" s="4" t="s">
        <v>187</v>
      </c>
      <c r="D348" s="20"/>
      <c r="E348" s="20"/>
      <c r="F348" s="28">
        <f t="shared" ref="F348:F353" si="32">F347+D348</f>
        <v>0</v>
      </c>
    </row>
    <row r="349" spans="1:6" x14ac:dyDescent="0.2">
      <c r="A349" s="18" t="str">
        <f>A348</f>
        <v>22 Juli</v>
      </c>
      <c r="B349" s="4" t="s">
        <v>928</v>
      </c>
      <c r="C349" s="4" t="s">
        <v>187</v>
      </c>
      <c r="D349" s="20"/>
      <c r="E349" s="20"/>
      <c r="F349" s="28">
        <f t="shared" si="32"/>
        <v>0</v>
      </c>
    </row>
    <row r="350" spans="1:6" x14ac:dyDescent="0.2">
      <c r="A350" s="18" t="s">
        <v>934</v>
      </c>
      <c r="B350" s="4" t="s">
        <v>942</v>
      </c>
      <c r="C350" s="4" t="s">
        <v>187</v>
      </c>
      <c r="D350" s="20"/>
      <c r="E350" s="20"/>
      <c r="F350" s="28">
        <f t="shared" si="32"/>
        <v>0</v>
      </c>
    </row>
    <row r="351" spans="1:6" x14ac:dyDescent="0.2">
      <c r="A351" s="18" t="s">
        <v>322</v>
      </c>
      <c r="B351" s="4" t="s">
        <v>411</v>
      </c>
      <c r="C351" s="4" t="s">
        <v>239</v>
      </c>
      <c r="D351" s="20"/>
      <c r="E351" s="20"/>
      <c r="F351" s="28">
        <f t="shared" si="32"/>
        <v>0</v>
      </c>
    </row>
    <row r="352" spans="1:6" x14ac:dyDescent="0.2">
      <c r="A352" s="18" t="str">
        <f>A351</f>
        <v>31 Juli</v>
      </c>
      <c r="B352" s="4" t="s">
        <v>412</v>
      </c>
      <c r="C352" s="4" t="s">
        <v>239</v>
      </c>
      <c r="D352" s="20"/>
      <c r="E352" s="20"/>
      <c r="F352" s="28">
        <f t="shared" si="32"/>
        <v>0</v>
      </c>
    </row>
    <row r="353" spans="1:6" x14ac:dyDescent="0.2">
      <c r="A353" s="18" t="str">
        <f>A349</f>
        <v>22 Juli</v>
      </c>
      <c r="B353" s="4" t="s">
        <v>413</v>
      </c>
      <c r="C353" s="4" t="s">
        <v>239</v>
      </c>
      <c r="D353" s="20"/>
      <c r="E353" s="20"/>
      <c r="F353" s="28">
        <f t="shared" si="32"/>
        <v>0</v>
      </c>
    </row>
    <row r="354" spans="1:6" x14ac:dyDescent="0.2">
      <c r="A354" s="50" t="s">
        <v>445</v>
      </c>
      <c r="B354" s="4"/>
      <c r="C354" s="4"/>
      <c r="D354" s="20"/>
      <c r="E354" s="20"/>
      <c r="F354" s="28"/>
    </row>
    <row r="355" spans="1:6" x14ac:dyDescent="0.2">
      <c r="A355" s="18" t="s">
        <v>613</v>
      </c>
      <c r="B355" s="4" t="s">
        <v>890</v>
      </c>
      <c r="C355" s="4" t="s">
        <v>187</v>
      </c>
      <c r="D355" s="20"/>
      <c r="E355" s="20"/>
      <c r="F355" s="28">
        <f>D355</f>
        <v>0</v>
      </c>
    </row>
    <row r="356" spans="1:6" x14ac:dyDescent="0.2">
      <c r="A356" s="18" t="s">
        <v>335</v>
      </c>
      <c r="B356" s="4" t="s">
        <v>411</v>
      </c>
      <c r="C356" s="4" t="s">
        <v>239</v>
      </c>
      <c r="D356" s="20"/>
      <c r="E356" s="20"/>
      <c r="F356" s="28">
        <f>F355+D356</f>
        <v>0</v>
      </c>
    </row>
    <row r="357" spans="1:6" x14ac:dyDescent="0.2">
      <c r="A357" s="18" t="str">
        <f>A356</f>
        <v>31 Agust</v>
      </c>
      <c r="B357" s="4" t="s">
        <v>412</v>
      </c>
      <c r="C357" s="4" t="s">
        <v>239</v>
      </c>
      <c r="D357" s="20"/>
      <c r="E357" s="20"/>
      <c r="F357" s="28">
        <f t="shared" ref="F357:F358" si="33">F356+D357</f>
        <v>0</v>
      </c>
    </row>
    <row r="358" spans="1:6" x14ac:dyDescent="0.2">
      <c r="A358" s="18" t="str">
        <f>A357</f>
        <v>31 Agust</v>
      </c>
      <c r="B358" s="4" t="s">
        <v>413</v>
      </c>
      <c r="C358" s="4" t="s">
        <v>239</v>
      </c>
      <c r="D358" s="20"/>
      <c r="E358" s="20"/>
      <c r="F358" s="28">
        <f t="shared" si="33"/>
        <v>0</v>
      </c>
    </row>
    <row r="359" spans="1:6" x14ac:dyDescent="0.2">
      <c r="A359" s="50" t="s">
        <v>446</v>
      </c>
      <c r="B359" s="4"/>
      <c r="C359" s="4"/>
      <c r="D359" s="20"/>
      <c r="E359" s="20"/>
      <c r="F359" s="28"/>
    </row>
    <row r="360" spans="1:6" x14ac:dyDescent="0.2">
      <c r="A360" s="18" t="s">
        <v>1047</v>
      </c>
      <c r="B360" s="4" t="s">
        <v>1053</v>
      </c>
      <c r="C360" s="4" t="s">
        <v>187</v>
      </c>
      <c r="D360" s="20"/>
      <c r="E360" s="20"/>
      <c r="F360" s="28">
        <f>D360</f>
        <v>0</v>
      </c>
    </row>
    <row r="361" spans="1:6" x14ac:dyDescent="0.2">
      <c r="A361" s="18" t="s">
        <v>357</v>
      </c>
      <c r="B361" s="4" t="s">
        <v>411</v>
      </c>
      <c r="C361" s="4" t="s">
        <v>239</v>
      </c>
      <c r="D361" s="20"/>
      <c r="E361" s="20"/>
      <c r="F361" s="28">
        <f t="shared" ref="F361:F363" si="34">F360+D361</f>
        <v>0</v>
      </c>
    </row>
    <row r="362" spans="1:6" x14ac:dyDescent="0.2">
      <c r="A362" s="18" t="str">
        <f>A361</f>
        <v>30 Sept</v>
      </c>
      <c r="B362" s="4" t="s">
        <v>412</v>
      </c>
      <c r="C362" s="4" t="s">
        <v>239</v>
      </c>
      <c r="D362" s="20"/>
      <c r="E362" s="20"/>
      <c r="F362" s="28">
        <f t="shared" si="34"/>
        <v>0</v>
      </c>
    </row>
    <row r="363" spans="1:6" x14ac:dyDescent="0.2">
      <c r="A363" s="18" t="str">
        <f>A362</f>
        <v>30 Sept</v>
      </c>
      <c r="B363" s="4" t="s">
        <v>413</v>
      </c>
      <c r="C363" s="4" t="s">
        <v>239</v>
      </c>
      <c r="D363" s="20"/>
      <c r="E363" s="20"/>
      <c r="F363" s="28">
        <f t="shared" si="34"/>
        <v>0</v>
      </c>
    </row>
    <row r="364" spans="1:6" x14ac:dyDescent="0.2">
      <c r="A364" s="50" t="s">
        <v>368</v>
      </c>
      <c r="B364" s="4"/>
      <c r="C364" s="4"/>
      <c r="D364" s="20"/>
      <c r="E364" s="20"/>
      <c r="F364" s="28"/>
    </row>
    <row r="365" spans="1:6" x14ac:dyDescent="0.2">
      <c r="A365" s="18" t="s">
        <v>376</v>
      </c>
      <c r="B365" s="4" t="s">
        <v>411</v>
      </c>
      <c r="C365" s="4" t="s">
        <v>239</v>
      </c>
      <c r="D365" s="20"/>
      <c r="E365" s="20"/>
      <c r="F365" s="28">
        <f>D365</f>
        <v>0</v>
      </c>
    </row>
    <row r="366" spans="1:6" x14ac:dyDescent="0.2">
      <c r="A366" s="18" t="str">
        <f>A365</f>
        <v>31 Okt</v>
      </c>
      <c r="B366" s="4" t="s">
        <v>412</v>
      </c>
      <c r="C366" s="4" t="s">
        <v>239</v>
      </c>
      <c r="D366" s="20"/>
      <c r="E366" s="20"/>
      <c r="F366" s="28">
        <f t="shared" ref="F366:F367" si="35">F365+D366</f>
        <v>0</v>
      </c>
    </row>
    <row r="367" spans="1:6" x14ac:dyDescent="0.2">
      <c r="A367" s="18" t="str">
        <f>A366</f>
        <v>31 Okt</v>
      </c>
      <c r="B367" s="4" t="s">
        <v>413</v>
      </c>
      <c r="C367" s="4" t="s">
        <v>239</v>
      </c>
      <c r="D367" s="20"/>
      <c r="E367" s="20"/>
      <c r="F367" s="28">
        <f t="shared" si="35"/>
        <v>0</v>
      </c>
    </row>
    <row r="368" spans="1:6" x14ac:dyDescent="0.2">
      <c r="A368" s="50" t="s">
        <v>397</v>
      </c>
      <c r="B368" s="4"/>
      <c r="C368" s="4"/>
      <c r="D368" s="20"/>
      <c r="E368" s="20"/>
      <c r="F368" s="28"/>
    </row>
    <row r="369" spans="1:6" x14ac:dyDescent="0.2">
      <c r="A369" s="18" t="s">
        <v>454</v>
      </c>
      <c r="B369" s="4" t="s">
        <v>411</v>
      </c>
      <c r="C369" s="4" t="s">
        <v>239</v>
      </c>
      <c r="D369" s="20"/>
      <c r="E369" s="20"/>
      <c r="F369" s="28">
        <f>D369</f>
        <v>0</v>
      </c>
    </row>
    <row r="370" spans="1:6" x14ac:dyDescent="0.2">
      <c r="A370" s="18"/>
      <c r="B370" s="4" t="s">
        <v>412</v>
      </c>
      <c r="C370" s="4" t="s">
        <v>239</v>
      </c>
      <c r="D370" s="20"/>
      <c r="E370" s="20"/>
      <c r="F370" s="28">
        <f t="shared" ref="F370:F371" si="36">F369+D370</f>
        <v>0</v>
      </c>
    </row>
    <row r="371" spans="1:6" x14ac:dyDescent="0.2">
      <c r="A371" s="18"/>
      <c r="B371" s="4" t="s">
        <v>413</v>
      </c>
      <c r="C371" s="4" t="s">
        <v>239</v>
      </c>
      <c r="D371" s="20"/>
      <c r="E371" s="20"/>
      <c r="F371" s="28">
        <f t="shared" si="36"/>
        <v>0</v>
      </c>
    </row>
    <row r="372" spans="1:6" x14ac:dyDescent="0.2">
      <c r="A372" s="50" t="s">
        <v>453</v>
      </c>
      <c r="B372" s="4"/>
      <c r="C372" s="4"/>
      <c r="D372" s="20"/>
      <c r="E372" s="20"/>
      <c r="F372" s="28"/>
    </row>
    <row r="373" spans="1:6" x14ac:dyDescent="0.2">
      <c r="A373" s="18" t="s">
        <v>455</v>
      </c>
      <c r="B373" s="4" t="s">
        <v>411</v>
      </c>
      <c r="C373" s="4" t="s">
        <v>239</v>
      </c>
      <c r="D373" s="20"/>
      <c r="E373" s="20"/>
      <c r="F373" s="28">
        <f>D373</f>
        <v>0</v>
      </c>
    </row>
    <row r="374" spans="1:6" x14ac:dyDescent="0.2">
      <c r="A374" s="18" t="s">
        <v>449</v>
      </c>
      <c r="B374" s="4" t="s">
        <v>412</v>
      </c>
      <c r="C374" s="4" t="s">
        <v>239</v>
      </c>
      <c r="D374" s="20"/>
      <c r="E374" s="20"/>
      <c r="F374" s="28">
        <f t="shared" ref="F374:F375" si="37">F373+D374</f>
        <v>0</v>
      </c>
    </row>
    <row r="375" spans="1:6" x14ac:dyDescent="0.2">
      <c r="A375" s="18"/>
      <c r="B375" s="4" t="s">
        <v>413</v>
      </c>
      <c r="C375" s="4" t="s">
        <v>239</v>
      </c>
      <c r="D375" s="20"/>
      <c r="E375" s="20"/>
      <c r="F375" s="28">
        <f t="shared" si="37"/>
        <v>0</v>
      </c>
    </row>
    <row r="376" spans="1:6" x14ac:dyDescent="0.2">
      <c r="A376" s="18"/>
      <c r="B376" s="4"/>
      <c r="C376" s="4" t="s">
        <v>239</v>
      </c>
      <c r="D376" s="20"/>
      <c r="E376" s="20"/>
      <c r="F376" s="28"/>
    </row>
    <row r="377" spans="1:6" x14ac:dyDescent="0.2">
      <c r="A377" s="53"/>
      <c r="B377" s="4"/>
      <c r="C377" s="4" t="s">
        <v>239</v>
      </c>
      <c r="D377" s="20"/>
      <c r="E377" s="20"/>
      <c r="F377" s="28"/>
    </row>
    <row r="378" spans="1:6" x14ac:dyDescent="0.2">
      <c r="A378" s="53"/>
      <c r="B378" s="68"/>
      <c r="C378" s="10"/>
      <c r="D378" s="20"/>
      <c r="E378" s="20"/>
      <c r="F378" s="28"/>
    </row>
    <row r="379" spans="1:6" x14ac:dyDescent="0.2">
      <c r="A379" s="105" t="s">
        <v>10</v>
      </c>
      <c r="B379" s="112"/>
      <c r="C379" s="106"/>
      <c r="D379" s="20">
        <f>SUM(D319:D378)</f>
        <v>0</v>
      </c>
      <c r="E379" s="20">
        <f>SUM(E319:E376)</f>
        <v>0</v>
      </c>
      <c r="F379" s="28">
        <f>D379-E379</f>
        <v>0</v>
      </c>
    </row>
    <row r="380" spans="1:6" x14ac:dyDescent="0.2">
      <c r="A380" s="105" t="s">
        <v>11</v>
      </c>
      <c r="B380" s="112"/>
      <c r="C380" s="106"/>
      <c r="D380" s="20"/>
      <c r="E380" s="20"/>
      <c r="F380" s="28">
        <f>D380-E380</f>
        <v>0</v>
      </c>
    </row>
    <row r="381" spans="1:6" x14ac:dyDescent="0.2">
      <c r="A381" s="105" t="s">
        <v>10</v>
      </c>
      <c r="B381" s="112"/>
      <c r="C381" s="106"/>
      <c r="D381" s="20">
        <f>SUM(D379:D380)</f>
        <v>0</v>
      </c>
      <c r="E381" s="20">
        <f>SUM(E379:E380)</f>
        <v>0</v>
      </c>
      <c r="F381" s="28">
        <f>SUM(F379:F380)</f>
        <v>0</v>
      </c>
    </row>
    <row r="382" spans="1:6" x14ac:dyDescent="0.2">
      <c r="A382" s="5"/>
      <c r="B382" s="5"/>
      <c r="C382" s="5"/>
      <c r="D382" s="39"/>
      <c r="E382" s="39"/>
      <c r="F382" s="63"/>
    </row>
    <row r="383" spans="1:6" x14ac:dyDescent="0.2">
      <c r="A383" s="5"/>
      <c r="B383" s="5"/>
      <c r="C383" s="5"/>
      <c r="D383" s="39"/>
      <c r="E383" s="39"/>
      <c r="F383" s="63"/>
    </row>
    <row r="384" spans="1:6" x14ac:dyDescent="0.2">
      <c r="A384" s="5"/>
      <c r="B384" s="5"/>
      <c r="C384" s="5"/>
      <c r="D384" s="39"/>
      <c r="E384" s="39"/>
      <c r="F384" s="63"/>
    </row>
    <row r="385" spans="1:6" x14ac:dyDescent="0.2">
      <c r="A385" s="5"/>
      <c r="B385" s="5"/>
      <c r="C385" s="5"/>
      <c r="D385" s="39"/>
      <c r="E385" s="39"/>
      <c r="F385" s="63"/>
    </row>
    <row r="386" spans="1:6" x14ac:dyDescent="0.2">
      <c r="A386" s="100" t="s">
        <v>0</v>
      </c>
      <c r="B386" s="100"/>
    </row>
    <row r="387" spans="1:6" x14ac:dyDescent="0.2">
      <c r="A387" s="100" t="s">
        <v>1</v>
      </c>
      <c r="B387" s="100"/>
    </row>
    <row r="388" spans="1:6" x14ac:dyDescent="0.2">
      <c r="A388" s="101" t="s">
        <v>2</v>
      </c>
      <c r="B388" s="101"/>
      <c r="C388" s="101"/>
      <c r="D388" s="101"/>
      <c r="E388" s="101"/>
      <c r="F388" s="101"/>
    </row>
    <row r="389" spans="1:6" x14ac:dyDescent="0.2">
      <c r="A389" s="109" t="s">
        <v>136</v>
      </c>
      <c r="B389" s="109"/>
      <c r="D389" s="2" t="s">
        <v>145</v>
      </c>
    </row>
    <row r="391" spans="1:6" x14ac:dyDescent="0.2">
      <c r="A391" s="103" t="s">
        <v>3</v>
      </c>
      <c r="B391" s="103" t="s">
        <v>4</v>
      </c>
      <c r="C391" s="103" t="s">
        <v>5</v>
      </c>
      <c r="D391" s="105" t="s">
        <v>6</v>
      </c>
      <c r="E391" s="106"/>
      <c r="F391" s="107" t="s">
        <v>9</v>
      </c>
    </row>
    <row r="392" spans="1:6" x14ac:dyDescent="0.2">
      <c r="A392" s="104"/>
      <c r="B392" s="104"/>
      <c r="C392" s="104"/>
      <c r="D392" s="3" t="s">
        <v>7</v>
      </c>
      <c r="E392" s="3" t="s">
        <v>8</v>
      </c>
      <c r="F392" s="108"/>
    </row>
    <row r="393" spans="1:6" x14ac:dyDescent="0.2">
      <c r="A393" s="18" t="s">
        <v>1365</v>
      </c>
      <c r="B393" s="4" t="s">
        <v>1419</v>
      </c>
      <c r="C393" s="4" t="s">
        <v>187</v>
      </c>
      <c r="D393" s="46"/>
      <c r="E393" s="20">
        <v>0</v>
      </c>
      <c r="F393" s="28">
        <f>D393+E393</f>
        <v>0</v>
      </c>
    </row>
    <row r="394" spans="1:6" x14ac:dyDescent="0.2">
      <c r="A394" s="18" t="s">
        <v>595</v>
      </c>
      <c r="B394" s="4" t="s">
        <v>832</v>
      </c>
      <c r="C394" s="4" t="s">
        <v>187</v>
      </c>
      <c r="D394" s="20"/>
      <c r="E394" s="20"/>
      <c r="F394" s="28">
        <f>F393+D394</f>
        <v>0</v>
      </c>
    </row>
    <row r="395" spans="1:6" x14ac:dyDescent="0.2">
      <c r="A395" s="18" t="s">
        <v>1027</v>
      </c>
      <c r="B395" s="4" t="s">
        <v>1030</v>
      </c>
      <c r="C395" s="4" t="s">
        <v>187</v>
      </c>
      <c r="D395" s="20"/>
      <c r="E395" s="20"/>
      <c r="F395" s="28">
        <f t="shared" ref="F395:F400" si="38">F394+D395</f>
        <v>0</v>
      </c>
    </row>
    <row r="396" spans="1:6" x14ac:dyDescent="0.2">
      <c r="A396" s="18" t="s">
        <v>1031</v>
      </c>
      <c r="B396" s="27" t="s">
        <v>1032</v>
      </c>
      <c r="C396" s="4" t="s">
        <v>187</v>
      </c>
      <c r="D396" s="20"/>
      <c r="E396" s="20"/>
      <c r="F396" s="28">
        <f t="shared" si="38"/>
        <v>0</v>
      </c>
    </row>
    <row r="397" spans="1:6" x14ac:dyDescent="0.2">
      <c r="A397" s="18" t="s">
        <v>1126</v>
      </c>
      <c r="B397" s="4" t="s">
        <v>1127</v>
      </c>
      <c r="C397" s="4" t="s">
        <v>187</v>
      </c>
      <c r="D397" s="20"/>
      <c r="E397" s="20"/>
      <c r="F397" s="28">
        <f t="shared" si="38"/>
        <v>0</v>
      </c>
    </row>
    <row r="398" spans="1:6" x14ac:dyDescent="0.2">
      <c r="A398" s="18" t="s">
        <v>1181</v>
      </c>
      <c r="B398" s="4" t="s">
        <v>1186</v>
      </c>
      <c r="C398" s="4" t="s">
        <v>187</v>
      </c>
      <c r="D398" s="20"/>
      <c r="E398" s="20"/>
      <c r="F398" s="28">
        <f t="shared" si="38"/>
        <v>0</v>
      </c>
    </row>
    <row r="399" spans="1:6" x14ac:dyDescent="0.2">
      <c r="A399" s="18"/>
      <c r="B399" s="4"/>
      <c r="C399" s="4" t="s">
        <v>187</v>
      </c>
      <c r="D399" s="20"/>
      <c r="E399" s="20"/>
      <c r="F399" s="28">
        <f t="shared" si="38"/>
        <v>0</v>
      </c>
    </row>
    <row r="400" spans="1:6" x14ac:dyDescent="0.2">
      <c r="A400" s="4"/>
      <c r="B400" s="4"/>
      <c r="C400" s="4" t="s">
        <v>187</v>
      </c>
      <c r="D400" s="20"/>
      <c r="E400" s="20"/>
      <c r="F400" s="28">
        <f t="shared" si="38"/>
        <v>0</v>
      </c>
    </row>
    <row r="401" spans="1:6" x14ac:dyDescent="0.2">
      <c r="A401" s="4"/>
      <c r="B401" s="4"/>
      <c r="C401" s="4"/>
      <c r="D401" s="20"/>
      <c r="E401" s="20"/>
      <c r="F401" s="28"/>
    </row>
    <row r="402" spans="1:6" x14ac:dyDescent="0.2">
      <c r="A402" s="105" t="s">
        <v>10</v>
      </c>
      <c r="B402" s="112"/>
      <c r="C402" s="106"/>
      <c r="D402" s="20">
        <f>SUM(D393:D401)</f>
        <v>0</v>
      </c>
      <c r="E402" s="20">
        <f>SUM(E393:E401)</f>
        <v>0</v>
      </c>
      <c r="F402" s="28">
        <f>D402-E402</f>
        <v>0</v>
      </c>
    </row>
    <row r="403" spans="1:6" x14ac:dyDescent="0.2">
      <c r="A403" s="105" t="s">
        <v>11</v>
      </c>
      <c r="B403" s="112"/>
      <c r="C403" s="106"/>
      <c r="D403" s="20"/>
      <c r="E403" s="20"/>
      <c r="F403" s="28">
        <f>D403-E403</f>
        <v>0</v>
      </c>
    </row>
    <row r="404" spans="1:6" x14ac:dyDescent="0.2">
      <c r="A404" s="105" t="s">
        <v>10</v>
      </c>
      <c r="B404" s="112"/>
      <c r="C404" s="106"/>
      <c r="D404" s="20">
        <f>SUM(D402:D403)</f>
        <v>0</v>
      </c>
      <c r="E404" s="20">
        <f>SUM(E402:E403)</f>
        <v>0</v>
      </c>
      <c r="F404" s="28">
        <f>SUM(F402:F403)</f>
        <v>0</v>
      </c>
    </row>
    <row r="406" spans="1:6" x14ac:dyDescent="0.2">
      <c r="A406" s="100" t="s">
        <v>0</v>
      </c>
      <c r="B406" s="100"/>
    </row>
    <row r="407" spans="1:6" x14ac:dyDescent="0.2">
      <c r="A407" s="100" t="s">
        <v>1</v>
      </c>
      <c r="B407" s="100"/>
    </row>
    <row r="408" spans="1:6" x14ac:dyDescent="0.2">
      <c r="A408" s="101" t="s">
        <v>2</v>
      </c>
      <c r="B408" s="101"/>
      <c r="C408" s="101"/>
      <c r="D408" s="101"/>
      <c r="E408" s="101"/>
      <c r="F408" s="101"/>
    </row>
    <row r="409" spans="1:6" x14ac:dyDescent="0.2">
      <c r="A409" s="122" t="s">
        <v>146</v>
      </c>
      <c r="B409" s="122"/>
      <c r="C409" s="125"/>
      <c r="D409" s="123" t="s">
        <v>147</v>
      </c>
    </row>
    <row r="411" spans="1:6" x14ac:dyDescent="0.2">
      <c r="A411" s="103" t="s">
        <v>3</v>
      </c>
      <c r="B411" s="103" t="s">
        <v>4</v>
      </c>
      <c r="C411" s="103" t="s">
        <v>5</v>
      </c>
      <c r="D411" s="105" t="s">
        <v>6</v>
      </c>
      <c r="E411" s="106"/>
      <c r="F411" s="107" t="s">
        <v>9</v>
      </c>
    </row>
    <row r="412" spans="1:6" x14ac:dyDescent="0.2">
      <c r="A412" s="104"/>
      <c r="B412" s="104"/>
      <c r="C412" s="104"/>
      <c r="D412" s="3" t="s">
        <v>7</v>
      </c>
      <c r="E412" s="3" t="s">
        <v>8</v>
      </c>
      <c r="F412" s="108"/>
    </row>
    <row r="413" spans="1:6" x14ac:dyDescent="0.2">
      <c r="A413" s="15" t="s">
        <v>469</v>
      </c>
      <c r="B413" s="4"/>
      <c r="C413" s="15"/>
      <c r="D413" s="3"/>
      <c r="E413" s="3"/>
      <c r="F413" s="36"/>
    </row>
    <row r="414" spans="1:6" x14ac:dyDescent="0.2">
      <c r="A414" s="32" t="s">
        <v>228</v>
      </c>
      <c r="B414" s="4" t="s">
        <v>1356</v>
      </c>
      <c r="C414" s="4" t="s">
        <v>240</v>
      </c>
      <c r="D414" s="3"/>
      <c r="E414" s="3"/>
      <c r="F414" s="54">
        <f>D414</f>
        <v>0</v>
      </c>
    </row>
    <row r="415" spans="1:6" x14ac:dyDescent="0.2">
      <c r="A415" s="30" t="str">
        <f>A414</f>
        <v>31 Jan</v>
      </c>
      <c r="B415" s="4" t="s">
        <v>1357</v>
      </c>
      <c r="C415" s="4" t="s">
        <v>240</v>
      </c>
      <c r="D415" s="3"/>
      <c r="E415" s="3"/>
      <c r="F415" s="54">
        <f>F414+D415</f>
        <v>0</v>
      </c>
    </row>
    <row r="416" spans="1:6" x14ac:dyDescent="0.2">
      <c r="A416" s="30" t="str">
        <f>A415</f>
        <v>31 Jan</v>
      </c>
      <c r="B416" s="4" t="s">
        <v>484</v>
      </c>
      <c r="C416" s="4" t="s">
        <v>240</v>
      </c>
      <c r="D416" s="3"/>
      <c r="E416" s="3"/>
      <c r="F416" s="54">
        <f>F415+D416</f>
        <v>0</v>
      </c>
    </row>
    <row r="417" spans="1:6" x14ac:dyDescent="0.2">
      <c r="A417" s="15" t="s">
        <v>247</v>
      </c>
      <c r="B417" s="15"/>
      <c r="C417" s="4"/>
      <c r="D417" s="3"/>
      <c r="E417" s="3"/>
      <c r="F417" s="36"/>
    </row>
    <row r="418" spans="1:6" x14ac:dyDescent="0.2">
      <c r="A418" s="32" t="s">
        <v>416</v>
      </c>
      <c r="B418" s="4" t="s">
        <v>1358</v>
      </c>
      <c r="C418" s="4" t="s">
        <v>240</v>
      </c>
      <c r="D418" s="3"/>
      <c r="E418" s="3"/>
      <c r="F418" s="54">
        <f>D418</f>
        <v>0</v>
      </c>
    </row>
    <row r="419" spans="1:6" x14ac:dyDescent="0.2">
      <c r="A419" s="32" t="s">
        <v>416</v>
      </c>
      <c r="B419" s="4" t="s">
        <v>1359</v>
      </c>
      <c r="C419" s="4" t="s">
        <v>240</v>
      </c>
      <c r="D419" s="3"/>
      <c r="E419" s="20"/>
      <c r="F419" s="54">
        <f>F418+D419</f>
        <v>0</v>
      </c>
    </row>
    <row r="420" spans="1:6" x14ac:dyDescent="0.2">
      <c r="A420" s="32" t="s">
        <v>416</v>
      </c>
      <c r="B420" s="4" t="s">
        <v>484</v>
      </c>
      <c r="C420" s="4" t="s">
        <v>240</v>
      </c>
      <c r="D420" s="3"/>
      <c r="E420" s="20"/>
      <c r="F420" s="54">
        <f>F419+D420</f>
        <v>0</v>
      </c>
    </row>
    <row r="421" spans="1:6" x14ac:dyDescent="0.2">
      <c r="A421" s="50" t="s">
        <v>262</v>
      </c>
      <c r="B421" s="4"/>
      <c r="C421" s="4"/>
      <c r="D421" s="3"/>
      <c r="E421" s="20"/>
      <c r="F421" s="28"/>
    </row>
    <row r="422" spans="1:6" x14ac:dyDescent="0.2">
      <c r="A422" s="18" t="s">
        <v>269</v>
      </c>
      <c r="B422" s="4" t="s">
        <v>1429</v>
      </c>
      <c r="C422" s="4" t="s">
        <v>239</v>
      </c>
      <c r="D422" s="3"/>
      <c r="E422" s="20"/>
      <c r="F422" s="28">
        <f>D422</f>
        <v>0</v>
      </c>
    </row>
    <row r="423" spans="1:6" x14ac:dyDescent="0.2">
      <c r="A423" s="18" t="str">
        <f>A422</f>
        <v>31 Mar</v>
      </c>
      <c r="B423" s="4" t="s">
        <v>1430</v>
      </c>
      <c r="C423" s="4" t="s">
        <v>239</v>
      </c>
      <c r="D423" s="3"/>
      <c r="E423" s="20"/>
      <c r="F423" s="28">
        <f t="shared" ref="F423:F424" si="39">F422+D423</f>
        <v>0</v>
      </c>
    </row>
    <row r="424" spans="1:6" x14ac:dyDescent="0.2">
      <c r="A424" s="18" t="s">
        <v>269</v>
      </c>
      <c r="B424" s="4" t="s">
        <v>484</v>
      </c>
      <c r="C424" s="4" t="s">
        <v>239</v>
      </c>
      <c r="D424" s="3"/>
      <c r="E424" s="20"/>
      <c r="F424" s="28">
        <f t="shared" si="39"/>
        <v>0</v>
      </c>
    </row>
    <row r="425" spans="1:6" x14ac:dyDescent="0.2">
      <c r="A425" s="50" t="s">
        <v>283</v>
      </c>
      <c r="B425" s="4"/>
      <c r="C425" s="4"/>
      <c r="D425" s="3"/>
      <c r="E425" s="20"/>
      <c r="F425" s="28"/>
    </row>
    <row r="426" spans="1:6" x14ac:dyDescent="0.2">
      <c r="A426" s="18" t="s">
        <v>284</v>
      </c>
      <c r="B426" s="4" t="s">
        <v>1206</v>
      </c>
      <c r="C426" s="4" t="s">
        <v>239</v>
      </c>
      <c r="D426" s="3"/>
      <c r="E426" s="20"/>
      <c r="F426" s="28">
        <f>D426</f>
        <v>0</v>
      </c>
    </row>
    <row r="427" spans="1:6" x14ac:dyDescent="0.2">
      <c r="A427" s="18" t="str">
        <f>A426</f>
        <v>30 April</v>
      </c>
      <c r="B427" s="4" t="s">
        <v>466</v>
      </c>
      <c r="C427" s="4" t="s">
        <v>239</v>
      </c>
      <c r="D427" s="3"/>
      <c r="E427" s="20"/>
      <c r="F427" s="28">
        <f t="shared" ref="F427:F428" si="40">F426+D427</f>
        <v>0</v>
      </c>
    </row>
    <row r="428" spans="1:6" x14ac:dyDescent="0.2">
      <c r="A428" s="18" t="str">
        <f>A427</f>
        <v>30 April</v>
      </c>
      <c r="B428" s="4" t="s">
        <v>1438</v>
      </c>
      <c r="C428" s="4" t="s">
        <v>239</v>
      </c>
      <c r="D428" s="3"/>
      <c r="E428" s="20"/>
      <c r="F428" s="28">
        <f t="shared" si="40"/>
        <v>0</v>
      </c>
    </row>
    <row r="429" spans="1:6" x14ac:dyDescent="0.2">
      <c r="A429" s="50" t="s">
        <v>299</v>
      </c>
      <c r="B429" s="4"/>
      <c r="C429" s="4"/>
      <c r="D429" s="20"/>
      <c r="E429" s="20"/>
      <c r="F429" s="28"/>
    </row>
    <row r="430" spans="1:6" x14ac:dyDescent="0.2">
      <c r="A430" s="18" t="s">
        <v>290</v>
      </c>
      <c r="B430" s="4" t="s">
        <v>850</v>
      </c>
      <c r="C430" s="4" t="s">
        <v>239</v>
      </c>
      <c r="D430" s="20"/>
      <c r="E430" s="20"/>
      <c r="F430" s="28">
        <f>D430</f>
        <v>0</v>
      </c>
    </row>
    <row r="431" spans="1:6" x14ac:dyDescent="0.2">
      <c r="A431" s="18" t="str">
        <f>A430</f>
        <v>31 Mei</v>
      </c>
      <c r="B431" s="4" t="s">
        <v>466</v>
      </c>
      <c r="C431" s="4" t="s">
        <v>239</v>
      </c>
      <c r="D431" s="20"/>
      <c r="E431" s="20"/>
      <c r="F431" s="28">
        <f t="shared" ref="F431" si="41">F430+D431</f>
        <v>0</v>
      </c>
    </row>
    <row r="432" spans="1:6" x14ac:dyDescent="0.2">
      <c r="A432" s="18" t="str">
        <f>A431</f>
        <v>31 Mei</v>
      </c>
      <c r="B432" s="4" t="s">
        <v>851</v>
      </c>
      <c r="C432" s="4" t="s">
        <v>239</v>
      </c>
      <c r="D432" s="20"/>
      <c r="E432" s="20"/>
      <c r="F432" s="28">
        <f t="shared" ref="F432" si="42">F431+D432</f>
        <v>0</v>
      </c>
    </row>
    <row r="433" spans="1:6" x14ac:dyDescent="0.2">
      <c r="A433" s="50" t="s">
        <v>315</v>
      </c>
      <c r="B433" s="4"/>
      <c r="C433" s="4"/>
      <c r="D433" s="20"/>
      <c r="E433" s="20"/>
      <c r="F433" s="28"/>
    </row>
    <row r="434" spans="1:6" x14ac:dyDescent="0.2">
      <c r="A434" s="18" t="s">
        <v>438</v>
      </c>
      <c r="B434" s="4" t="s">
        <v>901</v>
      </c>
      <c r="C434" s="4" t="s">
        <v>239</v>
      </c>
      <c r="D434" s="20"/>
      <c r="E434" s="20"/>
      <c r="F434" s="28">
        <f>D434</f>
        <v>0</v>
      </c>
    </row>
    <row r="435" spans="1:6" x14ac:dyDescent="0.2">
      <c r="A435" s="18" t="str">
        <f>A434</f>
        <v>30 JUNI</v>
      </c>
      <c r="B435" s="4" t="s">
        <v>605</v>
      </c>
      <c r="C435" s="4" t="s">
        <v>239</v>
      </c>
      <c r="D435" s="20"/>
      <c r="E435" s="20"/>
      <c r="F435" s="28">
        <f t="shared" ref="F435:F436" si="43">F434+D435</f>
        <v>0</v>
      </c>
    </row>
    <row r="436" spans="1:6" x14ac:dyDescent="0.2">
      <c r="A436" s="18" t="str">
        <f>A435</f>
        <v>30 JUNI</v>
      </c>
      <c r="B436" s="4" t="s">
        <v>591</v>
      </c>
      <c r="C436" s="4" t="s">
        <v>239</v>
      </c>
      <c r="D436" s="20"/>
      <c r="E436" s="20"/>
      <c r="F436" s="28">
        <f t="shared" si="43"/>
        <v>0</v>
      </c>
    </row>
    <row r="437" spans="1:6" x14ac:dyDescent="0.2">
      <c r="A437" s="50" t="s">
        <v>330</v>
      </c>
      <c r="B437" s="4"/>
      <c r="C437" s="4"/>
      <c r="D437" s="20"/>
      <c r="E437" s="20"/>
      <c r="F437" s="28"/>
    </row>
    <row r="438" spans="1:6" x14ac:dyDescent="0.2">
      <c r="A438" s="18" t="s">
        <v>440</v>
      </c>
      <c r="B438" s="4" t="s">
        <v>945</v>
      </c>
      <c r="C438" s="4" t="s">
        <v>239</v>
      </c>
      <c r="D438" s="20"/>
      <c r="E438" s="20"/>
      <c r="F438" s="28">
        <f>D438</f>
        <v>0</v>
      </c>
    </row>
    <row r="439" spans="1:6" x14ac:dyDescent="0.2">
      <c r="A439" s="18" t="str">
        <f>A438</f>
        <v>31 JULI</v>
      </c>
      <c r="B439" s="4" t="s">
        <v>628</v>
      </c>
      <c r="C439" s="4" t="s">
        <v>239</v>
      </c>
      <c r="D439" s="20"/>
      <c r="E439" s="20"/>
      <c r="F439" s="28">
        <f t="shared" ref="F439:F440" si="44">F438+D439</f>
        <v>0</v>
      </c>
    </row>
    <row r="440" spans="1:6" x14ac:dyDescent="0.2">
      <c r="A440" s="18" t="str">
        <f>A439</f>
        <v>31 JULI</v>
      </c>
      <c r="B440" s="4" t="s">
        <v>620</v>
      </c>
      <c r="C440" s="4" t="s">
        <v>239</v>
      </c>
      <c r="D440" s="20"/>
      <c r="E440" s="20"/>
      <c r="F440" s="28">
        <f t="shared" si="44"/>
        <v>0</v>
      </c>
    </row>
    <row r="441" spans="1:6" x14ac:dyDescent="0.2">
      <c r="A441" s="50" t="s">
        <v>445</v>
      </c>
      <c r="B441" s="4"/>
      <c r="C441" s="4"/>
      <c r="D441" s="20"/>
      <c r="E441" s="20"/>
      <c r="F441" s="28"/>
    </row>
    <row r="442" spans="1:6" x14ac:dyDescent="0.2">
      <c r="A442" s="18" t="s">
        <v>444</v>
      </c>
      <c r="B442" s="4" t="s">
        <v>807</v>
      </c>
      <c r="C442" s="4" t="s">
        <v>239</v>
      </c>
      <c r="D442" s="20"/>
      <c r="E442" s="20"/>
      <c r="F442" s="28">
        <f>D442</f>
        <v>0</v>
      </c>
    </row>
    <row r="443" spans="1:6" x14ac:dyDescent="0.2">
      <c r="A443" s="18" t="str">
        <f>A442</f>
        <v>31 AGUST</v>
      </c>
      <c r="B443" s="4" t="s">
        <v>1002</v>
      </c>
      <c r="C443" s="4" t="s">
        <v>239</v>
      </c>
      <c r="D443" s="20"/>
      <c r="E443" s="20"/>
      <c r="F443" s="28">
        <f t="shared" ref="F443:F444" si="45">F442+D443</f>
        <v>0</v>
      </c>
    </row>
    <row r="444" spans="1:6" x14ac:dyDescent="0.2">
      <c r="A444" s="18" t="str">
        <f>A443</f>
        <v>31 AGUST</v>
      </c>
      <c r="B444" s="4" t="s">
        <v>578</v>
      </c>
      <c r="C444" s="4" t="s">
        <v>239</v>
      </c>
      <c r="D444" s="20"/>
      <c r="E444" s="20"/>
      <c r="F444" s="28">
        <f t="shared" si="45"/>
        <v>0</v>
      </c>
    </row>
    <row r="445" spans="1:6" x14ac:dyDescent="0.2">
      <c r="A445" s="50" t="s">
        <v>446</v>
      </c>
      <c r="B445" s="4"/>
      <c r="C445" s="4"/>
      <c r="D445" s="20"/>
      <c r="E445" s="20"/>
      <c r="F445" s="28"/>
    </row>
    <row r="446" spans="1:6" x14ac:dyDescent="0.2">
      <c r="A446" s="18" t="s">
        <v>447</v>
      </c>
      <c r="B446" s="4" t="s">
        <v>1060</v>
      </c>
      <c r="C446" s="4" t="s">
        <v>239</v>
      </c>
      <c r="D446" s="20"/>
      <c r="E446" s="20"/>
      <c r="F446" s="28">
        <f>D446</f>
        <v>0</v>
      </c>
    </row>
    <row r="447" spans="1:6" x14ac:dyDescent="0.2">
      <c r="A447" s="18" t="str">
        <f>A446</f>
        <v>30 SEPT</v>
      </c>
      <c r="B447" s="4" t="s">
        <v>1061</v>
      </c>
      <c r="C447" s="4" t="s">
        <v>239</v>
      </c>
      <c r="D447" s="20"/>
      <c r="E447" s="20"/>
      <c r="F447" s="28">
        <f t="shared" ref="F447:F448" si="46">F446+D447</f>
        <v>0</v>
      </c>
    </row>
    <row r="448" spans="1:6" x14ac:dyDescent="0.2">
      <c r="A448" s="18" t="str">
        <f>A447</f>
        <v>30 SEPT</v>
      </c>
      <c r="B448" s="4" t="s">
        <v>591</v>
      </c>
      <c r="C448" s="4" t="s">
        <v>239</v>
      </c>
      <c r="D448" s="20"/>
      <c r="E448" s="20"/>
      <c r="F448" s="28">
        <f t="shared" si="46"/>
        <v>0</v>
      </c>
    </row>
    <row r="449" spans="1:6" x14ac:dyDescent="0.2">
      <c r="A449" s="50" t="s">
        <v>368</v>
      </c>
      <c r="B449" s="4"/>
      <c r="C449" s="4"/>
      <c r="D449" s="20"/>
      <c r="E449" s="20"/>
      <c r="F449" s="28"/>
    </row>
    <row r="450" spans="1:6" x14ac:dyDescent="0.2">
      <c r="A450" s="18" t="s">
        <v>448</v>
      </c>
      <c r="B450" s="4" t="s">
        <v>1093</v>
      </c>
      <c r="C450" s="4" t="s">
        <v>239</v>
      </c>
      <c r="D450" s="20"/>
      <c r="E450" s="20"/>
      <c r="F450" s="28">
        <f>D450</f>
        <v>0</v>
      </c>
    </row>
    <row r="451" spans="1:6" x14ac:dyDescent="0.2">
      <c r="A451" s="18" t="str">
        <f>A450</f>
        <v>31 OKT</v>
      </c>
      <c r="B451" s="4" t="s">
        <v>605</v>
      </c>
      <c r="C451" s="4" t="s">
        <v>239</v>
      </c>
      <c r="D451" s="20"/>
      <c r="E451" s="20"/>
      <c r="F451" s="28">
        <f t="shared" ref="F451:F452" si="47">F450+D451</f>
        <v>0</v>
      </c>
    </row>
    <row r="452" spans="1:6" x14ac:dyDescent="0.2">
      <c r="A452" s="18" t="str">
        <f>A451</f>
        <v>31 OKT</v>
      </c>
      <c r="B452" s="4" t="s">
        <v>646</v>
      </c>
      <c r="C452" s="4" t="s">
        <v>239</v>
      </c>
      <c r="D452" s="20"/>
      <c r="E452" s="20"/>
      <c r="F452" s="28">
        <f t="shared" si="47"/>
        <v>0</v>
      </c>
    </row>
    <row r="453" spans="1:6" x14ac:dyDescent="0.2">
      <c r="A453" s="50" t="s">
        <v>397</v>
      </c>
      <c r="B453" s="4"/>
      <c r="C453" s="4"/>
      <c r="D453" s="20"/>
      <c r="E453" s="20"/>
      <c r="F453" s="28"/>
    </row>
    <row r="454" spans="1:6" x14ac:dyDescent="0.2">
      <c r="A454" s="18" t="s">
        <v>390</v>
      </c>
      <c r="B454" s="4" t="s">
        <v>1135</v>
      </c>
      <c r="C454" s="4" t="s">
        <v>239</v>
      </c>
      <c r="D454" s="20"/>
      <c r="E454" s="20"/>
      <c r="F454" s="28">
        <f>D454</f>
        <v>0</v>
      </c>
    </row>
    <row r="455" spans="1:6" x14ac:dyDescent="0.2">
      <c r="A455" s="18"/>
      <c r="B455" s="4" t="s">
        <v>466</v>
      </c>
      <c r="C455" s="4" t="s">
        <v>239</v>
      </c>
      <c r="D455" s="20"/>
      <c r="E455" s="20"/>
      <c r="F455" s="28">
        <f t="shared" ref="F455:F456" si="48">F454+D455</f>
        <v>0</v>
      </c>
    </row>
    <row r="456" spans="1:6" x14ac:dyDescent="0.2">
      <c r="A456" s="18"/>
      <c r="B456" s="4" t="s">
        <v>484</v>
      </c>
      <c r="C456" s="4" t="s">
        <v>239</v>
      </c>
      <c r="D456" s="20"/>
      <c r="E456" s="20"/>
      <c r="F456" s="28">
        <f t="shared" si="48"/>
        <v>0</v>
      </c>
    </row>
    <row r="457" spans="1:6" x14ac:dyDescent="0.2">
      <c r="A457" s="50" t="s">
        <v>453</v>
      </c>
      <c r="B457" s="4"/>
      <c r="C457" s="4"/>
      <c r="D457" s="20"/>
      <c r="E457" s="20"/>
      <c r="F457" s="28"/>
    </row>
    <row r="458" spans="1:6" x14ac:dyDescent="0.2">
      <c r="A458" s="18" t="s">
        <v>449</v>
      </c>
      <c r="B458" s="4" t="s">
        <v>1206</v>
      </c>
      <c r="C458" s="4" t="s">
        <v>239</v>
      </c>
      <c r="D458" s="20"/>
      <c r="E458" s="20"/>
      <c r="F458" s="28">
        <f>D458</f>
        <v>0</v>
      </c>
    </row>
    <row r="459" spans="1:6" x14ac:dyDescent="0.2">
      <c r="A459" s="18"/>
      <c r="B459" s="4" t="s">
        <v>628</v>
      </c>
      <c r="C459" s="4" t="s">
        <v>239</v>
      </c>
      <c r="D459" s="20"/>
      <c r="E459" s="20"/>
      <c r="F459" s="28">
        <f t="shared" ref="F459:F460" si="49">F458+D459</f>
        <v>0</v>
      </c>
    </row>
    <row r="460" spans="1:6" x14ac:dyDescent="0.2">
      <c r="A460" s="18"/>
      <c r="B460" s="4" t="s">
        <v>1207</v>
      </c>
      <c r="C460" s="4" t="s">
        <v>239</v>
      </c>
      <c r="D460" s="20"/>
      <c r="E460" s="20"/>
      <c r="F460" s="28">
        <f t="shared" si="49"/>
        <v>0</v>
      </c>
    </row>
    <row r="461" spans="1:6" x14ac:dyDescent="0.2">
      <c r="A461" s="4"/>
      <c r="B461" s="4"/>
      <c r="C461" s="4"/>
      <c r="D461" s="20"/>
      <c r="E461" s="20"/>
      <c r="F461" s="28"/>
    </row>
    <row r="462" spans="1:6" x14ac:dyDescent="0.2">
      <c r="A462" s="105" t="s">
        <v>10</v>
      </c>
      <c r="B462" s="112"/>
      <c r="C462" s="106"/>
      <c r="D462" s="20">
        <f>SUM(D419:D461)</f>
        <v>0</v>
      </c>
      <c r="E462" s="20">
        <f>SUM(E419:E461)</f>
        <v>0</v>
      </c>
      <c r="F462" s="28">
        <f>D462-E462</f>
        <v>0</v>
      </c>
    </row>
    <row r="463" spans="1:6" x14ac:dyDescent="0.2">
      <c r="A463" s="105" t="s">
        <v>11</v>
      </c>
      <c r="B463" s="112"/>
      <c r="C463" s="106"/>
      <c r="D463" s="20"/>
      <c r="E463" s="20"/>
      <c r="F463" s="28">
        <f>D463-E463</f>
        <v>0</v>
      </c>
    </row>
    <row r="464" spans="1:6" x14ac:dyDescent="0.2">
      <c r="A464" s="105" t="s">
        <v>10</v>
      </c>
      <c r="B464" s="112"/>
      <c r="C464" s="106"/>
      <c r="D464" s="20">
        <f>SUM(D462:D463)</f>
        <v>0</v>
      </c>
      <c r="E464" s="20">
        <f>SUM(E462:E463)</f>
        <v>0</v>
      </c>
      <c r="F464" s="28">
        <f>SUM(F462:F463)</f>
        <v>0</v>
      </c>
    </row>
    <row r="466" spans="1:6" x14ac:dyDescent="0.2">
      <c r="A466" s="100" t="s">
        <v>0</v>
      </c>
      <c r="B466" s="100"/>
    </row>
    <row r="467" spans="1:6" x14ac:dyDescent="0.2">
      <c r="A467" s="100" t="s">
        <v>1</v>
      </c>
      <c r="B467" s="100"/>
    </row>
    <row r="468" spans="1:6" x14ac:dyDescent="0.2">
      <c r="A468" s="101" t="s">
        <v>2</v>
      </c>
      <c r="B468" s="101"/>
      <c r="C468" s="101"/>
      <c r="D468" s="101"/>
      <c r="E468" s="101"/>
      <c r="F468" s="101"/>
    </row>
    <row r="469" spans="1:6" x14ac:dyDescent="0.2">
      <c r="A469" s="123" t="s">
        <v>148</v>
      </c>
      <c r="B469" s="123"/>
      <c r="C469" s="125"/>
      <c r="D469" s="123" t="s">
        <v>149</v>
      </c>
      <c r="E469" s="125"/>
    </row>
    <row r="470" spans="1:6" x14ac:dyDescent="0.2">
      <c r="A470" s="125"/>
      <c r="B470" s="125"/>
      <c r="C470" s="125"/>
      <c r="D470" s="125" t="s">
        <v>70</v>
      </c>
      <c r="E470" s="125"/>
    </row>
    <row r="471" spans="1:6" x14ac:dyDescent="0.2">
      <c r="A471" s="134" t="s">
        <v>3</v>
      </c>
      <c r="B471" s="134" t="s">
        <v>4</v>
      </c>
      <c r="C471" s="134" t="s">
        <v>5</v>
      </c>
      <c r="D471" s="135" t="s">
        <v>6</v>
      </c>
      <c r="E471" s="136"/>
      <c r="F471" s="107" t="s">
        <v>9</v>
      </c>
    </row>
    <row r="472" spans="1:6" x14ac:dyDescent="0.2">
      <c r="A472" s="137"/>
      <c r="B472" s="137"/>
      <c r="C472" s="137"/>
      <c r="D472" s="124" t="s">
        <v>7</v>
      </c>
      <c r="E472" s="124" t="s">
        <v>8</v>
      </c>
      <c r="F472" s="108"/>
    </row>
    <row r="473" spans="1:6" x14ac:dyDescent="0.2">
      <c r="A473" s="138" t="s">
        <v>469</v>
      </c>
      <c r="B473" s="127"/>
      <c r="C473" s="127"/>
      <c r="D473" s="46"/>
      <c r="E473" s="46">
        <v>0</v>
      </c>
      <c r="F473" s="28">
        <f>D473+E473</f>
        <v>0</v>
      </c>
    </row>
    <row r="474" spans="1:6" x14ac:dyDescent="0.2">
      <c r="A474" s="133"/>
      <c r="B474" s="127"/>
      <c r="C474" s="127"/>
      <c r="D474" s="46"/>
      <c r="E474" s="46"/>
      <c r="F474" s="28">
        <f t="shared" ref="F474" si="50">F473+D474</f>
        <v>0</v>
      </c>
    </row>
    <row r="475" spans="1:6" x14ac:dyDescent="0.2">
      <c r="A475" s="138" t="s">
        <v>247</v>
      </c>
      <c r="B475" s="127"/>
      <c r="C475" s="127"/>
      <c r="D475" s="46"/>
      <c r="E475" s="46"/>
      <c r="F475" s="28"/>
    </row>
    <row r="476" spans="1:6" x14ac:dyDescent="0.2">
      <c r="A476" s="133" t="s">
        <v>754</v>
      </c>
      <c r="B476" s="127" t="s">
        <v>1333</v>
      </c>
      <c r="C476" s="127" t="s">
        <v>187</v>
      </c>
      <c r="D476" s="46"/>
      <c r="E476" s="46"/>
      <c r="F476" s="28">
        <f>D476</f>
        <v>0</v>
      </c>
    </row>
    <row r="477" spans="1:6" x14ac:dyDescent="0.2">
      <c r="A477" s="41" t="s">
        <v>262</v>
      </c>
      <c r="B477" s="4"/>
      <c r="C477" s="4"/>
      <c r="D477" s="20"/>
      <c r="E477" s="20"/>
      <c r="F477" s="28"/>
    </row>
    <row r="478" spans="1:6" x14ac:dyDescent="0.2">
      <c r="A478" s="18" t="s">
        <v>764</v>
      </c>
      <c r="B478" s="4" t="s">
        <v>421</v>
      </c>
      <c r="C478" s="4" t="s">
        <v>187</v>
      </c>
      <c r="D478" s="20"/>
      <c r="E478" s="20"/>
      <c r="F478" s="28">
        <f>D478</f>
        <v>0</v>
      </c>
    </row>
    <row r="479" spans="1:6" x14ac:dyDescent="0.2">
      <c r="A479" s="18"/>
      <c r="B479" s="4"/>
      <c r="C479" s="4" t="s">
        <v>187</v>
      </c>
      <c r="D479" s="20"/>
      <c r="E479" s="20"/>
      <c r="F479" s="28"/>
    </row>
    <row r="480" spans="1:6" x14ac:dyDescent="0.2">
      <c r="A480" s="41" t="s">
        <v>283</v>
      </c>
      <c r="B480" s="4"/>
      <c r="C480" s="4"/>
      <c r="D480" s="20"/>
      <c r="E480" s="20"/>
      <c r="F480" s="28"/>
    </row>
    <row r="481" spans="1:6" x14ac:dyDescent="0.2">
      <c r="A481" s="18" t="s">
        <v>282</v>
      </c>
      <c r="B481" s="4" t="s">
        <v>776</v>
      </c>
      <c r="C481" s="4" t="s">
        <v>187</v>
      </c>
      <c r="D481" s="20"/>
      <c r="E481" s="20"/>
      <c r="F481" s="28">
        <f>D481</f>
        <v>0</v>
      </c>
    </row>
    <row r="482" spans="1:6" x14ac:dyDescent="0.2">
      <c r="A482" s="41" t="s">
        <v>299</v>
      </c>
      <c r="B482" s="4"/>
      <c r="C482" s="4"/>
      <c r="D482" s="20"/>
      <c r="E482" s="20"/>
      <c r="F482" s="28"/>
    </row>
    <row r="483" spans="1:6" x14ac:dyDescent="0.2">
      <c r="A483" s="18" t="s">
        <v>819</v>
      </c>
      <c r="B483" s="4" t="s">
        <v>421</v>
      </c>
      <c r="C483" s="4" t="s">
        <v>187</v>
      </c>
      <c r="D483" s="20"/>
      <c r="E483" s="20"/>
      <c r="F483" s="28">
        <f>D483</f>
        <v>0</v>
      </c>
    </row>
    <row r="484" spans="1:6" x14ac:dyDescent="0.2">
      <c r="A484" s="41" t="s">
        <v>315</v>
      </c>
      <c r="B484" s="4"/>
      <c r="C484" s="4"/>
      <c r="D484" s="20"/>
      <c r="E484" s="20"/>
      <c r="F484" s="28"/>
    </row>
    <row r="485" spans="1:6" x14ac:dyDescent="0.2">
      <c r="A485" s="18" t="s">
        <v>598</v>
      </c>
      <c r="B485" s="4" t="s">
        <v>421</v>
      </c>
      <c r="C485" s="4" t="s">
        <v>187</v>
      </c>
      <c r="D485" s="20"/>
      <c r="E485" s="20"/>
      <c r="F485" s="28">
        <f>D485</f>
        <v>0</v>
      </c>
    </row>
    <row r="486" spans="1:6" x14ac:dyDescent="0.2">
      <c r="A486" s="18" t="s">
        <v>879</v>
      </c>
      <c r="B486" s="4" t="s">
        <v>878</v>
      </c>
      <c r="C486" s="4" t="s">
        <v>187</v>
      </c>
      <c r="D486" s="20"/>
      <c r="E486" s="20"/>
      <c r="F486" s="28">
        <f t="shared" ref="F486:F487" si="51">F485+D486</f>
        <v>0</v>
      </c>
    </row>
    <row r="487" spans="1:6" x14ac:dyDescent="0.2">
      <c r="A487" s="18" t="s">
        <v>885</v>
      </c>
      <c r="B487" s="4" t="s">
        <v>889</v>
      </c>
      <c r="C487" s="4" t="s">
        <v>187</v>
      </c>
      <c r="D487" s="20"/>
      <c r="E487" s="20"/>
      <c r="F487" s="28">
        <f t="shared" si="51"/>
        <v>0</v>
      </c>
    </row>
    <row r="488" spans="1:6" x14ac:dyDescent="0.2">
      <c r="A488" s="41" t="s">
        <v>330</v>
      </c>
      <c r="B488" s="4"/>
      <c r="C488" s="4"/>
      <c r="D488" s="20"/>
      <c r="E488" s="20"/>
      <c r="F488" s="28"/>
    </row>
    <row r="489" spans="1:6" x14ac:dyDescent="0.2">
      <c r="A489" s="18" t="s">
        <v>610</v>
      </c>
      <c r="B489" s="4" t="s">
        <v>421</v>
      </c>
      <c r="C489" s="4" t="s">
        <v>187</v>
      </c>
      <c r="D489" s="20"/>
      <c r="E489" s="20"/>
      <c r="F489" s="28">
        <f>D489</f>
        <v>0</v>
      </c>
    </row>
    <row r="490" spans="1:6" x14ac:dyDescent="0.2">
      <c r="A490" s="41" t="s">
        <v>442</v>
      </c>
      <c r="B490" s="4"/>
      <c r="C490" s="4"/>
      <c r="D490" s="20"/>
      <c r="E490" s="20"/>
      <c r="F490" s="28"/>
    </row>
    <row r="491" spans="1:6" x14ac:dyDescent="0.2">
      <c r="A491" s="18" t="s">
        <v>967</v>
      </c>
      <c r="B491" s="4" t="s">
        <v>421</v>
      </c>
      <c r="C491" s="4" t="s">
        <v>187</v>
      </c>
      <c r="D491" s="20"/>
      <c r="E491" s="20"/>
      <c r="F491" s="28">
        <f>D491</f>
        <v>0</v>
      </c>
    </row>
    <row r="492" spans="1:6" x14ac:dyDescent="0.2">
      <c r="A492" s="41" t="s">
        <v>446</v>
      </c>
      <c r="B492" s="4"/>
      <c r="C492" s="4"/>
      <c r="D492" s="20"/>
      <c r="E492" s="20"/>
      <c r="F492" s="28"/>
    </row>
    <row r="493" spans="1:6" x14ac:dyDescent="0.2">
      <c r="A493" s="18"/>
      <c r="B493" s="4"/>
      <c r="C493" s="4" t="s">
        <v>187</v>
      </c>
      <c r="D493" s="20"/>
      <c r="E493" s="20"/>
      <c r="F493" s="28">
        <f>D493</f>
        <v>0</v>
      </c>
    </row>
    <row r="494" spans="1:6" x14ac:dyDescent="0.2">
      <c r="A494" s="41" t="s">
        <v>368</v>
      </c>
      <c r="B494" s="4"/>
      <c r="C494" s="4"/>
      <c r="D494" s="20"/>
      <c r="E494" s="20"/>
      <c r="F494" s="28"/>
    </row>
    <row r="495" spans="1:6" x14ac:dyDescent="0.2">
      <c r="A495" s="18" t="s">
        <v>1066</v>
      </c>
      <c r="B495" s="4" t="s">
        <v>421</v>
      </c>
      <c r="C495" s="4" t="s">
        <v>187</v>
      </c>
      <c r="D495" s="20"/>
      <c r="E495" s="20"/>
      <c r="F495" s="28">
        <f>D495</f>
        <v>0</v>
      </c>
    </row>
    <row r="496" spans="1:6" x14ac:dyDescent="0.2">
      <c r="A496" s="18" t="s">
        <v>630</v>
      </c>
      <c r="B496" s="4" t="s">
        <v>421</v>
      </c>
      <c r="C496" s="4" t="s">
        <v>187</v>
      </c>
      <c r="D496" s="20"/>
      <c r="E496" s="20"/>
      <c r="F496" s="28">
        <f t="shared" ref="F496" si="52">F495+D496</f>
        <v>0</v>
      </c>
    </row>
    <row r="497" spans="1:6" x14ac:dyDescent="0.2">
      <c r="A497" s="41" t="s">
        <v>397</v>
      </c>
      <c r="B497" s="4"/>
      <c r="C497" s="4"/>
      <c r="D497" s="20"/>
      <c r="E497" s="20"/>
      <c r="F497" s="28"/>
    </row>
    <row r="498" spans="1:6" x14ac:dyDescent="0.2">
      <c r="A498" s="18"/>
      <c r="B498" s="4"/>
      <c r="C498" s="4" t="s">
        <v>187</v>
      </c>
      <c r="D498" s="20"/>
      <c r="E498" s="20"/>
      <c r="F498" s="28">
        <f>D498</f>
        <v>0</v>
      </c>
    </row>
    <row r="499" spans="1:6" x14ac:dyDescent="0.2">
      <c r="A499" s="41" t="s">
        <v>453</v>
      </c>
      <c r="B499" s="4"/>
      <c r="C499" s="4"/>
      <c r="D499" s="20"/>
      <c r="E499" s="20"/>
      <c r="F499" s="28"/>
    </row>
    <row r="500" spans="1:6" x14ac:dyDescent="0.2">
      <c r="A500" s="18" t="s">
        <v>1162</v>
      </c>
      <c r="B500" s="4" t="s">
        <v>421</v>
      </c>
      <c r="C500" s="4" t="s">
        <v>187</v>
      </c>
      <c r="D500" s="20"/>
      <c r="E500" s="20"/>
      <c r="F500" s="28">
        <f>D500</f>
        <v>0</v>
      </c>
    </row>
    <row r="501" spans="1:6" x14ac:dyDescent="0.2">
      <c r="A501" s="18" t="s">
        <v>1181</v>
      </c>
      <c r="B501" s="4" t="s">
        <v>421</v>
      </c>
      <c r="C501" s="4" t="s">
        <v>187</v>
      </c>
      <c r="D501" s="20"/>
      <c r="E501" s="20"/>
      <c r="F501" s="28">
        <f t="shared" ref="F501:F505" si="53">F500+D501</f>
        <v>0</v>
      </c>
    </row>
    <row r="502" spans="1:6" x14ac:dyDescent="0.2">
      <c r="A502" s="18"/>
      <c r="B502" s="4"/>
      <c r="C502" s="4" t="s">
        <v>187</v>
      </c>
      <c r="D502" s="20"/>
      <c r="E502" s="20"/>
      <c r="F502" s="28">
        <f t="shared" si="53"/>
        <v>0</v>
      </c>
    </row>
    <row r="503" spans="1:6" x14ac:dyDescent="0.2">
      <c r="A503" s="18"/>
      <c r="B503" s="4"/>
      <c r="C503" s="4" t="s">
        <v>187</v>
      </c>
      <c r="D503" s="20"/>
      <c r="E503" s="20"/>
      <c r="F503" s="28">
        <f t="shared" si="53"/>
        <v>0</v>
      </c>
    </row>
    <row r="504" spans="1:6" x14ac:dyDescent="0.2">
      <c r="A504" s="53"/>
      <c r="B504" s="4"/>
      <c r="C504" s="4" t="s">
        <v>187</v>
      </c>
      <c r="D504" s="20"/>
      <c r="E504" s="20"/>
      <c r="F504" s="28">
        <f t="shared" si="53"/>
        <v>0</v>
      </c>
    </row>
    <row r="505" spans="1:6" x14ac:dyDescent="0.2">
      <c r="A505" s="64"/>
      <c r="B505" s="68"/>
      <c r="C505" s="4" t="s">
        <v>187</v>
      </c>
      <c r="D505" s="20"/>
      <c r="E505" s="20"/>
      <c r="F505" s="28">
        <f t="shared" si="53"/>
        <v>0</v>
      </c>
    </row>
    <row r="506" spans="1:6" x14ac:dyDescent="0.2">
      <c r="A506" s="64"/>
      <c r="B506" s="68"/>
      <c r="C506" s="10"/>
      <c r="D506" s="20"/>
      <c r="E506" s="20"/>
      <c r="F506" s="28"/>
    </row>
    <row r="507" spans="1:6" x14ac:dyDescent="0.2">
      <c r="A507" s="64"/>
      <c r="B507" s="68"/>
      <c r="C507" s="10"/>
      <c r="D507" s="20"/>
      <c r="E507" s="20"/>
      <c r="F507" s="28"/>
    </row>
    <row r="508" spans="1:6" x14ac:dyDescent="0.2">
      <c r="A508" s="105" t="s">
        <v>10</v>
      </c>
      <c r="B508" s="112"/>
      <c r="C508" s="106"/>
      <c r="D508" s="20">
        <f>SUM(D473:D503)</f>
        <v>0</v>
      </c>
      <c r="E508" s="20">
        <f>SUM(E473:E503)</f>
        <v>0</v>
      </c>
      <c r="F508" s="28">
        <f>D508-E508</f>
        <v>0</v>
      </c>
    </row>
    <row r="509" spans="1:6" x14ac:dyDescent="0.2">
      <c r="A509" s="105" t="s">
        <v>11</v>
      </c>
      <c r="B509" s="112"/>
      <c r="C509" s="106"/>
      <c r="D509" s="20"/>
      <c r="E509" s="20"/>
      <c r="F509" s="28">
        <f>D509-E509</f>
        <v>0</v>
      </c>
    </row>
    <row r="510" spans="1:6" x14ac:dyDescent="0.2">
      <c r="A510" s="105" t="s">
        <v>10</v>
      </c>
      <c r="B510" s="112"/>
      <c r="C510" s="106"/>
      <c r="D510" s="20">
        <f>SUM(D508:D509)</f>
        <v>0</v>
      </c>
      <c r="E510" s="20">
        <f>SUM(E508:E509)</f>
        <v>0</v>
      </c>
      <c r="F510" s="28">
        <f>SUM(F508:F509)</f>
        <v>0</v>
      </c>
    </row>
    <row r="512" spans="1:6" x14ac:dyDescent="0.2">
      <c r="A512" s="100" t="s">
        <v>0</v>
      </c>
      <c r="B512" s="100"/>
    </row>
    <row r="513" spans="1:6" x14ac:dyDescent="0.2">
      <c r="A513" s="100" t="s">
        <v>1</v>
      </c>
      <c r="B513" s="100"/>
    </row>
    <row r="514" spans="1:6" x14ac:dyDescent="0.2">
      <c r="A514" s="101" t="s">
        <v>2</v>
      </c>
      <c r="B514" s="101"/>
      <c r="C514" s="101"/>
      <c r="D514" s="101"/>
      <c r="E514" s="101"/>
      <c r="F514" s="101"/>
    </row>
    <row r="515" spans="1:6" x14ac:dyDescent="0.2">
      <c r="A515" s="122" t="s">
        <v>150</v>
      </c>
      <c r="B515" s="122"/>
      <c r="C515" s="125"/>
      <c r="D515" s="123" t="s">
        <v>681</v>
      </c>
    </row>
    <row r="516" spans="1:6" x14ac:dyDescent="0.2">
      <c r="D516" s="1" t="s">
        <v>70</v>
      </c>
    </row>
    <row r="517" spans="1:6" x14ac:dyDescent="0.2">
      <c r="A517" s="103" t="s">
        <v>3</v>
      </c>
      <c r="B517" s="103" t="s">
        <v>4</v>
      </c>
      <c r="C517" s="103" t="s">
        <v>5</v>
      </c>
      <c r="D517" s="105" t="s">
        <v>6</v>
      </c>
      <c r="E517" s="106"/>
      <c r="F517" s="107" t="s">
        <v>9</v>
      </c>
    </row>
    <row r="518" spans="1:6" x14ac:dyDescent="0.2">
      <c r="A518" s="104"/>
      <c r="B518" s="104"/>
      <c r="C518" s="104"/>
      <c r="D518" s="3" t="s">
        <v>7</v>
      </c>
      <c r="E518" s="3" t="s">
        <v>8</v>
      </c>
      <c r="F518" s="108"/>
    </row>
    <row r="519" spans="1:6" x14ac:dyDescent="0.2">
      <c r="A519" s="18" t="s">
        <v>228</v>
      </c>
      <c r="B519" s="4" t="s">
        <v>251</v>
      </c>
      <c r="C519" s="4" t="s">
        <v>200</v>
      </c>
      <c r="D519" s="20"/>
      <c r="E519" s="20">
        <v>0</v>
      </c>
      <c r="F519" s="28">
        <f>D519+E519</f>
        <v>0</v>
      </c>
    </row>
    <row r="520" spans="1:6" x14ac:dyDescent="0.2">
      <c r="A520" s="18" t="s">
        <v>244</v>
      </c>
      <c r="B520" s="4" t="s">
        <v>259</v>
      </c>
      <c r="C520" s="4" t="s">
        <v>200</v>
      </c>
      <c r="D520" s="20"/>
      <c r="E520" s="20"/>
      <c r="F520" s="28">
        <f>F519+D520</f>
        <v>0</v>
      </c>
    </row>
    <row r="521" spans="1:6" x14ac:dyDescent="0.2">
      <c r="A521" s="18" t="s">
        <v>269</v>
      </c>
      <c r="B521" s="4" t="s">
        <v>280</v>
      </c>
      <c r="C521" s="4" t="s">
        <v>200</v>
      </c>
      <c r="D521" s="20"/>
      <c r="E521" s="20"/>
      <c r="F521" s="28">
        <f t="shared" ref="F521:F530" si="54">F520+D521</f>
        <v>0</v>
      </c>
    </row>
    <row r="522" spans="1:6" x14ac:dyDescent="0.2">
      <c r="A522" s="18" t="s">
        <v>284</v>
      </c>
      <c r="B522" s="4" t="s">
        <v>287</v>
      </c>
      <c r="C522" s="4" t="s">
        <v>200</v>
      </c>
      <c r="D522" s="20"/>
      <c r="E522" s="20"/>
      <c r="F522" s="28">
        <f t="shared" si="54"/>
        <v>0</v>
      </c>
    </row>
    <row r="523" spans="1:6" x14ac:dyDescent="0.2">
      <c r="A523" s="18" t="s">
        <v>290</v>
      </c>
      <c r="B523" s="4" t="s">
        <v>304</v>
      </c>
      <c r="C523" s="4" t="s">
        <v>200</v>
      </c>
      <c r="D523" s="20"/>
      <c r="E523" s="20"/>
      <c r="F523" s="28">
        <f t="shared" si="54"/>
        <v>0</v>
      </c>
    </row>
    <row r="524" spans="1:6" x14ac:dyDescent="0.2">
      <c r="A524" s="18" t="s">
        <v>308</v>
      </c>
      <c r="B524" s="4" t="s">
        <v>318</v>
      </c>
      <c r="C524" s="4" t="s">
        <v>200</v>
      </c>
      <c r="D524" s="20"/>
      <c r="E524" s="20"/>
      <c r="F524" s="28">
        <f t="shared" si="54"/>
        <v>0</v>
      </c>
    </row>
    <row r="525" spans="1:6" x14ac:dyDescent="0.2">
      <c r="A525" s="18" t="s">
        <v>322</v>
      </c>
      <c r="B525" s="4" t="s">
        <v>333</v>
      </c>
      <c r="C525" s="4" t="s">
        <v>200</v>
      </c>
      <c r="D525" s="20"/>
      <c r="E525" s="20"/>
      <c r="F525" s="28">
        <f t="shared" si="54"/>
        <v>0</v>
      </c>
    </row>
    <row r="526" spans="1:6" x14ac:dyDescent="0.2">
      <c r="A526" s="18" t="s">
        <v>335</v>
      </c>
      <c r="B526" s="4" t="s">
        <v>355</v>
      </c>
      <c r="C526" s="4" t="s">
        <v>200</v>
      </c>
      <c r="D526" s="20"/>
      <c r="E526" s="20"/>
      <c r="F526" s="28">
        <f t="shared" si="54"/>
        <v>0</v>
      </c>
    </row>
    <row r="527" spans="1:6" x14ac:dyDescent="0.2">
      <c r="A527" s="18" t="s">
        <v>357</v>
      </c>
      <c r="B527" s="4" t="s">
        <v>367</v>
      </c>
      <c r="C527" s="4" t="s">
        <v>200</v>
      </c>
      <c r="D527" s="20"/>
      <c r="E527" s="20"/>
      <c r="F527" s="28">
        <f t="shared" si="54"/>
        <v>0</v>
      </c>
    </row>
    <row r="528" spans="1:6" x14ac:dyDescent="0.2">
      <c r="A528" s="18" t="s">
        <v>376</v>
      </c>
      <c r="B528" s="4" t="s">
        <v>383</v>
      </c>
      <c r="C528" s="4" t="s">
        <v>200</v>
      </c>
      <c r="D528" s="20"/>
      <c r="E528" s="20"/>
      <c r="F528" s="28">
        <f t="shared" si="54"/>
        <v>0</v>
      </c>
    </row>
    <row r="529" spans="1:6" x14ac:dyDescent="0.2">
      <c r="A529" s="18" t="s">
        <v>390</v>
      </c>
      <c r="B529" s="4" t="s">
        <v>400</v>
      </c>
      <c r="C529" s="4" t="s">
        <v>200</v>
      </c>
      <c r="D529" s="20"/>
      <c r="E529" s="20"/>
      <c r="F529" s="28">
        <f t="shared" si="54"/>
        <v>0</v>
      </c>
    </row>
    <row r="530" spans="1:6" x14ac:dyDescent="0.2">
      <c r="A530" s="18" t="s">
        <v>449</v>
      </c>
      <c r="B530" s="4" t="s">
        <v>452</v>
      </c>
      <c r="C530" s="4" t="s">
        <v>200</v>
      </c>
      <c r="D530" s="20"/>
      <c r="E530" s="20"/>
      <c r="F530" s="28">
        <f t="shared" si="54"/>
        <v>0</v>
      </c>
    </row>
    <row r="531" spans="1:6" x14ac:dyDescent="0.2">
      <c r="A531" s="4"/>
      <c r="B531" s="4"/>
      <c r="C531" s="4"/>
      <c r="D531" s="20"/>
      <c r="E531" s="20"/>
      <c r="F531" s="28"/>
    </row>
    <row r="532" spans="1:6" x14ac:dyDescent="0.2">
      <c r="A532" s="105" t="s">
        <v>10</v>
      </c>
      <c r="B532" s="112"/>
      <c r="C532" s="106"/>
      <c r="D532" s="20">
        <f>SUM(D519:D531)</f>
        <v>0</v>
      </c>
      <c r="E532" s="20">
        <f>SUM(E519:E531)</f>
        <v>0</v>
      </c>
      <c r="F532" s="28">
        <f>D532-E532</f>
        <v>0</v>
      </c>
    </row>
    <row r="533" spans="1:6" x14ac:dyDescent="0.2">
      <c r="A533" s="105" t="s">
        <v>11</v>
      </c>
      <c r="B533" s="112"/>
      <c r="C533" s="106"/>
      <c r="D533" s="20"/>
      <c r="E533" s="20"/>
      <c r="F533" s="28">
        <f>D533-E533</f>
        <v>0</v>
      </c>
    </row>
    <row r="534" spans="1:6" x14ac:dyDescent="0.2">
      <c r="A534" s="105" t="s">
        <v>10</v>
      </c>
      <c r="B534" s="112"/>
      <c r="C534" s="106"/>
      <c r="D534" s="20">
        <f>SUM(D532:D533)</f>
        <v>0</v>
      </c>
      <c r="E534" s="20">
        <f>SUM(E532:E533)</f>
        <v>0</v>
      </c>
      <c r="F534" s="28">
        <f>SUM(F532:F533)</f>
        <v>0</v>
      </c>
    </row>
    <row r="538" spans="1:6" x14ac:dyDescent="0.2">
      <c r="A538" s="100" t="s">
        <v>0</v>
      </c>
      <c r="B538" s="100"/>
    </row>
    <row r="539" spans="1:6" x14ac:dyDescent="0.2">
      <c r="A539" s="100" t="s">
        <v>1</v>
      </c>
      <c r="B539" s="100"/>
    </row>
    <row r="540" spans="1:6" x14ac:dyDescent="0.2">
      <c r="A540" s="101" t="s">
        <v>2</v>
      </c>
      <c r="B540" s="101"/>
      <c r="C540" s="101"/>
      <c r="D540" s="101"/>
      <c r="E540" s="101"/>
      <c r="F540" s="101"/>
    </row>
    <row r="541" spans="1:6" x14ac:dyDescent="0.2">
      <c r="A541" s="122" t="s">
        <v>739</v>
      </c>
      <c r="B541" s="122"/>
      <c r="C541" s="125"/>
      <c r="D541" s="123" t="s">
        <v>740</v>
      </c>
    </row>
    <row r="543" spans="1:6" x14ac:dyDescent="0.2">
      <c r="A543" s="103" t="s">
        <v>3</v>
      </c>
      <c r="B543" s="103" t="s">
        <v>4</v>
      </c>
      <c r="C543" s="103" t="s">
        <v>5</v>
      </c>
      <c r="D543" s="105" t="s">
        <v>6</v>
      </c>
      <c r="E543" s="106"/>
      <c r="F543" s="107" t="s">
        <v>9</v>
      </c>
    </row>
    <row r="544" spans="1:6" x14ac:dyDescent="0.2">
      <c r="A544" s="104"/>
      <c r="B544" s="104"/>
      <c r="C544" s="104"/>
      <c r="D544" s="3" t="s">
        <v>7</v>
      </c>
      <c r="E544" s="3" t="s">
        <v>8</v>
      </c>
      <c r="F544" s="108"/>
    </row>
    <row r="545" spans="1:6" x14ac:dyDescent="0.2">
      <c r="A545" s="15" t="s">
        <v>469</v>
      </c>
      <c r="B545" s="4"/>
      <c r="C545" s="15"/>
      <c r="D545" s="3"/>
      <c r="E545" s="3"/>
      <c r="F545" s="36"/>
    </row>
    <row r="546" spans="1:6" x14ac:dyDescent="0.2">
      <c r="A546" s="126" t="s">
        <v>228</v>
      </c>
      <c r="B546" s="127" t="s">
        <v>1360</v>
      </c>
      <c r="C546" s="4" t="s">
        <v>240</v>
      </c>
      <c r="D546" s="20"/>
      <c r="E546" s="3"/>
      <c r="F546" s="54">
        <f>D546</f>
        <v>0</v>
      </c>
    </row>
    <row r="547" spans="1:6" x14ac:dyDescent="0.2">
      <c r="A547" s="128" t="str">
        <f>A546</f>
        <v>31 Jan</v>
      </c>
      <c r="B547" s="127" t="s">
        <v>466</v>
      </c>
      <c r="C547" s="4" t="s">
        <v>240</v>
      </c>
      <c r="D547" s="20"/>
      <c r="E547" s="3"/>
      <c r="F547" s="54">
        <f>F546+D547</f>
        <v>0</v>
      </c>
    </row>
    <row r="548" spans="1:6" x14ac:dyDescent="0.2">
      <c r="A548" s="128" t="str">
        <f>A547</f>
        <v>31 Jan</v>
      </c>
      <c r="B548" s="127" t="s">
        <v>578</v>
      </c>
      <c r="C548" s="4" t="s">
        <v>240</v>
      </c>
      <c r="D548" s="20"/>
      <c r="E548" s="3"/>
      <c r="F548" s="54">
        <f>F547+D548</f>
        <v>0</v>
      </c>
    </row>
    <row r="549" spans="1:6" x14ac:dyDescent="0.2">
      <c r="A549" s="129" t="s">
        <v>247</v>
      </c>
      <c r="B549" s="129"/>
      <c r="C549" s="4"/>
      <c r="D549" s="20"/>
      <c r="E549" s="3"/>
      <c r="F549" s="36"/>
    </row>
    <row r="550" spans="1:6" x14ac:dyDescent="0.2">
      <c r="A550" s="130">
        <v>45716</v>
      </c>
      <c r="B550" s="127" t="s">
        <v>1361</v>
      </c>
      <c r="C550" s="4" t="s">
        <v>240</v>
      </c>
      <c r="D550" s="20"/>
      <c r="E550" s="3"/>
      <c r="F550" s="54">
        <f>D550</f>
        <v>0</v>
      </c>
    </row>
    <row r="551" spans="1:6" x14ac:dyDescent="0.2">
      <c r="A551" s="131">
        <f>A550</f>
        <v>45716</v>
      </c>
      <c r="B551" s="127" t="s">
        <v>573</v>
      </c>
      <c r="C551" s="4" t="s">
        <v>240</v>
      </c>
      <c r="D551" s="20"/>
      <c r="E551" s="20"/>
      <c r="F551" s="54">
        <f>F550+D551</f>
        <v>0</v>
      </c>
    </row>
    <row r="552" spans="1:6" x14ac:dyDescent="0.2">
      <c r="A552" s="131">
        <f>A551</f>
        <v>45716</v>
      </c>
      <c r="B552" s="127" t="s">
        <v>578</v>
      </c>
      <c r="C552" s="4" t="s">
        <v>240</v>
      </c>
      <c r="D552" s="20"/>
      <c r="E552" s="20"/>
      <c r="F552" s="54">
        <f>F551+D552</f>
        <v>0</v>
      </c>
    </row>
    <row r="553" spans="1:6" x14ac:dyDescent="0.2">
      <c r="A553" s="132" t="s">
        <v>262</v>
      </c>
      <c r="B553" s="127"/>
      <c r="C553" s="4"/>
      <c r="D553" s="20"/>
      <c r="E553" s="20"/>
      <c r="F553" s="28"/>
    </row>
    <row r="554" spans="1:6" x14ac:dyDescent="0.2">
      <c r="A554" s="133" t="s">
        <v>269</v>
      </c>
      <c r="B554" s="127" t="s">
        <v>1431</v>
      </c>
      <c r="C554" s="4" t="s">
        <v>239</v>
      </c>
      <c r="D554" s="20"/>
      <c r="E554" s="20"/>
      <c r="F554" s="28">
        <f>D554</f>
        <v>0</v>
      </c>
    </row>
    <row r="555" spans="1:6" x14ac:dyDescent="0.2">
      <c r="A555" s="133" t="str">
        <f>A554</f>
        <v>31 Mar</v>
      </c>
      <c r="B555" s="127" t="s">
        <v>573</v>
      </c>
      <c r="C555" s="4" t="s">
        <v>239</v>
      </c>
      <c r="D555" s="20"/>
      <c r="E555" s="20"/>
      <c r="F555" s="28">
        <f t="shared" ref="F555:F556" si="55">F554+D555</f>
        <v>0</v>
      </c>
    </row>
    <row r="556" spans="1:6" x14ac:dyDescent="0.2">
      <c r="A556" s="133" t="s">
        <v>269</v>
      </c>
      <c r="B556" s="127" t="s">
        <v>578</v>
      </c>
      <c r="C556" s="4" t="s">
        <v>239</v>
      </c>
      <c r="D556" s="20"/>
      <c r="E556" s="20"/>
      <c r="F556" s="28">
        <f t="shared" si="55"/>
        <v>0</v>
      </c>
    </row>
    <row r="557" spans="1:6" x14ac:dyDescent="0.2">
      <c r="A557" s="132" t="s">
        <v>283</v>
      </c>
      <c r="B557" s="127"/>
      <c r="C557" s="4"/>
      <c r="D557" s="20"/>
      <c r="E557" s="20"/>
      <c r="F557" s="28"/>
    </row>
    <row r="558" spans="1:6" x14ac:dyDescent="0.2">
      <c r="A558" s="133" t="s">
        <v>284</v>
      </c>
      <c r="B558" s="127" t="s">
        <v>1062</v>
      </c>
      <c r="C558" s="4" t="s">
        <v>239</v>
      </c>
      <c r="D558" s="20"/>
      <c r="E558" s="20"/>
      <c r="F558" s="28">
        <f>D558</f>
        <v>0</v>
      </c>
    </row>
    <row r="559" spans="1:6" x14ac:dyDescent="0.2">
      <c r="A559" s="133" t="str">
        <f>A558</f>
        <v>30 April</v>
      </c>
      <c r="B559" s="127" t="s">
        <v>466</v>
      </c>
      <c r="C559" s="4" t="s">
        <v>239</v>
      </c>
      <c r="D559" s="20"/>
      <c r="E559" s="20"/>
      <c r="F559" s="28">
        <f t="shared" ref="F559:F560" si="56">F558+D559</f>
        <v>0</v>
      </c>
    </row>
    <row r="560" spans="1:6" x14ac:dyDescent="0.2">
      <c r="A560" s="133" t="str">
        <f>A559</f>
        <v>30 April</v>
      </c>
      <c r="B560" s="127" t="s">
        <v>591</v>
      </c>
      <c r="C560" s="4" t="s">
        <v>239</v>
      </c>
      <c r="D560" s="20"/>
      <c r="E560" s="20"/>
      <c r="F560" s="28">
        <f t="shared" si="56"/>
        <v>0</v>
      </c>
    </row>
    <row r="561" spans="1:6" x14ac:dyDescent="0.2">
      <c r="A561" s="132" t="s">
        <v>299</v>
      </c>
      <c r="B561" s="127"/>
      <c r="C561" s="4"/>
      <c r="D561" s="20"/>
      <c r="E561" s="20"/>
      <c r="F561" s="28"/>
    </row>
    <row r="562" spans="1:6" x14ac:dyDescent="0.2">
      <c r="A562" s="18" t="s">
        <v>290</v>
      </c>
      <c r="B562" s="4" t="s">
        <v>849</v>
      </c>
      <c r="C562" s="4" t="s">
        <v>239</v>
      </c>
      <c r="D562" s="20"/>
      <c r="E562" s="20"/>
      <c r="F562" s="28">
        <f>D562</f>
        <v>0</v>
      </c>
    </row>
    <row r="563" spans="1:6" x14ac:dyDescent="0.2">
      <c r="A563" s="18" t="str">
        <f>A562</f>
        <v>31 Mei</v>
      </c>
      <c r="B563" s="4" t="s">
        <v>466</v>
      </c>
      <c r="C563" s="4" t="s">
        <v>239</v>
      </c>
      <c r="D563" s="20"/>
      <c r="E563" s="20"/>
      <c r="F563" s="28">
        <f t="shared" ref="F563:F564" si="57">F562+D563</f>
        <v>0</v>
      </c>
    </row>
    <row r="564" spans="1:6" x14ac:dyDescent="0.2">
      <c r="A564" s="18" t="str">
        <f>A563</f>
        <v>31 Mei</v>
      </c>
      <c r="B564" s="4" t="s">
        <v>484</v>
      </c>
      <c r="C564" s="4" t="s">
        <v>239</v>
      </c>
      <c r="D564" s="20"/>
      <c r="E564" s="20"/>
      <c r="F564" s="28">
        <f t="shared" si="57"/>
        <v>0</v>
      </c>
    </row>
    <row r="565" spans="1:6" x14ac:dyDescent="0.2">
      <c r="A565" s="50" t="s">
        <v>315</v>
      </c>
      <c r="B565" s="4"/>
      <c r="C565" s="4"/>
      <c r="D565" s="20"/>
      <c r="E565" s="20"/>
      <c r="F565" s="28"/>
    </row>
    <row r="566" spans="1:6" x14ac:dyDescent="0.2">
      <c r="A566" s="18" t="s">
        <v>438</v>
      </c>
      <c r="B566" s="4" t="s">
        <v>900</v>
      </c>
      <c r="C566" s="4" t="s">
        <v>239</v>
      </c>
      <c r="D566" s="20"/>
      <c r="E566" s="20"/>
      <c r="F566" s="28">
        <f>D566</f>
        <v>0</v>
      </c>
    </row>
    <row r="567" spans="1:6" x14ac:dyDescent="0.2">
      <c r="A567" s="18" t="str">
        <f>A566</f>
        <v>30 JUNI</v>
      </c>
      <c r="B567" s="4" t="s">
        <v>466</v>
      </c>
      <c r="C567" s="4" t="s">
        <v>239</v>
      </c>
      <c r="D567" s="20"/>
      <c r="E567" s="20"/>
      <c r="F567" s="28">
        <f t="shared" ref="F567:F568" si="58">F566+D567</f>
        <v>0</v>
      </c>
    </row>
    <row r="568" spans="1:6" x14ac:dyDescent="0.2">
      <c r="A568" s="18" t="str">
        <f>A567</f>
        <v>30 JUNI</v>
      </c>
      <c r="B568" s="4" t="s">
        <v>484</v>
      </c>
      <c r="C568" s="4" t="s">
        <v>239</v>
      </c>
      <c r="D568" s="20"/>
      <c r="E568" s="20"/>
      <c r="F568" s="28">
        <f t="shared" si="58"/>
        <v>0</v>
      </c>
    </row>
    <row r="569" spans="1:6" x14ac:dyDescent="0.2">
      <c r="A569" s="50" t="s">
        <v>330</v>
      </c>
      <c r="B569" s="4"/>
      <c r="C569" s="4"/>
      <c r="D569" s="20"/>
      <c r="E569" s="20"/>
      <c r="F569" s="28"/>
    </row>
    <row r="570" spans="1:6" x14ac:dyDescent="0.2">
      <c r="A570" s="18" t="s">
        <v>440</v>
      </c>
      <c r="B570" s="4" t="s">
        <v>946</v>
      </c>
      <c r="C570" s="4" t="s">
        <v>239</v>
      </c>
      <c r="D570" s="20"/>
      <c r="E570" s="20"/>
      <c r="F570" s="28">
        <f>D570</f>
        <v>0</v>
      </c>
    </row>
    <row r="571" spans="1:6" x14ac:dyDescent="0.2">
      <c r="A571" s="18" t="str">
        <f>A570</f>
        <v>31 JULI</v>
      </c>
      <c r="B571" s="4" t="s">
        <v>466</v>
      </c>
      <c r="C571" s="4" t="s">
        <v>239</v>
      </c>
      <c r="D571" s="20"/>
      <c r="E571" s="20"/>
      <c r="F571" s="28">
        <f t="shared" ref="F571:F572" si="59">F570+D571</f>
        <v>0</v>
      </c>
    </row>
    <row r="572" spans="1:6" x14ac:dyDescent="0.2">
      <c r="A572" s="18" t="str">
        <f>A571</f>
        <v>31 JULI</v>
      </c>
      <c r="B572" s="4" t="s">
        <v>484</v>
      </c>
      <c r="C572" s="4" t="s">
        <v>239</v>
      </c>
      <c r="D572" s="20"/>
      <c r="E572" s="20"/>
      <c r="F572" s="28">
        <f t="shared" si="59"/>
        <v>0</v>
      </c>
    </row>
    <row r="573" spans="1:6" x14ac:dyDescent="0.2">
      <c r="A573" s="50" t="s">
        <v>445</v>
      </c>
      <c r="B573" s="4"/>
      <c r="C573" s="4"/>
      <c r="D573" s="20"/>
      <c r="E573" s="20"/>
      <c r="F573" s="28"/>
    </row>
    <row r="574" spans="1:6" x14ac:dyDescent="0.2">
      <c r="A574" s="18" t="s">
        <v>444</v>
      </c>
      <c r="B574" s="4" t="s">
        <v>849</v>
      </c>
      <c r="C574" s="4" t="s">
        <v>239</v>
      </c>
      <c r="D574" s="20"/>
      <c r="E574" s="20"/>
      <c r="F574" s="28">
        <f>D574</f>
        <v>0</v>
      </c>
    </row>
    <row r="575" spans="1:6" x14ac:dyDescent="0.2">
      <c r="A575" s="18" t="str">
        <f>A574</f>
        <v>31 AGUST</v>
      </c>
      <c r="B575" s="4" t="s">
        <v>466</v>
      </c>
      <c r="C575" s="4" t="s">
        <v>239</v>
      </c>
      <c r="D575" s="20"/>
      <c r="E575" s="20"/>
      <c r="F575" s="28">
        <f t="shared" ref="F575:F576" si="60">F574+D575</f>
        <v>0</v>
      </c>
    </row>
    <row r="576" spans="1:6" x14ac:dyDescent="0.2">
      <c r="A576" s="18" t="str">
        <f>A575</f>
        <v>31 AGUST</v>
      </c>
      <c r="B576" s="4" t="s">
        <v>484</v>
      </c>
      <c r="C576" s="4" t="s">
        <v>239</v>
      </c>
      <c r="D576" s="20"/>
      <c r="E576" s="20"/>
      <c r="F576" s="28">
        <f t="shared" si="60"/>
        <v>0</v>
      </c>
    </row>
    <row r="577" spans="1:6" x14ac:dyDescent="0.2">
      <c r="A577" s="50" t="s">
        <v>446</v>
      </c>
      <c r="B577" s="4"/>
      <c r="C577" s="4"/>
      <c r="D577" s="20"/>
      <c r="E577" s="20"/>
      <c r="F577" s="28"/>
    </row>
    <row r="578" spans="1:6" x14ac:dyDescent="0.2">
      <c r="A578" s="18" t="s">
        <v>447</v>
      </c>
      <c r="B578" s="4" t="s">
        <v>1062</v>
      </c>
      <c r="C578" s="4" t="s">
        <v>239</v>
      </c>
      <c r="D578" s="20"/>
      <c r="E578" s="20"/>
      <c r="F578" s="28">
        <f>D578</f>
        <v>0</v>
      </c>
    </row>
    <row r="579" spans="1:6" x14ac:dyDescent="0.2">
      <c r="A579" s="18" t="str">
        <f>A578</f>
        <v>30 SEPT</v>
      </c>
      <c r="B579" s="4" t="s">
        <v>466</v>
      </c>
      <c r="C579" s="4" t="s">
        <v>239</v>
      </c>
      <c r="D579" s="20"/>
      <c r="E579" s="20"/>
      <c r="F579" s="28">
        <f t="shared" ref="F579:F580" si="61">F578+D579</f>
        <v>0</v>
      </c>
    </row>
    <row r="580" spans="1:6" x14ac:dyDescent="0.2">
      <c r="A580" s="18" t="str">
        <f>A579</f>
        <v>30 SEPT</v>
      </c>
      <c r="B580" s="4" t="s">
        <v>484</v>
      </c>
      <c r="C580" s="4" t="s">
        <v>239</v>
      </c>
      <c r="D580" s="20"/>
      <c r="E580" s="20"/>
      <c r="F580" s="28">
        <f t="shared" si="61"/>
        <v>0</v>
      </c>
    </row>
    <row r="581" spans="1:6" x14ac:dyDescent="0.2">
      <c r="A581" s="50" t="s">
        <v>368</v>
      </c>
      <c r="B581" s="4"/>
      <c r="C581" s="4"/>
      <c r="D581" s="20"/>
      <c r="E581" s="20"/>
      <c r="F581" s="28"/>
    </row>
    <row r="582" spans="1:6" x14ac:dyDescent="0.2">
      <c r="A582" s="18" t="s">
        <v>448</v>
      </c>
      <c r="B582" s="4" t="s">
        <v>741</v>
      </c>
      <c r="C582" s="4" t="s">
        <v>239</v>
      </c>
      <c r="D582" s="20"/>
      <c r="E582" s="20"/>
      <c r="F582" s="28">
        <f>D582</f>
        <v>0</v>
      </c>
    </row>
    <row r="583" spans="1:6" x14ac:dyDescent="0.2">
      <c r="A583" s="18" t="str">
        <f>A582</f>
        <v>31 OKT</v>
      </c>
      <c r="B583" s="4" t="s">
        <v>466</v>
      </c>
      <c r="C583" s="4" t="s">
        <v>239</v>
      </c>
      <c r="D583" s="20"/>
      <c r="E583" s="20"/>
      <c r="F583" s="28">
        <f t="shared" ref="F583:F584" si="62">F582+D583</f>
        <v>0</v>
      </c>
    </row>
    <row r="584" spans="1:6" x14ac:dyDescent="0.2">
      <c r="A584" s="18" t="str">
        <f>A583</f>
        <v>31 OKT</v>
      </c>
      <c r="B584" s="4" t="s">
        <v>484</v>
      </c>
      <c r="C584" s="4" t="s">
        <v>239</v>
      </c>
      <c r="D584" s="20"/>
      <c r="E584" s="20"/>
      <c r="F584" s="28">
        <f t="shared" si="62"/>
        <v>0</v>
      </c>
    </row>
    <row r="585" spans="1:6" x14ac:dyDescent="0.2">
      <c r="A585" s="50" t="s">
        <v>397</v>
      </c>
      <c r="B585" s="4"/>
      <c r="C585" s="4"/>
      <c r="D585" s="20"/>
      <c r="E585" s="20"/>
      <c r="F585" s="28"/>
    </row>
    <row r="586" spans="1:6" x14ac:dyDescent="0.2">
      <c r="A586" s="18" t="s">
        <v>390</v>
      </c>
      <c r="B586" s="4" t="s">
        <v>741</v>
      </c>
      <c r="C586" s="4" t="s">
        <v>239</v>
      </c>
      <c r="D586" s="20"/>
      <c r="E586" s="20"/>
      <c r="F586" s="28">
        <f>D586</f>
        <v>0</v>
      </c>
    </row>
    <row r="587" spans="1:6" x14ac:dyDescent="0.2">
      <c r="A587" s="18"/>
      <c r="B587" s="4" t="s">
        <v>466</v>
      </c>
      <c r="C587" s="4" t="s">
        <v>239</v>
      </c>
      <c r="D587" s="20"/>
      <c r="E587" s="20"/>
      <c r="F587" s="28">
        <f t="shared" ref="F587:F588" si="63">F586+D587</f>
        <v>0</v>
      </c>
    </row>
    <row r="588" spans="1:6" x14ac:dyDescent="0.2">
      <c r="A588" s="18"/>
      <c r="B588" s="4" t="s">
        <v>484</v>
      </c>
      <c r="C588" s="4" t="s">
        <v>239</v>
      </c>
      <c r="D588" s="20"/>
      <c r="E588" s="20"/>
      <c r="F588" s="28">
        <f t="shared" si="63"/>
        <v>0</v>
      </c>
    </row>
    <row r="589" spans="1:6" x14ac:dyDescent="0.2">
      <c r="A589" s="50" t="s">
        <v>453</v>
      </c>
      <c r="B589" s="4"/>
      <c r="C589" s="4"/>
      <c r="D589" s="20"/>
      <c r="E589" s="20"/>
      <c r="F589" s="28"/>
    </row>
    <row r="590" spans="1:6" x14ac:dyDescent="0.2">
      <c r="A590" s="18" t="s">
        <v>449</v>
      </c>
      <c r="B590" s="4" t="s">
        <v>1208</v>
      </c>
      <c r="C590" s="4" t="s">
        <v>239</v>
      </c>
      <c r="D590" s="20"/>
      <c r="E590" s="20"/>
      <c r="F590" s="28">
        <f>D590</f>
        <v>0</v>
      </c>
    </row>
    <row r="591" spans="1:6" x14ac:dyDescent="0.2">
      <c r="A591" s="18"/>
      <c r="B591" s="4" t="s">
        <v>466</v>
      </c>
      <c r="C591" s="4" t="s">
        <v>239</v>
      </c>
      <c r="D591" s="20"/>
      <c r="E591" s="20"/>
      <c r="F591" s="28">
        <f t="shared" ref="F591:F592" si="64">F590+D591</f>
        <v>0</v>
      </c>
    </row>
    <row r="592" spans="1:6" x14ac:dyDescent="0.2">
      <c r="A592" s="18"/>
      <c r="B592" s="4" t="s">
        <v>484</v>
      </c>
      <c r="C592" s="4" t="s">
        <v>239</v>
      </c>
      <c r="D592" s="20"/>
      <c r="E592" s="20"/>
      <c r="F592" s="28">
        <f t="shared" si="64"/>
        <v>0</v>
      </c>
    </row>
    <row r="593" spans="1:6" x14ac:dyDescent="0.2">
      <c r="A593" s="4"/>
      <c r="B593" s="4"/>
      <c r="C593" s="4"/>
      <c r="D593" s="20"/>
      <c r="E593" s="20"/>
      <c r="F593" s="28"/>
    </row>
    <row r="594" spans="1:6" x14ac:dyDescent="0.2">
      <c r="A594" s="105" t="s">
        <v>10</v>
      </c>
      <c r="B594" s="112"/>
      <c r="C594" s="106"/>
      <c r="D594" s="20">
        <f>SUM(D551:D593)</f>
        <v>0</v>
      </c>
      <c r="E594" s="20">
        <f>SUM(E551:E593)</f>
        <v>0</v>
      </c>
      <c r="F594" s="28">
        <f>D594-E594</f>
        <v>0</v>
      </c>
    </row>
    <row r="595" spans="1:6" x14ac:dyDescent="0.2">
      <c r="A595" s="105" t="s">
        <v>11</v>
      </c>
      <c r="B595" s="112"/>
      <c r="C595" s="106"/>
      <c r="D595" s="20"/>
      <c r="E595" s="20"/>
      <c r="F595" s="28">
        <f>D595-E595</f>
        <v>0</v>
      </c>
    </row>
    <row r="596" spans="1:6" x14ac:dyDescent="0.2">
      <c r="A596" s="105" t="s">
        <v>10</v>
      </c>
      <c r="B596" s="112"/>
      <c r="C596" s="106"/>
      <c r="D596" s="20">
        <f>SUM(D594:D595)</f>
        <v>0</v>
      </c>
      <c r="E596" s="20">
        <f>SUM(E594:E595)</f>
        <v>0</v>
      </c>
      <c r="F596" s="28">
        <f>SUM(F594:F595)</f>
        <v>0</v>
      </c>
    </row>
    <row r="606" spans="1:6" x14ac:dyDescent="0.2">
      <c r="B606" s="31">
        <f>D8+D9+D44+D45+D46+D47+D178+D216+D217+D218</f>
        <v>0</v>
      </c>
    </row>
  </sheetData>
  <mergeCells count="175">
    <mergeCell ref="A594:C594"/>
    <mergeCell ref="A595:C595"/>
    <mergeCell ref="A596:C596"/>
    <mergeCell ref="A538:B538"/>
    <mergeCell ref="A539:B539"/>
    <mergeCell ref="A540:F540"/>
    <mergeCell ref="A541:B541"/>
    <mergeCell ref="A543:A544"/>
    <mergeCell ref="B543:B544"/>
    <mergeCell ref="C543:C544"/>
    <mergeCell ref="D543:E543"/>
    <mergeCell ref="F543:F544"/>
    <mergeCell ref="A30:C30"/>
    <mergeCell ref="A31:C31"/>
    <mergeCell ref="A32:C32"/>
    <mergeCell ref="A1:B1"/>
    <mergeCell ref="A2:B2"/>
    <mergeCell ref="A3:F3"/>
    <mergeCell ref="A4:B4"/>
    <mergeCell ref="A6:A7"/>
    <mergeCell ref="B6:B7"/>
    <mergeCell ref="C6:C7"/>
    <mergeCell ref="F6:F7"/>
    <mergeCell ref="D6:E6"/>
    <mergeCell ref="A290:A291"/>
    <mergeCell ref="B290:B291"/>
    <mergeCell ref="C290:C291"/>
    <mergeCell ref="A285:B285"/>
    <mergeCell ref="A286:B286"/>
    <mergeCell ref="A287:F287"/>
    <mergeCell ref="A306:C306"/>
    <mergeCell ref="A307:C307"/>
    <mergeCell ref="A272:B272"/>
    <mergeCell ref="A273:B273"/>
    <mergeCell ref="A274:F274"/>
    <mergeCell ref="A275:B275"/>
    <mergeCell ref="A277:A278"/>
    <mergeCell ref="B277:B278"/>
    <mergeCell ref="C277:C278"/>
    <mergeCell ref="A202:C202"/>
    <mergeCell ref="A203:C203"/>
    <mergeCell ref="A204:C204"/>
    <mergeCell ref="A170:B170"/>
    <mergeCell ref="A171:B171"/>
    <mergeCell ref="A172:F172"/>
    <mergeCell ref="A269:C269"/>
    <mergeCell ref="A270:C270"/>
    <mergeCell ref="A271:C271"/>
    <mergeCell ref="A209:B209"/>
    <mergeCell ref="A210:B210"/>
    <mergeCell ref="A211:F211"/>
    <mergeCell ref="A212:B212"/>
    <mergeCell ref="A214:A215"/>
    <mergeCell ref="B214:B215"/>
    <mergeCell ref="C214:C215"/>
    <mergeCell ref="D214:E214"/>
    <mergeCell ref="F214:F215"/>
    <mergeCell ref="A173:B173"/>
    <mergeCell ref="A175:A176"/>
    <mergeCell ref="B175:B176"/>
    <mergeCell ref="C175:C176"/>
    <mergeCell ref="D175:E175"/>
    <mergeCell ref="F175:F176"/>
    <mergeCell ref="A386:B386"/>
    <mergeCell ref="A387:B387"/>
    <mergeCell ref="A388:F388"/>
    <mergeCell ref="A379:C379"/>
    <mergeCell ref="A380:C380"/>
    <mergeCell ref="F317:F318"/>
    <mergeCell ref="D277:E277"/>
    <mergeCell ref="F277:F278"/>
    <mergeCell ref="D290:E290"/>
    <mergeCell ref="F290:F291"/>
    <mergeCell ref="A381:C381"/>
    <mergeCell ref="A315:B315"/>
    <mergeCell ref="A317:A318"/>
    <mergeCell ref="B317:B318"/>
    <mergeCell ref="C317:C318"/>
    <mergeCell ref="D317:E317"/>
    <mergeCell ref="A281:C281"/>
    <mergeCell ref="A282:C282"/>
    <mergeCell ref="A283:C283"/>
    <mergeCell ref="A308:C308"/>
    <mergeCell ref="A312:B312"/>
    <mergeCell ref="A313:B313"/>
    <mergeCell ref="A314:F314"/>
    <mergeCell ref="A288:B288"/>
    <mergeCell ref="A406:B406"/>
    <mergeCell ref="A407:B407"/>
    <mergeCell ref="A408:F408"/>
    <mergeCell ref="A389:B389"/>
    <mergeCell ref="A391:A392"/>
    <mergeCell ref="B391:B392"/>
    <mergeCell ref="C391:C392"/>
    <mergeCell ref="D391:E391"/>
    <mergeCell ref="F391:F392"/>
    <mergeCell ref="A402:C402"/>
    <mergeCell ref="A403:C403"/>
    <mergeCell ref="A404:C404"/>
    <mergeCell ref="A462:C462"/>
    <mergeCell ref="A463:C463"/>
    <mergeCell ref="A464:C464"/>
    <mergeCell ref="A409:B409"/>
    <mergeCell ref="A411:A412"/>
    <mergeCell ref="B411:B412"/>
    <mergeCell ref="C411:C412"/>
    <mergeCell ref="D411:E411"/>
    <mergeCell ref="F411:F412"/>
    <mergeCell ref="A466:B466"/>
    <mergeCell ref="A467:B467"/>
    <mergeCell ref="A468:F468"/>
    <mergeCell ref="D517:E517"/>
    <mergeCell ref="F517:F518"/>
    <mergeCell ref="A532:C532"/>
    <mergeCell ref="A533:C533"/>
    <mergeCell ref="A534:C534"/>
    <mergeCell ref="A508:C508"/>
    <mergeCell ref="A509:C509"/>
    <mergeCell ref="A510:C510"/>
    <mergeCell ref="A512:B512"/>
    <mergeCell ref="A513:B513"/>
    <mergeCell ref="A514:F514"/>
    <mergeCell ref="A515:B515"/>
    <mergeCell ref="A517:A518"/>
    <mergeCell ref="B517:B518"/>
    <mergeCell ref="C517:C518"/>
    <mergeCell ref="A471:A472"/>
    <mergeCell ref="B471:B472"/>
    <mergeCell ref="C471:C472"/>
    <mergeCell ref="D471:E471"/>
    <mergeCell ref="F471:F472"/>
    <mergeCell ref="A36:B36"/>
    <mergeCell ref="A37:B37"/>
    <mergeCell ref="A38:F38"/>
    <mergeCell ref="A41:A42"/>
    <mergeCell ref="B41:B42"/>
    <mergeCell ref="C41:C42"/>
    <mergeCell ref="D41:E41"/>
    <mergeCell ref="F41:F42"/>
    <mergeCell ref="A110:C110"/>
    <mergeCell ref="A111:C111"/>
    <mergeCell ref="A112:C112"/>
    <mergeCell ref="A115:B115"/>
    <mergeCell ref="A116:B116"/>
    <mergeCell ref="A117:F117"/>
    <mergeCell ref="A120:A121"/>
    <mergeCell ref="B120:B121"/>
    <mergeCell ref="C120:C121"/>
    <mergeCell ref="D120:E120"/>
    <mergeCell ref="F120:F121"/>
    <mergeCell ref="A128:C128"/>
    <mergeCell ref="A129:C129"/>
    <mergeCell ref="A130:C130"/>
    <mergeCell ref="A133:B133"/>
    <mergeCell ref="A134:B134"/>
    <mergeCell ref="A135:F135"/>
    <mergeCell ref="A138:A139"/>
    <mergeCell ref="B138:B139"/>
    <mergeCell ref="C138:C139"/>
    <mergeCell ref="D138:E138"/>
    <mergeCell ref="F138:F139"/>
    <mergeCell ref="A164:C164"/>
    <mergeCell ref="A165:C165"/>
    <mergeCell ref="A166:C166"/>
    <mergeCell ref="A146:C146"/>
    <mergeCell ref="A147:C147"/>
    <mergeCell ref="A148:C148"/>
    <mergeCell ref="A151:B151"/>
    <mergeCell ref="A152:B152"/>
    <mergeCell ref="A153:F153"/>
    <mergeCell ref="A156:A157"/>
    <mergeCell ref="B156:B157"/>
    <mergeCell ref="C156:C157"/>
    <mergeCell ref="D156:E156"/>
    <mergeCell ref="F156:F157"/>
  </mergeCells>
  <phoneticPr fontId="8" type="noConversion"/>
  <pageMargins left="0.51181102362204722" right="0.51181102362204722" top="0.74803149606299213" bottom="0.74803149606299213" header="0.31496062992125984" footer="0.31496062992125984"/>
  <pageSetup paperSize="9" orientation="portrait" horizontalDpi="4294967293" verticalDpi="36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675"/>
  <sheetViews>
    <sheetView view="pageLayout" topLeftCell="A637" zoomScale="90" zoomScaleNormal="100" zoomScalePageLayoutView="90" workbookViewId="0">
      <selection activeCell="H489" sqref="H489"/>
    </sheetView>
  </sheetViews>
  <sheetFormatPr defaultColWidth="9.140625" defaultRowHeight="12" x14ac:dyDescent="0.2"/>
  <cols>
    <col min="1" max="1" width="9.140625" style="1"/>
    <col min="2" max="2" width="33.28515625" style="1" customWidth="1"/>
    <col min="3" max="3" width="9.140625" style="1"/>
    <col min="4" max="4" width="15.140625" style="1" customWidth="1"/>
    <col min="5" max="5" width="11.28515625" style="1" customWidth="1"/>
    <col min="6" max="6" width="14.5703125" style="1" customWidth="1"/>
    <col min="7" max="7" width="11" style="13" customWidth="1"/>
    <col min="8" max="8" width="22.85546875" style="13" customWidth="1"/>
    <col min="9" max="9" width="9.140625" style="1"/>
    <col min="10" max="10" width="10.85546875" style="1" customWidth="1"/>
    <col min="11" max="11" width="10.5703125" style="1" customWidth="1"/>
    <col min="12" max="12" width="18" style="1" customWidth="1"/>
    <col min="13" max="13" width="9.140625" style="1"/>
    <col min="14" max="14" width="22.42578125" style="1" customWidth="1"/>
    <col min="15" max="15" width="9.140625" style="1"/>
    <col min="16" max="16" width="12.5703125" style="1" customWidth="1"/>
    <col min="17" max="18" width="12.85546875" style="1" customWidth="1"/>
    <col min="19" max="19" width="19" style="1" customWidth="1"/>
    <col min="20" max="20" width="9.140625" style="1"/>
    <col min="21" max="21" width="33.28515625" style="1" customWidth="1"/>
    <col min="22" max="22" width="9.140625" style="1"/>
    <col min="23" max="23" width="11.28515625" style="1" customWidth="1"/>
    <col min="24" max="24" width="11.7109375" style="1" customWidth="1"/>
    <col min="25" max="25" width="17.140625" style="1" customWidth="1"/>
    <col min="26" max="26" width="9.140625" style="1"/>
    <col min="27" max="27" width="29" style="1" customWidth="1"/>
    <col min="28" max="28" width="9.140625" style="1"/>
    <col min="29" max="29" width="10.28515625" style="1" customWidth="1"/>
    <col min="30" max="30" width="11.42578125" style="1" customWidth="1"/>
    <col min="31" max="31" width="16.85546875" style="1" customWidth="1"/>
    <col min="32" max="32" width="9.140625" style="1"/>
    <col min="33" max="33" width="29.140625" style="1" customWidth="1"/>
    <col min="34" max="34" width="9.140625" style="1"/>
    <col min="35" max="35" width="11.140625" style="1" customWidth="1"/>
    <col min="36" max="36" width="11.7109375" style="1" customWidth="1"/>
    <col min="37" max="37" width="17.28515625" style="1" customWidth="1"/>
    <col min="38" max="38" width="9.140625" style="1"/>
    <col min="39" max="39" width="30.7109375" style="1" customWidth="1"/>
    <col min="40" max="40" width="9.140625" style="1"/>
    <col min="41" max="41" width="10.85546875" style="1" customWidth="1"/>
    <col min="42" max="42" width="10.5703125" style="1" customWidth="1"/>
    <col min="43" max="43" width="17.42578125" style="1" customWidth="1"/>
    <col min="44" max="44" width="9.140625" style="1"/>
    <col min="45" max="45" width="31.140625" style="1" customWidth="1"/>
    <col min="46" max="46" width="9.140625" style="1"/>
    <col min="47" max="47" width="12" style="1" customWidth="1"/>
    <col min="48" max="48" width="10.28515625" style="1" customWidth="1"/>
    <col min="49" max="49" width="16.140625" style="1" customWidth="1"/>
    <col min="50" max="50" width="9.140625" style="1"/>
    <col min="51" max="51" width="23.140625" style="1" customWidth="1"/>
    <col min="52" max="52" width="9.140625" style="1"/>
    <col min="53" max="53" width="12" style="1" customWidth="1"/>
    <col min="54" max="54" width="11.5703125" style="1" customWidth="1"/>
    <col min="55" max="55" width="18" style="1" customWidth="1"/>
    <col min="56" max="16384" width="9.140625" style="1"/>
  </cols>
  <sheetData>
    <row r="1" spans="1:8" x14ac:dyDescent="0.2">
      <c r="A1" s="100" t="s">
        <v>0</v>
      </c>
      <c r="B1" s="100"/>
    </row>
    <row r="2" spans="1:8" x14ac:dyDescent="0.2">
      <c r="A2" s="100" t="s">
        <v>1</v>
      </c>
      <c r="B2" s="100"/>
    </row>
    <row r="3" spans="1:8" x14ac:dyDescent="0.2">
      <c r="A3" s="101" t="s">
        <v>2</v>
      </c>
      <c r="B3" s="101"/>
      <c r="C3" s="101"/>
      <c r="D3" s="101"/>
      <c r="E3" s="101"/>
      <c r="F3" s="101"/>
    </row>
    <row r="4" spans="1:8" x14ac:dyDescent="0.2">
      <c r="A4" s="122" t="s">
        <v>151</v>
      </c>
      <c r="B4" s="122"/>
      <c r="C4" s="125"/>
      <c r="D4" s="123" t="s">
        <v>682</v>
      </c>
    </row>
    <row r="5" spans="1:8" x14ac:dyDescent="0.2">
      <c r="D5" s="1" t="s">
        <v>70</v>
      </c>
    </row>
    <row r="6" spans="1:8" x14ac:dyDescent="0.2">
      <c r="A6" s="103" t="s">
        <v>3</v>
      </c>
      <c r="B6" s="103" t="s">
        <v>4</v>
      </c>
      <c r="C6" s="103" t="s">
        <v>5</v>
      </c>
      <c r="D6" s="105" t="s">
        <v>6</v>
      </c>
      <c r="E6" s="106"/>
      <c r="F6" s="103" t="s">
        <v>9</v>
      </c>
    </row>
    <row r="7" spans="1:8" x14ac:dyDescent="0.2">
      <c r="A7" s="104"/>
      <c r="B7" s="104"/>
      <c r="C7" s="104"/>
      <c r="D7" s="3" t="s">
        <v>7</v>
      </c>
      <c r="E7" s="3" t="s">
        <v>8</v>
      </c>
      <c r="F7" s="104"/>
    </row>
    <row r="8" spans="1:8" x14ac:dyDescent="0.2">
      <c r="A8" s="18" t="s">
        <v>1222</v>
      </c>
      <c r="B8" s="4" t="s">
        <v>1267</v>
      </c>
      <c r="C8" s="4" t="s">
        <v>187</v>
      </c>
      <c r="D8" s="20"/>
      <c r="E8" s="20">
        <v>0</v>
      </c>
      <c r="F8" s="20">
        <f>D8+E8</f>
        <v>0</v>
      </c>
    </row>
    <row r="9" spans="1:8" x14ac:dyDescent="0.2">
      <c r="A9" s="18" t="s">
        <v>1222</v>
      </c>
      <c r="B9" s="4" t="s">
        <v>1268</v>
      </c>
      <c r="C9" s="4" t="s">
        <v>187</v>
      </c>
      <c r="D9" s="20"/>
      <c r="E9" s="20"/>
      <c r="F9" s="20">
        <f>F8+D9</f>
        <v>0</v>
      </c>
    </row>
    <row r="10" spans="1:8" x14ac:dyDescent="0.2">
      <c r="A10" s="18" t="s">
        <v>474</v>
      </c>
      <c r="B10" s="4" t="s">
        <v>1336</v>
      </c>
      <c r="C10" s="4" t="s">
        <v>187</v>
      </c>
      <c r="D10" s="20"/>
      <c r="E10" s="20"/>
      <c r="F10" s="20">
        <f t="shared" ref="F10:F37" si="0">F9+D10</f>
        <v>0</v>
      </c>
    </row>
    <row r="11" spans="1:8" x14ac:dyDescent="0.2">
      <c r="A11" s="18" t="s">
        <v>474</v>
      </c>
      <c r="B11" s="4" t="s">
        <v>1337</v>
      </c>
      <c r="C11" s="4" t="s">
        <v>187</v>
      </c>
      <c r="D11" s="20"/>
      <c r="E11" s="20"/>
      <c r="F11" s="20">
        <f t="shared" si="0"/>
        <v>0</v>
      </c>
    </row>
    <row r="12" spans="1:8" x14ac:dyDescent="0.2">
      <c r="A12" s="51" t="s">
        <v>527</v>
      </c>
      <c r="B12" s="4" t="s">
        <v>1387</v>
      </c>
      <c r="C12" s="4" t="s">
        <v>187</v>
      </c>
      <c r="D12" s="20"/>
      <c r="E12" s="20"/>
      <c r="F12" s="20">
        <f t="shared" si="0"/>
        <v>0</v>
      </c>
      <c r="H12" s="13">
        <f>SUM(D12:D13)</f>
        <v>0</v>
      </c>
    </row>
    <row r="13" spans="1:8" x14ac:dyDescent="0.2">
      <c r="A13" s="51" t="s">
        <v>476</v>
      </c>
      <c r="B13" s="4" t="s">
        <v>1388</v>
      </c>
      <c r="C13" s="4" t="s">
        <v>187</v>
      </c>
      <c r="D13" s="20"/>
      <c r="E13" s="20"/>
      <c r="F13" s="20">
        <f t="shared" si="0"/>
        <v>0</v>
      </c>
    </row>
    <row r="14" spans="1:8" x14ac:dyDescent="0.2">
      <c r="A14" s="51" t="s">
        <v>476</v>
      </c>
      <c r="B14" s="4" t="s">
        <v>619</v>
      </c>
      <c r="C14" s="4" t="s">
        <v>187</v>
      </c>
      <c r="D14" s="20"/>
      <c r="E14" s="20"/>
      <c r="F14" s="20">
        <f t="shared" si="0"/>
        <v>0</v>
      </c>
    </row>
    <row r="15" spans="1:8" x14ac:dyDescent="0.2">
      <c r="A15" s="51" t="s">
        <v>798</v>
      </c>
      <c r="B15" s="4" t="s">
        <v>191</v>
      </c>
      <c r="C15" s="4" t="s">
        <v>187</v>
      </c>
      <c r="D15" s="20"/>
      <c r="E15" s="20"/>
      <c r="F15" s="20">
        <f t="shared" si="0"/>
        <v>0</v>
      </c>
    </row>
    <row r="16" spans="1:8" x14ac:dyDescent="0.2">
      <c r="A16" s="51" t="s">
        <v>798</v>
      </c>
      <c r="B16" s="4" t="s">
        <v>619</v>
      </c>
      <c r="C16" s="4" t="s">
        <v>187</v>
      </c>
      <c r="D16" s="20"/>
      <c r="E16" s="20"/>
      <c r="F16" s="20">
        <f t="shared" si="0"/>
        <v>0</v>
      </c>
    </row>
    <row r="17" spans="1:6" x14ac:dyDescent="0.2">
      <c r="A17" s="51" t="s">
        <v>840</v>
      </c>
      <c r="B17" s="4" t="s">
        <v>191</v>
      </c>
      <c r="C17" s="4" t="s">
        <v>187</v>
      </c>
      <c r="D17" s="20"/>
      <c r="E17" s="20"/>
      <c r="F17" s="20">
        <f t="shared" si="0"/>
        <v>0</v>
      </c>
    </row>
    <row r="18" spans="1:6" x14ac:dyDescent="0.2">
      <c r="A18" s="51" t="s">
        <v>838</v>
      </c>
      <c r="B18" s="4" t="s">
        <v>619</v>
      </c>
      <c r="C18" s="4" t="s">
        <v>187</v>
      </c>
      <c r="D18" s="20"/>
      <c r="E18" s="20"/>
      <c r="F18" s="20">
        <f t="shared" si="0"/>
        <v>0</v>
      </c>
    </row>
    <row r="19" spans="1:6" x14ac:dyDescent="0.2">
      <c r="A19" s="51" t="s">
        <v>885</v>
      </c>
      <c r="B19" s="4" t="s">
        <v>191</v>
      </c>
      <c r="C19" s="4" t="s">
        <v>187</v>
      </c>
      <c r="D19" s="20"/>
      <c r="E19" s="20"/>
      <c r="F19" s="20">
        <f t="shared" si="0"/>
        <v>0</v>
      </c>
    </row>
    <row r="20" spans="1:6" x14ac:dyDescent="0.2">
      <c r="A20" s="51" t="s">
        <v>885</v>
      </c>
      <c r="B20" s="4" t="s">
        <v>619</v>
      </c>
      <c r="C20" s="4" t="s">
        <v>187</v>
      </c>
      <c r="D20" s="20"/>
      <c r="E20" s="20"/>
      <c r="F20" s="20">
        <f t="shared" si="0"/>
        <v>0</v>
      </c>
    </row>
    <row r="21" spans="1:6" x14ac:dyDescent="0.2">
      <c r="A21" s="51" t="s">
        <v>885</v>
      </c>
      <c r="B21" s="4" t="s">
        <v>887</v>
      </c>
      <c r="C21" s="4" t="s">
        <v>187</v>
      </c>
      <c r="D21" s="20"/>
      <c r="E21" s="20"/>
      <c r="F21" s="20">
        <f t="shared" si="0"/>
        <v>0</v>
      </c>
    </row>
    <row r="22" spans="1:6" x14ac:dyDescent="0.2">
      <c r="A22" s="51" t="s">
        <v>885</v>
      </c>
      <c r="B22" s="4" t="s">
        <v>892</v>
      </c>
      <c r="C22" s="4" t="s">
        <v>187</v>
      </c>
      <c r="D22" s="20"/>
      <c r="E22" s="20"/>
      <c r="F22" s="20">
        <f t="shared" si="0"/>
        <v>0</v>
      </c>
    </row>
    <row r="23" spans="1:6" x14ac:dyDescent="0.2">
      <c r="A23" s="51" t="s">
        <v>932</v>
      </c>
      <c r="B23" s="4" t="s">
        <v>933</v>
      </c>
      <c r="C23" s="4" t="s">
        <v>187</v>
      </c>
      <c r="D23" s="20"/>
      <c r="E23" s="20"/>
      <c r="F23" s="20">
        <f t="shared" si="0"/>
        <v>0</v>
      </c>
    </row>
    <row r="24" spans="1:6" x14ac:dyDescent="0.2">
      <c r="A24" s="51" t="s">
        <v>932</v>
      </c>
      <c r="B24" s="4" t="s">
        <v>619</v>
      </c>
      <c r="C24" s="4" t="s">
        <v>187</v>
      </c>
      <c r="D24" s="20"/>
      <c r="E24" s="20"/>
      <c r="F24" s="20">
        <f t="shared" si="0"/>
        <v>0</v>
      </c>
    </row>
    <row r="25" spans="1:6" x14ac:dyDescent="0.2">
      <c r="A25" s="51" t="s">
        <v>613</v>
      </c>
      <c r="B25" s="4" t="s">
        <v>933</v>
      </c>
      <c r="C25" s="4" t="s">
        <v>187</v>
      </c>
      <c r="D25" s="20"/>
      <c r="E25" s="20"/>
      <c r="F25" s="20">
        <f t="shared" si="0"/>
        <v>0</v>
      </c>
    </row>
    <row r="26" spans="1:6" x14ac:dyDescent="0.2">
      <c r="A26" s="51" t="s">
        <v>613</v>
      </c>
      <c r="B26" s="4" t="s">
        <v>619</v>
      </c>
      <c r="C26" s="4" t="s">
        <v>187</v>
      </c>
      <c r="D26" s="20"/>
      <c r="E26" s="20"/>
      <c r="F26" s="20">
        <f t="shared" si="0"/>
        <v>0</v>
      </c>
    </row>
    <row r="27" spans="1:6" x14ac:dyDescent="0.2">
      <c r="A27" s="18" t="s">
        <v>613</v>
      </c>
      <c r="B27" s="4" t="s">
        <v>989</v>
      </c>
      <c r="C27" s="4" t="s">
        <v>187</v>
      </c>
      <c r="D27" s="20"/>
      <c r="E27" s="20"/>
      <c r="F27" s="20">
        <f t="shared" si="0"/>
        <v>0</v>
      </c>
    </row>
    <row r="28" spans="1:6" x14ac:dyDescent="0.2">
      <c r="A28" s="18" t="s">
        <v>485</v>
      </c>
      <c r="B28" s="4" t="s">
        <v>933</v>
      </c>
      <c r="C28" s="4" t="s">
        <v>187</v>
      </c>
      <c r="D28" s="20"/>
      <c r="E28" s="20"/>
      <c r="F28" s="20">
        <f t="shared" si="0"/>
        <v>0</v>
      </c>
    </row>
    <row r="29" spans="1:6" x14ac:dyDescent="0.2">
      <c r="A29" s="18" t="s">
        <v>485</v>
      </c>
      <c r="B29" s="4" t="s">
        <v>619</v>
      </c>
      <c r="C29" s="4" t="s">
        <v>187</v>
      </c>
      <c r="D29" s="20"/>
      <c r="E29" s="20"/>
      <c r="F29" s="20">
        <f t="shared" si="0"/>
        <v>0</v>
      </c>
    </row>
    <row r="30" spans="1:6" x14ac:dyDescent="0.2">
      <c r="A30" s="18" t="s">
        <v>485</v>
      </c>
      <c r="B30" s="4" t="s">
        <v>989</v>
      </c>
      <c r="C30" s="4" t="s">
        <v>187</v>
      </c>
      <c r="D30" s="20"/>
      <c r="E30" s="20"/>
      <c r="F30" s="20">
        <f t="shared" si="0"/>
        <v>0</v>
      </c>
    </row>
    <row r="31" spans="1:6" x14ac:dyDescent="0.2">
      <c r="A31" s="18" t="s">
        <v>372</v>
      </c>
      <c r="B31" s="4" t="s">
        <v>933</v>
      </c>
      <c r="C31" s="4" t="s">
        <v>187</v>
      </c>
      <c r="D31" s="20"/>
      <c r="E31" s="20"/>
      <c r="F31" s="20">
        <f t="shared" si="0"/>
        <v>0</v>
      </c>
    </row>
    <row r="32" spans="1:6" x14ac:dyDescent="0.2">
      <c r="A32" s="18" t="s">
        <v>372</v>
      </c>
      <c r="B32" s="4" t="s">
        <v>619</v>
      </c>
      <c r="C32" s="4" t="s">
        <v>187</v>
      </c>
      <c r="D32" s="20"/>
      <c r="E32" s="20"/>
      <c r="F32" s="20">
        <f t="shared" si="0"/>
        <v>0</v>
      </c>
    </row>
    <row r="33" spans="1:6" x14ac:dyDescent="0.2">
      <c r="A33" s="18" t="s">
        <v>1126</v>
      </c>
      <c r="B33" s="4" t="s">
        <v>933</v>
      </c>
      <c r="C33" s="4" t="s">
        <v>187</v>
      </c>
      <c r="D33" s="20"/>
      <c r="E33" s="20"/>
      <c r="F33" s="20">
        <f t="shared" si="0"/>
        <v>0</v>
      </c>
    </row>
    <row r="34" spans="1:6" x14ac:dyDescent="0.2">
      <c r="A34" s="18" t="s">
        <v>1126</v>
      </c>
      <c r="B34" s="4" t="s">
        <v>619</v>
      </c>
      <c r="C34" s="4" t="s">
        <v>187</v>
      </c>
      <c r="D34" s="20"/>
      <c r="E34" s="20"/>
      <c r="F34" s="20">
        <f t="shared" si="0"/>
        <v>0</v>
      </c>
    </row>
    <row r="35" spans="1:6" x14ac:dyDescent="0.2">
      <c r="A35" s="18" t="s">
        <v>1181</v>
      </c>
      <c r="B35" s="4" t="s">
        <v>933</v>
      </c>
      <c r="C35" s="4" t="s">
        <v>187</v>
      </c>
      <c r="D35" s="20"/>
      <c r="E35" s="20"/>
      <c r="F35" s="20">
        <f t="shared" si="0"/>
        <v>0</v>
      </c>
    </row>
    <row r="36" spans="1:6" x14ac:dyDescent="0.2">
      <c r="A36" s="18" t="s">
        <v>1181</v>
      </c>
      <c r="B36" s="4" t="s">
        <v>619</v>
      </c>
      <c r="C36" s="4" t="s">
        <v>187</v>
      </c>
      <c r="D36" s="20"/>
      <c r="E36" s="20"/>
      <c r="F36" s="20">
        <f t="shared" si="0"/>
        <v>0</v>
      </c>
    </row>
    <row r="37" spans="1:6" x14ac:dyDescent="0.2">
      <c r="A37" s="18" t="s">
        <v>1181</v>
      </c>
      <c r="B37" s="4" t="s">
        <v>1188</v>
      </c>
      <c r="C37" s="4" t="s">
        <v>187</v>
      </c>
      <c r="D37" s="20"/>
      <c r="E37" s="20"/>
      <c r="F37" s="20">
        <f t="shared" si="0"/>
        <v>0</v>
      </c>
    </row>
    <row r="38" spans="1:6" x14ac:dyDescent="0.2">
      <c r="A38" s="18"/>
      <c r="B38" s="4"/>
      <c r="C38" s="4"/>
      <c r="D38" s="20"/>
      <c r="E38" s="20"/>
      <c r="F38" s="20"/>
    </row>
    <row r="39" spans="1:6" x14ac:dyDescent="0.2">
      <c r="A39" s="4"/>
      <c r="B39" s="4"/>
      <c r="C39" s="4"/>
      <c r="D39" s="20"/>
      <c r="E39" s="20"/>
      <c r="F39" s="20">
        <f>F29+D39</f>
        <v>0</v>
      </c>
    </row>
    <row r="40" spans="1:6" x14ac:dyDescent="0.2">
      <c r="A40" s="105" t="s">
        <v>10</v>
      </c>
      <c r="B40" s="112"/>
      <c r="C40" s="106"/>
      <c r="D40" s="20">
        <f>SUM(D8:D39)</f>
        <v>0</v>
      </c>
      <c r="E40" s="20">
        <f>SUM(E8:E39)</f>
        <v>0</v>
      </c>
      <c r="F40" s="20">
        <f>D40-E40</f>
        <v>0</v>
      </c>
    </row>
    <row r="41" spans="1:6" x14ac:dyDescent="0.2">
      <c r="A41" s="105" t="s">
        <v>11</v>
      </c>
      <c r="B41" s="112"/>
      <c r="C41" s="106"/>
      <c r="D41" s="20"/>
      <c r="E41" s="20"/>
      <c r="F41" s="20">
        <f>D41-E41</f>
        <v>0</v>
      </c>
    </row>
    <row r="42" spans="1:6" x14ac:dyDescent="0.2">
      <c r="A42" s="105" t="s">
        <v>10</v>
      </c>
      <c r="B42" s="112"/>
      <c r="C42" s="106"/>
      <c r="D42" s="20">
        <f>SUM(D40:D41)</f>
        <v>0</v>
      </c>
      <c r="E42" s="20">
        <f>SUM(E40:E41)</f>
        <v>0</v>
      </c>
      <c r="F42" s="20">
        <f>SUM(F40:F41)</f>
        <v>0</v>
      </c>
    </row>
    <row r="43" spans="1:6" x14ac:dyDescent="0.2">
      <c r="D43" s="13"/>
      <c r="E43" s="13"/>
      <c r="F43" s="13"/>
    </row>
    <row r="44" spans="1:6" x14ac:dyDescent="0.2">
      <c r="D44" s="13"/>
      <c r="E44" s="13"/>
      <c r="F44" s="13"/>
    </row>
    <row r="45" spans="1:6" x14ac:dyDescent="0.2">
      <c r="D45" s="13"/>
      <c r="E45" s="13"/>
      <c r="F45" s="13"/>
    </row>
    <row r="46" spans="1:6" x14ac:dyDescent="0.2">
      <c r="D46" s="13"/>
      <c r="E46" s="13"/>
      <c r="F46" s="13"/>
    </row>
    <row r="47" spans="1:6" x14ac:dyDescent="0.2">
      <c r="D47" s="13"/>
      <c r="E47" s="13"/>
      <c r="F47" s="13"/>
    </row>
    <row r="48" spans="1:6" x14ac:dyDescent="0.2">
      <c r="D48" s="13"/>
      <c r="E48" s="13"/>
      <c r="F48" s="13"/>
    </row>
    <row r="49" spans="1:6" x14ac:dyDescent="0.2">
      <c r="A49" s="100" t="s">
        <v>0</v>
      </c>
      <c r="B49" s="100"/>
    </row>
    <row r="50" spans="1:6" x14ac:dyDescent="0.2">
      <c r="A50" s="100" t="s">
        <v>1</v>
      </c>
      <c r="B50" s="100"/>
    </row>
    <row r="51" spans="1:6" x14ac:dyDescent="0.2">
      <c r="A51" s="101" t="s">
        <v>2</v>
      </c>
      <c r="B51" s="101"/>
      <c r="C51" s="101"/>
      <c r="D51" s="101"/>
      <c r="E51" s="101"/>
      <c r="F51" s="101"/>
    </row>
    <row r="52" spans="1:6" x14ac:dyDescent="0.2">
      <c r="A52" s="122" t="s">
        <v>684</v>
      </c>
      <c r="B52" s="122"/>
      <c r="C52" s="125"/>
      <c r="D52" s="123" t="s">
        <v>683</v>
      </c>
    </row>
    <row r="53" spans="1:6" x14ac:dyDescent="0.2">
      <c r="D53" s="1" t="s">
        <v>70</v>
      </c>
    </row>
    <row r="54" spans="1:6" x14ac:dyDescent="0.2">
      <c r="A54" s="103" t="s">
        <v>3</v>
      </c>
      <c r="B54" s="103" t="s">
        <v>4</v>
      </c>
      <c r="C54" s="103" t="s">
        <v>5</v>
      </c>
      <c r="D54" s="105" t="s">
        <v>6</v>
      </c>
      <c r="E54" s="106"/>
      <c r="F54" s="103" t="s">
        <v>9</v>
      </c>
    </row>
    <row r="55" spans="1:6" x14ac:dyDescent="0.2">
      <c r="A55" s="104"/>
      <c r="B55" s="104"/>
      <c r="C55" s="104"/>
      <c r="D55" s="3" t="s">
        <v>7</v>
      </c>
      <c r="E55" s="3" t="s">
        <v>8</v>
      </c>
      <c r="F55" s="104"/>
    </row>
    <row r="56" spans="1:6" x14ac:dyDescent="0.2">
      <c r="A56" s="41" t="s">
        <v>469</v>
      </c>
      <c r="B56" s="4"/>
      <c r="C56" s="4"/>
      <c r="D56" s="20"/>
      <c r="E56" s="20">
        <v>0</v>
      </c>
      <c r="F56" s="20"/>
    </row>
    <row r="57" spans="1:6" x14ac:dyDescent="0.2">
      <c r="A57" s="18" t="s">
        <v>1227</v>
      </c>
      <c r="B57" s="4" t="s">
        <v>1241</v>
      </c>
      <c r="C57" s="4" t="s">
        <v>187</v>
      </c>
      <c r="D57" s="20"/>
      <c r="E57" s="20"/>
      <c r="F57" s="20">
        <f>D57+E57</f>
        <v>0</v>
      </c>
    </row>
    <row r="58" spans="1:6" x14ac:dyDescent="0.2">
      <c r="A58" s="18" t="s">
        <v>1222</v>
      </c>
      <c r="B58" s="4" t="s">
        <v>1242</v>
      </c>
      <c r="C58" s="4" t="s">
        <v>187</v>
      </c>
      <c r="D58" s="20"/>
      <c r="E58" s="20"/>
      <c r="F58" s="20">
        <f>F57+D58</f>
        <v>0</v>
      </c>
    </row>
    <row r="59" spans="1:6" x14ac:dyDescent="0.2">
      <c r="A59" s="18" t="s">
        <v>1237</v>
      </c>
      <c r="B59" s="4" t="s">
        <v>1244</v>
      </c>
      <c r="C59" s="4" t="s">
        <v>187</v>
      </c>
      <c r="D59" s="20"/>
      <c r="E59" s="20"/>
      <c r="F59" s="20">
        <f t="shared" ref="F59:F66" si="1">F58+D59</f>
        <v>0</v>
      </c>
    </row>
    <row r="60" spans="1:6" x14ac:dyDescent="0.2">
      <c r="A60" s="18" t="s">
        <v>1237</v>
      </c>
      <c r="B60" s="4" t="s">
        <v>1245</v>
      </c>
      <c r="C60" s="4" t="s">
        <v>187</v>
      </c>
      <c r="D60" s="20"/>
      <c r="E60" s="20"/>
      <c r="F60" s="20">
        <f t="shared" si="1"/>
        <v>0</v>
      </c>
    </row>
    <row r="61" spans="1:6" x14ac:dyDescent="0.2">
      <c r="A61" s="41" t="s">
        <v>247</v>
      </c>
      <c r="B61" s="4"/>
      <c r="C61" s="4"/>
      <c r="D61" s="20"/>
      <c r="E61" s="20"/>
      <c r="F61" s="20"/>
    </row>
    <row r="62" spans="1:6" x14ac:dyDescent="0.2">
      <c r="A62" s="18" t="s">
        <v>414</v>
      </c>
      <c r="B62" s="4" t="s">
        <v>1291</v>
      </c>
      <c r="C62" s="4" t="s">
        <v>187</v>
      </c>
      <c r="D62" s="20"/>
      <c r="E62" s="20">
        <v>0</v>
      </c>
      <c r="F62" s="20">
        <f t="shared" si="1"/>
        <v>0</v>
      </c>
    </row>
    <row r="63" spans="1:6" x14ac:dyDescent="0.2">
      <c r="A63" s="18" t="s">
        <v>742</v>
      </c>
      <c r="B63" s="4" t="s">
        <v>1292</v>
      </c>
      <c r="C63" s="4" t="s">
        <v>187</v>
      </c>
      <c r="D63" s="20"/>
      <c r="E63" s="20"/>
      <c r="F63" s="20">
        <f t="shared" si="1"/>
        <v>0</v>
      </c>
    </row>
    <row r="64" spans="1:6" x14ac:dyDescent="0.2">
      <c r="A64" s="18" t="s">
        <v>474</v>
      </c>
      <c r="B64" s="4" t="s">
        <v>1293</v>
      </c>
      <c r="C64" s="4" t="s">
        <v>187</v>
      </c>
      <c r="D64" s="20"/>
      <c r="E64" s="20"/>
      <c r="F64" s="20">
        <f t="shared" si="1"/>
        <v>0</v>
      </c>
    </row>
    <row r="65" spans="1:6" x14ac:dyDescent="0.2">
      <c r="A65" s="18" t="s">
        <v>474</v>
      </c>
      <c r="B65" s="4" t="s">
        <v>1294</v>
      </c>
      <c r="C65" s="4" t="s">
        <v>187</v>
      </c>
      <c r="D65" s="20"/>
      <c r="E65" s="20"/>
      <c r="F65" s="20">
        <f t="shared" si="1"/>
        <v>0</v>
      </c>
    </row>
    <row r="66" spans="1:6" x14ac:dyDescent="0.2">
      <c r="A66" s="18" t="s">
        <v>756</v>
      </c>
      <c r="B66" s="4" t="s">
        <v>1295</v>
      </c>
      <c r="C66" s="4" t="s">
        <v>187</v>
      </c>
      <c r="D66" s="20"/>
      <c r="E66" s="20"/>
      <c r="F66" s="20">
        <f t="shared" si="1"/>
        <v>0</v>
      </c>
    </row>
    <row r="67" spans="1:6" x14ac:dyDescent="0.2">
      <c r="A67" s="41" t="s">
        <v>262</v>
      </c>
      <c r="B67" s="4"/>
      <c r="C67" s="4"/>
      <c r="D67" s="20"/>
      <c r="E67" s="20"/>
      <c r="F67" s="20"/>
    </row>
    <row r="68" spans="1:6" x14ac:dyDescent="0.2">
      <c r="A68" s="18" t="s">
        <v>1383</v>
      </c>
      <c r="B68" s="4" t="s">
        <v>1292</v>
      </c>
      <c r="C68" s="4" t="s">
        <v>187</v>
      </c>
      <c r="D68" s="20"/>
      <c r="E68" s="20"/>
      <c r="F68" s="20">
        <f t="shared" ref="F68:F74" si="2">F67+D68</f>
        <v>0</v>
      </c>
    </row>
    <row r="69" spans="1:6" x14ac:dyDescent="0.2">
      <c r="A69" s="18" t="s">
        <v>476</v>
      </c>
      <c r="B69" s="4" t="s">
        <v>1293</v>
      </c>
      <c r="C69" s="4" t="s">
        <v>187</v>
      </c>
      <c r="D69" s="20"/>
      <c r="E69" s="20">
        <v>0</v>
      </c>
      <c r="F69" s="20">
        <f t="shared" si="2"/>
        <v>0</v>
      </c>
    </row>
    <row r="70" spans="1:6" x14ac:dyDescent="0.2">
      <c r="A70" s="18" t="s">
        <v>1365</v>
      </c>
      <c r="B70" s="4" t="s">
        <v>1294</v>
      </c>
      <c r="C70" s="4" t="s">
        <v>187</v>
      </c>
      <c r="D70" s="20"/>
      <c r="E70" s="20"/>
      <c r="F70" s="20">
        <f t="shared" si="2"/>
        <v>0</v>
      </c>
    </row>
    <row r="71" spans="1:6" x14ac:dyDescent="0.2">
      <c r="A71" s="18" t="s">
        <v>1365</v>
      </c>
      <c r="B71" s="4" t="s">
        <v>1295</v>
      </c>
      <c r="C71" s="4" t="s">
        <v>187</v>
      </c>
      <c r="D71" s="20"/>
      <c r="E71" s="20"/>
      <c r="F71" s="20">
        <f t="shared" si="2"/>
        <v>0</v>
      </c>
    </row>
    <row r="72" spans="1:6" x14ac:dyDescent="0.2">
      <c r="A72" s="18"/>
      <c r="B72" s="4"/>
      <c r="C72" s="4"/>
      <c r="D72" s="46"/>
      <c r="E72" s="20"/>
      <c r="F72" s="20"/>
    </row>
    <row r="73" spans="1:6" x14ac:dyDescent="0.2">
      <c r="A73" s="18"/>
      <c r="B73" s="4"/>
      <c r="C73" s="4"/>
      <c r="D73" s="46"/>
      <c r="E73" s="20"/>
      <c r="F73" s="20">
        <f t="shared" si="2"/>
        <v>0</v>
      </c>
    </row>
    <row r="74" spans="1:6" x14ac:dyDescent="0.2">
      <c r="A74" s="18"/>
      <c r="B74" s="4"/>
      <c r="C74" s="4"/>
      <c r="D74" s="46"/>
      <c r="E74" s="20"/>
      <c r="F74" s="20">
        <f t="shared" si="2"/>
        <v>0</v>
      </c>
    </row>
    <row r="75" spans="1:6" x14ac:dyDescent="0.2">
      <c r="A75" s="41" t="s">
        <v>283</v>
      </c>
      <c r="B75" s="4"/>
      <c r="C75" s="4"/>
      <c r="D75" s="20"/>
      <c r="E75" s="20">
        <v>0</v>
      </c>
      <c r="F75" s="20"/>
    </row>
    <row r="76" spans="1:6" x14ac:dyDescent="0.2">
      <c r="A76" s="18" t="s">
        <v>282</v>
      </c>
      <c r="B76" s="4" t="s">
        <v>1040</v>
      </c>
      <c r="C76" s="4" t="s">
        <v>187</v>
      </c>
      <c r="D76" s="20"/>
      <c r="E76" s="20"/>
      <c r="F76" s="20">
        <f>D76+E76</f>
        <v>0</v>
      </c>
    </row>
    <row r="77" spans="1:6" x14ac:dyDescent="0.2">
      <c r="A77" s="18" t="s">
        <v>778</v>
      </c>
      <c r="B77" s="4" t="s">
        <v>690</v>
      </c>
      <c r="C77" s="4" t="s">
        <v>187</v>
      </c>
      <c r="D77" s="20"/>
      <c r="E77" s="20"/>
      <c r="F77" s="20">
        <f>F76+D77</f>
        <v>0</v>
      </c>
    </row>
    <row r="78" spans="1:6" x14ac:dyDescent="0.2">
      <c r="A78" s="18" t="s">
        <v>798</v>
      </c>
      <c r="B78" s="4" t="s">
        <v>691</v>
      </c>
      <c r="C78" s="4" t="s">
        <v>187</v>
      </c>
      <c r="D78" s="20"/>
      <c r="E78" s="20"/>
      <c r="F78" s="20">
        <f t="shared" ref="F78:F81" si="3">F77+D78</f>
        <v>0</v>
      </c>
    </row>
    <row r="79" spans="1:6" x14ac:dyDescent="0.2">
      <c r="A79" s="18" t="s">
        <v>798</v>
      </c>
      <c r="B79" s="4" t="s">
        <v>689</v>
      </c>
      <c r="C79" s="4" t="s">
        <v>187</v>
      </c>
      <c r="D79" s="20"/>
      <c r="E79" s="20"/>
      <c r="F79" s="20">
        <f t="shared" si="3"/>
        <v>0</v>
      </c>
    </row>
    <row r="80" spans="1:6" x14ac:dyDescent="0.2">
      <c r="A80" s="18" t="s">
        <v>798</v>
      </c>
      <c r="B80" s="4" t="s">
        <v>737</v>
      </c>
      <c r="C80" s="4" t="s">
        <v>187</v>
      </c>
      <c r="D80" s="20"/>
      <c r="E80" s="20"/>
      <c r="F80" s="20">
        <f t="shared" si="3"/>
        <v>0</v>
      </c>
    </row>
    <row r="81" spans="1:6" x14ac:dyDescent="0.2">
      <c r="A81" s="18" t="s">
        <v>798</v>
      </c>
      <c r="B81" s="4" t="s">
        <v>1040</v>
      </c>
      <c r="C81" s="4" t="s">
        <v>187</v>
      </c>
      <c r="D81" s="20"/>
      <c r="E81" s="20"/>
      <c r="F81" s="20">
        <f t="shared" si="3"/>
        <v>0</v>
      </c>
    </row>
    <row r="82" spans="1:6" x14ac:dyDescent="0.2">
      <c r="A82" s="41" t="s">
        <v>299</v>
      </c>
      <c r="B82" s="4"/>
      <c r="C82" s="4"/>
      <c r="D82" s="20"/>
      <c r="E82" s="20">
        <v>0</v>
      </c>
      <c r="F82" s="20"/>
    </row>
    <row r="83" spans="1:6" x14ac:dyDescent="0.2">
      <c r="A83" s="18" t="s">
        <v>594</v>
      </c>
      <c r="B83" s="4" t="s">
        <v>690</v>
      </c>
      <c r="C83" s="4" t="s">
        <v>187</v>
      </c>
      <c r="D83" s="20"/>
      <c r="E83" s="20"/>
      <c r="F83" s="20">
        <f>D83+E83</f>
        <v>0</v>
      </c>
    </row>
    <row r="84" spans="1:6" x14ac:dyDescent="0.2">
      <c r="A84" s="18" t="s">
        <v>596</v>
      </c>
      <c r="B84" s="4" t="s">
        <v>1040</v>
      </c>
      <c r="C84" s="4" t="s">
        <v>187</v>
      </c>
      <c r="D84" s="20"/>
      <c r="E84" s="20"/>
      <c r="F84" s="20">
        <f>F83+D84</f>
        <v>0</v>
      </c>
    </row>
    <row r="85" spans="1:6" x14ac:dyDescent="0.2">
      <c r="A85" s="18" t="s">
        <v>838</v>
      </c>
      <c r="B85" s="4" t="s">
        <v>691</v>
      </c>
      <c r="C85" s="4" t="s">
        <v>187</v>
      </c>
      <c r="D85" s="20"/>
      <c r="E85" s="20"/>
      <c r="F85" s="20">
        <f t="shared" ref="F85:F87" si="4">F84+D85</f>
        <v>0</v>
      </c>
    </row>
    <row r="86" spans="1:6" x14ac:dyDescent="0.2">
      <c r="A86" s="18" t="s">
        <v>838</v>
      </c>
      <c r="B86" s="4" t="s">
        <v>689</v>
      </c>
      <c r="C86" s="4" t="s">
        <v>187</v>
      </c>
      <c r="D86" s="20"/>
      <c r="E86" s="20"/>
      <c r="F86" s="20">
        <f t="shared" si="4"/>
        <v>0</v>
      </c>
    </row>
    <row r="87" spans="1:6" x14ac:dyDescent="0.2">
      <c r="A87" s="18" t="s">
        <v>838</v>
      </c>
      <c r="B87" s="4" t="s">
        <v>737</v>
      </c>
      <c r="C87" s="4" t="s">
        <v>187</v>
      </c>
      <c r="D87" s="20"/>
      <c r="E87" s="20"/>
      <c r="F87" s="20">
        <f t="shared" si="4"/>
        <v>0</v>
      </c>
    </row>
    <row r="88" spans="1:6" x14ac:dyDescent="0.2">
      <c r="A88" s="41" t="s">
        <v>315</v>
      </c>
      <c r="B88" s="4"/>
      <c r="C88" s="4"/>
      <c r="D88" s="20"/>
      <c r="E88" s="20">
        <v>0</v>
      </c>
      <c r="F88" s="20"/>
    </row>
    <row r="89" spans="1:6" x14ac:dyDescent="0.2">
      <c r="A89" s="18" t="s">
        <v>858</v>
      </c>
      <c r="B89" s="4" t="s">
        <v>690</v>
      </c>
      <c r="C89" s="4" t="s">
        <v>187</v>
      </c>
      <c r="D89" s="20"/>
      <c r="E89" s="20"/>
      <c r="F89" s="20">
        <f>D89+E89</f>
        <v>0</v>
      </c>
    </row>
    <row r="90" spans="1:6" x14ac:dyDescent="0.2">
      <c r="A90" s="18" t="s">
        <v>884</v>
      </c>
      <c r="B90" s="4" t="s">
        <v>691</v>
      </c>
      <c r="C90" s="4" t="s">
        <v>187</v>
      </c>
      <c r="D90" s="20"/>
      <c r="E90" s="20"/>
      <c r="F90" s="20">
        <f>F89+D90</f>
        <v>0</v>
      </c>
    </row>
    <row r="91" spans="1:6" x14ac:dyDescent="0.2">
      <c r="A91" s="18" t="s">
        <v>884</v>
      </c>
      <c r="B91" s="4" t="s">
        <v>689</v>
      </c>
      <c r="C91" s="4" t="s">
        <v>187</v>
      </c>
      <c r="D91" s="20"/>
      <c r="E91" s="20"/>
      <c r="F91" s="20">
        <f t="shared" ref="F91:F93" si="5">F90+D91</f>
        <v>0</v>
      </c>
    </row>
    <row r="92" spans="1:6" x14ac:dyDescent="0.2">
      <c r="A92" s="18" t="s">
        <v>885</v>
      </c>
      <c r="B92" s="4" t="s">
        <v>737</v>
      </c>
      <c r="C92" s="4" t="s">
        <v>187</v>
      </c>
      <c r="D92" s="20"/>
      <c r="E92" s="20"/>
      <c r="F92" s="20">
        <f t="shared" si="5"/>
        <v>0</v>
      </c>
    </row>
    <row r="93" spans="1:6" x14ac:dyDescent="0.2">
      <c r="A93" s="18" t="s">
        <v>885</v>
      </c>
      <c r="B93" s="4" t="s">
        <v>1040</v>
      </c>
      <c r="C93" s="4" t="s">
        <v>187</v>
      </c>
      <c r="D93" s="20"/>
      <c r="E93" s="20"/>
      <c r="F93" s="20">
        <f t="shared" si="5"/>
        <v>0</v>
      </c>
    </row>
    <row r="94" spans="1:6" x14ac:dyDescent="0.2">
      <c r="A94" s="41" t="s">
        <v>330</v>
      </c>
      <c r="B94" s="4"/>
      <c r="C94" s="4"/>
      <c r="D94" s="20"/>
      <c r="E94" s="20">
        <v>0</v>
      </c>
      <c r="F94" s="20"/>
    </row>
    <row r="95" spans="1:6" x14ac:dyDescent="0.2">
      <c r="A95" s="18" t="s">
        <v>329</v>
      </c>
      <c r="B95" s="4" t="s">
        <v>690</v>
      </c>
      <c r="C95" s="4" t="s">
        <v>187</v>
      </c>
      <c r="D95" s="20"/>
      <c r="E95" s="20"/>
      <c r="F95" s="20">
        <f>D95+E95</f>
        <v>0</v>
      </c>
    </row>
    <row r="96" spans="1:6" x14ac:dyDescent="0.2">
      <c r="A96" s="18" t="s">
        <v>932</v>
      </c>
      <c r="B96" s="4" t="s">
        <v>689</v>
      </c>
      <c r="C96" s="4" t="s">
        <v>187</v>
      </c>
      <c r="D96" s="20"/>
      <c r="E96" s="20"/>
      <c r="F96" s="20">
        <f>F95+D96</f>
        <v>0</v>
      </c>
    </row>
    <row r="97" spans="1:6" x14ac:dyDescent="0.2">
      <c r="A97" s="18" t="s">
        <v>932</v>
      </c>
      <c r="B97" s="4" t="s">
        <v>737</v>
      </c>
      <c r="C97" s="4" t="s">
        <v>187</v>
      </c>
      <c r="D97" s="20"/>
      <c r="E97" s="20"/>
      <c r="F97" s="20">
        <f t="shared" ref="F97:F99" si="6">F96+D97</f>
        <v>0</v>
      </c>
    </row>
    <row r="98" spans="1:6" x14ac:dyDescent="0.2">
      <c r="A98" s="18" t="s">
        <v>934</v>
      </c>
      <c r="B98" s="4" t="s">
        <v>691</v>
      </c>
      <c r="C98" s="4" t="s">
        <v>187</v>
      </c>
      <c r="D98" s="20"/>
      <c r="E98" s="20"/>
      <c r="F98" s="20">
        <f t="shared" si="6"/>
        <v>0</v>
      </c>
    </row>
    <row r="99" spans="1:6" x14ac:dyDescent="0.2">
      <c r="A99" s="18" t="s">
        <v>934</v>
      </c>
      <c r="B99" s="4" t="s">
        <v>1040</v>
      </c>
      <c r="C99" s="4" t="s">
        <v>187</v>
      </c>
      <c r="D99" s="20"/>
      <c r="E99" s="20"/>
      <c r="F99" s="20">
        <f t="shared" si="6"/>
        <v>0</v>
      </c>
    </row>
    <row r="100" spans="1:6" x14ac:dyDescent="0.2">
      <c r="A100" s="41" t="s">
        <v>445</v>
      </c>
      <c r="B100" s="4"/>
      <c r="C100" s="4"/>
      <c r="D100" s="20"/>
      <c r="E100" s="20">
        <v>0</v>
      </c>
      <c r="F100" s="20"/>
    </row>
    <row r="101" spans="1:6" x14ac:dyDescent="0.2">
      <c r="A101" s="18" t="s">
        <v>964</v>
      </c>
      <c r="B101" s="4" t="s">
        <v>690</v>
      </c>
      <c r="C101" s="4" t="s">
        <v>187</v>
      </c>
      <c r="D101" s="20"/>
      <c r="E101" s="20"/>
      <c r="F101" s="20">
        <f>D101+E101</f>
        <v>0</v>
      </c>
    </row>
    <row r="102" spans="1:6" x14ac:dyDescent="0.2">
      <c r="A102" s="18" t="s">
        <v>613</v>
      </c>
      <c r="B102" s="4" t="s">
        <v>689</v>
      </c>
      <c r="C102" s="4" t="s">
        <v>187</v>
      </c>
      <c r="D102" s="20"/>
      <c r="E102" s="20"/>
      <c r="F102" s="20">
        <f>F101+D102</f>
        <v>0</v>
      </c>
    </row>
    <row r="103" spans="1:6" x14ac:dyDescent="0.2">
      <c r="A103" s="18" t="s">
        <v>613</v>
      </c>
      <c r="B103" s="4" t="s">
        <v>737</v>
      </c>
      <c r="C103" s="4" t="s">
        <v>187</v>
      </c>
      <c r="D103" s="20"/>
      <c r="E103" s="20"/>
      <c r="F103" s="20">
        <f t="shared" ref="F103:F106" si="7">F102+D103</f>
        <v>0</v>
      </c>
    </row>
    <row r="104" spans="1:6" x14ac:dyDescent="0.2">
      <c r="A104" s="18" t="s">
        <v>613</v>
      </c>
      <c r="B104" s="4" t="s">
        <v>1040</v>
      </c>
      <c r="C104" s="4" t="s">
        <v>187</v>
      </c>
      <c r="D104" s="20"/>
      <c r="E104" s="20"/>
      <c r="F104" s="20">
        <f t="shared" si="7"/>
        <v>0</v>
      </c>
    </row>
    <row r="105" spans="1:6" x14ac:dyDescent="0.2">
      <c r="A105" s="18" t="s">
        <v>613</v>
      </c>
      <c r="B105" s="4" t="s">
        <v>994</v>
      </c>
      <c r="C105" s="4" t="s">
        <v>187</v>
      </c>
      <c r="D105" s="20"/>
      <c r="E105" s="20"/>
      <c r="F105" s="20">
        <f t="shared" si="7"/>
        <v>0</v>
      </c>
    </row>
    <row r="106" spans="1:6" x14ac:dyDescent="0.2">
      <c r="A106" s="18" t="s">
        <v>348</v>
      </c>
      <c r="B106" s="4" t="s">
        <v>691</v>
      </c>
      <c r="C106" s="4" t="s">
        <v>187</v>
      </c>
      <c r="D106" s="20"/>
      <c r="E106" s="20"/>
      <c r="F106" s="20">
        <f t="shared" si="7"/>
        <v>0</v>
      </c>
    </row>
    <row r="107" spans="1:6" x14ac:dyDescent="0.2">
      <c r="A107" s="41" t="s">
        <v>363</v>
      </c>
      <c r="B107" s="4"/>
      <c r="C107" s="4"/>
      <c r="D107" s="20"/>
      <c r="E107" s="20">
        <v>0</v>
      </c>
      <c r="F107" s="20"/>
    </row>
    <row r="108" spans="1:6" x14ac:dyDescent="0.2">
      <c r="A108" s="18" t="s">
        <v>1009</v>
      </c>
      <c r="B108" s="4" t="s">
        <v>1013</v>
      </c>
      <c r="C108" s="4" t="s">
        <v>187</v>
      </c>
      <c r="D108" s="20"/>
      <c r="E108" s="20"/>
      <c r="F108" s="20">
        <f>D108+E108</f>
        <v>0</v>
      </c>
    </row>
    <row r="109" spans="1:6" x14ac:dyDescent="0.2">
      <c r="A109" s="18" t="s">
        <v>362</v>
      </c>
      <c r="B109" s="4" t="s">
        <v>690</v>
      </c>
      <c r="C109" s="4" t="s">
        <v>187</v>
      </c>
      <c r="D109" s="20"/>
      <c r="E109" s="20"/>
      <c r="F109" s="20">
        <f>F108+D109</f>
        <v>0</v>
      </c>
    </row>
    <row r="110" spans="1:6" x14ac:dyDescent="0.2">
      <c r="A110" s="18" t="s">
        <v>485</v>
      </c>
      <c r="B110" s="4" t="s">
        <v>689</v>
      </c>
      <c r="C110" s="4" t="s">
        <v>187</v>
      </c>
      <c r="D110" s="20"/>
      <c r="E110" s="20"/>
      <c r="F110" s="20">
        <f t="shared" ref="F110:F113" si="8">F109+D110</f>
        <v>0</v>
      </c>
    </row>
    <row r="111" spans="1:6" x14ac:dyDescent="0.2">
      <c r="A111" s="18" t="s">
        <v>485</v>
      </c>
      <c r="B111" s="4" t="s">
        <v>737</v>
      </c>
      <c r="C111" s="4" t="s">
        <v>187</v>
      </c>
      <c r="D111" s="20"/>
      <c r="E111" s="20"/>
      <c r="F111" s="20">
        <f t="shared" si="8"/>
        <v>0</v>
      </c>
    </row>
    <row r="112" spans="1:6" x14ac:dyDescent="0.2">
      <c r="A112" s="18" t="s">
        <v>485</v>
      </c>
      <c r="B112" s="4" t="s">
        <v>1040</v>
      </c>
      <c r="C112" s="4" t="s">
        <v>187</v>
      </c>
      <c r="D112" s="20"/>
      <c r="E112" s="20"/>
      <c r="F112" s="20">
        <f t="shared" si="8"/>
        <v>0</v>
      </c>
    </row>
    <row r="113" spans="1:6" x14ac:dyDescent="0.2">
      <c r="A113" s="18" t="s">
        <v>1047</v>
      </c>
      <c r="B113" s="4" t="s">
        <v>691</v>
      </c>
      <c r="C113" s="4" t="s">
        <v>187</v>
      </c>
      <c r="D113" s="20"/>
      <c r="E113" s="20"/>
      <c r="F113" s="20">
        <f t="shared" si="8"/>
        <v>0</v>
      </c>
    </row>
    <row r="114" spans="1:6" x14ac:dyDescent="0.2">
      <c r="A114" s="41" t="s">
        <v>368</v>
      </c>
      <c r="B114" s="4"/>
      <c r="C114" s="4"/>
      <c r="D114" s="20"/>
      <c r="E114" s="20">
        <v>0</v>
      </c>
      <c r="F114" s="20"/>
    </row>
    <row r="115" spans="1:6" x14ac:dyDescent="0.2">
      <c r="A115" s="18" t="s">
        <v>631</v>
      </c>
      <c r="B115" s="4" t="s">
        <v>690</v>
      </c>
      <c r="C115" s="4" t="s">
        <v>187</v>
      </c>
      <c r="D115" s="20"/>
      <c r="E115" s="20"/>
      <c r="F115" s="20">
        <f>D115+E115</f>
        <v>0</v>
      </c>
    </row>
    <row r="116" spans="1:6" x14ac:dyDescent="0.2">
      <c r="A116" s="18" t="s">
        <v>372</v>
      </c>
      <c r="B116" s="4" t="s">
        <v>689</v>
      </c>
      <c r="C116" s="4" t="s">
        <v>187</v>
      </c>
      <c r="D116" s="20"/>
      <c r="E116" s="20"/>
      <c r="F116" s="20">
        <f>F115+D116</f>
        <v>0</v>
      </c>
    </row>
    <row r="117" spans="1:6" x14ac:dyDescent="0.2">
      <c r="A117" s="18" t="s">
        <v>372</v>
      </c>
      <c r="B117" s="4" t="s">
        <v>737</v>
      </c>
      <c r="C117" s="4" t="s">
        <v>187</v>
      </c>
      <c r="D117" s="20"/>
      <c r="E117" s="20"/>
      <c r="F117" s="20">
        <f t="shared" ref="F117:F119" si="9">F116+D117</f>
        <v>0</v>
      </c>
    </row>
    <row r="118" spans="1:6" x14ac:dyDescent="0.2">
      <c r="A118" s="18" t="s">
        <v>372</v>
      </c>
      <c r="B118" s="4" t="s">
        <v>1040</v>
      </c>
      <c r="C118" s="4" t="s">
        <v>187</v>
      </c>
      <c r="D118" s="20"/>
      <c r="E118" s="20"/>
      <c r="F118" s="20">
        <f t="shared" si="9"/>
        <v>0</v>
      </c>
    </row>
    <row r="119" spans="1:6" x14ac:dyDescent="0.2">
      <c r="A119" s="18" t="s">
        <v>1088</v>
      </c>
      <c r="B119" s="4" t="s">
        <v>691</v>
      </c>
      <c r="C119" s="4" t="s">
        <v>187</v>
      </c>
      <c r="D119" s="20"/>
      <c r="E119" s="20"/>
      <c r="F119" s="20">
        <f t="shared" si="9"/>
        <v>0</v>
      </c>
    </row>
    <row r="120" spans="1:6" x14ac:dyDescent="0.2">
      <c r="A120" s="41" t="s">
        <v>397</v>
      </c>
      <c r="B120" s="4"/>
      <c r="C120" s="4"/>
      <c r="D120" s="20"/>
      <c r="E120" s="20">
        <v>0</v>
      </c>
      <c r="F120" s="20"/>
    </row>
    <row r="121" spans="1:6" x14ac:dyDescent="0.2">
      <c r="A121" s="18" t="s">
        <v>1102</v>
      </c>
      <c r="B121" s="4" t="s">
        <v>690</v>
      </c>
      <c r="C121" s="4" t="s">
        <v>187</v>
      </c>
      <c r="D121" s="20"/>
      <c r="E121" s="20"/>
      <c r="F121" s="20">
        <f>D121+E121</f>
        <v>0</v>
      </c>
    </row>
    <row r="122" spans="1:6" x14ac:dyDescent="0.2">
      <c r="A122" s="18" t="s">
        <v>1117</v>
      </c>
      <c r="B122" s="4" t="s">
        <v>1118</v>
      </c>
      <c r="C122" s="4" t="s">
        <v>187</v>
      </c>
      <c r="D122" s="20"/>
      <c r="E122" s="20"/>
      <c r="F122" s="20">
        <f>F121+D122</f>
        <v>0</v>
      </c>
    </row>
    <row r="123" spans="1:6" x14ac:dyDescent="0.2">
      <c r="A123" s="18" t="s">
        <v>1126</v>
      </c>
      <c r="B123" s="4" t="s">
        <v>689</v>
      </c>
      <c r="C123" s="4" t="s">
        <v>187</v>
      </c>
      <c r="D123" s="20"/>
      <c r="E123" s="20"/>
      <c r="F123" s="20">
        <f t="shared" ref="F123:F126" si="10">F122+D123</f>
        <v>0</v>
      </c>
    </row>
    <row r="124" spans="1:6" x14ac:dyDescent="0.2">
      <c r="A124" s="18" t="s">
        <v>1126</v>
      </c>
      <c r="B124" s="4" t="s">
        <v>737</v>
      </c>
      <c r="C124" s="4" t="s">
        <v>187</v>
      </c>
      <c r="D124" s="20"/>
      <c r="E124" s="20"/>
      <c r="F124" s="20">
        <f t="shared" si="10"/>
        <v>0</v>
      </c>
    </row>
    <row r="125" spans="1:6" x14ac:dyDescent="0.2">
      <c r="A125" s="18" t="s">
        <v>1126</v>
      </c>
      <c r="B125" s="4" t="s">
        <v>691</v>
      </c>
      <c r="C125" s="4" t="s">
        <v>187</v>
      </c>
      <c r="D125" s="20"/>
      <c r="E125" s="20"/>
      <c r="F125" s="20">
        <f t="shared" si="10"/>
        <v>0</v>
      </c>
    </row>
    <row r="126" spans="1:6" x14ac:dyDescent="0.2">
      <c r="A126" s="18" t="s">
        <v>1126</v>
      </c>
      <c r="B126" s="4" t="s">
        <v>1040</v>
      </c>
      <c r="C126" s="4" t="s">
        <v>187</v>
      </c>
      <c r="D126" s="20"/>
      <c r="E126" s="20"/>
      <c r="F126" s="20">
        <f t="shared" si="10"/>
        <v>0</v>
      </c>
    </row>
    <row r="127" spans="1:6" x14ac:dyDescent="0.2">
      <c r="A127" s="41" t="s">
        <v>453</v>
      </c>
      <c r="B127" s="4"/>
      <c r="C127" s="4"/>
      <c r="D127" s="20"/>
      <c r="E127" s="20">
        <v>0</v>
      </c>
      <c r="F127" s="20"/>
    </row>
    <row r="128" spans="1:6" x14ac:dyDescent="0.2">
      <c r="A128" s="18" t="s">
        <v>1138</v>
      </c>
      <c r="B128" s="4" t="s">
        <v>690</v>
      </c>
      <c r="C128" s="4" t="s">
        <v>187</v>
      </c>
      <c r="D128" s="20"/>
      <c r="E128" s="20"/>
      <c r="F128" s="20">
        <f>D128+E128</f>
        <v>0</v>
      </c>
    </row>
    <row r="129" spans="1:6" x14ac:dyDescent="0.2">
      <c r="A129" s="18" t="s">
        <v>643</v>
      </c>
      <c r="B129" s="4" t="s">
        <v>689</v>
      </c>
      <c r="C129" s="4" t="s">
        <v>187</v>
      </c>
      <c r="D129" s="20"/>
      <c r="E129" s="20"/>
      <c r="F129" s="20">
        <f>F128+D129</f>
        <v>0</v>
      </c>
    </row>
    <row r="130" spans="1:6" x14ac:dyDescent="0.2">
      <c r="A130" s="18" t="s">
        <v>643</v>
      </c>
      <c r="B130" s="4" t="s">
        <v>691</v>
      </c>
      <c r="C130" s="4" t="s">
        <v>187</v>
      </c>
      <c r="D130" s="20"/>
      <c r="E130" s="20"/>
      <c r="F130" s="20">
        <f t="shared" ref="F130:F132" si="11">F129+D130</f>
        <v>0</v>
      </c>
    </row>
    <row r="131" spans="1:6" x14ac:dyDescent="0.2">
      <c r="A131" s="18" t="s">
        <v>1181</v>
      </c>
      <c r="B131" s="4" t="s">
        <v>737</v>
      </c>
      <c r="C131" s="4" t="s">
        <v>187</v>
      </c>
      <c r="D131" s="20"/>
      <c r="E131" s="20"/>
      <c r="F131" s="20">
        <f t="shared" si="11"/>
        <v>0</v>
      </c>
    </row>
    <row r="132" spans="1:6" x14ac:dyDescent="0.2">
      <c r="A132" s="18" t="s">
        <v>1181</v>
      </c>
      <c r="B132" s="4" t="s">
        <v>1040</v>
      </c>
      <c r="C132" s="4" t="s">
        <v>187</v>
      </c>
      <c r="D132" s="20"/>
      <c r="E132" s="20"/>
      <c r="F132" s="20">
        <f t="shared" si="11"/>
        <v>0</v>
      </c>
    </row>
    <row r="133" spans="1:6" ht="24" x14ac:dyDescent="0.2">
      <c r="A133" s="18" t="s">
        <v>449</v>
      </c>
      <c r="B133" s="84" t="s">
        <v>1209</v>
      </c>
      <c r="C133" s="4" t="s">
        <v>498</v>
      </c>
      <c r="D133" s="20"/>
      <c r="E133" s="20"/>
      <c r="F133" s="20">
        <f>F132+D133-E133</f>
        <v>0</v>
      </c>
    </row>
    <row r="134" spans="1:6" x14ac:dyDescent="0.2">
      <c r="A134" s="18"/>
      <c r="B134" s="4"/>
      <c r="C134" s="4"/>
      <c r="D134" s="20"/>
      <c r="E134" s="20"/>
      <c r="F134" s="20"/>
    </row>
    <row r="135" spans="1:6" x14ac:dyDescent="0.2">
      <c r="A135" s="4"/>
      <c r="B135" s="4"/>
      <c r="C135" s="4"/>
      <c r="D135" s="20"/>
      <c r="E135" s="20"/>
      <c r="F135" s="20"/>
    </row>
    <row r="136" spans="1:6" x14ac:dyDescent="0.2">
      <c r="A136" s="105" t="s">
        <v>10</v>
      </c>
      <c r="B136" s="112"/>
      <c r="C136" s="106"/>
      <c r="D136" s="20">
        <f>SUM(D56:D135)</f>
        <v>0</v>
      </c>
      <c r="E136" s="20">
        <f>SUM(E56:E135)</f>
        <v>0</v>
      </c>
      <c r="F136" s="20">
        <f>D136-E136</f>
        <v>0</v>
      </c>
    </row>
    <row r="137" spans="1:6" x14ac:dyDescent="0.2">
      <c r="A137" s="105" t="s">
        <v>11</v>
      </c>
      <c r="B137" s="112"/>
      <c r="C137" s="106"/>
      <c r="D137" s="20"/>
      <c r="E137" s="20"/>
      <c r="F137" s="20">
        <f>D137-E137</f>
        <v>0</v>
      </c>
    </row>
    <row r="138" spans="1:6" x14ac:dyDescent="0.2">
      <c r="A138" s="105" t="s">
        <v>10</v>
      </c>
      <c r="B138" s="112"/>
      <c r="C138" s="106"/>
      <c r="D138" s="20">
        <f>SUM(D136:D137)</f>
        <v>0</v>
      </c>
      <c r="E138" s="20">
        <f>SUM(E136:E137)</f>
        <v>0</v>
      </c>
      <c r="F138" s="20">
        <f>SUM(F136:F137)</f>
        <v>0</v>
      </c>
    </row>
    <row r="139" spans="1:6" x14ac:dyDescent="0.2">
      <c r="A139" s="5"/>
      <c r="B139" s="5"/>
      <c r="C139" s="5"/>
    </row>
    <row r="140" spans="1:6" x14ac:dyDescent="0.2">
      <c r="A140" s="100" t="s">
        <v>0</v>
      </c>
      <c r="B140" s="100"/>
    </row>
    <row r="141" spans="1:6" x14ac:dyDescent="0.2">
      <c r="A141" s="100" t="s">
        <v>1</v>
      </c>
      <c r="B141" s="100"/>
    </row>
    <row r="142" spans="1:6" x14ac:dyDescent="0.2">
      <c r="A142" s="101" t="s">
        <v>2</v>
      </c>
      <c r="B142" s="101"/>
      <c r="C142" s="101"/>
      <c r="D142" s="101"/>
      <c r="E142" s="101"/>
      <c r="F142" s="101"/>
    </row>
    <row r="143" spans="1:6" x14ac:dyDescent="0.2">
      <c r="A143" s="109" t="s">
        <v>686</v>
      </c>
      <c r="B143" s="109"/>
      <c r="D143" s="2" t="s">
        <v>685</v>
      </c>
    </row>
    <row r="144" spans="1:6" x14ac:dyDescent="0.2">
      <c r="D144" s="1" t="s">
        <v>70</v>
      </c>
    </row>
    <row r="145" spans="1:6" x14ac:dyDescent="0.2">
      <c r="A145" s="103" t="s">
        <v>3</v>
      </c>
      <c r="B145" s="103" t="s">
        <v>4</v>
      </c>
      <c r="C145" s="103" t="s">
        <v>5</v>
      </c>
      <c r="D145" s="105" t="s">
        <v>6</v>
      </c>
      <c r="E145" s="106"/>
      <c r="F145" s="103" t="s">
        <v>9</v>
      </c>
    </row>
    <row r="146" spans="1:6" x14ac:dyDescent="0.2">
      <c r="A146" s="104"/>
      <c r="B146" s="104"/>
      <c r="C146" s="104"/>
      <c r="D146" s="3" t="s">
        <v>7</v>
      </c>
      <c r="E146" s="3" t="s">
        <v>8</v>
      </c>
      <c r="F146" s="104"/>
    </row>
    <row r="147" spans="1:6" x14ac:dyDescent="0.2">
      <c r="A147" s="18" t="s">
        <v>961</v>
      </c>
      <c r="B147" s="4" t="s">
        <v>962</v>
      </c>
      <c r="C147" s="4" t="s">
        <v>187</v>
      </c>
      <c r="D147" s="20"/>
      <c r="E147" s="20">
        <v>0</v>
      </c>
      <c r="F147" s="20">
        <f>D147+E147</f>
        <v>0</v>
      </c>
    </row>
    <row r="148" spans="1:6" x14ac:dyDescent="0.2">
      <c r="A148" s="18" t="s">
        <v>977</v>
      </c>
      <c r="B148" s="4" t="s">
        <v>978</v>
      </c>
      <c r="C148" s="4" t="s">
        <v>187</v>
      </c>
      <c r="D148" s="20"/>
      <c r="E148" s="20"/>
      <c r="F148" s="20">
        <f>F147+D148</f>
        <v>0</v>
      </c>
    </row>
    <row r="149" spans="1:6" x14ac:dyDescent="0.2">
      <c r="A149" s="18" t="s">
        <v>1137</v>
      </c>
      <c r="B149" s="4" t="s">
        <v>1156</v>
      </c>
      <c r="C149" s="4" t="s">
        <v>187</v>
      </c>
      <c r="D149" s="20"/>
      <c r="E149" s="20"/>
      <c r="F149" s="20">
        <f t="shared" ref="F149:F158" si="12">F148+D149</f>
        <v>0</v>
      </c>
    </row>
    <row r="150" spans="1:6" x14ac:dyDescent="0.2">
      <c r="A150" s="18" t="s">
        <v>545</v>
      </c>
      <c r="B150" s="4"/>
      <c r="C150" s="4" t="s">
        <v>187</v>
      </c>
      <c r="D150" s="20"/>
      <c r="E150" s="20"/>
      <c r="F150" s="20">
        <f t="shared" si="12"/>
        <v>0</v>
      </c>
    </row>
    <row r="151" spans="1:6" x14ac:dyDescent="0.2">
      <c r="A151" s="18"/>
      <c r="B151" s="4"/>
      <c r="C151" s="4" t="s">
        <v>187</v>
      </c>
      <c r="D151" s="20"/>
      <c r="E151" s="20"/>
      <c r="F151" s="20">
        <f t="shared" si="12"/>
        <v>0</v>
      </c>
    </row>
    <row r="152" spans="1:6" x14ac:dyDescent="0.2">
      <c r="A152" s="18"/>
      <c r="B152" s="4"/>
      <c r="C152" s="4" t="s">
        <v>187</v>
      </c>
      <c r="D152" s="20"/>
      <c r="E152" s="20"/>
      <c r="F152" s="20">
        <f t="shared" si="12"/>
        <v>0</v>
      </c>
    </row>
    <row r="153" spans="1:6" x14ac:dyDescent="0.2">
      <c r="A153" s="18"/>
      <c r="B153" s="4"/>
      <c r="C153" s="4" t="s">
        <v>187</v>
      </c>
      <c r="D153" s="20"/>
      <c r="E153" s="20"/>
      <c r="F153" s="20">
        <f t="shared" si="12"/>
        <v>0</v>
      </c>
    </row>
    <row r="154" spans="1:6" x14ac:dyDescent="0.2">
      <c r="A154" s="18"/>
      <c r="B154" s="4"/>
      <c r="C154" s="4" t="s">
        <v>187</v>
      </c>
      <c r="D154" s="20"/>
      <c r="E154" s="20"/>
      <c r="F154" s="20">
        <f t="shared" si="12"/>
        <v>0</v>
      </c>
    </row>
    <row r="155" spans="1:6" x14ac:dyDescent="0.2">
      <c r="A155" s="18"/>
      <c r="B155" s="4"/>
      <c r="C155" s="4" t="s">
        <v>187</v>
      </c>
      <c r="D155" s="20"/>
      <c r="E155" s="20"/>
      <c r="F155" s="20">
        <f t="shared" si="12"/>
        <v>0</v>
      </c>
    </row>
    <row r="156" spans="1:6" x14ac:dyDescent="0.2">
      <c r="A156" s="18"/>
      <c r="B156" s="4"/>
      <c r="C156" s="4" t="s">
        <v>187</v>
      </c>
      <c r="D156" s="20"/>
      <c r="E156" s="20"/>
      <c r="F156" s="20">
        <f t="shared" si="12"/>
        <v>0</v>
      </c>
    </row>
    <row r="157" spans="1:6" x14ac:dyDescent="0.2">
      <c r="A157" s="18"/>
      <c r="B157" s="4"/>
      <c r="C157" s="4" t="s">
        <v>187</v>
      </c>
      <c r="D157" s="20"/>
      <c r="E157" s="20"/>
      <c r="F157" s="20">
        <f t="shared" si="12"/>
        <v>0</v>
      </c>
    </row>
    <row r="158" spans="1:6" x14ac:dyDescent="0.2">
      <c r="A158" s="18"/>
      <c r="B158" s="4"/>
      <c r="C158" s="4" t="s">
        <v>187</v>
      </c>
      <c r="D158" s="20"/>
      <c r="E158" s="20"/>
      <c r="F158" s="20">
        <f t="shared" si="12"/>
        <v>0</v>
      </c>
    </row>
    <row r="159" spans="1:6" x14ac:dyDescent="0.2">
      <c r="A159" s="4"/>
      <c r="B159" s="4"/>
      <c r="C159" s="4"/>
      <c r="D159" s="20"/>
      <c r="E159" s="20"/>
      <c r="F159" s="20"/>
    </row>
    <row r="160" spans="1:6" x14ac:dyDescent="0.2">
      <c r="A160" s="105" t="s">
        <v>10</v>
      </c>
      <c r="B160" s="112"/>
      <c r="C160" s="106"/>
      <c r="D160" s="20">
        <f>SUM(D147:D159)</f>
        <v>0</v>
      </c>
      <c r="E160" s="20">
        <f>SUM(E147:E159)</f>
        <v>0</v>
      </c>
      <c r="F160" s="20">
        <f>D160-E160</f>
        <v>0</v>
      </c>
    </row>
    <row r="161" spans="1:31" x14ac:dyDescent="0.2">
      <c r="A161" s="105" t="s">
        <v>11</v>
      </c>
      <c r="B161" s="112"/>
      <c r="C161" s="106"/>
      <c r="D161" s="20"/>
      <c r="E161" s="20"/>
      <c r="F161" s="20">
        <f>D161-E161</f>
        <v>0</v>
      </c>
    </row>
    <row r="162" spans="1:31" x14ac:dyDescent="0.2">
      <c r="A162" s="105" t="s">
        <v>10</v>
      </c>
      <c r="B162" s="112"/>
      <c r="C162" s="106"/>
      <c r="D162" s="20">
        <f>SUM(D160:D161)</f>
        <v>0</v>
      </c>
      <c r="E162" s="20">
        <f>SUM(E160:E161)</f>
        <v>0</v>
      </c>
      <c r="F162" s="20">
        <f>SUM(F160:F161)</f>
        <v>0</v>
      </c>
    </row>
    <row r="165" spans="1:31" x14ac:dyDescent="0.2">
      <c r="A165" s="100" t="s">
        <v>0</v>
      </c>
      <c r="B165" s="100"/>
    </row>
    <row r="166" spans="1:31" x14ac:dyDescent="0.2">
      <c r="A166" s="100" t="s">
        <v>1</v>
      </c>
      <c r="B166" s="100"/>
    </row>
    <row r="167" spans="1:31" x14ac:dyDescent="0.2">
      <c r="A167" s="101" t="s">
        <v>2</v>
      </c>
      <c r="B167" s="101"/>
      <c r="C167" s="101"/>
      <c r="D167" s="101"/>
      <c r="E167" s="101"/>
      <c r="F167" s="101"/>
    </row>
    <row r="168" spans="1:31" x14ac:dyDescent="0.2">
      <c r="A168" s="122" t="s">
        <v>688</v>
      </c>
      <c r="B168" s="122"/>
      <c r="D168" s="123" t="s">
        <v>687</v>
      </c>
    </row>
    <row r="169" spans="1:31" x14ac:dyDescent="0.2">
      <c r="D169" s="1" t="s">
        <v>70</v>
      </c>
    </row>
    <row r="170" spans="1:31" x14ac:dyDescent="0.2">
      <c r="A170" s="103" t="s">
        <v>3</v>
      </c>
      <c r="B170" s="103" t="s">
        <v>4</v>
      </c>
      <c r="C170" s="103" t="s">
        <v>5</v>
      </c>
      <c r="D170" s="105" t="s">
        <v>6</v>
      </c>
      <c r="E170" s="106"/>
      <c r="F170" s="103" t="s">
        <v>9</v>
      </c>
      <c r="Z170" s="8"/>
      <c r="AA170" s="8"/>
      <c r="AB170" s="8"/>
      <c r="AC170" s="2"/>
      <c r="AD170" s="2"/>
      <c r="AE170" s="8"/>
    </row>
    <row r="171" spans="1:31" x14ac:dyDescent="0.2">
      <c r="A171" s="104"/>
      <c r="B171" s="104"/>
      <c r="C171" s="104"/>
      <c r="D171" s="3" t="s">
        <v>7</v>
      </c>
      <c r="E171" s="3" t="s">
        <v>8</v>
      </c>
      <c r="F171" s="104"/>
      <c r="Z171" s="8"/>
      <c r="AA171" s="8"/>
      <c r="AB171" s="8"/>
      <c r="AC171" s="5"/>
      <c r="AD171" s="5"/>
      <c r="AE171" s="8"/>
    </row>
    <row r="172" spans="1:31" x14ac:dyDescent="0.2">
      <c r="A172" s="41" t="s">
        <v>247</v>
      </c>
      <c r="B172" s="4"/>
      <c r="C172" s="4"/>
      <c r="D172" s="20"/>
      <c r="E172" s="20"/>
      <c r="F172" s="20"/>
      <c r="AC172" s="9"/>
      <c r="AD172" s="9"/>
    </row>
    <row r="173" spans="1:31" x14ac:dyDescent="0.2">
      <c r="A173" s="18" t="s">
        <v>246</v>
      </c>
      <c r="B173" s="4" t="s">
        <v>1314</v>
      </c>
      <c r="C173" s="4" t="s">
        <v>187</v>
      </c>
      <c r="D173" s="20"/>
      <c r="E173" s="20"/>
      <c r="F173" s="20">
        <f>D173</f>
        <v>0</v>
      </c>
    </row>
    <row r="174" spans="1:31" x14ac:dyDescent="0.2">
      <c r="A174" s="18" t="s">
        <v>509</v>
      </c>
      <c r="B174" s="4" t="s">
        <v>1315</v>
      </c>
      <c r="C174" s="4" t="s">
        <v>187</v>
      </c>
      <c r="D174" s="20"/>
      <c r="E174" s="20"/>
      <c r="F174" s="20">
        <f>F173+D174</f>
        <v>0</v>
      </c>
    </row>
    <row r="175" spans="1:31" x14ac:dyDescent="0.2">
      <c r="A175" s="18" t="s">
        <v>526</v>
      </c>
      <c r="B175" s="4" t="s">
        <v>1373</v>
      </c>
      <c r="C175" s="4" t="s">
        <v>187</v>
      </c>
      <c r="D175" s="20"/>
      <c r="E175" s="20"/>
      <c r="F175" s="20">
        <f t="shared" ref="F175:F188" si="13">F174+D175</f>
        <v>0</v>
      </c>
    </row>
    <row r="176" spans="1:31" x14ac:dyDescent="0.2">
      <c r="A176" s="18" t="s">
        <v>876</v>
      </c>
      <c r="B176" s="27" t="s">
        <v>877</v>
      </c>
      <c r="C176" s="4" t="s">
        <v>187</v>
      </c>
      <c r="D176" s="20"/>
      <c r="E176" s="20"/>
      <c r="F176" s="20">
        <f t="shared" si="13"/>
        <v>0</v>
      </c>
    </row>
    <row r="177" spans="1:6" x14ac:dyDescent="0.2">
      <c r="A177" s="51" t="s">
        <v>925</v>
      </c>
      <c r="B177" s="4" t="s">
        <v>926</v>
      </c>
      <c r="C177" s="4" t="s">
        <v>187</v>
      </c>
      <c r="D177" s="20"/>
      <c r="E177" s="20"/>
      <c r="F177" s="20">
        <f t="shared" si="13"/>
        <v>0</v>
      </c>
    </row>
    <row r="178" spans="1:6" x14ac:dyDescent="0.2">
      <c r="A178" s="18" t="s">
        <v>485</v>
      </c>
      <c r="B178" s="4" t="s">
        <v>1043</v>
      </c>
      <c r="C178" s="4" t="s">
        <v>187</v>
      </c>
      <c r="D178" s="20"/>
      <c r="E178" s="20"/>
      <c r="F178" s="20">
        <f t="shared" si="13"/>
        <v>0</v>
      </c>
    </row>
    <row r="179" spans="1:6" x14ac:dyDescent="0.2">
      <c r="A179" s="18" t="str">
        <f>A178</f>
        <v>26 Sept</v>
      </c>
      <c r="B179" s="4" t="s">
        <v>1046</v>
      </c>
      <c r="C179" s="4" t="s">
        <v>187</v>
      </c>
      <c r="D179" s="20"/>
      <c r="E179" s="20"/>
      <c r="F179" s="20">
        <f t="shared" si="13"/>
        <v>0</v>
      </c>
    </row>
    <row r="180" spans="1:6" ht="24" x14ac:dyDescent="0.2">
      <c r="A180" s="18" t="s">
        <v>489</v>
      </c>
      <c r="B180" s="84" t="s">
        <v>1121</v>
      </c>
      <c r="C180" s="4" t="s">
        <v>187</v>
      </c>
      <c r="D180" s="20"/>
      <c r="E180" s="20"/>
      <c r="F180" s="20">
        <f t="shared" si="13"/>
        <v>0</v>
      </c>
    </row>
    <row r="181" spans="1:6" ht="24" x14ac:dyDescent="0.2">
      <c r="A181" s="51" t="s">
        <v>1097</v>
      </c>
      <c r="B181" s="78" t="s">
        <v>1132</v>
      </c>
      <c r="C181" s="4" t="s">
        <v>187</v>
      </c>
      <c r="D181" s="20"/>
      <c r="E181" s="20"/>
      <c r="F181" s="20">
        <f t="shared" si="13"/>
        <v>0</v>
      </c>
    </row>
    <row r="182" spans="1:6" x14ac:dyDescent="0.2">
      <c r="A182" s="18" t="s">
        <v>463</v>
      </c>
      <c r="B182" s="4" t="s">
        <v>1150</v>
      </c>
      <c r="C182" s="4" t="s">
        <v>187</v>
      </c>
      <c r="D182" s="20"/>
      <c r="E182" s="20"/>
      <c r="F182" s="20">
        <f t="shared" si="13"/>
        <v>0</v>
      </c>
    </row>
    <row r="183" spans="1:6" x14ac:dyDescent="0.2">
      <c r="A183" s="18" t="s">
        <v>1137</v>
      </c>
      <c r="B183" s="4" t="s">
        <v>1164</v>
      </c>
      <c r="C183" s="4" t="s">
        <v>187</v>
      </c>
      <c r="D183" s="20"/>
      <c r="E183" s="20"/>
      <c r="F183" s="20">
        <f t="shared" si="13"/>
        <v>0</v>
      </c>
    </row>
    <row r="184" spans="1:6" x14ac:dyDescent="0.2">
      <c r="A184" s="18" t="s">
        <v>1162</v>
      </c>
      <c r="B184" s="4" t="s">
        <v>1165</v>
      </c>
      <c r="C184" s="4" t="s">
        <v>187</v>
      </c>
      <c r="D184" s="20"/>
      <c r="E184" s="20"/>
      <c r="F184" s="20">
        <f t="shared" si="13"/>
        <v>0</v>
      </c>
    </row>
    <row r="185" spans="1:6" x14ac:dyDescent="0.2">
      <c r="A185" s="18" t="s">
        <v>1162</v>
      </c>
      <c r="B185" s="4" t="s">
        <v>1168</v>
      </c>
      <c r="C185" s="4" t="s">
        <v>187</v>
      </c>
      <c r="D185" s="20"/>
      <c r="E185" s="20"/>
      <c r="F185" s="20">
        <f t="shared" si="13"/>
        <v>0</v>
      </c>
    </row>
    <row r="186" spans="1:6" x14ac:dyDescent="0.2">
      <c r="A186" s="18" t="s">
        <v>1175</v>
      </c>
      <c r="B186" s="4" t="s">
        <v>1176</v>
      </c>
      <c r="C186" s="4" t="s">
        <v>187</v>
      </c>
      <c r="D186" s="20"/>
      <c r="E186" s="20"/>
      <c r="F186" s="20">
        <f t="shared" si="13"/>
        <v>0</v>
      </c>
    </row>
    <row r="187" spans="1:6" x14ac:dyDescent="0.2">
      <c r="A187" s="18" t="s">
        <v>641</v>
      </c>
      <c r="B187" s="4" t="s">
        <v>1178</v>
      </c>
      <c r="C187" s="4" t="s">
        <v>187</v>
      </c>
      <c r="D187" s="20"/>
      <c r="E187" s="20"/>
      <c r="F187" s="20">
        <f t="shared" si="13"/>
        <v>0</v>
      </c>
    </row>
    <row r="188" spans="1:6" x14ac:dyDescent="0.2">
      <c r="A188" s="41"/>
      <c r="B188" s="4"/>
      <c r="C188" s="4" t="s">
        <v>187</v>
      </c>
      <c r="D188" s="20"/>
      <c r="E188" s="20"/>
      <c r="F188" s="20">
        <f t="shared" si="13"/>
        <v>0</v>
      </c>
    </row>
    <row r="189" spans="1:6" x14ac:dyDescent="0.2">
      <c r="A189" s="18"/>
      <c r="B189" s="4"/>
      <c r="C189" s="4"/>
      <c r="D189" s="20"/>
      <c r="E189" s="20"/>
      <c r="F189" s="20"/>
    </row>
    <row r="190" spans="1:6" x14ac:dyDescent="0.2">
      <c r="A190" s="18"/>
      <c r="B190" s="4"/>
      <c r="C190" s="4"/>
      <c r="D190" s="20"/>
      <c r="E190" s="20"/>
      <c r="F190" s="20"/>
    </row>
    <row r="191" spans="1:6" x14ac:dyDescent="0.2">
      <c r="A191" s="44"/>
      <c r="B191" s="69"/>
      <c r="C191" s="74"/>
      <c r="D191" s="73"/>
      <c r="E191" s="73"/>
      <c r="F191" s="20"/>
    </row>
    <row r="192" spans="1:6" x14ac:dyDescent="0.2">
      <c r="A192" s="4"/>
      <c r="B192" s="4"/>
      <c r="C192" s="4"/>
      <c r="D192" s="20"/>
      <c r="E192" s="20"/>
      <c r="F192" s="20"/>
    </row>
    <row r="193" spans="1:28" x14ac:dyDescent="0.2">
      <c r="A193" s="105" t="s">
        <v>10</v>
      </c>
      <c r="B193" s="112"/>
      <c r="C193" s="106"/>
      <c r="D193" s="20">
        <f>SUM(D172:D192)</f>
        <v>0</v>
      </c>
      <c r="E193" s="20">
        <f>SUM(E172:E192)</f>
        <v>0</v>
      </c>
      <c r="F193" s="20">
        <f>D193-E193</f>
        <v>0</v>
      </c>
      <c r="Z193" s="2"/>
      <c r="AA193" s="2"/>
      <c r="AB193" s="2"/>
    </row>
    <row r="194" spans="1:28" x14ac:dyDescent="0.2">
      <c r="A194" s="105" t="s">
        <v>11</v>
      </c>
      <c r="B194" s="112"/>
      <c r="C194" s="106"/>
      <c r="D194" s="20"/>
      <c r="E194" s="20"/>
      <c r="F194" s="20">
        <f>D194-E194</f>
        <v>0</v>
      </c>
      <c r="Z194" s="2"/>
      <c r="AA194" s="2"/>
      <c r="AB194" s="2"/>
    </row>
    <row r="195" spans="1:28" x14ac:dyDescent="0.2">
      <c r="A195" s="105" t="s">
        <v>10</v>
      </c>
      <c r="B195" s="112"/>
      <c r="C195" s="106"/>
      <c r="D195" s="20">
        <f>SUM(D193:D194)</f>
        <v>0</v>
      </c>
      <c r="E195" s="20">
        <f>SUM(E193:E194)</f>
        <v>0</v>
      </c>
      <c r="F195" s="20">
        <f>SUM(F193:F194)</f>
        <v>0</v>
      </c>
      <c r="Z195" s="2"/>
      <c r="AA195" s="2"/>
      <c r="AB195" s="2"/>
    </row>
    <row r="196" spans="1:28" x14ac:dyDescent="0.2">
      <c r="A196" s="5"/>
      <c r="B196" s="5"/>
      <c r="C196" s="5"/>
      <c r="Z196" s="2"/>
      <c r="AA196" s="2"/>
      <c r="AB196" s="2"/>
    </row>
    <row r="197" spans="1:28" x14ac:dyDescent="0.2">
      <c r="A197" s="5"/>
      <c r="B197" s="5"/>
      <c r="C197" s="5"/>
      <c r="Z197" s="2"/>
      <c r="AA197" s="2"/>
      <c r="AB197" s="2"/>
    </row>
    <row r="198" spans="1:28" x14ac:dyDescent="0.2">
      <c r="A198" s="5"/>
      <c r="B198" s="5"/>
      <c r="C198" s="5"/>
      <c r="Z198" s="2"/>
      <c r="AA198" s="2"/>
      <c r="AB198" s="2"/>
    </row>
    <row r="199" spans="1:28" x14ac:dyDescent="0.2">
      <c r="A199" s="100" t="s">
        <v>0</v>
      </c>
      <c r="B199" s="100"/>
    </row>
    <row r="200" spans="1:28" x14ac:dyDescent="0.2">
      <c r="A200" s="100" t="s">
        <v>1</v>
      </c>
      <c r="B200" s="100"/>
    </row>
    <row r="201" spans="1:28" x14ac:dyDescent="0.2">
      <c r="A201" s="101" t="s">
        <v>2</v>
      </c>
      <c r="B201" s="101"/>
      <c r="C201" s="101"/>
      <c r="D201" s="101"/>
      <c r="E201" s="101"/>
      <c r="F201" s="101"/>
    </row>
    <row r="202" spans="1:28" x14ac:dyDescent="0.2">
      <c r="A202" s="109" t="s">
        <v>693</v>
      </c>
      <c r="B202" s="109"/>
      <c r="D202" s="2" t="s">
        <v>692</v>
      </c>
    </row>
    <row r="203" spans="1:28" x14ac:dyDescent="0.2">
      <c r="A203" s="12"/>
      <c r="B203" s="55"/>
      <c r="D203" s="2"/>
    </row>
    <row r="204" spans="1:28" x14ac:dyDescent="0.2">
      <c r="D204" s="1" t="s">
        <v>70</v>
      </c>
    </row>
    <row r="205" spans="1:28" x14ac:dyDescent="0.2">
      <c r="A205" s="103" t="s">
        <v>3</v>
      </c>
      <c r="B205" s="103" t="s">
        <v>4</v>
      </c>
      <c r="C205" s="103" t="s">
        <v>5</v>
      </c>
      <c r="D205" s="105" t="s">
        <v>6</v>
      </c>
      <c r="E205" s="106"/>
      <c r="F205" s="103" t="s">
        <v>9</v>
      </c>
    </row>
    <row r="206" spans="1:28" x14ac:dyDescent="0.2">
      <c r="A206" s="104"/>
      <c r="B206" s="104"/>
      <c r="C206" s="104"/>
      <c r="D206" s="3" t="s">
        <v>7</v>
      </c>
      <c r="E206" s="3" t="s">
        <v>8</v>
      </c>
      <c r="F206" s="104"/>
    </row>
    <row r="207" spans="1:28" x14ac:dyDescent="0.2">
      <c r="A207" s="18"/>
      <c r="B207" s="4"/>
      <c r="C207" s="4" t="s">
        <v>187</v>
      </c>
      <c r="D207" s="20"/>
      <c r="E207" s="20">
        <v>0</v>
      </c>
      <c r="F207" s="20">
        <f>D207+E207</f>
        <v>0</v>
      </c>
    </row>
    <row r="208" spans="1:28" x14ac:dyDescent="0.2">
      <c r="A208" s="18"/>
      <c r="B208" s="4"/>
      <c r="C208" s="4" t="s">
        <v>187</v>
      </c>
      <c r="D208" s="20"/>
      <c r="E208" s="20"/>
      <c r="F208" s="20">
        <f>F207+D208</f>
        <v>0</v>
      </c>
    </row>
    <row r="209" spans="1:6" x14ac:dyDescent="0.2">
      <c r="A209" s="18"/>
      <c r="B209" s="4"/>
      <c r="C209" s="4" t="s">
        <v>187</v>
      </c>
      <c r="D209" s="20"/>
      <c r="E209" s="20"/>
      <c r="F209" s="20">
        <f t="shared" ref="F209:F214" si="14">F208+D209</f>
        <v>0</v>
      </c>
    </row>
    <row r="210" spans="1:6" x14ac:dyDescent="0.2">
      <c r="A210" s="18"/>
      <c r="B210" s="4"/>
      <c r="C210" s="4" t="s">
        <v>187</v>
      </c>
      <c r="D210" s="20"/>
      <c r="E210" s="20"/>
      <c r="F210" s="20">
        <f t="shared" si="14"/>
        <v>0</v>
      </c>
    </row>
    <row r="211" spans="1:6" x14ac:dyDescent="0.2">
      <c r="A211" s="18"/>
      <c r="B211" s="4"/>
      <c r="C211" s="4" t="s">
        <v>187</v>
      </c>
      <c r="D211" s="20"/>
      <c r="E211" s="20"/>
      <c r="F211" s="20">
        <f t="shared" si="14"/>
        <v>0</v>
      </c>
    </row>
    <row r="212" spans="1:6" x14ac:dyDescent="0.2">
      <c r="A212" s="18"/>
      <c r="B212" s="4"/>
      <c r="C212" s="4" t="s">
        <v>187</v>
      </c>
      <c r="D212" s="20"/>
      <c r="E212" s="20"/>
      <c r="F212" s="20">
        <f t="shared" si="14"/>
        <v>0</v>
      </c>
    </row>
    <row r="213" spans="1:6" x14ac:dyDescent="0.2">
      <c r="A213" s="18"/>
      <c r="B213" s="4"/>
      <c r="C213" s="4" t="s">
        <v>187</v>
      </c>
      <c r="D213" s="20"/>
      <c r="E213" s="20"/>
      <c r="F213" s="20">
        <f t="shared" si="14"/>
        <v>0</v>
      </c>
    </row>
    <row r="214" spans="1:6" x14ac:dyDescent="0.2">
      <c r="A214" s="18"/>
      <c r="B214" s="4"/>
      <c r="C214" s="4" t="s">
        <v>187</v>
      </c>
      <c r="D214" s="20"/>
      <c r="E214" s="20"/>
      <c r="F214" s="20">
        <f t="shared" si="14"/>
        <v>0</v>
      </c>
    </row>
    <row r="215" spans="1:6" x14ac:dyDescent="0.2">
      <c r="A215" s="4"/>
      <c r="B215" s="4"/>
      <c r="C215" s="4"/>
      <c r="D215" s="20"/>
      <c r="E215" s="20"/>
      <c r="F215" s="20"/>
    </row>
    <row r="216" spans="1:6" x14ac:dyDescent="0.2">
      <c r="A216" s="105" t="s">
        <v>10</v>
      </c>
      <c r="B216" s="112"/>
      <c r="C216" s="106"/>
      <c r="D216" s="20">
        <f>SUM(D207:D215)</f>
        <v>0</v>
      </c>
      <c r="E216" s="20">
        <f>SUM(E207:E215)</f>
        <v>0</v>
      </c>
      <c r="F216" s="20">
        <f>D216-E216</f>
        <v>0</v>
      </c>
    </row>
    <row r="217" spans="1:6" x14ac:dyDescent="0.2">
      <c r="A217" s="105" t="s">
        <v>11</v>
      </c>
      <c r="B217" s="112"/>
      <c r="C217" s="106"/>
      <c r="D217" s="20"/>
      <c r="E217" s="20"/>
      <c r="F217" s="20">
        <f>D217-E217</f>
        <v>0</v>
      </c>
    </row>
    <row r="218" spans="1:6" x14ac:dyDescent="0.2">
      <c r="A218" s="105" t="s">
        <v>10</v>
      </c>
      <c r="B218" s="112"/>
      <c r="C218" s="106"/>
      <c r="D218" s="20">
        <f>SUM(D216:D217)</f>
        <v>0</v>
      </c>
      <c r="E218" s="20">
        <f>SUM(E216:E217)</f>
        <v>0</v>
      </c>
      <c r="F218" s="20">
        <f>SUM(F216:F217)</f>
        <v>0</v>
      </c>
    </row>
    <row r="220" spans="1:6" x14ac:dyDescent="0.2">
      <c r="A220" s="100" t="s">
        <v>0</v>
      </c>
      <c r="B220" s="100"/>
    </row>
    <row r="221" spans="1:6" x14ac:dyDescent="0.2">
      <c r="A221" s="100" t="s">
        <v>1</v>
      </c>
      <c r="B221" s="100"/>
    </row>
    <row r="222" spans="1:6" x14ac:dyDescent="0.2">
      <c r="A222" s="101" t="s">
        <v>2</v>
      </c>
      <c r="B222" s="101"/>
      <c r="C222" s="101"/>
      <c r="D222" s="101"/>
      <c r="E222" s="101"/>
      <c r="F222" s="101"/>
    </row>
    <row r="223" spans="1:6" x14ac:dyDescent="0.2">
      <c r="A223" s="109" t="s">
        <v>152</v>
      </c>
      <c r="B223" s="109"/>
      <c r="D223" s="2" t="s">
        <v>694</v>
      </c>
    </row>
    <row r="224" spans="1:6" x14ac:dyDescent="0.2">
      <c r="D224" s="1" t="s">
        <v>70</v>
      </c>
    </row>
    <row r="225" spans="1:6" x14ac:dyDescent="0.2">
      <c r="A225" s="103" t="s">
        <v>3</v>
      </c>
      <c r="B225" s="103" t="s">
        <v>4</v>
      </c>
      <c r="C225" s="103" t="s">
        <v>5</v>
      </c>
      <c r="D225" s="105" t="s">
        <v>6</v>
      </c>
      <c r="E225" s="106"/>
      <c r="F225" s="103" t="s">
        <v>9</v>
      </c>
    </row>
    <row r="226" spans="1:6" x14ac:dyDescent="0.2">
      <c r="A226" s="104"/>
      <c r="B226" s="104"/>
      <c r="C226" s="104"/>
      <c r="D226" s="3" t="s">
        <v>7</v>
      </c>
      <c r="E226" s="3" t="s">
        <v>8</v>
      </c>
      <c r="F226" s="104"/>
    </row>
    <row r="227" spans="1:6" x14ac:dyDescent="0.2">
      <c r="A227" s="4"/>
      <c r="B227" s="4"/>
      <c r="C227" s="4"/>
      <c r="D227" s="4">
        <v>0</v>
      </c>
      <c r="E227" s="4">
        <v>0</v>
      </c>
      <c r="F227" s="4">
        <f>D227+E227</f>
        <v>0</v>
      </c>
    </row>
    <row r="228" spans="1:6" x14ac:dyDescent="0.2">
      <c r="A228" s="4"/>
      <c r="B228" s="4"/>
      <c r="C228" s="4"/>
      <c r="D228" s="4"/>
      <c r="E228" s="4"/>
      <c r="F228" s="4"/>
    </row>
    <row r="229" spans="1:6" x14ac:dyDescent="0.2">
      <c r="A229" s="4"/>
      <c r="B229" s="4"/>
      <c r="C229" s="4"/>
      <c r="D229" s="4"/>
      <c r="E229" s="4"/>
      <c r="F229" s="4"/>
    </row>
    <row r="230" spans="1:6" x14ac:dyDescent="0.2">
      <c r="A230" s="4"/>
      <c r="B230" s="4"/>
      <c r="C230" s="4"/>
      <c r="D230" s="4"/>
      <c r="E230" s="4"/>
      <c r="F230" s="4"/>
    </row>
    <row r="231" spans="1:6" x14ac:dyDescent="0.2">
      <c r="A231" s="105" t="s">
        <v>10</v>
      </c>
      <c r="B231" s="112"/>
      <c r="C231" s="106"/>
      <c r="D231" s="4">
        <f>SUM(D227:D230)</f>
        <v>0</v>
      </c>
      <c r="E231" s="4">
        <f>SUM(E227:E230)</f>
        <v>0</v>
      </c>
      <c r="F231" s="4">
        <f>D231-E231</f>
        <v>0</v>
      </c>
    </row>
    <row r="232" spans="1:6" x14ac:dyDescent="0.2">
      <c r="A232" s="105" t="s">
        <v>11</v>
      </c>
      <c r="B232" s="112"/>
      <c r="C232" s="106"/>
      <c r="D232" s="4"/>
      <c r="E232" s="4"/>
      <c r="F232" s="4">
        <f>D232-E232</f>
        <v>0</v>
      </c>
    </row>
    <row r="233" spans="1:6" x14ac:dyDescent="0.2">
      <c r="A233" s="105" t="s">
        <v>10</v>
      </c>
      <c r="B233" s="112"/>
      <c r="C233" s="106"/>
      <c r="D233" s="4">
        <f>SUM(D231:D232)</f>
        <v>0</v>
      </c>
      <c r="E233" s="4">
        <f>SUM(E231:E232)</f>
        <v>0</v>
      </c>
      <c r="F233" s="4">
        <f>SUM(F231:F232)</f>
        <v>0</v>
      </c>
    </row>
    <row r="234" spans="1:6" x14ac:dyDescent="0.2">
      <c r="A234" s="5"/>
      <c r="B234" s="5"/>
      <c r="C234" s="5"/>
    </row>
    <row r="235" spans="1:6" x14ac:dyDescent="0.2">
      <c r="A235" s="5"/>
      <c r="B235" s="5"/>
      <c r="C235" s="5"/>
    </row>
    <row r="238" spans="1:6" x14ac:dyDescent="0.2">
      <c r="A238" s="100" t="s">
        <v>0</v>
      </c>
      <c r="B238" s="100"/>
    </row>
    <row r="239" spans="1:6" x14ac:dyDescent="0.2">
      <c r="A239" s="100" t="s">
        <v>1</v>
      </c>
      <c r="B239" s="100"/>
    </row>
    <row r="240" spans="1:6" x14ac:dyDescent="0.2">
      <c r="A240" s="101" t="s">
        <v>2</v>
      </c>
      <c r="B240" s="101"/>
      <c r="C240" s="101"/>
      <c r="D240" s="101"/>
      <c r="E240" s="101"/>
      <c r="F240" s="101"/>
    </row>
    <row r="241" spans="1:6" x14ac:dyDescent="0.2">
      <c r="A241" s="122" t="s">
        <v>153</v>
      </c>
      <c r="B241" s="122"/>
      <c r="D241" s="123" t="s">
        <v>695</v>
      </c>
    </row>
    <row r="242" spans="1:6" x14ac:dyDescent="0.2">
      <c r="D242" s="1" t="s">
        <v>70</v>
      </c>
    </row>
    <row r="243" spans="1:6" x14ac:dyDescent="0.2">
      <c r="A243" s="103" t="s">
        <v>3</v>
      </c>
      <c r="B243" s="103" t="s">
        <v>4</v>
      </c>
      <c r="C243" s="103" t="s">
        <v>5</v>
      </c>
      <c r="D243" s="105" t="s">
        <v>6</v>
      </c>
      <c r="E243" s="106"/>
      <c r="F243" s="103" t="s">
        <v>9</v>
      </c>
    </row>
    <row r="244" spans="1:6" x14ac:dyDescent="0.2">
      <c r="A244" s="104"/>
      <c r="B244" s="104"/>
      <c r="C244" s="104"/>
      <c r="D244" s="3" t="s">
        <v>7</v>
      </c>
      <c r="E244" s="3" t="s">
        <v>8</v>
      </c>
      <c r="F244" s="104"/>
    </row>
    <row r="245" spans="1:6" x14ac:dyDescent="0.2">
      <c r="A245" s="18" t="s">
        <v>494</v>
      </c>
      <c r="B245" s="18" t="s">
        <v>1288</v>
      </c>
      <c r="C245" s="4" t="s">
        <v>187</v>
      </c>
      <c r="D245" s="20"/>
      <c r="E245" s="20"/>
      <c r="F245" s="20">
        <f>D245+E245</f>
        <v>0</v>
      </c>
    </row>
    <row r="246" spans="1:6" x14ac:dyDescent="0.2">
      <c r="A246" s="18" t="s">
        <v>761</v>
      </c>
      <c r="B246" s="18" t="s">
        <v>1379</v>
      </c>
      <c r="C246" s="4" t="s">
        <v>187</v>
      </c>
      <c r="D246" s="20"/>
      <c r="E246" s="20"/>
      <c r="F246" s="20">
        <f>F245+D246-E246</f>
        <v>0</v>
      </c>
    </row>
    <row r="247" spans="1:6" x14ac:dyDescent="0.2">
      <c r="A247" s="18" t="s">
        <v>778</v>
      </c>
      <c r="B247" s="18" t="s">
        <v>779</v>
      </c>
      <c r="C247" s="4" t="s">
        <v>187</v>
      </c>
      <c r="D247" s="20"/>
      <c r="E247" s="20"/>
      <c r="F247" s="20">
        <f t="shared" ref="F247:F259" si="15">F246+D247-E247</f>
        <v>0</v>
      </c>
    </row>
    <row r="248" spans="1:6" x14ac:dyDescent="0.2">
      <c r="A248" s="18" t="s">
        <v>587</v>
      </c>
      <c r="B248" s="18" t="s">
        <v>803</v>
      </c>
      <c r="C248" s="4" t="s">
        <v>187</v>
      </c>
      <c r="D248" s="20"/>
      <c r="E248" s="20"/>
      <c r="F248" s="20">
        <f t="shared" si="15"/>
        <v>0</v>
      </c>
    </row>
    <row r="249" spans="1:6" x14ac:dyDescent="0.2">
      <c r="A249" s="18" t="s">
        <v>858</v>
      </c>
      <c r="B249" s="18" t="s">
        <v>859</v>
      </c>
      <c r="C249" s="4" t="s">
        <v>187</v>
      </c>
      <c r="D249" s="20"/>
      <c r="E249" s="20"/>
      <c r="F249" s="20">
        <f t="shared" si="15"/>
        <v>0</v>
      </c>
    </row>
    <row r="250" spans="1:6" x14ac:dyDescent="0.2">
      <c r="A250" s="18" t="s">
        <v>885</v>
      </c>
      <c r="B250" s="18" t="s">
        <v>896</v>
      </c>
      <c r="C250" s="4" t="s">
        <v>187</v>
      </c>
      <c r="D250" s="20"/>
      <c r="E250" s="20"/>
      <c r="F250" s="20">
        <f t="shared" si="15"/>
        <v>0</v>
      </c>
    </row>
    <row r="251" spans="1:6" x14ac:dyDescent="0.2">
      <c r="A251" s="18" t="s">
        <v>934</v>
      </c>
      <c r="B251" s="18" t="s">
        <v>937</v>
      </c>
      <c r="C251" s="4" t="s">
        <v>187</v>
      </c>
      <c r="D251" s="20"/>
      <c r="E251" s="20"/>
      <c r="F251" s="20">
        <f t="shared" si="15"/>
        <v>0</v>
      </c>
    </row>
    <row r="252" spans="1:6" x14ac:dyDescent="0.2">
      <c r="A252" s="18" t="s">
        <v>999</v>
      </c>
      <c r="B252" s="18" t="s">
        <v>1000</v>
      </c>
      <c r="C252" s="4" t="s">
        <v>187</v>
      </c>
      <c r="D252" s="20"/>
      <c r="E252" s="20"/>
      <c r="F252" s="20">
        <f t="shared" si="15"/>
        <v>0</v>
      </c>
    </row>
    <row r="253" spans="1:6" x14ac:dyDescent="0.2">
      <c r="A253" s="18" t="s">
        <v>1047</v>
      </c>
      <c r="B253" s="18" t="s">
        <v>1049</v>
      </c>
      <c r="C253" s="4" t="s">
        <v>187</v>
      </c>
      <c r="D253" s="20"/>
      <c r="E253" s="20"/>
      <c r="F253" s="20">
        <f t="shared" si="15"/>
        <v>0</v>
      </c>
    </row>
    <row r="254" spans="1:6" x14ac:dyDescent="0.2">
      <c r="A254" s="37" t="s">
        <v>1122</v>
      </c>
      <c r="B254" s="18" t="s">
        <v>1123</v>
      </c>
      <c r="C254" s="4" t="s">
        <v>187</v>
      </c>
      <c r="D254" s="20"/>
      <c r="E254" s="20"/>
      <c r="F254" s="20">
        <f t="shared" si="15"/>
        <v>0</v>
      </c>
    </row>
    <row r="255" spans="1:6" x14ac:dyDescent="0.2">
      <c r="A255" s="18" t="s">
        <v>1097</v>
      </c>
      <c r="B255" s="18" t="s">
        <v>1130</v>
      </c>
      <c r="C255" s="4" t="s">
        <v>187</v>
      </c>
      <c r="D255" s="20"/>
      <c r="E255" s="20"/>
      <c r="F255" s="20">
        <f t="shared" si="15"/>
        <v>0</v>
      </c>
    </row>
    <row r="256" spans="1:6" x14ac:dyDescent="0.2">
      <c r="A256" s="18" t="s">
        <v>449</v>
      </c>
      <c r="B256" s="18" t="s">
        <v>644</v>
      </c>
      <c r="C256" s="4" t="s">
        <v>187</v>
      </c>
      <c r="D256" s="20"/>
      <c r="E256" s="20"/>
      <c r="F256" s="20">
        <f t="shared" si="15"/>
        <v>0</v>
      </c>
    </row>
    <row r="257" spans="1:6" ht="24" x14ac:dyDescent="0.2">
      <c r="A257" s="53" t="s">
        <v>449</v>
      </c>
      <c r="B257" s="75" t="s">
        <v>1210</v>
      </c>
      <c r="C257" s="10" t="s">
        <v>498</v>
      </c>
      <c r="D257" s="20"/>
      <c r="E257" s="20"/>
      <c r="F257" s="20">
        <f t="shared" si="15"/>
        <v>0</v>
      </c>
    </row>
    <row r="258" spans="1:6" x14ac:dyDescent="0.2">
      <c r="A258" s="70"/>
      <c r="B258" s="71"/>
      <c r="C258" s="72"/>
      <c r="D258" s="73"/>
      <c r="E258" s="73"/>
      <c r="F258" s="20">
        <f t="shared" si="15"/>
        <v>0</v>
      </c>
    </row>
    <row r="259" spans="1:6" x14ac:dyDescent="0.2">
      <c r="A259" s="53"/>
      <c r="B259" s="75"/>
      <c r="C259" s="10"/>
      <c r="D259" s="20"/>
      <c r="E259" s="20"/>
      <c r="F259" s="20">
        <f t="shared" si="15"/>
        <v>0</v>
      </c>
    </row>
    <row r="260" spans="1:6" x14ac:dyDescent="0.2">
      <c r="A260" s="53"/>
      <c r="B260" s="18"/>
      <c r="C260" s="10"/>
      <c r="D260" s="20"/>
      <c r="E260" s="20"/>
      <c r="F260" s="20"/>
    </row>
    <row r="261" spans="1:6" x14ac:dyDescent="0.2">
      <c r="A261" s="105" t="s">
        <v>10</v>
      </c>
      <c r="B261" s="112"/>
      <c r="C261" s="106"/>
      <c r="D261" s="20">
        <f>SUM(D245:D260)</f>
        <v>0</v>
      </c>
      <c r="E261" s="20">
        <f>SUM(E245:E260)</f>
        <v>0</v>
      </c>
      <c r="F261" s="20">
        <f>D261-E261</f>
        <v>0</v>
      </c>
    </row>
    <row r="262" spans="1:6" x14ac:dyDescent="0.2">
      <c r="A262" s="105" t="s">
        <v>11</v>
      </c>
      <c r="B262" s="112"/>
      <c r="C262" s="106"/>
      <c r="D262" s="20"/>
      <c r="E262" s="20"/>
      <c r="F262" s="20">
        <f>D262-E262</f>
        <v>0</v>
      </c>
    </row>
    <row r="263" spans="1:6" x14ac:dyDescent="0.2">
      <c r="A263" s="105" t="s">
        <v>10</v>
      </c>
      <c r="B263" s="112"/>
      <c r="C263" s="106"/>
      <c r="D263" s="20">
        <f>SUM(D261:D262)</f>
        <v>0</v>
      </c>
      <c r="E263" s="20">
        <f>SUM(E261:E262)</f>
        <v>0</v>
      </c>
      <c r="F263" s="20">
        <f>SUM(F261:F262)</f>
        <v>0</v>
      </c>
    </row>
    <row r="264" spans="1:6" x14ac:dyDescent="0.2">
      <c r="A264" s="5"/>
      <c r="B264" s="5"/>
      <c r="C264" s="5"/>
    </row>
    <row r="265" spans="1:6" x14ac:dyDescent="0.2">
      <c r="A265" s="100" t="s">
        <v>0</v>
      </c>
      <c r="B265" s="100"/>
    </row>
    <row r="266" spans="1:6" x14ac:dyDescent="0.2">
      <c r="A266" s="100" t="s">
        <v>1</v>
      </c>
      <c r="B266" s="100"/>
    </row>
    <row r="267" spans="1:6" x14ac:dyDescent="0.2">
      <c r="A267" s="101" t="s">
        <v>2</v>
      </c>
      <c r="B267" s="101"/>
      <c r="C267" s="101"/>
      <c r="D267" s="101"/>
      <c r="E267" s="101"/>
      <c r="F267" s="101"/>
    </row>
    <row r="268" spans="1:6" x14ac:dyDescent="0.2">
      <c r="A268" s="122" t="s">
        <v>154</v>
      </c>
      <c r="B268" s="122"/>
      <c r="D268" s="123" t="s">
        <v>696</v>
      </c>
    </row>
    <row r="269" spans="1:6" x14ac:dyDescent="0.2">
      <c r="D269" s="1" t="s">
        <v>70</v>
      </c>
    </row>
    <row r="270" spans="1:6" x14ac:dyDescent="0.2">
      <c r="A270" s="103" t="s">
        <v>3</v>
      </c>
      <c r="B270" s="103" t="s">
        <v>4</v>
      </c>
      <c r="C270" s="103" t="s">
        <v>5</v>
      </c>
      <c r="D270" s="105" t="s">
        <v>6</v>
      </c>
      <c r="E270" s="106"/>
      <c r="F270" s="103" t="s">
        <v>9</v>
      </c>
    </row>
    <row r="271" spans="1:6" x14ac:dyDescent="0.2">
      <c r="A271" s="104"/>
      <c r="B271" s="104"/>
      <c r="C271" s="104"/>
      <c r="D271" s="3" t="s">
        <v>7</v>
      </c>
      <c r="E271" s="3" t="s">
        <v>8</v>
      </c>
      <c r="F271" s="104"/>
    </row>
    <row r="272" spans="1:6" x14ac:dyDescent="0.2">
      <c r="A272" s="32" t="s">
        <v>1216</v>
      </c>
      <c r="B272" s="18" t="s">
        <v>1280</v>
      </c>
      <c r="C272" s="4" t="s">
        <v>187</v>
      </c>
      <c r="D272" s="20"/>
      <c r="E272" s="33"/>
      <c r="F272" s="34">
        <f>D272</f>
        <v>0</v>
      </c>
    </row>
    <row r="273" spans="1:6" x14ac:dyDescent="0.2">
      <c r="A273" s="32" t="s">
        <v>1222</v>
      </c>
      <c r="B273" s="4" t="s">
        <v>1279</v>
      </c>
      <c r="C273" s="4" t="s">
        <v>187</v>
      </c>
      <c r="D273" s="20"/>
      <c r="E273" s="20">
        <v>0</v>
      </c>
      <c r="F273" s="20">
        <f>F272+D273</f>
        <v>0</v>
      </c>
    </row>
    <row r="274" spans="1:6" x14ac:dyDescent="0.2">
      <c r="A274" s="41" t="s">
        <v>247</v>
      </c>
      <c r="B274" s="4"/>
      <c r="C274" s="4"/>
      <c r="D274" s="20"/>
      <c r="E274" s="20"/>
      <c r="F274" s="20"/>
    </row>
    <row r="275" spans="1:6" x14ac:dyDescent="0.2">
      <c r="A275" s="18" t="s">
        <v>474</v>
      </c>
      <c r="B275" s="4" t="s">
        <v>1352</v>
      </c>
      <c r="C275" s="4" t="s">
        <v>187</v>
      </c>
      <c r="D275" s="20"/>
      <c r="E275" s="20"/>
      <c r="F275" s="20">
        <f>D275</f>
        <v>0</v>
      </c>
    </row>
    <row r="276" spans="1:6" x14ac:dyDescent="0.2">
      <c r="A276" s="41" t="s">
        <v>262</v>
      </c>
      <c r="B276" s="4"/>
      <c r="C276" s="4"/>
      <c r="D276" s="20"/>
      <c r="E276" s="20"/>
      <c r="F276" s="20"/>
    </row>
    <row r="277" spans="1:6" x14ac:dyDescent="0.2">
      <c r="A277" s="18" t="s">
        <v>476</v>
      </c>
      <c r="B277" s="4" t="s">
        <v>1352</v>
      </c>
      <c r="C277" s="4" t="s">
        <v>187</v>
      </c>
      <c r="D277" s="20"/>
      <c r="E277" s="20"/>
      <c r="F277" s="20">
        <f>D277</f>
        <v>0</v>
      </c>
    </row>
    <row r="278" spans="1:6" x14ac:dyDescent="0.2">
      <c r="A278" s="41" t="s">
        <v>283</v>
      </c>
      <c r="B278" s="4"/>
      <c r="C278" s="4"/>
      <c r="D278" s="20"/>
      <c r="E278" s="20"/>
      <c r="F278" s="20"/>
    </row>
    <row r="279" spans="1:6" x14ac:dyDescent="0.2">
      <c r="A279" s="18" t="s">
        <v>773</v>
      </c>
      <c r="B279" s="4" t="s">
        <v>404</v>
      </c>
      <c r="C279" s="4" t="s">
        <v>187</v>
      </c>
      <c r="D279" s="20"/>
      <c r="E279" s="20"/>
      <c r="F279" s="20">
        <f>D279</f>
        <v>0</v>
      </c>
    </row>
    <row r="280" spans="1:6" x14ac:dyDescent="0.2">
      <c r="A280" s="18" t="s">
        <v>798</v>
      </c>
      <c r="B280" s="4" t="s">
        <v>404</v>
      </c>
      <c r="C280" s="4" t="s">
        <v>187</v>
      </c>
      <c r="D280" s="20"/>
      <c r="E280" s="20"/>
      <c r="F280" s="20">
        <f t="shared" ref="F280" si="16">F279+D280</f>
        <v>0</v>
      </c>
    </row>
    <row r="281" spans="1:6" x14ac:dyDescent="0.2">
      <c r="A281" s="41" t="s">
        <v>299</v>
      </c>
      <c r="B281" s="4"/>
      <c r="C281" s="4"/>
      <c r="D281" s="20"/>
      <c r="E281" s="20"/>
      <c r="F281" s="20"/>
    </row>
    <row r="282" spans="1:6" x14ac:dyDescent="0.2">
      <c r="A282" s="18" t="s">
        <v>596</v>
      </c>
      <c r="B282" s="4" t="s">
        <v>404</v>
      </c>
      <c r="C282" s="4" t="s">
        <v>187</v>
      </c>
      <c r="D282" s="20"/>
      <c r="E282" s="20"/>
      <c r="F282" s="20">
        <f>D282</f>
        <v>0</v>
      </c>
    </row>
    <row r="283" spans="1:6" x14ac:dyDescent="0.2">
      <c r="A283" s="41" t="s">
        <v>315</v>
      </c>
      <c r="B283" s="4"/>
      <c r="C283" s="4"/>
      <c r="D283" s="20"/>
      <c r="E283" s="20"/>
      <c r="F283" s="20"/>
    </row>
    <row r="284" spans="1:6" x14ac:dyDescent="0.2">
      <c r="A284" s="18" t="s">
        <v>885</v>
      </c>
      <c r="B284" s="4" t="s">
        <v>404</v>
      </c>
      <c r="C284" s="4" t="s">
        <v>187</v>
      </c>
      <c r="D284" s="20"/>
      <c r="E284" s="20"/>
      <c r="F284" s="20">
        <f>D284</f>
        <v>0</v>
      </c>
    </row>
    <row r="285" spans="1:6" x14ac:dyDescent="0.2">
      <c r="A285" s="41" t="s">
        <v>330</v>
      </c>
      <c r="B285" s="4"/>
      <c r="C285" s="4"/>
      <c r="D285" s="20"/>
      <c r="E285" s="20"/>
      <c r="F285" s="20"/>
    </row>
    <row r="286" spans="1:6" x14ac:dyDescent="0.2">
      <c r="A286" s="18" t="s">
        <v>934</v>
      </c>
      <c r="B286" s="4" t="s">
        <v>404</v>
      </c>
      <c r="C286" s="4" t="s">
        <v>187</v>
      </c>
      <c r="D286" s="20"/>
      <c r="E286" s="20"/>
      <c r="F286" s="20">
        <f>D286</f>
        <v>0</v>
      </c>
    </row>
    <row r="287" spans="1:6" x14ac:dyDescent="0.2">
      <c r="A287" s="41" t="s">
        <v>344</v>
      </c>
      <c r="B287" s="4"/>
      <c r="C287" s="4"/>
      <c r="D287" s="20"/>
      <c r="E287" s="20"/>
      <c r="F287" s="20"/>
    </row>
    <row r="288" spans="1:6" x14ac:dyDescent="0.2">
      <c r="A288" s="18" t="s">
        <v>613</v>
      </c>
      <c r="B288" s="4" t="s">
        <v>541</v>
      </c>
      <c r="C288" s="4" t="s">
        <v>187</v>
      </c>
      <c r="D288" s="20"/>
      <c r="E288" s="20"/>
      <c r="F288" s="20">
        <f>D288</f>
        <v>0</v>
      </c>
    </row>
    <row r="289" spans="1:6" x14ac:dyDescent="0.2">
      <c r="A289" s="41" t="s">
        <v>363</v>
      </c>
      <c r="B289" s="4"/>
      <c r="C289" s="4"/>
      <c r="D289" s="20"/>
      <c r="E289" s="20"/>
      <c r="F289" s="20"/>
    </row>
    <row r="290" spans="1:6" x14ac:dyDescent="0.2">
      <c r="A290" s="18" t="s">
        <v>485</v>
      </c>
      <c r="B290" s="4" t="s">
        <v>404</v>
      </c>
      <c r="C290" s="4" t="s">
        <v>187</v>
      </c>
      <c r="D290" s="20"/>
      <c r="E290" s="20"/>
      <c r="F290" s="20">
        <f>D290</f>
        <v>0</v>
      </c>
    </row>
    <row r="291" spans="1:6" x14ac:dyDescent="0.2">
      <c r="A291" s="41" t="s">
        <v>368</v>
      </c>
      <c r="B291" s="4"/>
      <c r="C291" s="4"/>
      <c r="D291" s="20"/>
      <c r="E291" s="20"/>
      <c r="F291" s="20"/>
    </row>
    <row r="292" spans="1:6" x14ac:dyDescent="0.2">
      <c r="A292" s="18" t="s">
        <v>372</v>
      </c>
      <c r="B292" s="4" t="s">
        <v>404</v>
      </c>
      <c r="C292" s="4" t="s">
        <v>187</v>
      </c>
      <c r="D292" s="20"/>
      <c r="E292" s="20"/>
      <c r="F292" s="20">
        <f>D292</f>
        <v>0</v>
      </c>
    </row>
    <row r="293" spans="1:6" x14ac:dyDescent="0.2">
      <c r="A293" s="18"/>
      <c r="B293" s="4"/>
      <c r="C293" s="4" t="s">
        <v>187</v>
      </c>
      <c r="D293" s="20"/>
      <c r="E293" s="20"/>
      <c r="F293" s="20">
        <f t="shared" ref="F293" si="17">F292+D293</f>
        <v>0</v>
      </c>
    </row>
    <row r="294" spans="1:6" x14ac:dyDescent="0.2">
      <c r="A294" s="41" t="s">
        <v>397</v>
      </c>
      <c r="B294" s="4"/>
      <c r="C294" s="4"/>
      <c r="D294" s="20"/>
      <c r="E294" s="20"/>
      <c r="F294" s="20"/>
    </row>
    <row r="295" spans="1:6" x14ac:dyDescent="0.2">
      <c r="A295" s="18" t="s">
        <v>1126</v>
      </c>
      <c r="B295" s="4" t="s">
        <v>404</v>
      </c>
      <c r="C295" s="4" t="s">
        <v>187</v>
      </c>
      <c r="D295" s="20"/>
      <c r="E295" s="20"/>
      <c r="F295" s="20">
        <f>D295</f>
        <v>0</v>
      </c>
    </row>
    <row r="296" spans="1:6" x14ac:dyDescent="0.2">
      <c r="A296" s="18"/>
      <c r="B296" s="4"/>
      <c r="C296" s="4" t="s">
        <v>187</v>
      </c>
      <c r="D296" s="20"/>
      <c r="E296" s="20"/>
      <c r="F296" s="20">
        <f t="shared" ref="F296" si="18">F295+D296</f>
        <v>0</v>
      </c>
    </row>
    <row r="297" spans="1:6" x14ac:dyDescent="0.2">
      <c r="A297" s="41" t="s">
        <v>453</v>
      </c>
      <c r="B297" s="4"/>
      <c r="C297" s="4"/>
      <c r="D297" s="20"/>
      <c r="E297" s="20"/>
      <c r="F297" s="20"/>
    </row>
    <row r="298" spans="1:6" x14ac:dyDescent="0.2">
      <c r="A298" s="18" t="s">
        <v>1181</v>
      </c>
      <c r="B298" s="4" t="s">
        <v>404</v>
      </c>
      <c r="C298" s="4" t="s">
        <v>187</v>
      </c>
      <c r="D298" s="20"/>
      <c r="E298" s="20"/>
      <c r="F298" s="20">
        <f>D298</f>
        <v>0</v>
      </c>
    </row>
    <row r="299" spans="1:6" x14ac:dyDescent="0.2">
      <c r="A299" s="18" t="s">
        <v>1181</v>
      </c>
      <c r="B299" s="4" t="s">
        <v>1187</v>
      </c>
      <c r="C299" s="4" t="s">
        <v>187</v>
      </c>
      <c r="D299" s="20"/>
      <c r="E299" s="20"/>
      <c r="F299" s="20">
        <f t="shared" ref="F299" si="19">F298+D299</f>
        <v>0</v>
      </c>
    </row>
    <row r="300" spans="1:6" x14ac:dyDescent="0.2">
      <c r="A300" s="4"/>
      <c r="B300" s="4"/>
      <c r="C300" s="4"/>
      <c r="D300" s="20"/>
      <c r="E300" s="20"/>
      <c r="F300" s="20"/>
    </row>
    <row r="301" spans="1:6" x14ac:dyDescent="0.2">
      <c r="A301" s="105" t="s">
        <v>10</v>
      </c>
      <c r="B301" s="112"/>
      <c r="C301" s="106"/>
      <c r="D301" s="20">
        <f>SUM(D273:D300)</f>
        <v>0</v>
      </c>
      <c r="E301" s="20">
        <f>SUM(E273:E300)</f>
        <v>0</v>
      </c>
      <c r="F301" s="20">
        <f>D301-E301</f>
        <v>0</v>
      </c>
    </row>
    <row r="302" spans="1:6" x14ac:dyDescent="0.2">
      <c r="A302" s="105" t="s">
        <v>11</v>
      </c>
      <c r="B302" s="112"/>
      <c r="C302" s="106"/>
      <c r="D302" s="20"/>
      <c r="E302" s="20"/>
      <c r="F302" s="20">
        <f>D302-E302</f>
        <v>0</v>
      </c>
    </row>
    <row r="303" spans="1:6" x14ac:dyDescent="0.2">
      <c r="A303" s="105" t="s">
        <v>10</v>
      </c>
      <c r="B303" s="112"/>
      <c r="C303" s="106"/>
      <c r="D303" s="20">
        <f>SUM(D301:D302)</f>
        <v>0</v>
      </c>
      <c r="E303" s="20">
        <f>SUM(E301:E302)</f>
        <v>0</v>
      </c>
      <c r="F303" s="20">
        <f>SUM(F301:F302)</f>
        <v>0</v>
      </c>
    </row>
    <row r="304" spans="1:6" x14ac:dyDescent="0.2">
      <c r="A304" s="5"/>
      <c r="B304" s="5"/>
      <c r="C304" s="5"/>
    </row>
    <row r="305" spans="1:6" x14ac:dyDescent="0.2">
      <c r="A305" s="100" t="s">
        <v>0</v>
      </c>
      <c r="B305" s="100"/>
    </row>
    <row r="306" spans="1:6" x14ac:dyDescent="0.2">
      <c r="A306" s="100" t="s">
        <v>1</v>
      </c>
      <c r="B306" s="100"/>
    </row>
    <row r="307" spans="1:6" x14ac:dyDescent="0.2">
      <c r="A307" s="101" t="s">
        <v>2</v>
      </c>
      <c r="B307" s="101"/>
      <c r="C307" s="101"/>
      <c r="D307" s="101"/>
      <c r="E307" s="101"/>
      <c r="F307" s="101"/>
    </row>
    <row r="308" spans="1:6" x14ac:dyDescent="0.2">
      <c r="A308" s="122" t="s">
        <v>155</v>
      </c>
      <c r="B308" s="122"/>
      <c r="D308" s="123" t="s">
        <v>697</v>
      </c>
    </row>
    <row r="309" spans="1:6" x14ac:dyDescent="0.2">
      <c r="D309" s="1" t="s">
        <v>70</v>
      </c>
    </row>
    <row r="310" spans="1:6" x14ac:dyDescent="0.2">
      <c r="A310" s="103" t="s">
        <v>3</v>
      </c>
      <c r="B310" s="103" t="s">
        <v>4</v>
      </c>
      <c r="C310" s="103" t="s">
        <v>5</v>
      </c>
      <c r="D310" s="105" t="s">
        <v>6</v>
      </c>
      <c r="E310" s="106"/>
      <c r="F310" s="103" t="s">
        <v>9</v>
      </c>
    </row>
    <row r="311" spans="1:6" x14ac:dyDescent="0.2">
      <c r="A311" s="104"/>
      <c r="B311" s="104"/>
      <c r="C311" s="104"/>
      <c r="D311" s="3" t="s">
        <v>7</v>
      </c>
      <c r="E311" s="3" t="s">
        <v>8</v>
      </c>
      <c r="F311" s="104"/>
    </row>
    <row r="312" spans="1:6" x14ac:dyDescent="0.2">
      <c r="A312" s="18" t="s">
        <v>763</v>
      </c>
      <c r="B312" s="4" t="s">
        <v>533</v>
      </c>
      <c r="C312" s="4" t="s">
        <v>187</v>
      </c>
      <c r="D312" s="46"/>
      <c r="E312" s="20">
        <v>0</v>
      </c>
      <c r="F312" s="20">
        <f>D312+E312</f>
        <v>0</v>
      </c>
    </row>
    <row r="313" spans="1:6" x14ac:dyDescent="0.2">
      <c r="A313" s="18"/>
      <c r="B313" s="4" t="s">
        <v>443</v>
      </c>
      <c r="C313" s="4" t="s">
        <v>187</v>
      </c>
      <c r="D313" s="20"/>
      <c r="E313" s="20"/>
      <c r="F313" s="20">
        <f>F312+D313</f>
        <v>0</v>
      </c>
    </row>
    <row r="314" spans="1:6" x14ac:dyDescent="0.2">
      <c r="A314" s="18"/>
      <c r="B314" s="4" t="s">
        <v>443</v>
      </c>
      <c r="C314" s="4" t="s">
        <v>187</v>
      </c>
      <c r="D314" s="20"/>
      <c r="E314" s="20"/>
      <c r="F314" s="20">
        <f>F313+D314</f>
        <v>0</v>
      </c>
    </row>
    <row r="315" spans="1:6" x14ac:dyDescent="0.2">
      <c r="A315" s="4"/>
      <c r="B315" s="4"/>
      <c r="C315" s="4"/>
      <c r="D315" s="20"/>
      <c r="E315" s="20"/>
      <c r="F315" s="20"/>
    </row>
    <row r="316" spans="1:6" x14ac:dyDescent="0.2">
      <c r="A316" s="4"/>
      <c r="B316" s="4"/>
      <c r="C316" s="4"/>
      <c r="D316" s="20"/>
      <c r="E316" s="20"/>
      <c r="F316" s="20"/>
    </row>
    <row r="317" spans="1:6" x14ac:dyDescent="0.2">
      <c r="A317" s="105" t="s">
        <v>10</v>
      </c>
      <c r="B317" s="112"/>
      <c r="C317" s="106"/>
      <c r="D317" s="20">
        <f>SUM(D312:D316)</f>
        <v>0</v>
      </c>
      <c r="E317" s="20">
        <f>SUM(E312:E316)</f>
        <v>0</v>
      </c>
      <c r="F317" s="20">
        <f>D317-E317</f>
        <v>0</v>
      </c>
    </row>
    <row r="318" spans="1:6" x14ac:dyDescent="0.2">
      <c r="A318" s="105" t="s">
        <v>11</v>
      </c>
      <c r="B318" s="112"/>
      <c r="C318" s="106"/>
      <c r="D318" s="20"/>
      <c r="E318" s="20"/>
      <c r="F318" s="20">
        <f>D318-E318</f>
        <v>0</v>
      </c>
    </row>
    <row r="319" spans="1:6" x14ac:dyDescent="0.2">
      <c r="A319" s="105" t="s">
        <v>10</v>
      </c>
      <c r="B319" s="112"/>
      <c r="C319" s="106"/>
      <c r="D319" s="20">
        <f>SUM(D317:D318)</f>
        <v>0</v>
      </c>
      <c r="E319" s="20">
        <f>SUM(E317:E318)</f>
        <v>0</v>
      </c>
      <c r="F319" s="20">
        <f>SUM(F317:F318)</f>
        <v>0</v>
      </c>
    </row>
    <row r="322" spans="1:6" x14ac:dyDescent="0.2">
      <c r="A322" s="100" t="s">
        <v>0</v>
      </c>
      <c r="B322" s="100"/>
    </row>
    <row r="323" spans="1:6" x14ac:dyDescent="0.2">
      <c r="A323" s="100" t="s">
        <v>1</v>
      </c>
      <c r="B323" s="100"/>
    </row>
    <row r="324" spans="1:6" x14ac:dyDescent="0.2">
      <c r="A324" s="101" t="s">
        <v>2</v>
      </c>
      <c r="B324" s="101"/>
      <c r="C324" s="101"/>
      <c r="D324" s="101"/>
      <c r="E324" s="101"/>
      <c r="F324" s="101"/>
    </row>
    <row r="325" spans="1:6" x14ac:dyDescent="0.2">
      <c r="A325" s="122" t="s">
        <v>156</v>
      </c>
      <c r="B325" s="122"/>
      <c r="D325" s="123" t="s">
        <v>698</v>
      </c>
    </row>
    <row r="326" spans="1:6" x14ac:dyDescent="0.2">
      <c r="D326" s="1" t="s">
        <v>70</v>
      </c>
    </row>
    <row r="327" spans="1:6" x14ac:dyDescent="0.2">
      <c r="A327" s="103" t="s">
        <v>3</v>
      </c>
      <c r="B327" s="103" t="s">
        <v>4</v>
      </c>
      <c r="C327" s="103" t="s">
        <v>5</v>
      </c>
      <c r="D327" s="105" t="s">
        <v>6</v>
      </c>
      <c r="E327" s="106"/>
      <c r="F327" s="103" t="s">
        <v>9</v>
      </c>
    </row>
    <row r="328" spans="1:6" x14ac:dyDescent="0.2">
      <c r="A328" s="104"/>
      <c r="B328" s="104"/>
      <c r="C328" s="104"/>
      <c r="D328" s="3" t="s">
        <v>7</v>
      </c>
      <c r="E328" s="3" t="s">
        <v>8</v>
      </c>
      <c r="F328" s="104"/>
    </row>
    <row r="329" spans="1:6" x14ac:dyDescent="0.2">
      <c r="A329" s="18" t="s">
        <v>1222</v>
      </c>
      <c r="B329" s="4" t="s">
        <v>1281</v>
      </c>
      <c r="C329" s="4" t="s">
        <v>187</v>
      </c>
      <c r="D329" s="20"/>
      <c r="E329" s="20">
        <v>0</v>
      </c>
      <c r="F329" s="20">
        <f>D329+E329</f>
        <v>0</v>
      </c>
    </row>
    <row r="330" spans="1:6" x14ac:dyDescent="0.2">
      <c r="A330" s="18" t="s">
        <v>246</v>
      </c>
      <c r="B330" s="4" t="s">
        <v>1316</v>
      </c>
      <c r="C330" s="4" t="s">
        <v>187</v>
      </c>
      <c r="D330" s="20"/>
      <c r="E330" s="20"/>
      <c r="F330" s="20">
        <f>F329+D330</f>
        <v>0</v>
      </c>
    </row>
    <row r="331" spans="1:6" x14ac:dyDescent="0.2">
      <c r="A331" s="18" t="s">
        <v>474</v>
      </c>
      <c r="B331" s="4" t="s">
        <v>1317</v>
      </c>
      <c r="C331" s="4" t="s">
        <v>187</v>
      </c>
      <c r="D331" s="20"/>
      <c r="E331" s="20"/>
      <c r="F331" s="20">
        <f t="shared" ref="F331:F345" si="20">F330+D331</f>
        <v>0</v>
      </c>
    </row>
    <row r="332" spans="1:6" x14ac:dyDescent="0.2">
      <c r="A332" s="18" t="s">
        <v>476</v>
      </c>
      <c r="B332" s="4" t="s">
        <v>1409</v>
      </c>
      <c r="C332" s="4" t="s">
        <v>187</v>
      </c>
      <c r="D332" s="20"/>
      <c r="E332" s="20"/>
      <c r="F332" s="20">
        <f t="shared" si="20"/>
        <v>0</v>
      </c>
    </row>
    <row r="333" spans="1:6" x14ac:dyDescent="0.2">
      <c r="A333" s="18" t="s">
        <v>602</v>
      </c>
      <c r="B333" s="4" t="s">
        <v>875</v>
      </c>
      <c r="C333" s="4" t="s">
        <v>187</v>
      </c>
      <c r="D333" s="20"/>
      <c r="E333" s="20"/>
      <c r="F333" s="20">
        <f t="shared" si="20"/>
        <v>0</v>
      </c>
    </row>
    <row r="334" spans="1:6" x14ac:dyDescent="0.2">
      <c r="A334" s="18" t="s">
        <v>876</v>
      </c>
      <c r="B334" s="4" t="s">
        <v>875</v>
      </c>
      <c r="C334" s="4" t="s">
        <v>187</v>
      </c>
      <c r="D334" s="20"/>
      <c r="E334" s="20"/>
      <c r="F334" s="20">
        <f t="shared" si="20"/>
        <v>0</v>
      </c>
    </row>
    <row r="335" spans="1:6" x14ac:dyDescent="0.2">
      <c r="A335" s="18" t="s">
        <v>885</v>
      </c>
      <c r="B335" s="4" t="s">
        <v>888</v>
      </c>
      <c r="C335" s="4" t="s">
        <v>187</v>
      </c>
      <c r="D335" s="20"/>
      <c r="E335" s="20"/>
      <c r="F335" s="20">
        <f t="shared" si="20"/>
        <v>0</v>
      </c>
    </row>
    <row r="336" spans="1:6" x14ac:dyDescent="0.2">
      <c r="A336" s="18" t="s">
        <v>912</v>
      </c>
      <c r="B336" s="4" t="s">
        <v>913</v>
      </c>
      <c r="C336" s="4" t="s">
        <v>187</v>
      </c>
      <c r="D336" s="20"/>
      <c r="E336" s="20"/>
      <c r="F336" s="20">
        <f t="shared" si="20"/>
        <v>0</v>
      </c>
    </row>
    <row r="337" spans="1:6" x14ac:dyDescent="0.2">
      <c r="A337" s="18" t="s">
        <v>934</v>
      </c>
      <c r="B337" s="4" t="s">
        <v>888</v>
      </c>
      <c r="C337" s="4" t="s">
        <v>187</v>
      </c>
      <c r="D337" s="20"/>
      <c r="E337" s="20"/>
      <c r="F337" s="20">
        <f t="shared" si="20"/>
        <v>0</v>
      </c>
    </row>
    <row r="338" spans="1:6" x14ac:dyDescent="0.2">
      <c r="A338" s="18" t="s">
        <v>969</v>
      </c>
      <c r="B338" s="4" t="s">
        <v>970</v>
      </c>
      <c r="C338" s="4" t="s">
        <v>187</v>
      </c>
      <c r="D338" s="20"/>
      <c r="E338" s="20"/>
      <c r="F338" s="20">
        <f t="shared" si="20"/>
        <v>0</v>
      </c>
    </row>
    <row r="339" spans="1:6" x14ac:dyDescent="0.2">
      <c r="A339" s="18" t="s">
        <v>613</v>
      </c>
      <c r="B339" s="4" t="s">
        <v>988</v>
      </c>
      <c r="C339" s="4" t="s">
        <v>187</v>
      </c>
      <c r="D339" s="20"/>
      <c r="E339" s="20"/>
      <c r="F339" s="20">
        <f t="shared" si="20"/>
        <v>0</v>
      </c>
    </row>
    <row r="340" spans="1:6" x14ac:dyDescent="0.2">
      <c r="A340" s="18" t="s">
        <v>990</v>
      </c>
      <c r="B340" s="4" t="s">
        <v>991</v>
      </c>
      <c r="C340" s="4" t="s">
        <v>187</v>
      </c>
      <c r="D340" s="20"/>
      <c r="E340" s="20"/>
      <c r="F340" s="20">
        <f t="shared" si="20"/>
        <v>0</v>
      </c>
    </row>
    <row r="341" spans="1:6" x14ac:dyDescent="0.2">
      <c r="A341" s="18" t="s">
        <v>485</v>
      </c>
      <c r="B341" s="4" t="s">
        <v>1041</v>
      </c>
      <c r="C341" s="4" t="s">
        <v>187</v>
      </c>
      <c r="D341" s="20"/>
      <c r="E341" s="20"/>
      <c r="F341" s="20">
        <f t="shared" si="20"/>
        <v>0</v>
      </c>
    </row>
    <row r="342" spans="1:6" x14ac:dyDescent="0.2">
      <c r="A342" s="18" t="s">
        <v>372</v>
      </c>
      <c r="B342" s="4" t="s">
        <v>970</v>
      </c>
      <c r="C342" s="4" t="s">
        <v>187</v>
      </c>
      <c r="D342" s="20"/>
      <c r="E342" s="20"/>
      <c r="F342" s="20">
        <f t="shared" si="20"/>
        <v>0</v>
      </c>
    </row>
    <row r="343" spans="1:6" x14ac:dyDescent="0.2">
      <c r="A343" s="18" t="s">
        <v>1126</v>
      </c>
      <c r="B343" s="4" t="s">
        <v>1128</v>
      </c>
      <c r="C343" s="4" t="s">
        <v>187</v>
      </c>
      <c r="D343" s="20"/>
      <c r="E343" s="20"/>
      <c r="F343" s="20">
        <f t="shared" si="20"/>
        <v>0</v>
      </c>
    </row>
    <row r="344" spans="1:6" x14ac:dyDescent="0.2">
      <c r="A344" s="18"/>
      <c r="B344" s="4"/>
      <c r="C344" s="4" t="s">
        <v>187</v>
      </c>
      <c r="D344" s="20"/>
      <c r="E344" s="20"/>
      <c r="F344" s="20">
        <f t="shared" si="20"/>
        <v>0</v>
      </c>
    </row>
    <row r="345" spans="1:6" x14ac:dyDescent="0.2">
      <c r="A345" s="18"/>
      <c r="B345" s="4"/>
      <c r="C345" s="4" t="s">
        <v>187</v>
      </c>
      <c r="D345" s="20"/>
      <c r="E345" s="20"/>
      <c r="F345" s="20">
        <f t="shared" si="20"/>
        <v>0</v>
      </c>
    </row>
    <row r="346" spans="1:6" x14ac:dyDescent="0.2">
      <c r="A346" s="4"/>
      <c r="B346" s="4"/>
      <c r="C346" s="4"/>
      <c r="D346" s="20"/>
      <c r="E346" s="20"/>
      <c r="F346" s="20"/>
    </row>
    <row r="347" spans="1:6" x14ac:dyDescent="0.2">
      <c r="A347" s="105" t="s">
        <v>10</v>
      </c>
      <c r="B347" s="112"/>
      <c r="C347" s="106"/>
      <c r="D347" s="20">
        <f>SUM(D329:D346)</f>
        <v>0</v>
      </c>
      <c r="E347" s="20">
        <f>SUM(E329:E346)</f>
        <v>0</v>
      </c>
      <c r="F347" s="20">
        <f>D347-E347</f>
        <v>0</v>
      </c>
    </row>
    <row r="348" spans="1:6" x14ac:dyDescent="0.2">
      <c r="A348" s="105" t="s">
        <v>11</v>
      </c>
      <c r="B348" s="112"/>
      <c r="C348" s="106"/>
      <c r="D348" s="20"/>
      <c r="E348" s="20"/>
      <c r="F348" s="20">
        <f>D348-E348</f>
        <v>0</v>
      </c>
    </row>
    <row r="349" spans="1:6" x14ac:dyDescent="0.2">
      <c r="A349" s="105" t="s">
        <v>10</v>
      </c>
      <c r="B349" s="112"/>
      <c r="C349" s="106"/>
      <c r="D349" s="4">
        <f>SUM(D347:D348)</f>
        <v>0</v>
      </c>
      <c r="E349" s="4">
        <f>SUM(E347:E348)</f>
        <v>0</v>
      </c>
      <c r="F349" s="4">
        <f>SUM(F347:F348)</f>
        <v>0</v>
      </c>
    </row>
    <row r="350" spans="1:6" x14ac:dyDescent="0.2">
      <c r="A350" s="5"/>
      <c r="B350" s="5"/>
      <c r="C350" s="5"/>
    </row>
    <row r="351" spans="1:6" x14ac:dyDescent="0.2">
      <c r="A351" s="5"/>
      <c r="B351" s="5"/>
      <c r="C351" s="5"/>
    </row>
    <row r="352" spans="1:6" x14ac:dyDescent="0.2">
      <c r="A352" s="5"/>
      <c r="B352" s="5"/>
      <c r="C352" s="5"/>
    </row>
    <row r="353" spans="1:6" x14ac:dyDescent="0.2">
      <c r="A353" s="5"/>
      <c r="B353" s="5"/>
      <c r="C353" s="5"/>
    </row>
    <row r="354" spans="1:6" x14ac:dyDescent="0.2">
      <c r="A354" s="5"/>
      <c r="B354" s="5"/>
      <c r="C354" s="5"/>
    </row>
    <row r="355" spans="1:6" x14ac:dyDescent="0.2">
      <c r="A355" s="5"/>
      <c r="B355" s="5"/>
      <c r="C355" s="5"/>
    </row>
    <row r="356" spans="1:6" x14ac:dyDescent="0.2">
      <c r="A356" s="5"/>
      <c r="B356" s="5"/>
      <c r="C356" s="5"/>
    </row>
    <row r="357" spans="1:6" x14ac:dyDescent="0.2">
      <c r="A357" s="5"/>
      <c r="B357" s="5"/>
      <c r="C357" s="5"/>
    </row>
    <row r="358" spans="1:6" x14ac:dyDescent="0.2">
      <c r="A358" s="5"/>
      <c r="B358" s="5"/>
      <c r="C358" s="5"/>
    </row>
    <row r="359" spans="1:6" x14ac:dyDescent="0.2">
      <c r="A359" s="5"/>
      <c r="B359" s="5"/>
      <c r="C359" s="5"/>
    </row>
    <row r="360" spans="1:6" x14ac:dyDescent="0.2">
      <c r="A360" s="100" t="s">
        <v>0</v>
      </c>
      <c r="B360" s="100"/>
    </row>
    <row r="361" spans="1:6" x14ac:dyDescent="0.2">
      <c r="A361" s="100" t="s">
        <v>1</v>
      </c>
      <c r="B361" s="100"/>
    </row>
    <row r="362" spans="1:6" x14ac:dyDescent="0.2">
      <c r="A362" s="101" t="s">
        <v>2</v>
      </c>
      <c r="B362" s="101"/>
      <c r="C362" s="101"/>
      <c r="D362" s="101"/>
      <c r="E362" s="101"/>
      <c r="F362" s="101"/>
    </row>
    <row r="363" spans="1:6" x14ac:dyDescent="0.2">
      <c r="A363" s="122" t="s">
        <v>157</v>
      </c>
      <c r="B363" s="122"/>
      <c r="D363" s="123" t="s">
        <v>699</v>
      </c>
    </row>
    <row r="364" spans="1:6" x14ac:dyDescent="0.2">
      <c r="D364" s="1" t="s">
        <v>70</v>
      </c>
    </row>
    <row r="365" spans="1:6" x14ac:dyDescent="0.2">
      <c r="A365" s="103" t="s">
        <v>3</v>
      </c>
      <c r="B365" s="103" t="s">
        <v>4</v>
      </c>
      <c r="C365" s="103" t="s">
        <v>5</v>
      </c>
      <c r="D365" s="105" t="s">
        <v>6</v>
      </c>
      <c r="E365" s="106"/>
      <c r="F365" s="103" t="s">
        <v>9</v>
      </c>
    </row>
    <row r="366" spans="1:6" x14ac:dyDescent="0.2">
      <c r="A366" s="104"/>
      <c r="B366" s="104"/>
      <c r="C366" s="104"/>
      <c r="D366" s="3" t="s">
        <v>7</v>
      </c>
      <c r="E366" s="3" t="s">
        <v>8</v>
      </c>
      <c r="F366" s="104"/>
    </row>
    <row r="367" spans="1:6" x14ac:dyDescent="0.2">
      <c r="A367" s="18" t="s">
        <v>1215</v>
      </c>
      <c r="B367" s="4" t="s">
        <v>1232</v>
      </c>
      <c r="C367" s="4" t="s">
        <v>187</v>
      </c>
      <c r="D367" s="20"/>
      <c r="E367" s="20">
        <v>0</v>
      </c>
      <c r="F367" s="20">
        <f>D367+E367</f>
        <v>0</v>
      </c>
    </row>
    <row r="368" spans="1:6" x14ac:dyDescent="0.2">
      <c r="A368" s="18" t="s">
        <v>246</v>
      </c>
      <c r="B368" s="4" t="s">
        <v>1318</v>
      </c>
      <c r="C368" s="4" t="s">
        <v>187</v>
      </c>
      <c r="D368" s="20"/>
      <c r="E368" s="20"/>
      <c r="F368" s="20">
        <f>F367+D368</f>
        <v>0</v>
      </c>
    </row>
    <row r="369" spans="1:6" x14ac:dyDescent="0.2">
      <c r="A369" s="18" t="s">
        <v>580</v>
      </c>
      <c r="B369" s="4" t="s">
        <v>1318</v>
      </c>
      <c r="C369" s="4" t="s">
        <v>187</v>
      </c>
      <c r="D369" s="20"/>
      <c r="E369" s="20"/>
      <c r="F369" s="20">
        <f t="shared" ref="F369:F378" si="21">F368+D369</f>
        <v>0</v>
      </c>
    </row>
    <row r="370" spans="1:6" x14ac:dyDescent="0.2">
      <c r="A370" s="18" t="s">
        <v>282</v>
      </c>
      <c r="B370" s="4" t="s">
        <v>402</v>
      </c>
      <c r="C370" s="4" t="s">
        <v>187</v>
      </c>
      <c r="D370" s="20"/>
      <c r="E370" s="20"/>
      <c r="F370" s="20">
        <f t="shared" si="21"/>
        <v>0</v>
      </c>
    </row>
    <row r="371" spans="1:6" x14ac:dyDescent="0.2">
      <c r="A371" s="18" t="s">
        <v>595</v>
      </c>
      <c r="B371" s="4" t="s">
        <v>402</v>
      </c>
      <c r="C371" s="4" t="s">
        <v>187</v>
      </c>
      <c r="D371" s="20"/>
      <c r="E371" s="20"/>
      <c r="F371" s="20">
        <f t="shared" si="21"/>
        <v>0</v>
      </c>
    </row>
    <row r="372" spans="1:6" x14ac:dyDescent="0.2">
      <c r="A372" s="18" t="s">
        <v>883</v>
      </c>
      <c r="B372" s="4" t="s">
        <v>402</v>
      </c>
      <c r="C372" s="4" t="s">
        <v>187</v>
      </c>
      <c r="D372" s="20"/>
      <c r="E372" s="20"/>
      <c r="F372" s="20">
        <f t="shared" si="21"/>
        <v>0</v>
      </c>
    </row>
    <row r="373" spans="1:6" x14ac:dyDescent="0.2">
      <c r="A373" s="18" t="s">
        <v>934</v>
      </c>
      <c r="B373" s="4" t="s">
        <v>402</v>
      </c>
      <c r="C373" s="4" t="s">
        <v>187</v>
      </c>
      <c r="D373" s="20"/>
      <c r="E373" s="20"/>
      <c r="F373" s="20">
        <f t="shared" si="21"/>
        <v>0</v>
      </c>
    </row>
    <row r="374" spans="1:6" x14ac:dyDescent="0.2">
      <c r="A374" s="18" t="s">
        <v>974</v>
      </c>
      <c r="B374" s="4" t="s">
        <v>402</v>
      </c>
      <c r="C374" s="4" t="s">
        <v>187</v>
      </c>
      <c r="D374" s="20"/>
      <c r="E374" s="20"/>
      <c r="F374" s="20">
        <f t="shared" si="21"/>
        <v>0</v>
      </c>
    </row>
    <row r="375" spans="1:6" x14ac:dyDescent="0.2">
      <c r="A375" s="18" t="s">
        <v>1004</v>
      </c>
      <c r="B375" s="4" t="s">
        <v>402</v>
      </c>
      <c r="C375" s="4" t="s">
        <v>187</v>
      </c>
      <c r="D375" s="20"/>
      <c r="E375" s="20"/>
      <c r="F375" s="20">
        <f t="shared" si="21"/>
        <v>0</v>
      </c>
    </row>
    <row r="376" spans="1:6" x14ac:dyDescent="0.2">
      <c r="A376" s="18" t="s">
        <v>1077</v>
      </c>
      <c r="B376" s="4" t="s">
        <v>402</v>
      </c>
      <c r="C376" s="4" t="s">
        <v>187</v>
      </c>
      <c r="D376" s="20"/>
      <c r="E376" s="20"/>
      <c r="F376" s="20">
        <f t="shared" si="21"/>
        <v>0</v>
      </c>
    </row>
    <row r="377" spans="1:6" x14ac:dyDescent="0.2">
      <c r="A377" s="18" t="s">
        <v>1114</v>
      </c>
      <c r="B377" s="4" t="s">
        <v>402</v>
      </c>
      <c r="C377" s="4" t="s">
        <v>187</v>
      </c>
      <c r="D377" s="20"/>
      <c r="E377" s="20"/>
      <c r="F377" s="20">
        <f t="shared" si="21"/>
        <v>0</v>
      </c>
    </row>
    <row r="378" spans="1:6" x14ac:dyDescent="0.2">
      <c r="A378" s="18" t="s">
        <v>1181</v>
      </c>
      <c r="B378" s="4" t="s">
        <v>402</v>
      </c>
      <c r="C378" s="4" t="s">
        <v>187</v>
      </c>
      <c r="D378" s="20"/>
      <c r="E378" s="20"/>
      <c r="F378" s="20">
        <f t="shared" si="21"/>
        <v>0</v>
      </c>
    </row>
    <row r="379" spans="1:6" x14ac:dyDescent="0.2">
      <c r="A379" s="4"/>
      <c r="B379" s="4"/>
      <c r="C379" s="4"/>
      <c r="D379" s="20"/>
      <c r="E379" s="20"/>
      <c r="F379" s="20"/>
    </row>
    <row r="380" spans="1:6" x14ac:dyDescent="0.2">
      <c r="A380" s="105" t="s">
        <v>10</v>
      </c>
      <c r="B380" s="112"/>
      <c r="C380" s="106"/>
      <c r="D380" s="20">
        <f>SUM(D367:D379)</f>
        <v>0</v>
      </c>
      <c r="E380" s="20">
        <f>SUM(E367:E379)</f>
        <v>0</v>
      </c>
      <c r="F380" s="20">
        <f>D380-E380</f>
        <v>0</v>
      </c>
    </row>
    <row r="381" spans="1:6" x14ac:dyDescent="0.2">
      <c r="A381" s="105" t="s">
        <v>11</v>
      </c>
      <c r="B381" s="112"/>
      <c r="C381" s="106"/>
      <c r="D381" s="20"/>
      <c r="E381" s="20"/>
      <c r="F381" s="20">
        <f>D381-E381</f>
        <v>0</v>
      </c>
    </row>
    <row r="382" spans="1:6" x14ac:dyDescent="0.2">
      <c r="A382" s="105" t="s">
        <v>10</v>
      </c>
      <c r="B382" s="112"/>
      <c r="C382" s="106"/>
      <c r="D382" s="20">
        <f>SUM(D380:D381)</f>
        <v>0</v>
      </c>
      <c r="E382" s="20">
        <f>SUM(E380:E381)</f>
        <v>0</v>
      </c>
      <c r="F382" s="20">
        <f>SUM(F380:F381)</f>
        <v>0</v>
      </c>
    </row>
    <row r="384" spans="1:6" x14ac:dyDescent="0.2">
      <c r="A384" s="100" t="s">
        <v>0</v>
      </c>
      <c r="B384" s="100"/>
    </row>
    <row r="385" spans="1:6" x14ac:dyDescent="0.2">
      <c r="A385" s="100" t="s">
        <v>1</v>
      </c>
      <c r="B385" s="100"/>
    </row>
    <row r="386" spans="1:6" x14ac:dyDescent="0.2">
      <c r="A386" s="101" t="s">
        <v>2</v>
      </c>
      <c r="B386" s="101"/>
      <c r="C386" s="101"/>
      <c r="D386" s="101"/>
      <c r="E386" s="101"/>
      <c r="F386" s="101"/>
    </row>
    <row r="387" spans="1:6" x14ac:dyDescent="0.2">
      <c r="A387" s="109" t="s">
        <v>158</v>
      </c>
      <c r="B387" s="109"/>
      <c r="D387" s="2" t="s">
        <v>700</v>
      </c>
    </row>
    <row r="388" spans="1:6" x14ac:dyDescent="0.2">
      <c r="A388" s="12"/>
      <c r="B388" s="12" t="s">
        <v>467</v>
      </c>
      <c r="D388" s="2"/>
    </row>
    <row r="389" spans="1:6" x14ac:dyDescent="0.2">
      <c r="D389" s="1" t="s">
        <v>70</v>
      </c>
    </row>
    <row r="390" spans="1:6" x14ac:dyDescent="0.2">
      <c r="A390" s="103" t="s">
        <v>3</v>
      </c>
      <c r="B390" s="103" t="s">
        <v>4</v>
      </c>
      <c r="C390" s="103" t="s">
        <v>5</v>
      </c>
      <c r="D390" s="105" t="s">
        <v>6</v>
      </c>
      <c r="E390" s="106"/>
      <c r="F390" s="103" t="s">
        <v>9</v>
      </c>
    </row>
    <row r="391" spans="1:6" x14ac:dyDescent="0.2">
      <c r="A391" s="104"/>
      <c r="B391" s="104"/>
      <c r="C391" s="104"/>
      <c r="D391" s="3" t="s">
        <v>7</v>
      </c>
      <c r="E391" s="3" t="s">
        <v>8</v>
      </c>
      <c r="F391" s="104"/>
    </row>
    <row r="392" spans="1:6" x14ac:dyDescent="0.2">
      <c r="A392" s="18" t="s">
        <v>494</v>
      </c>
      <c r="B392" s="4" t="s">
        <v>467</v>
      </c>
      <c r="C392" s="4" t="s">
        <v>187</v>
      </c>
      <c r="D392" s="20"/>
      <c r="E392" s="20">
        <v>0</v>
      </c>
      <c r="F392" s="20">
        <f>D392+E392</f>
        <v>0</v>
      </c>
    </row>
    <row r="393" spans="1:6" x14ac:dyDescent="0.2">
      <c r="A393" s="18" t="s">
        <v>474</v>
      </c>
      <c r="B393" s="4" t="s">
        <v>467</v>
      </c>
      <c r="C393" s="4" t="s">
        <v>187</v>
      </c>
      <c r="D393" s="20"/>
      <c r="E393" s="20"/>
      <c r="F393" s="20">
        <f>F392+D393</f>
        <v>0</v>
      </c>
    </row>
    <row r="394" spans="1:6" x14ac:dyDescent="0.2">
      <c r="A394" s="18" t="s">
        <v>476</v>
      </c>
      <c r="B394" s="4" t="s">
        <v>467</v>
      </c>
      <c r="C394" s="4" t="s">
        <v>187</v>
      </c>
      <c r="D394" s="20"/>
      <c r="E394" s="20"/>
      <c r="F394" s="20">
        <f t="shared" ref="F394:F403" si="22">F393+D394</f>
        <v>0</v>
      </c>
    </row>
    <row r="395" spans="1:6" x14ac:dyDescent="0.2">
      <c r="A395" s="18" t="s">
        <v>798</v>
      </c>
      <c r="B395" s="4" t="s">
        <v>467</v>
      </c>
      <c r="C395" s="4" t="s">
        <v>187</v>
      </c>
      <c r="D395" s="20"/>
      <c r="E395" s="20"/>
      <c r="F395" s="20">
        <f t="shared" si="22"/>
        <v>0</v>
      </c>
    </row>
    <row r="396" spans="1:6" x14ac:dyDescent="0.2">
      <c r="A396" s="18" t="s">
        <v>838</v>
      </c>
      <c r="B396" s="4" t="s">
        <v>467</v>
      </c>
      <c r="C396" s="4" t="s">
        <v>187</v>
      </c>
      <c r="D396" s="20"/>
      <c r="E396" s="20"/>
      <c r="F396" s="20">
        <f t="shared" si="22"/>
        <v>0</v>
      </c>
    </row>
    <row r="397" spans="1:6" x14ac:dyDescent="0.2">
      <c r="A397" s="18" t="s">
        <v>885</v>
      </c>
      <c r="B397" s="4" t="s">
        <v>467</v>
      </c>
      <c r="C397" s="4" t="s">
        <v>187</v>
      </c>
      <c r="D397" s="20"/>
      <c r="E397" s="20"/>
      <c r="F397" s="20">
        <f t="shared" si="22"/>
        <v>0</v>
      </c>
    </row>
    <row r="398" spans="1:6" x14ac:dyDescent="0.2">
      <c r="A398" s="18" t="s">
        <v>932</v>
      </c>
      <c r="B398" s="4" t="s">
        <v>467</v>
      </c>
      <c r="C398" s="4" t="s">
        <v>187</v>
      </c>
      <c r="D398" s="20"/>
      <c r="E398" s="20"/>
      <c r="F398" s="20">
        <f t="shared" si="22"/>
        <v>0</v>
      </c>
    </row>
    <row r="399" spans="1:6" x14ac:dyDescent="0.2">
      <c r="A399" s="18" t="s">
        <v>613</v>
      </c>
      <c r="B399" s="4" t="s">
        <v>467</v>
      </c>
      <c r="C399" s="4" t="s">
        <v>187</v>
      </c>
      <c r="D399" s="20"/>
      <c r="E399" s="20"/>
      <c r="F399" s="20">
        <f t="shared" si="22"/>
        <v>0</v>
      </c>
    </row>
    <row r="400" spans="1:6" x14ac:dyDescent="0.2">
      <c r="A400" s="18" t="s">
        <v>485</v>
      </c>
      <c r="B400" s="4" t="s">
        <v>467</v>
      </c>
      <c r="C400" s="4" t="s">
        <v>187</v>
      </c>
      <c r="D400" s="20"/>
      <c r="E400" s="20"/>
      <c r="F400" s="20">
        <f t="shared" si="22"/>
        <v>0</v>
      </c>
    </row>
    <row r="401" spans="1:6" x14ac:dyDescent="0.2">
      <c r="A401" s="18" t="s">
        <v>372</v>
      </c>
      <c r="B401" s="4" t="s">
        <v>467</v>
      </c>
      <c r="C401" s="4" t="s">
        <v>187</v>
      </c>
      <c r="D401" s="20"/>
      <c r="E401" s="20"/>
      <c r="F401" s="20">
        <f t="shared" si="22"/>
        <v>0</v>
      </c>
    </row>
    <row r="402" spans="1:6" x14ac:dyDescent="0.2">
      <c r="A402" s="18" t="s">
        <v>1126</v>
      </c>
      <c r="B402" s="4" t="s">
        <v>467</v>
      </c>
      <c r="C402" s="4" t="s">
        <v>187</v>
      </c>
      <c r="D402" s="20"/>
      <c r="E402" s="20"/>
      <c r="F402" s="20">
        <f t="shared" si="22"/>
        <v>0</v>
      </c>
    </row>
    <row r="403" spans="1:6" x14ac:dyDescent="0.2">
      <c r="A403" s="18" t="s">
        <v>1181</v>
      </c>
      <c r="B403" s="4" t="s">
        <v>467</v>
      </c>
      <c r="C403" s="4" t="s">
        <v>187</v>
      </c>
      <c r="D403" s="20"/>
      <c r="E403" s="20"/>
      <c r="F403" s="20">
        <f t="shared" si="22"/>
        <v>0</v>
      </c>
    </row>
    <row r="404" spans="1:6" x14ac:dyDescent="0.2">
      <c r="A404" s="105" t="s">
        <v>10</v>
      </c>
      <c r="B404" s="112"/>
      <c r="C404" s="106"/>
      <c r="D404" s="20">
        <f>SUM(D392:D403)</f>
        <v>0</v>
      </c>
      <c r="E404" s="20">
        <f>SUM(E392:E403)</f>
        <v>0</v>
      </c>
      <c r="F404" s="20">
        <f>D404-E404</f>
        <v>0</v>
      </c>
    </row>
    <row r="405" spans="1:6" x14ac:dyDescent="0.2">
      <c r="A405" s="105" t="s">
        <v>11</v>
      </c>
      <c r="B405" s="112"/>
      <c r="C405" s="106"/>
      <c r="D405" s="20"/>
      <c r="E405" s="20"/>
      <c r="F405" s="20">
        <f>D405-E405</f>
        <v>0</v>
      </c>
    </row>
    <row r="406" spans="1:6" x14ac:dyDescent="0.2">
      <c r="A406" s="105" t="s">
        <v>10</v>
      </c>
      <c r="B406" s="112"/>
      <c r="C406" s="106"/>
      <c r="D406" s="20">
        <f>SUM(D404:D405)</f>
        <v>0</v>
      </c>
      <c r="E406" s="20">
        <f>SUM(E404:E405)</f>
        <v>0</v>
      </c>
      <c r="F406" s="20">
        <f>SUM(F404:F405)</f>
        <v>0</v>
      </c>
    </row>
    <row r="409" spans="1:6" x14ac:dyDescent="0.2">
      <c r="A409" s="100" t="s">
        <v>0</v>
      </c>
      <c r="B409" s="100"/>
    </row>
    <row r="410" spans="1:6" x14ac:dyDescent="0.2">
      <c r="A410" s="100" t="s">
        <v>1</v>
      </c>
      <c r="B410" s="100"/>
    </row>
    <row r="411" spans="1:6" x14ac:dyDescent="0.2">
      <c r="A411" s="101" t="s">
        <v>2</v>
      </c>
      <c r="B411" s="101"/>
      <c r="C411" s="101"/>
      <c r="D411" s="101"/>
      <c r="E411" s="101"/>
      <c r="F411" s="101"/>
    </row>
    <row r="412" spans="1:6" x14ac:dyDescent="0.2">
      <c r="A412" s="122" t="s">
        <v>158</v>
      </c>
      <c r="B412" s="122"/>
      <c r="D412" s="123" t="s">
        <v>700</v>
      </c>
    </row>
    <row r="413" spans="1:6" x14ac:dyDescent="0.2">
      <c r="A413" s="12"/>
      <c r="B413" s="12" t="s">
        <v>468</v>
      </c>
      <c r="D413" s="2"/>
    </row>
    <row r="414" spans="1:6" x14ac:dyDescent="0.2">
      <c r="D414" s="1" t="s">
        <v>70</v>
      </c>
    </row>
    <row r="415" spans="1:6" x14ac:dyDescent="0.2">
      <c r="A415" s="103" t="s">
        <v>3</v>
      </c>
      <c r="B415" s="103" t="s">
        <v>4</v>
      </c>
      <c r="C415" s="103" t="s">
        <v>5</v>
      </c>
      <c r="D415" s="105" t="s">
        <v>6</v>
      </c>
      <c r="E415" s="106"/>
      <c r="F415" s="103" t="s">
        <v>9</v>
      </c>
    </row>
    <row r="416" spans="1:6" x14ac:dyDescent="0.2">
      <c r="A416" s="104"/>
      <c r="B416" s="104"/>
      <c r="C416" s="104"/>
      <c r="D416" s="3" t="s">
        <v>7</v>
      </c>
      <c r="E416" s="3" t="s">
        <v>8</v>
      </c>
      <c r="F416" s="104"/>
    </row>
    <row r="417" spans="1:6" x14ac:dyDescent="0.2">
      <c r="A417" s="18" t="s">
        <v>1222</v>
      </c>
      <c r="B417" s="4" t="s">
        <v>1269</v>
      </c>
      <c r="C417" s="4" t="s">
        <v>187</v>
      </c>
      <c r="D417" s="20"/>
      <c r="E417" s="20">
        <v>0</v>
      </c>
      <c r="F417" s="20">
        <f>D417+E417</f>
        <v>0</v>
      </c>
    </row>
    <row r="418" spans="1:6" x14ac:dyDescent="0.2">
      <c r="A418" s="18" t="s">
        <v>1222</v>
      </c>
      <c r="B418" s="4" t="s">
        <v>1270</v>
      </c>
      <c r="C418" s="4" t="s">
        <v>187</v>
      </c>
      <c r="D418" s="20"/>
      <c r="E418" s="20"/>
      <c r="F418" s="20">
        <f>F417+D418</f>
        <v>0</v>
      </c>
    </row>
    <row r="419" spans="1:6" x14ac:dyDescent="0.2">
      <c r="A419" s="18" t="s">
        <v>1222</v>
      </c>
      <c r="B419" s="4" t="s">
        <v>1271</v>
      </c>
      <c r="C419" s="4" t="s">
        <v>187</v>
      </c>
      <c r="D419" s="20"/>
      <c r="E419" s="20"/>
      <c r="F419" s="20">
        <f t="shared" ref="F419:F437" si="23">F418+D419</f>
        <v>0</v>
      </c>
    </row>
    <row r="420" spans="1:6" x14ac:dyDescent="0.2">
      <c r="A420" s="18" t="s">
        <v>474</v>
      </c>
      <c r="B420" s="4" t="s">
        <v>1345</v>
      </c>
      <c r="C420" s="4" t="s">
        <v>187</v>
      </c>
      <c r="D420" s="20"/>
      <c r="E420" s="20"/>
      <c r="F420" s="20">
        <f t="shared" si="23"/>
        <v>0</v>
      </c>
    </row>
    <row r="421" spans="1:6" x14ac:dyDescent="0.2">
      <c r="A421" s="18" t="s">
        <v>474</v>
      </c>
      <c r="B421" s="4" t="s">
        <v>1346</v>
      </c>
      <c r="C421" s="4" t="s">
        <v>187</v>
      </c>
      <c r="D421" s="20"/>
      <c r="E421" s="20"/>
      <c r="F421" s="20">
        <f t="shared" si="23"/>
        <v>0</v>
      </c>
    </row>
    <row r="422" spans="1:6" x14ac:dyDescent="0.2">
      <c r="A422" s="18" t="s">
        <v>476</v>
      </c>
      <c r="B422" s="4" t="s">
        <v>1345</v>
      </c>
      <c r="C422" s="4" t="s">
        <v>187</v>
      </c>
      <c r="D422" s="20"/>
      <c r="E422" s="20"/>
      <c r="F422" s="20">
        <f t="shared" si="23"/>
        <v>0</v>
      </c>
    </row>
    <row r="423" spans="1:6" x14ac:dyDescent="0.2">
      <c r="A423" s="18" t="s">
        <v>543</v>
      </c>
      <c r="B423" s="4" t="s">
        <v>1024</v>
      </c>
      <c r="C423" s="4" t="s">
        <v>187</v>
      </c>
      <c r="D423" s="20"/>
      <c r="E423" s="20"/>
      <c r="F423" s="20">
        <f t="shared" si="23"/>
        <v>0</v>
      </c>
    </row>
    <row r="424" spans="1:6" x14ac:dyDescent="0.2">
      <c r="A424" s="18" t="s">
        <v>1063</v>
      </c>
      <c r="B424" s="27" t="s">
        <v>1065</v>
      </c>
      <c r="C424" s="4" t="s">
        <v>187</v>
      </c>
      <c r="D424" s="20"/>
      <c r="E424" s="20"/>
      <c r="F424" s="20">
        <f t="shared" si="23"/>
        <v>0</v>
      </c>
    </row>
    <row r="425" spans="1:6" x14ac:dyDescent="0.2">
      <c r="A425" s="18" t="s">
        <v>1114</v>
      </c>
      <c r="B425" s="4" t="s">
        <v>1115</v>
      </c>
      <c r="C425" s="4" t="s">
        <v>187</v>
      </c>
      <c r="D425" s="20"/>
      <c r="E425" s="20"/>
      <c r="F425" s="20">
        <f t="shared" si="23"/>
        <v>0</v>
      </c>
    </row>
    <row r="426" spans="1:6" x14ac:dyDescent="0.2">
      <c r="A426" s="18" t="s">
        <v>489</v>
      </c>
      <c r="B426" s="4" t="s">
        <v>1120</v>
      </c>
      <c r="C426" s="4" t="s">
        <v>187</v>
      </c>
      <c r="D426" s="20"/>
      <c r="E426" s="20"/>
      <c r="F426" s="20">
        <f t="shared" si="23"/>
        <v>0</v>
      </c>
    </row>
    <row r="427" spans="1:6" x14ac:dyDescent="0.2">
      <c r="A427" s="18" t="s">
        <v>1162</v>
      </c>
      <c r="B427" s="4" t="s">
        <v>1172</v>
      </c>
      <c r="C427" s="4" t="s">
        <v>187</v>
      </c>
      <c r="D427" s="20"/>
      <c r="E427" s="20"/>
      <c r="F427" s="20">
        <f t="shared" si="23"/>
        <v>0</v>
      </c>
    </row>
    <row r="428" spans="1:6" x14ac:dyDescent="0.2">
      <c r="A428" s="18" t="s">
        <v>449</v>
      </c>
      <c r="B428" s="27" t="s">
        <v>1199</v>
      </c>
      <c r="C428" s="4" t="s">
        <v>187</v>
      </c>
      <c r="D428" s="20"/>
      <c r="E428" s="20"/>
      <c r="F428" s="20">
        <f t="shared" si="23"/>
        <v>0</v>
      </c>
    </row>
    <row r="429" spans="1:6" x14ac:dyDescent="0.2">
      <c r="A429" s="18"/>
      <c r="B429" s="4"/>
      <c r="C429" s="4" t="s">
        <v>187</v>
      </c>
      <c r="D429" s="20"/>
      <c r="E429" s="20"/>
      <c r="F429" s="20">
        <f t="shared" si="23"/>
        <v>0</v>
      </c>
    </row>
    <row r="430" spans="1:6" x14ac:dyDescent="0.2">
      <c r="A430" s="18"/>
      <c r="B430" s="4"/>
      <c r="C430" s="4" t="s">
        <v>187</v>
      </c>
      <c r="D430" s="20"/>
      <c r="E430" s="20"/>
      <c r="F430" s="20">
        <f t="shared" si="23"/>
        <v>0</v>
      </c>
    </row>
    <row r="431" spans="1:6" x14ac:dyDescent="0.2">
      <c r="A431" s="18"/>
      <c r="B431" s="27"/>
      <c r="C431" s="4" t="s">
        <v>187</v>
      </c>
      <c r="D431" s="20"/>
      <c r="E431" s="20"/>
      <c r="F431" s="20">
        <f t="shared" si="23"/>
        <v>0</v>
      </c>
    </row>
    <row r="432" spans="1:6" x14ac:dyDescent="0.2">
      <c r="A432" s="18"/>
      <c r="B432" s="27"/>
      <c r="C432" s="4" t="s">
        <v>187</v>
      </c>
      <c r="D432" s="20"/>
      <c r="E432" s="20"/>
      <c r="F432" s="20">
        <f t="shared" si="23"/>
        <v>0</v>
      </c>
    </row>
    <row r="433" spans="1:6" x14ac:dyDescent="0.2">
      <c r="A433" s="18"/>
      <c r="B433" s="27"/>
      <c r="C433" s="4" t="s">
        <v>187</v>
      </c>
      <c r="D433" s="20"/>
      <c r="E433" s="20"/>
      <c r="F433" s="20">
        <f t="shared" si="23"/>
        <v>0</v>
      </c>
    </row>
    <row r="434" spans="1:6" x14ac:dyDescent="0.2">
      <c r="A434" s="18"/>
      <c r="B434" s="27"/>
      <c r="C434" s="4" t="s">
        <v>187</v>
      </c>
      <c r="D434" s="20"/>
      <c r="E434" s="20"/>
      <c r="F434" s="20">
        <f t="shared" si="23"/>
        <v>0</v>
      </c>
    </row>
    <row r="435" spans="1:6" x14ac:dyDescent="0.2">
      <c r="A435" s="18"/>
      <c r="B435" s="4"/>
      <c r="C435" s="4" t="s">
        <v>187</v>
      </c>
      <c r="D435" s="20"/>
      <c r="E435" s="20"/>
      <c r="F435" s="20">
        <f t="shared" si="23"/>
        <v>0</v>
      </c>
    </row>
    <row r="436" spans="1:6" x14ac:dyDescent="0.2">
      <c r="A436" s="18"/>
      <c r="B436" s="4"/>
      <c r="C436" s="4" t="s">
        <v>187</v>
      </c>
      <c r="D436" s="20"/>
      <c r="E436" s="20"/>
      <c r="F436" s="20">
        <f t="shared" si="23"/>
        <v>0</v>
      </c>
    </row>
    <row r="437" spans="1:6" x14ac:dyDescent="0.2">
      <c r="A437" s="18"/>
      <c r="B437" s="4"/>
      <c r="C437" s="4" t="s">
        <v>187</v>
      </c>
      <c r="D437" s="20"/>
      <c r="E437" s="20"/>
      <c r="F437" s="20">
        <f t="shared" si="23"/>
        <v>0</v>
      </c>
    </row>
    <row r="438" spans="1:6" x14ac:dyDescent="0.2">
      <c r="A438" s="105" t="s">
        <v>10</v>
      </c>
      <c r="B438" s="112"/>
      <c r="C438" s="106"/>
      <c r="D438" s="20">
        <f>SUM(D417:D437)</f>
        <v>0</v>
      </c>
      <c r="E438" s="20">
        <f>SUM(E417:E437)</f>
        <v>0</v>
      </c>
      <c r="F438" s="20">
        <f>D438-E438</f>
        <v>0</v>
      </c>
    </row>
    <row r="439" spans="1:6" x14ac:dyDescent="0.2">
      <c r="A439" s="105" t="s">
        <v>11</v>
      </c>
      <c r="B439" s="112"/>
      <c r="C439" s="106"/>
      <c r="D439" s="20"/>
      <c r="E439" s="20"/>
      <c r="F439" s="20">
        <f>D439-E439</f>
        <v>0</v>
      </c>
    </row>
    <row r="440" spans="1:6" x14ac:dyDescent="0.2">
      <c r="A440" s="105" t="s">
        <v>10</v>
      </c>
      <c r="B440" s="112"/>
      <c r="C440" s="106"/>
      <c r="D440" s="20">
        <f>SUM(D438:D439)</f>
        <v>0</v>
      </c>
      <c r="E440" s="20">
        <f>SUM(E438:E439)</f>
        <v>0</v>
      </c>
      <c r="F440" s="20">
        <f>SUM(F438:F439)</f>
        <v>0</v>
      </c>
    </row>
    <row r="441" spans="1:6" x14ac:dyDescent="0.2">
      <c r="A441" s="5"/>
      <c r="B441" s="5"/>
      <c r="C441" s="5"/>
    </row>
    <row r="443" spans="1:6" x14ac:dyDescent="0.2">
      <c r="A443" s="100" t="s">
        <v>0</v>
      </c>
      <c r="B443" s="100"/>
    </row>
    <row r="444" spans="1:6" x14ac:dyDescent="0.2">
      <c r="A444" s="100" t="s">
        <v>1</v>
      </c>
      <c r="B444" s="100"/>
    </row>
    <row r="445" spans="1:6" x14ac:dyDescent="0.2">
      <c r="A445" s="101" t="s">
        <v>2</v>
      </c>
      <c r="B445" s="101"/>
      <c r="C445" s="101"/>
      <c r="D445" s="101"/>
      <c r="E445" s="101"/>
      <c r="F445" s="101"/>
    </row>
    <row r="446" spans="1:6" x14ac:dyDescent="0.2">
      <c r="A446" s="122" t="s">
        <v>159</v>
      </c>
      <c r="B446" s="122"/>
      <c r="D446" s="123" t="s">
        <v>701</v>
      </c>
    </row>
    <row r="447" spans="1:6" x14ac:dyDescent="0.2">
      <c r="D447" s="1" t="s">
        <v>70</v>
      </c>
    </row>
    <row r="448" spans="1:6" x14ac:dyDescent="0.2">
      <c r="A448" s="103" t="s">
        <v>3</v>
      </c>
      <c r="B448" s="103" t="s">
        <v>4</v>
      </c>
      <c r="C448" s="103" t="s">
        <v>5</v>
      </c>
      <c r="D448" s="105" t="s">
        <v>6</v>
      </c>
      <c r="E448" s="106"/>
      <c r="F448" s="103" t="s">
        <v>9</v>
      </c>
    </row>
    <row r="449" spans="1:6" x14ac:dyDescent="0.2">
      <c r="A449" s="104"/>
      <c r="B449" s="104"/>
      <c r="C449" s="104"/>
      <c r="D449" s="3" t="s">
        <v>7</v>
      </c>
      <c r="E449" s="3" t="s">
        <v>8</v>
      </c>
      <c r="F449" s="104"/>
    </row>
    <row r="450" spans="1:6" x14ac:dyDescent="0.2">
      <c r="A450" s="18" t="s">
        <v>1234</v>
      </c>
      <c r="B450" s="4" t="s">
        <v>420</v>
      </c>
      <c r="C450" s="4" t="s">
        <v>187</v>
      </c>
      <c r="D450" s="46"/>
      <c r="E450" s="20">
        <v>0</v>
      </c>
      <c r="F450" s="20">
        <f>D450+E450</f>
        <v>0</v>
      </c>
    </row>
    <row r="451" spans="1:6" x14ac:dyDescent="0.2">
      <c r="A451" s="18" t="s">
        <v>755</v>
      </c>
      <c r="B451" s="4" t="s">
        <v>420</v>
      </c>
      <c r="C451" s="4" t="s">
        <v>187</v>
      </c>
      <c r="D451" s="20"/>
      <c r="E451" s="20"/>
      <c r="F451" s="20">
        <f>F450+D451</f>
        <v>0</v>
      </c>
    </row>
    <row r="452" spans="1:6" x14ac:dyDescent="0.2">
      <c r="A452" s="18" t="s">
        <v>575</v>
      </c>
      <c r="B452" s="4" t="s">
        <v>420</v>
      </c>
      <c r="C452" s="4" t="s">
        <v>187</v>
      </c>
      <c r="D452" s="20"/>
      <c r="E452" s="20"/>
      <c r="F452" s="20">
        <f t="shared" ref="F452:F457" si="24">F451+D452</f>
        <v>0</v>
      </c>
    </row>
    <row r="453" spans="1:6" x14ac:dyDescent="0.2">
      <c r="A453" s="18" t="s">
        <v>766</v>
      </c>
      <c r="B453" s="4" t="s">
        <v>420</v>
      </c>
      <c r="C453" s="4" t="s">
        <v>187</v>
      </c>
      <c r="D453" s="20"/>
      <c r="E453" s="20"/>
      <c r="F453" s="20">
        <f t="shared" si="24"/>
        <v>0</v>
      </c>
    </row>
    <row r="454" spans="1:6" x14ac:dyDescent="0.2">
      <c r="A454" s="18" t="s">
        <v>798</v>
      </c>
      <c r="B454" s="4" t="s">
        <v>420</v>
      </c>
      <c r="C454" s="4" t="s">
        <v>187</v>
      </c>
      <c r="D454" s="20"/>
      <c r="E454" s="20"/>
      <c r="F454" s="20">
        <f t="shared" si="24"/>
        <v>0</v>
      </c>
    </row>
    <row r="455" spans="1:6" x14ac:dyDescent="0.2">
      <c r="A455" s="18" t="s">
        <v>861</v>
      </c>
      <c r="B455" s="4" t="s">
        <v>420</v>
      </c>
      <c r="C455" s="4" t="s">
        <v>187</v>
      </c>
      <c r="D455" s="20"/>
      <c r="E455" s="20"/>
      <c r="F455" s="20">
        <f t="shared" si="24"/>
        <v>0</v>
      </c>
    </row>
    <row r="456" spans="1:6" x14ac:dyDescent="0.2">
      <c r="A456" s="18" t="s">
        <v>608</v>
      </c>
      <c r="B456" s="4" t="s">
        <v>420</v>
      </c>
      <c r="C456" s="4" t="s">
        <v>187</v>
      </c>
      <c r="D456" s="20"/>
      <c r="E456" s="20"/>
      <c r="F456" s="20">
        <f t="shared" si="24"/>
        <v>0</v>
      </c>
    </row>
    <row r="457" spans="1:6" x14ac:dyDescent="0.2">
      <c r="A457" s="18" t="s">
        <v>930</v>
      </c>
      <c r="B457" s="4" t="s">
        <v>420</v>
      </c>
      <c r="C457" s="4" t="s">
        <v>187</v>
      </c>
      <c r="D457" s="20"/>
      <c r="E457" s="20"/>
      <c r="F457" s="20">
        <f t="shared" si="24"/>
        <v>0</v>
      </c>
    </row>
    <row r="458" spans="1:6" x14ac:dyDescent="0.2">
      <c r="A458" s="18" t="s">
        <v>999</v>
      </c>
      <c r="B458" s="4" t="s">
        <v>420</v>
      </c>
      <c r="C458" s="4" t="s">
        <v>187</v>
      </c>
      <c r="D458" s="20"/>
      <c r="E458" s="20"/>
      <c r="F458" s="20">
        <f t="shared" ref="F458:F461" si="25">F457+D458</f>
        <v>0</v>
      </c>
    </row>
    <row r="459" spans="1:6" x14ac:dyDescent="0.2">
      <c r="A459" s="18" t="s">
        <v>631</v>
      </c>
      <c r="B459" s="4" t="s">
        <v>420</v>
      </c>
      <c r="C459" s="4" t="s">
        <v>187</v>
      </c>
      <c r="D459" s="20"/>
      <c r="E459" s="20"/>
      <c r="F459" s="20">
        <f t="shared" si="25"/>
        <v>0</v>
      </c>
    </row>
    <row r="460" spans="1:6" x14ac:dyDescent="0.2">
      <c r="A460" s="18" t="s">
        <v>1113</v>
      </c>
      <c r="B460" s="4" t="s">
        <v>420</v>
      </c>
      <c r="C460" s="4" t="s">
        <v>187</v>
      </c>
      <c r="D460" s="20"/>
      <c r="E460" s="20"/>
      <c r="F460" s="20">
        <f t="shared" si="25"/>
        <v>0</v>
      </c>
    </row>
    <row r="461" spans="1:6" x14ac:dyDescent="0.2">
      <c r="A461" s="18" t="s">
        <v>1137</v>
      </c>
      <c r="B461" s="4" t="s">
        <v>420</v>
      </c>
      <c r="C461" s="4" t="s">
        <v>187</v>
      </c>
      <c r="D461" s="20"/>
      <c r="E461" s="20"/>
      <c r="F461" s="20">
        <f t="shared" si="25"/>
        <v>0</v>
      </c>
    </row>
    <row r="462" spans="1:6" x14ac:dyDescent="0.2">
      <c r="A462" s="4"/>
      <c r="B462" s="4"/>
      <c r="C462" s="4"/>
      <c r="D462" s="20"/>
      <c r="E462" s="20"/>
      <c r="F462" s="20"/>
    </row>
    <row r="463" spans="1:6" x14ac:dyDescent="0.2">
      <c r="A463" s="105" t="s">
        <v>10</v>
      </c>
      <c r="B463" s="112"/>
      <c r="C463" s="106"/>
      <c r="D463" s="20">
        <f>SUM(D450:D462)</f>
        <v>0</v>
      </c>
      <c r="E463" s="20">
        <f>SUM(E450:E462)</f>
        <v>0</v>
      </c>
      <c r="F463" s="20">
        <f>D463-E463</f>
        <v>0</v>
      </c>
    </row>
    <row r="464" spans="1:6" x14ac:dyDescent="0.2">
      <c r="A464" s="105" t="s">
        <v>11</v>
      </c>
      <c r="B464" s="112"/>
      <c r="C464" s="106"/>
      <c r="D464" s="20"/>
      <c r="E464" s="20"/>
      <c r="F464" s="20">
        <f>D464-E464</f>
        <v>0</v>
      </c>
    </row>
    <row r="465" spans="1:6" x14ac:dyDescent="0.2">
      <c r="A465" s="105" t="s">
        <v>10</v>
      </c>
      <c r="B465" s="112"/>
      <c r="C465" s="106"/>
      <c r="D465" s="20">
        <f>SUM(D463:D464)</f>
        <v>0</v>
      </c>
      <c r="E465" s="20">
        <f>SUM(E463:E464)</f>
        <v>0</v>
      </c>
      <c r="F465" s="20">
        <f>SUM(F463:F464)</f>
        <v>0</v>
      </c>
    </row>
    <row r="469" spans="1:6" x14ac:dyDescent="0.2">
      <c r="A469" s="100" t="s">
        <v>0</v>
      </c>
      <c r="B469" s="100"/>
    </row>
    <row r="470" spans="1:6" x14ac:dyDescent="0.2">
      <c r="A470" s="100" t="s">
        <v>1</v>
      </c>
      <c r="B470" s="100"/>
    </row>
    <row r="471" spans="1:6" x14ac:dyDescent="0.2">
      <c r="A471" s="101" t="s">
        <v>2</v>
      </c>
      <c r="B471" s="101"/>
      <c r="C471" s="101"/>
      <c r="D471" s="101"/>
      <c r="E471" s="101"/>
      <c r="F471" s="101"/>
    </row>
    <row r="472" spans="1:6" x14ac:dyDescent="0.2">
      <c r="A472" s="122" t="s">
        <v>160</v>
      </c>
      <c r="B472" s="122"/>
      <c r="D472" s="123" t="s">
        <v>702</v>
      </c>
    </row>
    <row r="473" spans="1:6" x14ac:dyDescent="0.2">
      <c r="D473" s="1" t="s">
        <v>70</v>
      </c>
    </row>
    <row r="474" spans="1:6" x14ac:dyDescent="0.2">
      <c r="A474" s="103" t="s">
        <v>3</v>
      </c>
      <c r="B474" s="103" t="s">
        <v>4</v>
      </c>
      <c r="C474" s="103" t="s">
        <v>5</v>
      </c>
      <c r="D474" s="105" t="s">
        <v>6</v>
      </c>
      <c r="E474" s="106"/>
      <c r="F474" s="103" t="s">
        <v>9</v>
      </c>
    </row>
    <row r="475" spans="1:6" x14ac:dyDescent="0.2">
      <c r="A475" s="104"/>
      <c r="B475" s="104"/>
      <c r="C475" s="104"/>
      <c r="D475" s="3" t="s">
        <v>7</v>
      </c>
      <c r="E475" s="3" t="s">
        <v>8</v>
      </c>
      <c r="F475" s="104"/>
    </row>
    <row r="476" spans="1:6" x14ac:dyDescent="0.2">
      <c r="A476" s="18" t="s">
        <v>1215</v>
      </c>
      <c r="B476" s="4" t="s">
        <v>1224</v>
      </c>
      <c r="C476" s="4" t="s">
        <v>187</v>
      </c>
      <c r="D476" s="20"/>
      <c r="E476" s="20">
        <v>0</v>
      </c>
      <c r="F476" s="20">
        <f>D476+E476</f>
        <v>0</v>
      </c>
    </row>
    <row r="477" spans="1:6" x14ac:dyDescent="0.2">
      <c r="A477" s="18" t="s">
        <v>1225</v>
      </c>
      <c r="B477" s="4" t="s">
        <v>1226</v>
      </c>
      <c r="C477" s="4" t="s">
        <v>187</v>
      </c>
      <c r="D477" s="20"/>
      <c r="E477" s="20"/>
      <c r="F477" s="20">
        <f t="shared" ref="F477:F482" si="26">F476+D477</f>
        <v>0</v>
      </c>
    </row>
    <row r="478" spans="1:6" x14ac:dyDescent="0.2">
      <c r="A478" s="18" t="s">
        <v>1227</v>
      </c>
      <c r="B478" s="4" t="s">
        <v>1228</v>
      </c>
      <c r="C478" s="4" t="s">
        <v>187</v>
      </c>
      <c r="D478" s="20"/>
      <c r="E478" s="20"/>
      <c r="F478" s="20">
        <f t="shared" si="26"/>
        <v>0</v>
      </c>
    </row>
    <row r="479" spans="1:6" x14ac:dyDescent="0.2">
      <c r="A479" s="18" t="s">
        <v>1219</v>
      </c>
      <c r="B479" s="4" t="s">
        <v>1228</v>
      </c>
      <c r="C479" s="4" t="s">
        <v>187</v>
      </c>
      <c r="D479" s="20"/>
      <c r="E479" s="20"/>
      <c r="F479" s="20">
        <f t="shared" si="26"/>
        <v>0</v>
      </c>
    </row>
    <row r="480" spans="1:6" x14ac:dyDescent="0.2">
      <c r="A480" s="18" t="s">
        <v>733</v>
      </c>
      <c r="B480" s="4" t="s">
        <v>1228</v>
      </c>
      <c r="C480" s="4" t="s">
        <v>187</v>
      </c>
      <c r="D480" s="20"/>
      <c r="E480" s="20"/>
      <c r="F480" s="20">
        <f t="shared" si="26"/>
        <v>0</v>
      </c>
    </row>
    <row r="481" spans="1:6" x14ac:dyDescent="0.2">
      <c r="A481" s="18" t="s">
        <v>1222</v>
      </c>
      <c r="B481" s="4" t="s">
        <v>1228</v>
      </c>
      <c r="C481" s="4" t="s">
        <v>187</v>
      </c>
      <c r="D481" s="20"/>
      <c r="E481" s="20"/>
      <c r="F481" s="20">
        <f t="shared" si="26"/>
        <v>0</v>
      </c>
    </row>
    <row r="482" spans="1:6" x14ac:dyDescent="0.2">
      <c r="A482" s="18" t="s">
        <v>494</v>
      </c>
      <c r="B482" s="4" t="s">
        <v>1228</v>
      </c>
      <c r="C482" s="4" t="s">
        <v>187</v>
      </c>
      <c r="D482" s="20"/>
      <c r="E482" s="20"/>
      <c r="F482" s="20">
        <f t="shared" si="26"/>
        <v>0</v>
      </c>
    </row>
    <row r="483" spans="1:6" x14ac:dyDescent="0.2">
      <c r="A483" s="41" t="s">
        <v>247</v>
      </c>
      <c r="B483" s="4"/>
      <c r="C483" s="4"/>
      <c r="D483" s="20"/>
      <c r="E483" s="20"/>
      <c r="F483" s="20"/>
    </row>
    <row r="484" spans="1:6" x14ac:dyDescent="0.2">
      <c r="A484" s="18" t="s">
        <v>743</v>
      </c>
      <c r="B484" s="4" t="s">
        <v>1304</v>
      </c>
      <c r="C484" s="4" t="s">
        <v>187</v>
      </c>
      <c r="D484" s="20"/>
      <c r="E484" s="20"/>
      <c r="F484" s="20">
        <f>D484</f>
        <v>0</v>
      </c>
    </row>
    <row r="485" spans="1:6" x14ac:dyDescent="0.2">
      <c r="A485" s="18" t="s">
        <v>246</v>
      </c>
      <c r="B485" s="4" t="s">
        <v>1305</v>
      </c>
      <c r="C485" s="4" t="s">
        <v>187</v>
      </c>
      <c r="D485" s="20"/>
      <c r="E485" s="20"/>
      <c r="F485" s="20">
        <f t="shared" ref="F485:F489" si="27">F484+D485</f>
        <v>0</v>
      </c>
    </row>
    <row r="486" spans="1:6" x14ac:dyDescent="0.2">
      <c r="A486" s="18" t="s">
        <v>742</v>
      </c>
      <c r="B486" s="4" t="s">
        <v>1226</v>
      </c>
      <c r="C486" s="4" t="s">
        <v>187</v>
      </c>
      <c r="D486" s="20"/>
      <c r="E486" s="20"/>
      <c r="F486" s="20">
        <f t="shared" si="27"/>
        <v>0</v>
      </c>
    </row>
    <row r="487" spans="1:6" x14ac:dyDescent="0.2">
      <c r="A487" s="18" t="s">
        <v>751</v>
      </c>
      <c r="B487" s="4" t="s">
        <v>1226</v>
      </c>
      <c r="C487" s="4" t="s">
        <v>187</v>
      </c>
      <c r="D487" s="20"/>
      <c r="E487" s="20"/>
      <c r="F487" s="20">
        <f t="shared" si="27"/>
        <v>0</v>
      </c>
    </row>
    <row r="488" spans="1:6" x14ac:dyDescent="0.2">
      <c r="A488" s="18" t="s">
        <v>522</v>
      </c>
      <c r="B488" s="4" t="s">
        <v>1306</v>
      </c>
      <c r="C488" s="4" t="s">
        <v>187</v>
      </c>
      <c r="D488" s="20"/>
      <c r="E488" s="20"/>
      <c r="F488" s="20">
        <f t="shared" si="27"/>
        <v>0</v>
      </c>
    </row>
    <row r="489" spans="1:6" x14ac:dyDescent="0.2">
      <c r="A489" s="18" t="s">
        <v>755</v>
      </c>
      <c r="B489" s="4" t="s">
        <v>1226</v>
      </c>
      <c r="C489" s="4" t="s">
        <v>187</v>
      </c>
      <c r="D489" s="20"/>
      <c r="E489" s="20"/>
      <c r="F489" s="20">
        <f t="shared" si="27"/>
        <v>0</v>
      </c>
    </row>
    <row r="490" spans="1:6" x14ac:dyDescent="0.2">
      <c r="A490" s="41" t="s">
        <v>262</v>
      </c>
      <c r="B490" s="4"/>
      <c r="C490" s="4"/>
      <c r="D490" s="20"/>
      <c r="E490" s="20"/>
      <c r="F490" s="20"/>
    </row>
    <row r="491" spans="1:6" x14ac:dyDescent="0.2">
      <c r="A491" s="18" t="s">
        <v>1363</v>
      </c>
      <c r="B491" s="4" t="s">
        <v>1226</v>
      </c>
      <c r="C491" s="4" t="s">
        <v>187</v>
      </c>
      <c r="D491" s="20"/>
      <c r="E491" s="20"/>
      <c r="F491" s="20">
        <f>D491</f>
        <v>0</v>
      </c>
    </row>
    <row r="492" spans="1:6" x14ac:dyDescent="0.2">
      <c r="A492" s="18" t="s">
        <v>580</v>
      </c>
      <c r="B492" s="4" t="s">
        <v>1364</v>
      </c>
      <c r="C492" s="4" t="s">
        <v>187</v>
      </c>
      <c r="D492" s="20"/>
      <c r="E492" s="20"/>
      <c r="F492" s="20">
        <f t="shared" ref="F492:F496" si="28">F491+D492</f>
        <v>0</v>
      </c>
    </row>
    <row r="493" spans="1:6" x14ac:dyDescent="0.2">
      <c r="A493" s="18" t="s">
        <v>261</v>
      </c>
      <c r="B493" s="4" t="s">
        <v>1226</v>
      </c>
      <c r="C493" s="4" t="s">
        <v>187</v>
      </c>
      <c r="D493" s="20"/>
      <c r="E493" s="20"/>
      <c r="F493" s="20">
        <f t="shared" si="28"/>
        <v>0</v>
      </c>
    </row>
    <row r="494" spans="1:6" x14ac:dyDescent="0.2">
      <c r="A494" s="18" t="s">
        <v>527</v>
      </c>
      <c r="B494" s="4" t="s">
        <v>1226</v>
      </c>
      <c r="C494" s="4" t="s">
        <v>187</v>
      </c>
      <c r="D494" s="20"/>
      <c r="E494" s="20"/>
      <c r="F494" s="20">
        <f t="shared" si="28"/>
        <v>0</v>
      </c>
    </row>
    <row r="495" spans="1:6" x14ac:dyDescent="0.2">
      <c r="A495" s="18" t="s">
        <v>583</v>
      </c>
      <c r="B495" s="4" t="s">
        <v>1226</v>
      </c>
      <c r="C495" s="4" t="s">
        <v>187</v>
      </c>
      <c r="D495" s="20"/>
      <c r="E495" s="20"/>
      <c r="F495" s="20">
        <f t="shared" si="28"/>
        <v>0</v>
      </c>
    </row>
    <row r="496" spans="1:6" x14ac:dyDescent="0.2">
      <c r="A496" s="18" t="s">
        <v>1365</v>
      </c>
      <c r="B496" s="4" t="s">
        <v>1226</v>
      </c>
      <c r="C496" s="4" t="s">
        <v>187</v>
      </c>
      <c r="D496" s="20"/>
      <c r="E496" s="20"/>
      <c r="F496" s="20">
        <f t="shared" si="28"/>
        <v>0</v>
      </c>
    </row>
    <row r="497" spans="1:6" x14ac:dyDescent="0.2">
      <c r="A497" s="41" t="s">
        <v>283</v>
      </c>
      <c r="B497" s="4"/>
      <c r="C497" s="4"/>
      <c r="D497" s="20"/>
      <c r="E497" s="20"/>
      <c r="F497" s="20"/>
    </row>
    <row r="498" spans="1:6" x14ac:dyDescent="0.2">
      <c r="A498" s="18" t="s">
        <v>282</v>
      </c>
      <c r="B498" s="4" t="s">
        <v>582</v>
      </c>
      <c r="C498" s="4" t="s">
        <v>187</v>
      </c>
      <c r="D498" s="20"/>
      <c r="E498" s="20"/>
      <c r="F498" s="20">
        <f>D498</f>
        <v>0</v>
      </c>
    </row>
    <row r="499" spans="1:6" x14ac:dyDescent="0.2">
      <c r="A499" s="18" t="s">
        <v>797</v>
      </c>
      <c r="B499" s="4" t="s">
        <v>938</v>
      </c>
      <c r="C499" s="4" t="s">
        <v>187</v>
      </c>
      <c r="D499" s="20"/>
      <c r="E499" s="20"/>
      <c r="F499" s="20">
        <f t="shared" ref="F499" si="29">F498+D499</f>
        <v>0</v>
      </c>
    </row>
    <row r="500" spans="1:6" x14ac:dyDescent="0.2">
      <c r="A500" s="41" t="s">
        <v>299</v>
      </c>
      <c r="B500" s="4"/>
      <c r="C500" s="4"/>
      <c r="D500" s="20"/>
      <c r="E500" s="20"/>
      <c r="F500" s="20"/>
    </row>
    <row r="501" spans="1:6" x14ac:dyDescent="0.2">
      <c r="A501" s="18" t="s">
        <v>595</v>
      </c>
      <c r="B501" s="4" t="s">
        <v>582</v>
      </c>
      <c r="C501" s="4" t="s">
        <v>187</v>
      </c>
      <c r="D501" s="20"/>
      <c r="E501" s="20"/>
      <c r="F501" s="20">
        <f>D501</f>
        <v>0</v>
      </c>
    </row>
    <row r="502" spans="1:6" x14ac:dyDescent="0.2">
      <c r="A502" s="18" t="s">
        <v>596</v>
      </c>
      <c r="B502" s="4" t="s">
        <v>938</v>
      </c>
      <c r="C502" s="4" t="s">
        <v>187</v>
      </c>
      <c r="D502" s="20"/>
      <c r="E502" s="20"/>
      <c r="F502" s="20">
        <f t="shared" ref="F502" si="30">F501+D502</f>
        <v>0</v>
      </c>
    </row>
    <row r="503" spans="1:6" x14ac:dyDescent="0.2">
      <c r="A503" s="41" t="s">
        <v>315</v>
      </c>
      <c r="B503" s="4"/>
      <c r="C503" s="4"/>
      <c r="D503" s="20"/>
      <c r="E503" s="20"/>
      <c r="F503" s="20"/>
    </row>
    <row r="504" spans="1:6" x14ac:dyDescent="0.2">
      <c r="A504" s="18" t="s">
        <v>881</v>
      </c>
      <c r="B504" s="4" t="s">
        <v>264</v>
      </c>
      <c r="C504" s="4" t="s">
        <v>187</v>
      </c>
      <c r="D504" s="20"/>
      <c r="E504" s="20"/>
      <c r="F504" s="20">
        <f>D504</f>
        <v>0</v>
      </c>
    </row>
    <row r="505" spans="1:6" x14ac:dyDescent="0.2">
      <c r="A505" s="18" t="s">
        <v>604</v>
      </c>
      <c r="B505" s="4" t="s">
        <v>938</v>
      </c>
      <c r="C505" s="4" t="s">
        <v>187</v>
      </c>
      <c r="D505" s="20"/>
      <c r="E505" s="20"/>
      <c r="F505" s="20">
        <f t="shared" ref="F505" si="31">F504+D505</f>
        <v>0</v>
      </c>
    </row>
    <row r="506" spans="1:6" x14ac:dyDescent="0.2">
      <c r="A506" s="41" t="s">
        <v>330</v>
      </c>
      <c r="B506" s="4"/>
      <c r="C506" s="4"/>
      <c r="D506" s="20"/>
      <c r="E506" s="20"/>
      <c r="F506" s="20"/>
    </row>
    <row r="507" spans="1:6" x14ac:dyDescent="0.2">
      <c r="A507" s="18" t="s">
        <v>934</v>
      </c>
      <c r="B507" s="4" t="s">
        <v>584</v>
      </c>
      <c r="C507" s="4" t="s">
        <v>187</v>
      </c>
      <c r="D507" s="20"/>
      <c r="E507" s="20"/>
      <c r="F507" s="20">
        <f>D507</f>
        <v>0</v>
      </c>
    </row>
    <row r="508" spans="1:6" x14ac:dyDescent="0.2">
      <c r="A508" s="18" t="s">
        <v>934</v>
      </c>
      <c r="B508" s="4" t="s">
        <v>938</v>
      </c>
      <c r="C508" s="4" t="s">
        <v>187</v>
      </c>
      <c r="D508" s="20"/>
      <c r="E508" s="20"/>
      <c r="F508" s="20">
        <f t="shared" ref="F508" si="32">F507+D508</f>
        <v>0</v>
      </c>
    </row>
    <row r="509" spans="1:6" x14ac:dyDescent="0.2">
      <c r="A509" s="41" t="s">
        <v>442</v>
      </c>
      <c r="B509" s="4"/>
      <c r="C509" s="4"/>
      <c r="D509" s="20"/>
      <c r="E509" s="20"/>
      <c r="F509" s="20"/>
    </row>
    <row r="510" spans="1:6" x14ac:dyDescent="0.2">
      <c r="A510" s="18" t="s">
        <v>974</v>
      </c>
      <c r="B510" s="4" t="s">
        <v>584</v>
      </c>
      <c r="C510" s="4" t="s">
        <v>187</v>
      </c>
      <c r="D510" s="20"/>
      <c r="E510" s="20"/>
      <c r="F510" s="20">
        <f>D510</f>
        <v>0</v>
      </c>
    </row>
    <row r="511" spans="1:6" x14ac:dyDescent="0.2">
      <c r="A511" s="18" t="s">
        <v>348</v>
      </c>
      <c r="B511" s="4" t="s">
        <v>264</v>
      </c>
      <c r="C511" s="4" t="s">
        <v>187</v>
      </c>
      <c r="D511" s="20"/>
      <c r="E511" s="20"/>
      <c r="F511" s="20">
        <f t="shared" ref="F511" si="33">F510+D511</f>
        <v>0</v>
      </c>
    </row>
    <row r="512" spans="1:6" x14ac:dyDescent="0.2">
      <c r="A512" s="41" t="s">
        <v>363</v>
      </c>
      <c r="B512" s="4"/>
      <c r="C512" s="4"/>
      <c r="D512" s="20"/>
      <c r="E512" s="20"/>
      <c r="F512" s="20"/>
    </row>
    <row r="513" spans="1:6" x14ac:dyDescent="0.2">
      <c r="A513" s="18" t="s">
        <v>1004</v>
      </c>
      <c r="B513" s="4" t="s">
        <v>584</v>
      </c>
      <c r="C513" s="4" t="s">
        <v>187</v>
      </c>
      <c r="D513" s="20"/>
      <c r="E513" s="20"/>
      <c r="F513" s="20">
        <f>D513</f>
        <v>0</v>
      </c>
    </row>
    <row r="514" spans="1:6" x14ac:dyDescent="0.2">
      <c r="A514" s="18" t="s">
        <v>625</v>
      </c>
      <c r="B514" s="4" t="s">
        <v>264</v>
      </c>
      <c r="C514" s="4" t="s">
        <v>187</v>
      </c>
      <c r="D514" s="20"/>
      <c r="E514" s="20"/>
      <c r="F514" s="20">
        <f t="shared" ref="F514" si="34">F513+D514</f>
        <v>0</v>
      </c>
    </row>
    <row r="515" spans="1:6" x14ac:dyDescent="0.2">
      <c r="A515" s="41" t="s">
        <v>368</v>
      </c>
      <c r="B515" s="4"/>
      <c r="C515" s="4"/>
      <c r="D515" s="20"/>
      <c r="E515" s="20"/>
      <c r="F515" s="20"/>
    </row>
    <row r="516" spans="1:6" x14ac:dyDescent="0.2">
      <c r="A516" s="18" t="s">
        <v>1077</v>
      </c>
      <c r="B516" s="4" t="s">
        <v>584</v>
      </c>
      <c r="C516" s="4" t="s">
        <v>187</v>
      </c>
      <c r="D516" s="20"/>
      <c r="E516" s="20"/>
      <c r="F516" s="20">
        <f>D516</f>
        <v>0</v>
      </c>
    </row>
    <row r="517" spans="1:6" x14ac:dyDescent="0.2">
      <c r="A517" s="18" t="s">
        <v>1086</v>
      </c>
      <c r="B517" s="4" t="s">
        <v>264</v>
      </c>
      <c r="C517" s="4" t="s">
        <v>187</v>
      </c>
      <c r="D517" s="20"/>
      <c r="E517" s="20"/>
      <c r="F517" s="20">
        <f t="shared" ref="F517" si="35">F516+D517</f>
        <v>0</v>
      </c>
    </row>
    <row r="518" spans="1:6" x14ac:dyDescent="0.2">
      <c r="A518" s="41" t="s">
        <v>397</v>
      </c>
      <c r="B518" s="4"/>
      <c r="C518" s="4"/>
      <c r="D518" s="20"/>
      <c r="E518" s="20"/>
      <c r="F518" s="20"/>
    </row>
    <row r="519" spans="1:6" x14ac:dyDescent="0.2">
      <c r="A519" s="18" t="s">
        <v>1114</v>
      </c>
      <c r="B519" s="4" t="s">
        <v>584</v>
      </c>
      <c r="C519" s="4" t="s">
        <v>187</v>
      </c>
      <c r="D519" s="20"/>
      <c r="E519" s="20"/>
      <c r="F519" s="20">
        <f>D519</f>
        <v>0</v>
      </c>
    </row>
    <row r="520" spans="1:6" x14ac:dyDescent="0.2">
      <c r="A520" s="18" t="s">
        <v>1097</v>
      </c>
      <c r="B520" s="4" t="s">
        <v>264</v>
      </c>
      <c r="C520" s="4" t="s">
        <v>187</v>
      </c>
      <c r="D520" s="20"/>
      <c r="E520" s="20"/>
      <c r="F520" s="20">
        <f t="shared" ref="F520" si="36">F519+D520</f>
        <v>0</v>
      </c>
    </row>
    <row r="521" spans="1:6" x14ac:dyDescent="0.2">
      <c r="A521" s="41" t="s">
        <v>453</v>
      </c>
      <c r="B521" s="4"/>
      <c r="C521" s="4"/>
      <c r="D521" s="20"/>
      <c r="E521" s="20"/>
      <c r="F521" s="20"/>
    </row>
    <row r="522" spans="1:6" x14ac:dyDescent="0.2">
      <c r="A522" s="18" t="s">
        <v>1181</v>
      </c>
      <c r="B522" s="4" t="s">
        <v>1184</v>
      </c>
      <c r="C522" s="4" t="s">
        <v>187</v>
      </c>
      <c r="D522" s="20"/>
      <c r="E522" s="20"/>
      <c r="F522" s="20">
        <f>D522</f>
        <v>0</v>
      </c>
    </row>
    <row r="523" spans="1:6" x14ac:dyDescent="0.2">
      <c r="A523" s="18" t="s">
        <v>1181</v>
      </c>
      <c r="B523" s="4" t="s">
        <v>264</v>
      </c>
      <c r="C523" s="4" t="s">
        <v>187</v>
      </c>
      <c r="D523" s="20"/>
      <c r="E523" s="20"/>
      <c r="F523" s="20">
        <f t="shared" ref="F523:F524" si="37">F522+D523</f>
        <v>0</v>
      </c>
    </row>
    <row r="524" spans="1:6" x14ac:dyDescent="0.2">
      <c r="A524" s="18"/>
      <c r="B524" s="4" t="s">
        <v>264</v>
      </c>
      <c r="C524" s="4" t="s">
        <v>187</v>
      </c>
      <c r="D524" s="20"/>
      <c r="E524" s="20"/>
      <c r="F524" s="20">
        <f t="shared" si="37"/>
        <v>0</v>
      </c>
    </row>
    <row r="525" spans="1:6" x14ac:dyDescent="0.2">
      <c r="A525" s="18"/>
      <c r="B525" s="4" t="s">
        <v>264</v>
      </c>
      <c r="C525" s="4" t="s">
        <v>187</v>
      </c>
      <c r="D525" s="20"/>
      <c r="E525" s="20"/>
      <c r="F525" s="20">
        <f t="shared" ref="F525" si="38">F524+D525</f>
        <v>0</v>
      </c>
    </row>
    <row r="526" spans="1:6" x14ac:dyDescent="0.2">
      <c r="A526" s="4"/>
      <c r="B526" s="4"/>
      <c r="C526" s="4"/>
      <c r="D526" s="20"/>
      <c r="E526" s="20"/>
      <c r="F526" s="20"/>
    </row>
    <row r="527" spans="1:6" x14ac:dyDescent="0.2">
      <c r="A527" s="105" t="s">
        <v>10</v>
      </c>
      <c r="B527" s="112"/>
      <c r="C527" s="106"/>
      <c r="D527" s="20">
        <f>SUM(D476:D526)</f>
        <v>0</v>
      </c>
      <c r="E527" s="20">
        <f>SUM(E476:E526)</f>
        <v>0</v>
      </c>
      <c r="F527" s="20">
        <f>D527-E527</f>
        <v>0</v>
      </c>
    </row>
    <row r="528" spans="1:6" x14ac:dyDescent="0.2">
      <c r="A528" s="105" t="s">
        <v>11</v>
      </c>
      <c r="B528" s="112"/>
      <c r="C528" s="106"/>
      <c r="D528" s="20"/>
      <c r="E528" s="20"/>
      <c r="F528" s="20">
        <f>D528-E528</f>
        <v>0</v>
      </c>
    </row>
    <row r="529" spans="1:6" x14ac:dyDescent="0.2">
      <c r="A529" s="105" t="s">
        <v>10</v>
      </c>
      <c r="B529" s="112"/>
      <c r="C529" s="106"/>
      <c r="D529" s="20">
        <f>SUM(D527:D528)</f>
        <v>0</v>
      </c>
      <c r="E529" s="20">
        <f>SUM(E527:E528)</f>
        <v>0</v>
      </c>
      <c r="F529" s="20">
        <f>SUM(F527:F528)</f>
        <v>0</v>
      </c>
    </row>
    <row r="530" spans="1:6" x14ac:dyDescent="0.2">
      <c r="A530" s="5"/>
      <c r="B530" s="5"/>
      <c r="C530" s="5"/>
    </row>
    <row r="531" spans="1:6" x14ac:dyDescent="0.2">
      <c r="A531" s="5"/>
      <c r="B531" s="5"/>
      <c r="C531" s="5"/>
    </row>
    <row r="532" spans="1:6" x14ac:dyDescent="0.2">
      <c r="A532" s="5"/>
      <c r="B532" s="5"/>
      <c r="C532" s="5"/>
    </row>
    <row r="533" spans="1:6" x14ac:dyDescent="0.2">
      <c r="A533" s="100" t="s">
        <v>0</v>
      </c>
      <c r="B533" s="100"/>
    </row>
    <row r="534" spans="1:6" x14ac:dyDescent="0.2">
      <c r="A534" s="100" t="s">
        <v>1</v>
      </c>
      <c r="B534" s="100"/>
    </row>
    <row r="535" spans="1:6" x14ac:dyDescent="0.2">
      <c r="A535" s="101" t="s">
        <v>2</v>
      </c>
      <c r="B535" s="101"/>
      <c r="C535" s="101"/>
      <c r="D535" s="101"/>
      <c r="E535" s="101"/>
      <c r="F535" s="101"/>
    </row>
    <row r="536" spans="1:6" x14ac:dyDescent="0.2">
      <c r="A536" s="122" t="s">
        <v>161</v>
      </c>
      <c r="B536" s="122"/>
      <c r="D536" s="123" t="s">
        <v>703</v>
      </c>
    </row>
    <row r="537" spans="1:6" x14ac:dyDescent="0.2">
      <c r="D537" s="1" t="s">
        <v>70</v>
      </c>
    </row>
    <row r="538" spans="1:6" x14ac:dyDescent="0.2">
      <c r="A538" s="103" t="s">
        <v>3</v>
      </c>
      <c r="B538" s="103" t="s">
        <v>4</v>
      </c>
      <c r="C538" s="103" t="s">
        <v>5</v>
      </c>
      <c r="D538" s="105" t="s">
        <v>6</v>
      </c>
      <c r="E538" s="106"/>
      <c r="F538" s="103" t="s">
        <v>9</v>
      </c>
    </row>
    <row r="539" spans="1:6" x14ac:dyDescent="0.2">
      <c r="A539" s="104"/>
      <c r="B539" s="104"/>
      <c r="C539" s="104"/>
      <c r="D539" s="3" t="s">
        <v>7</v>
      </c>
      <c r="E539" s="3" t="s">
        <v>8</v>
      </c>
      <c r="F539" s="104"/>
    </row>
    <row r="540" spans="1:6" x14ac:dyDescent="0.2">
      <c r="A540" s="18" t="s">
        <v>1222</v>
      </c>
      <c r="B540" s="4" t="s">
        <v>1272</v>
      </c>
      <c r="C540" s="4" t="s">
        <v>187</v>
      </c>
      <c r="D540" s="46"/>
      <c r="E540" s="20">
        <v>0</v>
      </c>
      <c r="F540" s="20">
        <f>D540+E540</f>
        <v>0</v>
      </c>
    </row>
    <row r="541" spans="1:6" x14ac:dyDescent="0.2">
      <c r="A541" s="18" t="s">
        <v>494</v>
      </c>
      <c r="B541" s="4" t="s">
        <v>1273</v>
      </c>
      <c r="C541" s="4" t="s">
        <v>187</v>
      </c>
      <c r="D541" s="20"/>
      <c r="E541" s="20"/>
      <c r="F541" s="20">
        <f>F540+D541</f>
        <v>0</v>
      </c>
    </row>
    <row r="542" spans="1:6" x14ac:dyDescent="0.2">
      <c r="A542" s="41" t="s">
        <v>247</v>
      </c>
      <c r="B542" s="4"/>
      <c r="C542" s="4"/>
      <c r="D542" s="20"/>
      <c r="E542" s="20"/>
      <c r="F542" s="20"/>
    </row>
    <row r="543" spans="1:6" x14ac:dyDescent="0.2">
      <c r="A543" s="18" t="s">
        <v>474</v>
      </c>
      <c r="B543" s="4" t="s">
        <v>1347</v>
      </c>
      <c r="C543" s="4" t="s">
        <v>187</v>
      </c>
      <c r="D543" s="20"/>
      <c r="E543" s="20"/>
      <c r="F543" s="20">
        <f>D543</f>
        <v>0</v>
      </c>
    </row>
    <row r="544" spans="1:6" x14ac:dyDescent="0.2">
      <c r="A544" s="18" t="s">
        <v>474</v>
      </c>
      <c r="B544" s="4" t="s">
        <v>1348</v>
      </c>
      <c r="C544" s="4" t="s">
        <v>187</v>
      </c>
      <c r="D544" s="20"/>
      <c r="E544" s="20"/>
      <c r="F544" s="20">
        <f t="shared" ref="F544:F547" si="39">F543+D544</f>
        <v>0</v>
      </c>
    </row>
    <row r="545" spans="1:6" x14ac:dyDescent="0.2">
      <c r="A545" s="41" t="s">
        <v>262</v>
      </c>
      <c r="B545" s="4"/>
      <c r="C545" s="4"/>
      <c r="D545" s="20"/>
      <c r="E545" s="20"/>
      <c r="F545" s="20"/>
    </row>
    <row r="546" spans="1:6" x14ac:dyDescent="0.2">
      <c r="A546" s="18" t="s">
        <v>476</v>
      </c>
      <c r="B546" s="4" t="s">
        <v>1347</v>
      </c>
      <c r="C546" s="4" t="s">
        <v>187</v>
      </c>
      <c r="D546" s="20"/>
      <c r="E546" s="20"/>
      <c r="F546" s="20">
        <f t="shared" si="39"/>
        <v>0</v>
      </c>
    </row>
    <row r="547" spans="1:6" x14ac:dyDescent="0.2">
      <c r="A547" s="51" t="s">
        <v>476</v>
      </c>
      <c r="B547" s="4" t="s">
        <v>1403</v>
      </c>
      <c r="C547" s="4" t="s">
        <v>187</v>
      </c>
      <c r="D547" s="20"/>
      <c r="E547" s="20"/>
      <c r="F547" s="20">
        <f t="shared" si="39"/>
        <v>0</v>
      </c>
    </row>
    <row r="548" spans="1:6" x14ac:dyDescent="0.2">
      <c r="A548" s="18" t="s">
        <v>1404</v>
      </c>
      <c r="B548" s="27" t="s">
        <v>774</v>
      </c>
      <c r="C548" s="4" t="s">
        <v>187</v>
      </c>
      <c r="D548" s="20"/>
      <c r="E548" s="20"/>
      <c r="F548" s="20">
        <f>D548</f>
        <v>0</v>
      </c>
    </row>
    <row r="549" spans="1:6" x14ac:dyDescent="0.2">
      <c r="A549" s="18" t="s">
        <v>798</v>
      </c>
      <c r="B549" s="4" t="s">
        <v>409</v>
      </c>
      <c r="C549" s="4" t="s">
        <v>187</v>
      </c>
      <c r="D549" s="20"/>
      <c r="E549" s="20"/>
      <c r="F549" s="20">
        <f t="shared" ref="F549:F550" si="40">F548+D549</f>
        <v>0</v>
      </c>
    </row>
    <row r="550" spans="1:6" x14ac:dyDescent="0.2">
      <c r="A550" s="18" t="s">
        <v>798</v>
      </c>
      <c r="B550" s="27" t="s">
        <v>774</v>
      </c>
      <c r="C550" s="4" t="s">
        <v>187</v>
      </c>
      <c r="D550" s="20"/>
      <c r="E550" s="20"/>
      <c r="F550" s="20">
        <f t="shared" si="40"/>
        <v>0</v>
      </c>
    </row>
    <row r="551" spans="1:6" x14ac:dyDescent="0.2">
      <c r="A551" s="41" t="s">
        <v>299</v>
      </c>
      <c r="B551" s="4"/>
      <c r="C551" s="4"/>
      <c r="D551" s="20"/>
      <c r="E551" s="20"/>
      <c r="F551" s="20"/>
    </row>
    <row r="552" spans="1:6" x14ac:dyDescent="0.2">
      <c r="A552" s="18" t="s">
        <v>596</v>
      </c>
      <c r="B552" s="27" t="s">
        <v>774</v>
      </c>
      <c r="C552" s="4" t="s">
        <v>187</v>
      </c>
      <c r="D552" s="20"/>
      <c r="E552" s="20"/>
      <c r="F552" s="20">
        <f>D552</f>
        <v>0</v>
      </c>
    </row>
    <row r="553" spans="1:6" x14ac:dyDescent="0.2">
      <c r="A553" s="18" t="s">
        <v>838</v>
      </c>
      <c r="B553" s="4" t="s">
        <v>409</v>
      </c>
      <c r="C553" s="4" t="s">
        <v>187</v>
      </c>
      <c r="D553" s="20"/>
      <c r="E553" s="20"/>
      <c r="F553" s="20">
        <f t="shared" ref="F553" si="41">F552+D553</f>
        <v>0</v>
      </c>
    </row>
    <row r="554" spans="1:6" x14ac:dyDescent="0.2">
      <c r="A554" s="41" t="s">
        <v>315</v>
      </c>
      <c r="B554" s="4"/>
      <c r="C554" s="4"/>
      <c r="D554" s="20"/>
      <c r="E554" s="20"/>
      <c r="F554" s="20"/>
    </row>
    <row r="555" spans="1:6" x14ac:dyDescent="0.2">
      <c r="A555" s="18" t="s">
        <v>885</v>
      </c>
      <c r="B555" s="4" t="s">
        <v>409</v>
      </c>
      <c r="C555" s="4" t="s">
        <v>187</v>
      </c>
      <c r="D555" s="20"/>
      <c r="E555" s="20"/>
      <c r="F555" s="20">
        <f>D555</f>
        <v>0</v>
      </c>
    </row>
    <row r="556" spans="1:6" x14ac:dyDescent="0.2">
      <c r="A556" s="18" t="s">
        <v>885</v>
      </c>
      <c r="B556" s="27" t="s">
        <v>774</v>
      </c>
      <c r="C556" s="4" t="s">
        <v>187</v>
      </c>
      <c r="D556" s="20"/>
      <c r="E556" s="20"/>
      <c r="F556" s="20">
        <f t="shared" ref="F556" si="42">F555+D556</f>
        <v>0</v>
      </c>
    </row>
    <row r="557" spans="1:6" x14ac:dyDescent="0.2">
      <c r="A557" s="41" t="s">
        <v>330</v>
      </c>
      <c r="B557" s="4"/>
      <c r="C557" s="4"/>
      <c r="D557" s="20"/>
      <c r="E557" s="20"/>
      <c r="F557" s="20"/>
    </row>
    <row r="558" spans="1:6" x14ac:dyDescent="0.2">
      <c r="A558" s="18" t="s">
        <v>932</v>
      </c>
      <c r="B558" s="4" t="s">
        <v>409</v>
      </c>
      <c r="C558" s="4" t="s">
        <v>187</v>
      </c>
      <c r="D558" s="20"/>
      <c r="E558" s="20"/>
      <c r="F558" s="20">
        <f>D558</f>
        <v>0</v>
      </c>
    </row>
    <row r="559" spans="1:6" x14ac:dyDescent="0.2">
      <c r="A559" s="18" t="s">
        <v>934</v>
      </c>
      <c r="B559" s="27" t="s">
        <v>774</v>
      </c>
      <c r="C559" s="4" t="s">
        <v>187</v>
      </c>
      <c r="D559" s="20"/>
      <c r="E559" s="20"/>
      <c r="F559" s="20">
        <f t="shared" ref="F559" si="43">F558+D559</f>
        <v>0</v>
      </c>
    </row>
    <row r="560" spans="1:6" x14ac:dyDescent="0.2">
      <c r="A560" s="41" t="s">
        <v>344</v>
      </c>
      <c r="B560" s="4"/>
      <c r="C560" s="4"/>
      <c r="D560" s="20"/>
      <c r="E560" s="20"/>
      <c r="F560" s="20"/>
    </row>
    <row r="561" spans="1:6" x14ac:dyDescent="0.2">
      <c r="A561" s="18" t="s">
        <v>613</v>
      </c>
      <c r="B561" s="4" t="s">
        <v>409</v>
      </c>
      <c r="C561" s="4" t="s">
        <v>187</v>
      </c>
      <c r="D561" s="20"/>
      <c r="E561" s="20"/>
      <c r="F561" s="20">
        <f>D561</f>
        <v>0</v>
      </c>
    </row>
    <row r="562" spans="1:6" x14ac:dyDescent="0.2">
      <c r="A562" s="18" t="str">
        <f>A561</f>
        <v>26 Agust</v>
      </c>
      <c r="B562" s="27" t="s">
        <v>774</v>
      </c>
      <c r="C562" s="4" t="s">
        <v>187</v>
      </c>
      <c r="D562" s="20"/>
      <c r="E562" s="20"/>
      <c r="F562" s="20">
        <f t="shared" ref="F562" si="44">F561+D562</f>
        <v>0</v>
      </c>
    </row>
    <row r="563" spans="1:6" x14ac:dyDescent="0.2">
      <c r="A563" s="41" t="s">
        <v>363</v>
      </c>
      <c r="B563" s="4"/>
      <c r="C563" s="4"/>
      <c r="D563" s="20"/>
      <c r="E563" s="20"/>
      <c r="F563" s="20"/>
    </row>
    <row r="564" spans="1:6" x14ac:dyDescent="0.2">
      <c r="A564" s="18" t="s">
        <v>485</v>
      </c>
      <c r="B564" s="4" t="s">
        <v>409</v>
      </c>
      <c r="C564" s="4" t="s">
        <v>187</v>
      </c>
      <c r="D564" s="20"/>
      <c r="E564" s="20"/>
      <c r="F564" s="20">
        <f>D564</f>
        <v>0</v>
      </c>
    </row>
    <row r="565" spans="1:6" x14ac:dyDescent="0.2">
      <c r="A565" s="18" t="s">
        <v>485</v>
      </c>
      <c r="B565" s="27" t="s">
        <v>774</v>
      </c>
      <c r="C565" s="4" t="s">
        <v>187</v>
      </c>
      <c r="D565" s="20"/>
      <c r="E565" s="20"/>
      <c r="F565" s="20">
        <f t="shared" ref="F565" si="45">F564+D565</f>
        <v>0</v>
      </c>
    </row>
    <row r="566" spans="1:6" x14ac:dyDescent="0.2">
      <c r="A566" s="41" t="s">
        <v>368</v>
      </c>
      <c r="B566" s="4"/>
      <c r="C566" s="4"/>
      <c r="D566" s="20"/>
      <c r="E566" s="20"/>
      <c r="F566" s="20"/>
    </row>
    <row r="567" spans="1:6" x14ac:dyDescent="0.2">
      <c r="A567" s="18" t="s">
        <v>372</v>
      </c>
      <c r="B567" s="4" t="s">
        <v>409</v>
      </c>
      <c r="C567" s="4" t="s">
        <v>187</v>
      </c>
      <c r="D567" s="20"/>
      <c r="E567" s="20"/>
      <c r="F567" s="20">
        <f>D567</f>
        <v>0</v>
      </c>
    </row>
    <row r="568" spans="1:6" x14ac:dyDescent="0.2">
      <c r="A568" s="18" t="s">
        <v>372</v>
      </c>
      <c r="B568" s="4" t="s">
        <v>632</v>
      </c>
      <c r="C568" s="4" t="s">
        <v>187</v>
      </c>
      <c r="D568" s="20"/>
      <c r="E568" s="20"/>
      <c r="F568" s="20">
        <f t="shared" ref="F568" si="46">F567+D568</f>
        <v>0</v>
      </c>
    </row>
    <row r="569" spans="1:6" x14ac:dyDescent="0.2">
      <c r="A569" s="41" t="s">
        <v>397</v>
      </c>
      <c r="B569" s="4"/>
      <c r="C569" s="4"/>
      <c r="D569" s="20"/>
      <c r="E569" s="20"/>
      <c r="F569" s="20"/>
    </row>
    <row r="570" spans="1:6" x14ac:dyDescent="0.2">
      <c r="A570" s="37" t="s">
        <v>1126</v>
      </c>
      <c r="B570" s="4" t="s">
        <v>409</v>
      </c>
      <c r="C570" s="4" t="s">
        <v>187</v>
      </c>
      <c r="D570" s="20"/>
      <c r="E570" s="20"/>
      <c r="F570" s="20">
        <f>D570</f>
        <v>0</v>
      </c>
    </row>
    <row r="571" spans="1:6" x14ac:dyDescent="0.2">
      <c r="A571" s="18" t="s">
        <v>1126</v>
      </c>
      <c r="B571" s="4" t="s">
        <v>636</v>
      </c>
      <c r="C571" s="4" t="s">
        <v>187</v>
      </c>
      <c r="D571" s="20"/>
      <c r="E571" s="20"/>
      <c r="F571" s="20">
        <f t="shared" ref="F571" si="47">F570+D571</f>
        <v>0</v>
      </c>
    </row>
    <row r="572" spans="1:6" x14ac:dyDescent="0.2">
      <c r="A572" s="41" t="s">
        <v>453</v>
      </c>
      <c r="B572" s="4"/>
      <c r="C572" s="4"/>
      <c r="D572" s="20"/>
      <c r="E572" s="20"/>
      <c r="F572" s="20"/>
    </row>
    <row r="573" spans="1:6" x14ac:dyDescent="0.2">
      <c r="A573" s="18" t="s">
        <v>1181</v>
      </c>
      <c r="B573" s="4" t="s">
        <v>409</v>
      </c>
      <c r="C573" s="4" t="s">
        <v>187</v>
      </c>
      <c r="D573" s="20"/>
      <c r="E573" s="20"/>
      <c r="F573" s="20">
        <f>D573</f>
        <v>0</v>
      </c>
    </row>
    <row r="574" spans="1:6" x14ac:dyDescent="0.2">
      <c r="A574" s="18" t="s">
        <v>1181</v>
      </c>
      <c r="B574" s="4" t="s">
        <v>1182</v>
      </c>
      <c r="C574" s="4" t="s">
        <v>187</v>
      </c>
      <c r="D574" s="20"/>
      <c r="E574" s="20"/>
      <c r="F574" s="20">
        <f t="shared" ref="F574:F575" si="48">F573+D574</f>
        <v>0</v>
      </c>
    </row>
    <row r="575" spans="1:6" x14ac:dyDescent="0.2">
      <c r="A575" s="18"/>
      <c r="B575" s="4"/>
      <c r="C575" s="4" t="s">
        <v>187</v>
      </c>
      <c r="D575" s="20"/>
      <c r="E575" s="20"/>
      <c r="F575" s="20">
        <f t="shared" si="48"/>
        <v>0</v>
      </c>
    </row>
    <row r="576" spans="1:6" x14ac:dyDescent="0.2">
      <c r="A576" s="105" t="s">
        <v>10</v>
      </c>
      <c r="B576" s="112"/>
      <c r="C576" s="106"/>
      <c r="D576" s="20">
        <f>SUM(D540:D575)</f>
        <v>0</v>
      </c>
      <c r="E576" s="20">
        <f>SUM(E540:E575)</f>
        <v>0</v>
      </c>
      <c r="F576" s="20">
        <f>D576-E576</f>
        <v>0</v>
      </c>
    </row>
    <row r="577" spans="1:6" x14ac:dyDescent="0.2">
      <c r="A577" s="105" t="s">
        <v>11</v>
      </c>
      <c r="B577" s="112"/>
      <c r="C577" s="106"/>
      <c r="D577" s="20"/>
      <c r="E577" s="20"/>
      <c r="F577" s="20">
        <f>D577-E577</f>
        <v>0</v>
      </c>
    </row>
    <row r="578" spans="1:6" x14ac:dyDescent="0.2">
      <c r="A578" s="105" t="s">
        <v>10</v>
      </c>
      <c r="B578" s="112"/>
      <c r="C578" s="106"/>
      <c r="D578" s="20">
        <f>SUM(D576:D577)</f>
        <v>0</v>
      </c>
      <c r="E578" s="20">
        <f>SUM(E576:E577)</f>
        <v>0</v>
      </c>
      <c r="F578" s="20">
        <f>SUM(F576:F577)</f>
        <v>0</v>
      </c>
    </row>
    <row r="579" spans="1:6" x14ac:dyDescent="0.2">
      <c r="D579" s="13"/>
      <c r="E579" s="13"/>
      <c r="F579" s="13"/>
    </row>
    <row r="580" spans="1:6" x14ac:dyDescent="0.2">
      <c r="D580" s="13"/>
      <c r="E580" s="13"/>
      <c r="F580" s="13"/>
    </row>
    <row r="581" spans="1:6" x14ac:dyDescent="0.2">
      <c r="A581" s="11" t="s">
        <v>0</v>
      </c>
      <c r="B581" s="11"/>
    </row>
    <row r="582" spans="1:6" x14ac:dyDescent="0.2">
      <c r="A582" s="11" t="s">
        <v>1</v>
      </c>
      <c r="B582" s="11"/>
    </row>
    <row r="583" spans="1:6" x14ac:dyDescent="0.2">
      <c r="A583" s="101" t="s">
        <v>2</v>
      </c>
      <c r="B583" s="101"/>
      <c r="C583" s="101"/>
      <c r="D583" s="101"/>
      <c r="E583" s="101"/>
      <c r="F583" s="101"/>
    </row>
    <row r="584" spans="1:6" x14ac:dyDescent="0.2">
      <c r="A584" s="122" t="s">
        <v>194</v>
      </c>
      <c r="B584" s="122"/>
      <c r="D584" s="123" t="s">
        <v>704</v>
      </c>
    </row>
    <row r="585" spans="1:6" x14ac:dyDescent="0.2">
      <c r="D585" s="1" t="s">
        <v>70</v>
      </c>
    </row>
    <row r="586" spans="1:6" x14ac:dyDescent="0.2">
      <c r="A586" s="103" t="s">
        <v>3</v>
      </c>
      <c r="B586" s="103" t="s">
        <v>4</v>
      </c>
      <c r="C586" s="103" t="s">
        <v>5</v>
      </c>
      <c r="D586" s="105" t="s">
        <v>6</v>
      </c>
      <c r="E586" s="106"/>
      <c r="F586" s="103" t="s">
        <v>9</v>
      </c>
    </row>
    <row r="587" spans="1:6" x14ac:dyDescent="0.2">
      <c r="A587" s="104"/>
      <c r="B587" s="104"/>
      <c r="C587" s="104"/>
      <c r="D587" s="3" t="s">
        <v>7</v>
      </c>
      <c r="E587" s="3" t="s">
        <v>8</v>
      </c>
      <c r="F587" s="104"/>
    </row>
    <row r="588" spans="1:6" x14ac:dyDescent="0.2">
      <c r="A588" s="85" t="s">
        <v>469</v>
      </c>
      <c r="B588" s="15"/>
      <c r="C588" s="15"/>
      <c r="D588" s="3"/>
      <c r="E588" s="3"/>
      <c r="F588" s="15"/>
    </row>
    <row r="589" spans="1:6" x14ac:dyDescent="0.2">
      <c r="A589" s="18" t="s">
        <v>1215</v>
      </c>
      <c r="B589" s="4" t="s">
        <v>1229</v>
      </c>
      <c r="C589" s="4" t="s">
        <v>187</v>
      </c>
      <c r="D589" s="19"/>
      <c r="E589" s="4">
        <v>0</v>
      </c>
      <c r="F589" s="20">
        <f>D589+E589</f>
        <v>0</v>
      </c>
    </row>
    <row r="590" spans="1:6" x14ac:dyDescent="0.2">
      <c r="A590" s="18" t="s">
        <v>1216</v>
      </c>
      <c r="B590" s="4" t="s">
        <v>1230</v>
      </c>
      <c r="C590" s="4" t="s">
        <v>187</v>
      </c>
      <c r="D590" s="19"/>
      <c r="E590" s="4"/>
      <c r="F590" s="19">
        <f t="shared" ref="F590:F594" si="49">F589+D590</f>
        <v>0</v>
      </c>
    </row>
    <row r="591" spans="1:6" x14ac:dyDescent="0.2">
      <c r="A591" s="18" t="s">
        <v>1222</v>
      </c>
      <c r="B591" s="4" t="s">
        <v>1243</v>
      </c>
      <c r="C591" s="4" t="s">
        <v>187</v>
      </c>
      <c r="D591" s="19"/>
      <c r="E591" s="4"/>
      <c r="F591" s="19">
        <f t="shared" si="49"/>
        <v>0</v>
      </c>
    </row>
    <row r="592" spans="1:6" x14ac:dyDescent="0.2">
      <c r="A592" s="18" t="s">
        <v>1222</v>
      </c>
      <c r="B592" s="4" t="s">
        <v>1246</v>
      </c>
      <c r="C592" s="4" t="s">
        <v>187</v>
      </c>
      <c r="D592" s="19"/>
      <c r="E592" s="4"/>
      <c r="F592" s="19">
        <f t="shared" si="49"/>
        <v>0</v>
      </c>
    </row>
    <row r="593" spans="1:6" x14ac:dyDescent="0.2">
      <c r="A593" s="18" t="s">
        <v>1222</v>
      </c>
      <c r="B593" s="4" t="s">
        <v>1248</v>
      </c>
      <c r="C593" s="4" t="s">
        <v>187</v>
      </c>
      <c r="D593" s="19"/>
      <c r="E593" s="4"/>
      <c r="F593" s="19">
        <f t="shared" si="49"/>
        <v>0</v>
      </c>
    </row>
    <row r="594" spans="1:6" x14ac:dyDescent="0.2">
      <c r="A594" s="51" t="s">
        <v>494</v>
      </c>
      <c r="B594" s="4" t="s">
        <v>1231</v>
      </c>
      <c r="C594" s="4" t="s">
        <v>187</v>
      </c>
      <c r="D594" s="19"/>
      <c r="E594" s="4"/>
      <c r="F594" s="19">
        <f t="shared" si="49"/>
        <v>0</v>
      </c>
    </row>
    <row r="595" spans="1:6" x14ac:dyDescent="0.2">
      <c r="A595" s="41" t="s">
        <v>247</v>
      </c>
      <c r="B595" s="4"/>
      <c r="C595" s="4"/>
      <c r="D595" s="19"/>
      <c r="E595" s="4"/>
      <c r="F595" s="19"/>
    </row>
    <row r="596" spans="1:6" x14ac:dyDescent="0.2">
      <c r="A596" s="18" t="s">
        <v>246</v>
      </c>
      <c r="B596" s="4" t="s">
        <v>1229</v>
      </c>
      <c r="C596" s="4" t="s">
        <v>187</v>
      </c>
      <c r="D596" s="19"/>
      <c r="E596" s="4"/>
      <c r="F596" s="19">
        <f>D596</f>
        <v>0</v>
      </c>
    </row>
    <row r="597" spans="1:6" x14ac:dyDescent="0.2">
      <c r="A597" s="18" t="s">
        <v>751</v>
      </c>
      <c r="B597" s="4" t="s">
        <v>1231</v>
      </c>
      <c r="C597" s="4" t="s">
        <v>187</v>
      </c>
      <c r="D597" s="19"/>
      <c r="E597" s="4"/>
      <c r="F597" s="19">
        <f t="shared" ref="F597:F619" si="50">F596+D597</f>
        <v>0</v>
      </c>
    </row>
    <row r="598" spans="1:6" x14ac:dyDescent="0.2">
      <c r="A598" s="18" t="s">
        <v>522</v>
      </c>
      <c r="B598" s="4" t="s">
        <v>1231</v>
      </c>
      <c r="C598" s="4" t="s">
        <v>187</v>
      </c>
      <c r="D598" s="19"/>
      <c r="E598" s="4"/>
      <c r="F598" s="19">
        <f t="shared" si="50"/>
        <v>0</v>
      </c>
    </row>
    <row r="599" spans="1:6" x14ac:dyDescent="0.2">
      <c r="A599" s="18" t="s">
        <v>474</v>
      </c>
      <c r="B599" s="4" t="s">
        <v>1296</v>
      </c>
      <c r="C599" s="4" t="s">
        <v>187</v>
      </c>
      <c r="D599" s="19"/>
      <c r="E599" s="4"/>
      <c r="F599" s="19">
        <f t="shared" si="50"/>
        <v>0</v>
      </c>
    </row>
    <row r="600" spans="1:6" x14ac:dyDescent="0.2">
      <c r="A600" s="18" t="s">
        <v>474</v>
      </c>
      <c r="B600" s="4" t="s">
        <v>1302</v>
      </c>
      <c r="C600" s="4" t="s">
        <v>187</v>
      </c>
      <c r="D600" s="19"/>
      <c r="E600" s="4"/>
      <c r="F600" s="19">
        <f t="shared" si="50"/>
        <v>0</v>
      </c>
    </row>
    <row r="601" spans="1:6" x14ac:dyDescent="0.2">
      <c r="A601" s="18" t="s">
        <v>474</v>
      </c>
      <c r="B601" s="4" t="s">
        <v>1303</v>
      </c>
      <c r="C601" s="4" t="s">
        <v>187</v>
      </c>
      <c r="D601" s="19"/>
      <c r="E601" s="4"/>
      <c r="F601" s="19">
        <f t="shared" si="50"/>
        <v>0</v>
      </c>
    </row>
    <row r="602" spans="1:6" x14ac:dyDescent="0.2">
      <c r="A602" s="38" t="s">
        <v>262</v>
      </c>
      <c r="B602" s="4"/>
      <c r="C602" s="4"/>
      <c r="D602" s="19"/>
      <c r="E602" s="4"/>
      <c r="F602" s="19"/>
    </row>
    <row r="603" spans="1:6" x14ac:dyDescent="0.2">
      <c r="A603" s="18" t="s">
        <v>580</v>
      </c>
      <c r="B603" s="4" t="s">
        <v>1369</v>
      </c>
      <c r="C603" s="4" t="s">
        <v>187</v>
      </c>
      <c r="D603" s="19"/>
      <c r="E603" s="4"/>
      <c r="F603" s="19">
        <f>D603</f>
        <v>0</v>
      </c>
    </row>
    <row r="604" spans="1:6" x14ac:dyDescent="0.2">
      <c r="A604" s="18" t="s">
        <v>476</v>
      </c>
      <c r="B604" s="4" t="s">
        <v>1296</v>
      </c>
      <c r="C604" s="4" t="s">
        <v>187</v>
      </c>
      <c r="D604" s="19"/>
      <c r="E604" s="4"/>
      <c r="F604" s="19">
        <f t="shared" si="50"/>
        <v>0</v>
      </c>
    </row>
    <row r="605" spans="1:6" x14ac:dyDescent="0.2">
      <c r="A605" s="18" t="s">
        <v>476</v>
      </c>
      <c r="B605" s="4" t="s">
        <v>1302</v>
      </c>
      <c r="C605" s="4" t="s">
        <v>187</v>
      </c>
      <c r="D605" s="19"/>
      <c r="E605" s="4"/>
      <c r="F605" s="19">
        <f t="shared" si="50"/>
        <v>0</v>
      </c>
    </row>
    <row r="606" spans="1:6" x14ac:dyDescent="0.2">
      <c r="A606" s="18" t="s">
        <v>476</v>
      </c>
      <c r="B606" s="4" t="s">
        <v>1303</v>
      </c>
      <c r="C606" s="4" t="s">
        <v>187</v>
      </c>
      <c r="D606" s="19"/>
      <c r="E606" s="4"/>
      <c r="F606" s="19">
        <f t="shared" si="50"/>
        <v>0</v>
      </c>
    </row>
    <row r="607" spans="1:6" x14ac:dyDescent="0.2">
      <c r="A607" s="38" t="s">
        <v>283</v>
      </c>
      <c r="B607" s="4"/>
      <c r="C607" s="4"/>
      <c r="D607" s="19"/>
      <c r="E607" s="4"/>
      <c r="F607" s="19"/>
    </row>
    <row r="608" spans="1:6" x14ac:dyDescent="0.2">
      <c r="A608" s="18" t="s">
        <v>282</v>
      </c>
      <c r="B608" s="4" t="s">
        <v>732</v>
      </c>
      <c r="C608" s="4" t="s">
        <v>187</v>
      </c>
      <c r="D608" s="19"/>
      <c r="E608" s="4"/>
      <c r="F608" s="19">
        <f>D608</f>
        <v>0</v>
      </c>
    </row>
    <row r="609" spans="1:6" x14ac:dyDescent="0.2">
      <c r="A609" s="18" t="s">
        <v>784</v>
      </c>
      <c r="B609" s="4" t="s">
        <v>783</v>
      </c>
      <c r="C609" s="4" t="s">
        <v>187</v>
      </c>
      <c r="D609" s="19"/>
      <c r="E609" s="4"/>
      <c r="F609" s="19">
        <f t="shared" si="50"/>
        <v>0</v>
      </c>
    </row>
    <row r="610" spans="1:6" x14ac:dyDescent="0.2">
      <c r="A610" s="18" t="s">
        <v>784</v>
      </c>
      <c r="B610" s="4" t="s">
        <v>531</v>
      </c>
      <c r="C610" s="4" t="s">
        <v>187</v>
      </c>
      <c r="D610" s="19"/>
      <c r="E610" s="4"/>
      <c r="F610" s="19">
        <f t="shared" si="50"/>
        <v>0</v>
      </c>
    </row>
    <row r="611" spans="1:6" x14ac:dyDescent="0.2">
      <c r="A611" s="18" t="s">
        <v>786</v>
      </c>
      <c r="B611" s="4" t="s">
        <v>787</v>
      </c>
      <c r="C611" s="4" t="s">
        <v>187</v>
      </c>
      <c r="D611" s="19"/>
      <c r="E611" s="4"/>
      <c r="F611" s="19">
        <f t="shared" si="50"/>
        <v>0</v>
      </c>
    </row>
    <row r="612" spans="1:6" x14ac:dyDescent="0.2">
      <c r="A612" s="18" t="s">
        <v>786</v>
      </c>
      <c r="B612" s="4" t="s">
        <v>531</v>
      </c>
      <c r="C612" s="4" t="s">
        <v>187</v>
      </c>
      <c r="D612" s="19"/>
      <c r="E612" s="4"/>
      <c r="F612" s="19">
        <f t="shared" si="50"/>
        <v>0</v>
      </c>
    </row>
    <row r="613" spans="1:6" x14ac:dyDescent="0.2">
      <c r="A613" s="18" t="s">
        <v>790</v>
      </c>
      <c r="B613" s="4" t="s">
        <v>791</v>
      </c>
      <c r="C613" s="4" t="s">
        <v>187</v>
      </c>
      <c r="D613" s="19"/>
      <c r="E613" s="4"/>
      <c r="F613" s="19">
        <f t="shared" si="50"/>
        <v>0</v>
      </c>
    </row>
    <row r="614" spans="1:6" x14ac:dyDescent="0.2">
      <c r="A614" s="38" t="s">
        <v>299</v>
      </c>
      <c r="B614" s="4"/>
      <c r="C614" s="4"/>
      <c r="D614" s="19"/>
      <c r="E614" s="4"/>
      <c r="F614" s="19"/>
    </row>
    <row r="615" spans="1:6" x14ac:dyDescent="0.2">
      <c r="A615" s="18" t="s">
        <v>593</v>
      </c>
      <c r="B615" s="4" t="s">
        <v>816</v>
      </c>
      <c r="C615" s="4" t="s">
        <v>187</v>
      </c>
      <c r="D615" s="19"/>
      <c r="E615" s="4"/>
      <c r="F615" s="19">
        <f>D615</f>
        <v>0</v>
      </c>
    </row>
    <row r="616" spans="1:6" x14ac:dyDescent="0.2">
      <c r="A616" s="18" t="s">
        <v>593</v>
      </c>
      <c r="B616" s="4" t="s">
        <v>817</v>
      </c>
      <c r="C616" s="4" t="s">
        <v>187</v>
      </c>
      <c r="D616" s="19"/>
      <c r="E616" s="4"/>
      <c r="F616" s="19">
        <f t="shared" si="50"/>
        <v>0</v>
      </c>
    </row>
    <row r="617" spans="1:6" x14ac:dyDescent="0.2">
      <c r="A617" s="18" t="s">
        <v>819</v>
      </c>
      <c r="B617" s="4" t="s">
        <v>531</v>
      </c>
      <c r="C617" s="4" t="s">
        <v>187</v>
      </c>
      <c r="D617" s="19"/>
      <c r="E617" s="4"/>
      <c r="F617" s="19">
        <f t="shared" si="50"/>
        <v>0</v>
      </c>
    </row>
    <row r="618" spans="1:6" x14ac:dyDescent="0.2">
      <c r="A618" s="18" t="s">
        <v>821</v>
      </c>
      <c r="B618" s="4" t="s">
        <v>531</v>
      </c>
      <c r="C618" s="4" t="s">
        <v>187</v>
      </c>
      <c r="D618" s="19"/>
      <c r="E618" s="4"/>
      <c r="F618" s="19">
        <f t="shared" si="50"/>
        <v>0</v>
      </c>
    </row>
    <row r="619" spans="1:6" x14ac:dyDescent="0.2">
      <c r="A619" s="18" t="s">
        <v>595</v>
      </c>
      <c r="B619" s="4" t="s">
        <v>732</v>
      </c>
      <c r="C619" s="4" t="s">
        <v>187</v>
      </c>
      <c r="D619" s="19"/>
      <c r="E619" s="4"/>
      <c r="F619" s="19">
        <f t="shared" si="50"/>
        <v>0</v>
      </c>
    </row>
    <row r="620" spans="1:6" x14ac:dyDescent="0.2">
      <c r="A620" s="38" t="s">
        <v>315</v>
      </c>
      <c r="B620" s="4"/>
      <c r="C620" s="4"/>
      <c r="D620" s="19"/>
      <c r="E620" s="4"/>
      <c r="F620" s="19"/>
    </row>
    <row r="621" spans="1:6" x14ac:dyDescent="0.2">
      <c r="A621" s="18" t="s">
        <v>861</v>
      </c>
      <c r="B621" s="4" t="s">
        <v>864</v>
      </c>
      <c r="C621" s="4" t="s">
        <v>187</v>
      </c>
      <c r="D621" s="19"/>
      <c r="E621" s="4"/>
      <c r="F621" s="19">
        <f>D621</f>
        <v>0</v>
      </c>
    </row>
    <row r="622" spans="1:6" x14ac:dyDescent="0.2">
      <c r="A622" s="18" t="s">
        <v>604</v>
      </c>
      <c r="B622" s="4" t="s">
        <v>732</v>
      </c>
      <c r="C622" s="4" t="s">
        <v>187</v>
      </c>
      <c r="D622" s="19"/>
      <c r="E622" s="4"/>
      <c r="F622" s="19">
        <f t="shared" ref="F622" si="51">F621+D622</f>
        <v>0</v>
      </c>
    </row>
    <row r="623" spans="1:6" x14ac:dyDescent="0.2">
      <c r="A623" s="38" t="s">
        <v>330</v>
      </c>
      <c r="B623" s="4"/>
      <c r="C623" s="4"/>
      <c r="D623" s="19"/>
      <c r="E623" s="4"/>
      <c r="F623" s="19"/>
    </row>
    <row r="624" spans="1:6" x14ac:dyDescent="0.2">
      <c r="A624" s="18" t="s">
        <v>908</v>
      </c>
      <c r="B624" s="4" t="s">
        <v>531</v>
      </c>
      <c r="C624" s="4" t="s">
        <v>187</v>
      </c>
      <c r="D624" s="19"/>
      <c r="E624" s="4"/>
      <c r="F624" s="19">
        <f>D624</f>
        <v>0</v>
      </c>
    </row>
    <row r="625" spans="1:6" x14ac:dyDescent="0.2">
      <c r="A625" s="18" t="s">
        <v>925</v>
      </c>
      <c r="B625" s="4" t="s">
        <v>531</v>
      </c>
      <c r="C625" s="4" t="s">
        <v>187</v>
      </c>
      <c r="D625" s="19"/>
      <c r="E625" s="4"/>
      <c r="F625" s="19">
        <f t="shared" ref="F625:F627" si="52">F624+D625</f>
        <v>0</v>
      </c>
    </row>
    <row r="626" spans="1:6" x14ac:dyDescent="0.2">
      <c r="A626" s="18" t="s">
        <v>934</v>
      </c>
      <c r="B626" s="4" t="s">
        <v>732</v>
      </c>
      <c r="C626" s="4" t="s">
        <v>187</v>
      </c>
      <c r="D626" s="19"/>
      <c r="E626" s="4"/>
      <c r="F626" s="19">
        <f t="shared" si="52"/>
        <v>0</v>
      </c>
    </row>
    <row r="627" spans="1:6" x14ac:dyDescent="0.2">
      <c r="A627" s="18"/>
      <c r="B627" s="4"/>
      <c r="C627" s="4" t="s">
        <v>187</v>
      </c>
      <c r="D627" s="19"/>
      <c r="E627" s="4"/>
      <c r="F627" s="19">
        <f t="shared" si="52"/>
        <v>0</v>
      </c>
    </row>
    <row r="628" spans="1:6" x14ac:dyDescent="0.2">
      <c r="A628" s="41" t="s">
        <v>344</v>
      </c>
      <c r="B628" s="4"/>
      <c r="C628" s="4"/>
      <c r="D628" s="19"/>
      <c r="E628" s="4"/>
      <c r="F628" s="19"/>
    </row>
    <row r="629" spans="1:6" x14ac:dyDescent="0.2">
      <c r="A629" s="18" t="s">
        <v>957</v>
      </c>
      <c r="B629" s="4" t="s">
        <v>958</v>
      </c>
      <c r="C629" s="4" t="s">
        <v>187</v>
      </c>
      <c r="D629" s="19"/>
      <c r="E629" s="4"/>
      <c r="F629" s="19">
        <f>D629</f>
        <v>0</v>
      </c>
    </row>
    <row r="630" spans="1:6" x14ac:dyDescent="0.2">
      <c r="A630" s="18" t="s">
        <v>974</v>
      </c>
      <c r="B630" s="4" t="s">
        <v>732</v>
      </c>
      <c r="C630" s="4" t="s">
        <v>187</v>
      </c>
      <c r="D630" s="19"/>
      <c r="E630" s="4"/>
      <c r="F630" s="19">
        <f t="shared" ref="F630:F631" si="53">F629+D630</f>
        <v>0</v>
      </c>
    </row>
    <row r="631" spans="1:6" x14ac:dyDescent="0.2">
      <c r="A631" s="18"/>
      <c r="B631" s="4"/>
      <c r="C631" s="4" t="s">
        <v>187</v>
      </c>
      <c r="D631" s="19"/>
      <c r="E631" s="4"/>
      <c r="F631" s="19">
        <f t="shared" si="53"/>
        <v>0</v>
      </c>
    </row>
    <row r="632" spans="1:6" x14ac:dyDescent="0.2">
      <c r="A632" s="41" t="s">
        <v>363</v>
      </c>
      <c r="B632" s="4"/>
      <c r="C632" s="4"/>
      <c r="D632" s="19"/>
      <c r="E632" s="4"/>
      <c r="F632" s="19"/>
    </row>
    <row r="633" spans="1:6" x14ac:dyDescent="0.2">
      <c r="A633" s="18" t="s">
        <v>622</v>
      </c>
      <c r="B633" s="4" t="s">
        <v>531</v>
      </c>
      <c r="C633" s="4" t="s">
        <v>187</v>
      </c>
      <c r="D633" s="19"/>
      <c r="E633" s="4"/>
      <c r="F633" s="19">
        <f>D633</f>
        <v>0</v>
      </c>
    </row>
    <row r="634" spans="1:6" x14ac:dyDescent="0.2">
      <c r="A634" s="18" t="s">
        <v>1004</v>
      </c>
      <c r="B634" s="4" t="s">
        <v>531</v>
      </c>
      <c r="C634" s="4" t="s">
        <v>187</v>
      </c>
      <c r="D634" s="19"/>
      <c r="E634" s="4"/>
      <c r="F634" s="19">
        <f t="shared" ref="F634:F636" si="54">F633+D634</f>
        <v>0</v>
      </c>
    </row>
    <row r="635" spans="1:6" x14ac:dyDescent="0.2">
      <c r="A635" s="18" t="s">
        <v>1004</v>
      </c>
      <c r="B635" s="4" t="s">
        <v>732</v>
      </c>
      <c r="C635" s="4" t="s">
        <v>187</v>
      </c>
      <c r="D635" s="19"/>
      <c r="E635" s="4"/>
      <c r="F635" s="19">
        <f t="shared" si="54"/>
        <v>0</v>
      </c>
    </row>
    <row r="636" spans="1:6" x14ac:dyDescent="0.2">
      <c r="A636" s="18"/>
      <c r="B636" s="4"/>
      <c r="C636" s="4" t="s">
        <v>187</v>
      </c>
      <c r="D636" s="19"/>
      <c r="E636" s="4"/>
      <c r="F636" s="19">
        <f t="shared" si="54"/>
        <v>0</v>
      </c>
    </row>
    <row r="637" spans="1:6" x14ac:dyDescent="0.2">
      <c r="A637" s="41" t="s">
        <v>368</v>
      </c>
      <c r="B637" s="4"/>
      <c r="C637" s="4"/>
      <c r="D637" s="19"/>
      <c r="E637" s="4"/>
      <c r="F637" s="19"/>
    </row>
    <row r="638" spans="1:6" x14ac:dyDescent="0.2">
      <c r="A638" s="18" t="s">
        <v>630</v>
      </c>
      <c r="B638" s="4" t="s">
        <v>1069</v>
      </c>
      <c r="C638" s="4" t="s">
        <v>187</v>
      </c>
      <c r="D638" s="19"/>
      <c r="E638" s="4"/>
      <c r="F638" s="19">
        <f>D638</f>
        <v>0</v>
      </c>
    </row>
    <row r="639" spans="1:6" x14ac:dyDescent="0.2">
      <c r="A639" s="18" t="s">
        <v>631</v>
      </c>
      <c r="B639" s="4" t="s">
        <v>1073</v>
      </c>
      <c r="C639" s="4" t="s">
        <v>187</v>
      </c>
      <c r="D639" s="19"/>
      <c r="E639" s="4"/>
      <c r="F639" s="19">
        <f t="shared" ref="F639:F643" si="55">F638+D639</f>
        <v>0</v>
      </c>
    </row>
    <row r="640" spans="1:6" x14ac:dyDescent="0.2">
      <c r="A640" s="18" t="s">
        <v>1077</v>
      </c>
      <c r="B640" s="4" t="s">
        <v>732</v>
      </c>
      <c r="C640" s="4" t="s">
        <v>187</v>
      </c>
      <c r="D640" s="19"/>
      <c r="E640" s="4"/>
      <c r="F640" s="19">
        <f t="shared" si="55"/>
        <v>0</v>
      </c>
    </row>
    <row r="641" spans="1:6" x14ac:dyDescent="0.2">
      <c r="A641" s="18" t="s">
        <v>372</v>
      </c>
      <c r="B641" s="4" t="s">
        <v>531</v>
      </c>
      <c r="C641" s="4" t="s">
        <v>187</v>
      </c>
      <c r="D641" s="19"/>
      <c r="E641" s="4"/>
      <c r="F641" s="19">
        <f t="shared" si="55"/>
        <v>0</v>
      </c>
    </row>
    <row r="642" spans="1:6" x14ac:dyDescent="0.2">
      <c r="A642" s="18" t="s">
        <v>1086</v>
      </c>
      <c r="B642" s="4" t="s">
        <v>531</v>
      </c>
      <c r="C642" s="4" t="s">
        <v>187</v>
      </c>
      <c r="D642" s="19"/>
      <c r="E642" s="4"/>
      <c r="F642" s="19">
        <f t="shared" si="55"/>
        <v>0</v>
      </c>
    </row>
    <row r="643" spans="1:6" x14ac:dyDescent="0.2">
      <c r="A643" s="18"/>
      <c r="B643" s="4"/>
      <c r="C643" s="4" t="s">
        <v>187</v>
      </c>
      <c r="D643" s="19"/>
      <c r="E643" s="4"/>
      <c r="F643" s="19">
        <f t="shared" si="55"/>
        <v>0</v>
      </c>
    </row>
    <row r="644" spans="1:6" x14ac:dyDescent="0.2">
      <c r="A644" s="18"/>
      <c r="B644" s="4"/>
      <c r="C644" s="4"/>
      <c r="D644" s="19"/>
      <c r="E644" s="4"/>
      <c r="F644" s="19"/>
    </row>
    <row r="645" spans="1:6" x14ac:dyDescent="0.2">
      <c r="A645" s="18"/>
      <c r="B645" s="4"/>
      <c r="C645" s="4"/>
      <c r="D645" s="19"/>
      <c r="E645" s="4"/>
      <c r="F645" s="19"/>
    </row>
    <row r="646" spans="1:6" x14ac:dyDescent="0.2">
      <c r="A646" s="41" t="s">
        <v>397</v>
      </c>
      <c r="B646" s="4"/>
      <c r="C646" s="4"/>
      <c r="D646" s="19"/>
      <c r="E646" s="4"/>
      <c r="F646" s="19">
        <f>D646</f>
        <v>0</v>
      </c>
    </row>
    <row r="647" spans="1:6" x14ac:dyDescent="0.2">
      <c r="A647" s="18" t="s">
        <v>548</v>
      </c>
      <c r="B647" s="4" t="s">
        <v>531</v>
      </c>
      <c r="C647" s="4" t="s">
        <v>187</v>
      </c>
      <c r="D647" s="19"/>
      <c r="E647" s="4"/>
      <c r="F647" s="19">
        <f t="shared" ref="F647:F650" si="56">F646+D647</f>
        <v>0</v>
      </c>
    </row>
    <row r="648" spans="1:6" x14ac:dyDescent="0.2">
      <c r="A648" s="18" t="s">
        <v>549</v>
      </c>
      <c r="B648" s="4" t="s">
        <v>1111</v>
      </c>
      <c r="C648" s="4" t="s">
        <v>187</v>
      </c>
      <c r="D648" s="19"/>
      <c r="E648" s="4"/>
      <c r="F648" s="19">
        <f t="shared" si="56"/>
        <v>0</v>
      </c>
    </row>
    <row r="649" spans="1:6" x14ac:dyDescent="0.2">
      <c r="A649" s="18" t="s">
        <v>1114</v>
      </c>
      <c r="B649" s="4" t="s">
        <v>732</v>
      </c>
      <c r="C649" s="4" t="s">
        <v>187</v>
      </c>
      <c r="D649" s="19"/>
      <c r="E649" s="4"/>
      <c r="F649" s="19">
        <f t="shared" si="56"/>
        <v>0</v>
      </c>
    </row>
    <row r="650" spans="1:6" x14ac:dyDescent="0.2">
      <c r="A650" s="18" t="s">
        <v>489</v>
      </c>
      <c r="B650" s="4" t="s">
        <v>531</v>
      </c>
      <c r="C650" s="4" t="s">
        <v>187</v>
      </c>
      <c r="D650" s="19"/>
      <c r="E650" s="4"/>
      <c r="F650" s="19">
        <f t="shared" si="56"/>
        <v>0</v>
      </c>
    </row>
    <row r="651" spans="1:6" x14ac:dyDescent="0.2">
      <c r="A651" s="41" t="s">
        <v>453</v>
      </c>
      <c r="B651" s="4"/>
      <c r="C651" s="4"/>
      <c r="D651" s="19"/>
      <c r="E651" s="4"/>
      <c r="F651" s="19"/>
    </row>
    <row r="652" spans="1:6" x14ac:dyDescent="0.2">
      <c r="A652" s="18" t="s">
        <v>1145</v>
      </c>
      <c r="B652" s="4" t="s">
        <v>1146</v>
      </c>
      <c r="C652" s="4" t="s">
        <v>187</v>
      </c>
      <c r="D652" s="19"/>
      <c r="E652" s="4"/>
      <c r="F652" s="19">
        <f>D652</f>
        <v>0</v>
      </c>
    </row>
    <row r="653" spans="1:6" x14ac:dyDescent="0.2">
      <c r="A653" s="18" t="s">
        <v>1181</v>
      </c>
      <c r="B653" s="4" t="s">
        <v>732</v>
      </c>
      <c r="C653" s="4" t="s">
        <v>187</v>
      </c>
      <c r="D653" s="19"/>
      <c r="E653" s="4"/>
      <c r="F653" s="19">
        <f t="shared" ref="F653:F662" si="57">F652+D653</f>
        <v>0</v>
      </c>
    </row>
    <row r="654" spans="1:6" x14ac:dyDescent="0.2">
      <c r="A654" s="18" t="s">
        <v>1181</v>
      </c>
      <c r="B654" s="4" t="s">
        <v>531</v>
      </c>
      <c r="C654" s="4" t="s">
        <v>187</v>
      </c>
      <c r="D654" s="19"/>
      <c r="E654" s="4"/>
      <c r="F654" s="19">
        <f t="shared" si="57"/>
        <v>0</v>
      </c>
    </row>
    <row r="655" spans="1:6" x14ac:dyDescent="0.2">
      <c r="A655" s="18"/>
      <c r="B655" s="4"/>
      <c r="C655" s="4" t="s">
        <v>187</v>
      </c>
      <c r="D655" s="19"/>
      <c r="E655" s="4"/>
      <c r="F655" s="19">
        <f t="shared" si="57"/>
        <v>0</v>
      </c>
    </row>
    <row r="656" spans="1:6" x14ac:dyDescent="0.2">
      <c r="A656" s="18"/>
      <c r="B656" s="4"/>
      <c r="C656" s="4" t="s">
        <v>187</v>
      </c>
      <c r="D656" s="19"/>
      <c r="E656" s="4"/>
      <c r="F656" s="19">
        <f t="shared" si="57"/>
        <v>0</v>
      </c>
    </row>
    <row r="657" spans="1:6" x14ac:dyDescent="0.2">
      <c r="A657" s="18"/>
      <c r="B657" s="4"/>
      <c r="C657" s="4" t="s">
        <v>187</v>
      </c>
      <c r="D657" s="19"/>
      <c r="E657" s="4"/>
      <c r="F657" s="19">
        <f t="shared" si="57"/>
        <v>0</v>
      </c>
    </row>
    <row r="658" spans="1:6" x14ac:dyDescent="0.2">
      <c r="A658" s="18"/>
      <c r="B658" s="27"/>
      <c r="C658" s="4" t="s">
        <v>187</v>
      </c>
      <c r="D658" s="19"/>
      <c r="E658" s="4"/>
      <c r="F658" s="19">
        <f t="shared" si="57"/>
        <v>0</v>
      </c>
    </row>
    <row r="659" spans="1:6" x14ac:dyDescent="0.2">
      <c r="A659" s="18"/>
      <c r="B659" s="4"/>
      <c r="C659" s="4" t="s">
        <v>187</v>
      </c>
      <c r="D659" s="19"/>
      <c r="E659" s="4"/>
      <c r="F659" s="19">
        <f t="shared" si="57"/>
        <v>0</v>
      </c>
    </row>
    <row r="660" spans="1:6" x14ac:dyDescent="0.2">
      <c r="A660" s="18"/>
      <c r="B660" s="4"/>
      <c r="C660" s="4" t="s">
        <v>187</v>
      </c>
      <c r="D660" s="19"/>
      <c r="E660" s="4"/>
      <c r="F660" s="19">
        <f t="shared" si="57"/>
        <v>0</v>
      </c>
    </row>
    <row r="661" spans="1:6" x14ac:dyDescent="0.2">
      <c r="A661" s="18"/>
      <c r="B661" s="4"/>
      <c r="C661" s="4" t="s">
        <v>187</v>
      </c>
      <c r="D661" s="19"/>
      <c r="E661" s="4"/>
      <c r="F661" s="19">
        <f t="shared" si="57"/>
        <v>0</v>
      </c>
    </row>
    <row r="662" spans="1:6" x14ac:dyDescent="0.2">
      <c r="A662" s="18"/>
      <c r="B662" s="4"/>
      <c r="C662" s="4" t="s">
        <v>187</v>
      </c>
      <c r="D662" s="19"/>
      <c r="E662" s="4"/>
      <c r="F662" s="19">
        <f t="shared" si="57"/>
        <v>0</v>
      </c>
    </row>
    <row r="663" spans="1:6" x14ac:dyDescent="0.2">
      <c r="A663" s="4"/>
      <c r="B663" s="4"/>
      <c r="C663" s="4"/>
      <c r="D663" s="4"/>
      <c r="E663" s="4"/>
      <c r="F663" s="19"/>
    </row>
    <row r="664" spans="1:6" x14ac:dyDescent="0.2">
      <c r="A664" s="105" t="s">
        <v>10</v>
      </c>
      <c r="B664" s="112"/>
      <c r="C664" s="106"/>
      <c r="D664" s="20">
        <f>SUM(D589:D663)</f>
        <v>0</v>
      </c>
      <c r="E664" s="20">
        <f>SUM(E589:E663)</f>
        <v>0</v>
      </c>
      <c r="F664" s="20">
        <f>D664-E664</f>
        <v>0</v>
      </c>
    </row>
    <row r="665" spans="1:6" x14ac:dyDescent="0.2">
      <c r="A665" s="105" t="s">
        <v>11</v>
      </c>
      <c r="B665" s="112"/>
      <c r="C665" s="106"/>
      <c r="D665" s="20"/>
      <c r="E665" s="20"/>
      <c r="F665" s="20">
        <f>D665-E665</f>
        <v>0</v>
      </c>
    </row>
    <row r="666" spans="1:6" x14ac:dyDescent="0.2">
      <c r="A666" s="105" t="s">
        <v>10</v>
      </c>
      <c r="B666" s="112"/>
      <c r="C666" s="106"/>
      <c r="D666" s="20">
        <f>SUM(D664:D665)</f>
        <v>0</v>
      </c>
      <c r="E666" s="20">
        <f>SUM(E664:E665)</f>
        <v>0</v>
      </c>
      <c r="F666" s="20">
        <f>SUM(F664:F665)</f>
        <v>0</v>
      </c>
    </row>
    <row r="667" spans="1:6" x14ac:dyDescent="0.2">
      <c r="A667" s="5"/>
      <c r="B667" s="5"/>
      <c r="C667" s="5"/>
    </row>
    <row r="675" spans="2:2" x14ac:dyDescent="0.2">
      <c r="B675" s="31">
        <f>D8+D9+D57+D58+D59+D60+D61+D245+D272+D273+D329+D367+D417+D418+D419+D450+D476+D477+D478+D479+D480+D481+D482+D540+D541+D589+D590+D591</f>
        <v>0</v>
      </c>
    </row>
  </sheetData>
  <mergeCells count="202">
    <mergeCell ref="D586:E586"/>
    <mergeCell ref="F586:F587"/>
    <mergeCell ref="A583:F583"/>
    <mergeCell ref="A664:C664"/>
    <mergeCell ref="A665:C665"/>
    <mergeCell ref="A666:C666"/>
    <mergeCell ref="A584:B584"/>
    <mergeCell ref="A586:A587"/>
    <mergeCell ref="B586:B587"/>
    <mergeCell ref="C586:C587"/>
    <mergeCell ref="A1:B1"/>
    <mergeCell ref="A2:B2"/>
    <mergeCell ref="A3:F3"/>
    <mergeCell ref="A40:C40"/>
    <mergeCell ref="A41:C41"/>
    <mergeCell ref="A42:C42"/>
    <mergeCell ref="A49:B49"/>
    <mergeCell ref="A50:B50"/>
    <mergeCell ref="A51:F51"/>
    <mergeCell ref="A4:B4"/>
    <mergeCell ref="A6:A7"/>
    <mergeCell ref="B6:B7"/>
    <mergeCell ref="C6:C7"/>
    <mergeCell ref="D6:E6"/>
    <mergeCell ref="F6:F7"/>
    <mergeCell ref="A136:C136"/>
    <mergeCell ref="A137:C137"/>
    <mergeCell ref="A138:C138"/>
    <mergeCell ref="A140:B140"/>
    <mergeCell ref="A141:B141"/>
    <mergeCell ref="A142:F142"/>
    <mergeCell ref="A52:B52"/>
    <mergeCell ref="A54:A55"/>
    <mergeCell ref="B54:B55"/>
    <mergeCell ref="C54:C55"/>
    <mergeCell ref="D54:E54"/>
    <mergeCell ref="F54:F55"/>
    <mergeCell ref="A160:C160"/>
    <mergeCell ref="A161:C161"/>
    <mergeCell ref="A162:C162"/>
    <mergeCell ref="A165:B165"/>
    <mergeCell ref="A166:B166"/>
    <mergeCell ref="A167:F167"/>
    <mergeCell ref="A143:B143"/>
    <mergeCell ref="A145:A146"/>
    <mergeCell ref="B145:B146"/>
    <mergeCell ref="C145:C146"/>
    <mergeCell ref="D145:E145"/>
    <mergeCell ref="F145:F146"/>
    <mergeCell ref="A193:C193"/>
    <mergeCell ref="A194:C194"/>
    <mergeCell ref="A195:C195"/>
    <mergeCell ref="A168:B168"/>
    <mergeCell ref="A170:A171"/>
    <mergeCell ref="B170:B171"/>
    <mergeCell ref="C170:C171"/>
    <mergeCell ref="D170:E170"/>
    <mergeCell ref="F170:F171"/>
    <mergeCell ref="A220:B220"/>
    <mergeCell ref="A221:B221"/>
    <mergeCell ref="A222:F222"/>
    <mergeCell ref="A199:B199"/>
    <mergeCell ref="A200:B200"/>
    <mergeCell ref="A201:F201"/>
    <mergeCell ref="A202:B202"/>
    <mergeCell ref="A205:A206"/>
    <mergeCell ref="B205:B206"/>
    <mergeCell ref="C205:C206"/>
    <mergeCell ref="D205:E205"/>
    <mergeCell ref="F205:F206"/>
    <mergeCell ref="A216:C216"/>
    <mergeCell ref="A217:C217"/>
    <mergeCell ref="A218:C218"/>
    <mergeCell ref="A231:C231"/>
    <mergeCell ref="A232:C232"/>
    <mergeCell ref="A233:C233"/>
    <mergeCell ref="A223:B223"/>
    <mergeCell ref="A225:A226"/>
    <mergeCell ref="B225:B226"/>
    <mergeCell ref="C225:C226"/>
    <mergeCell ref="D225:E225"/>
    <mergeCell ref="F225:F226"/>
    <mergeCell ref="A238:B238"/>
    <mergeCell ref="A239:B239"/>
    <mergeCell ref="A240:F240"/>
    <mergeCell ref="A266:B266"/>
    <mergeCell ref="A261:C261"/>
    <mergeCell ref="A262:C262"/>
    <mergeCell ref="A263:C263"/>
    <mergeCell ref="A241:B241"/>
    <mergeCell ref="A243:A244"/>
    <mergeCell ref="B243:B244"/>
    <mergeCell ref="C243:C244"/>
    <mergeCell ref="D243:E243"/>
    <mergeCell ref="F243:F244"/>
    <mergeCell ref="A267:F267"/>
    <mergeCell ref="A268:B268"/>
    <mergeCell ref="A270:A271"/>
    <mergeCell ref="B270:B271"/>
    <mergeCell ref="C270:C271"/>
    <mergeCell ref="D270:E270"/>
    <mergeCell ref="F270:F271"/>
    <mergeCell ref="A265:B265"/>
    <mergeCell ref="A308:B308"/>
    <mergeCell ref="A310:A311"/>
    <mergeCell ref="B310:B311"/>
    <mergeCell ref="C310:C311"/>
    <mergeCell ref="D310:E310"/>
    <mergeCell ref="F310:F311"/>
    <mergeCell ref="A301:C301"/>
    <mergeCell ref="A302:C302"/>
    <mergeCell ref="A303:C303"/>
    <mergeCell ref="A305:B305"/>
    <mergeCell ref="A306:B306"/>
    <mergeCell ref="A307:F307"/>
    <mergeCell ref="A325:B325"/>
    <mergeCell ref="A327:A328"/>
    <mergeCell ref="B327:B328"/>
    <mergeCell ref="C327:C328"/>
    <mergeCell ref="D327:E327"/>
    <mergeCell ref="F327:F328"/>
    <mergeCell ref="A317:C317"/>
    <mergeCell ref="A318:C318"/>
    <mergeCell ref="A319:C319"/>
    <mergeCell ref="A322:B322"/>
    <mergeCell ref="A323:B323"/>
    <mergeCell ref="A324:F324"/>
    <mergeCell ref="A363:B363"/>
    <mergeCell ref="A365:A366"/>
    <mergeCell ref="B365:B366"/>
    <mergeCell ref="C365:C366"/>
    <mergeCell ref="D365:E365"/>
    <mergeCell ref="F365:F366"/>
    <mergeCell ref="A347:C347"/>
    <mergeCell ref="A348:C348"/>
    <mergeCell ref="A349:C349"/>
    <mergeCell ref="A360:B360"/>
    <mergeCell ref="A361:B361"/>
    <mergeCell ref="A362:F362"/>
    <mergeCell ref="A412:B412"/>
    <mergeCell ref="A415:A416"/>
    <mergeCell ref="B415:B416"/>
    <mergeCell ref="C415:C416"/>
    <mergeCell ref="D415:E415"/>
    <mergeCell ref="F415:F416"/>
    <mergeCell ref="A380:C380"/>
    <mergeCell ref="A381:C381"/>
    <mergeCell ref="A382:C382"/>
    <mergeCell ref="A409:B409"/>
    <mergeCell ref="A410:B410"/>
    <mergeCell ref="A411:F411"/>
    <mergeCell ref="A384:B384"/>
    <mergeCell ref="A385:B385"/>
    <mergeCell ref="A386:F386"/>
    <mergeCell ref="A387:B387"/>
    <mergeCell ref="A390:A391"/>
    <mergeCell ref="B390:B391"/>
    <mergeCell ref="C390:C391"/>
    <mergeCell ref="D390:E390"/>
    <mergeCell ref="F390:F391"/>
    <mergeCell ref="A404:C404"/>
    <mergeCell ref="A405:C405"/>
    <mergeCell ref="A406:C406"/>
    <mergeCell ref="A446:B446"/>
    <mergeCell ref="A448:A449"/>
    <mergeCell ref="B448:B449"/>
    <mergeCell ref="C448:C449"/>
    <mergeCell ref="D448:E448"/>
    <mergeCell ref="F448:F449"/>
    <mergeCell ref="A438:C438"/>
    <mergeCell ref="A439:C439"/>
    <mergeCell ref="A440:C440"/>
    <mergeCell ref="A443:B443"/>
    <mergeCell ref="A444:B444"/>
    <mergeCell ref="A445:F445"/>
    <mergeCell ref="A472:B472"/>
    <mergeCell ref="A474:A475"/>
    <mergeCell ref="B474:B475"/>
    <mergeCell ref="C474:C475"/>
    <mergeCell ref="D474:E474"/>
    <mergeCell ref="F474:F475"/>
    <mergeCell ref="A463:C463"/>
    <mergeCell ref="A464:C464"/>
    <mergeCell ref="A465:C465"/>
    <mergeCell ref="A469:B469"/>
    <mergeCell ref="A470:B470"/>
    <mergeCell ref="A471:F471"/>
    <mergeCell ref="A576:C576"/>
    <mergeCell ref="A577:C577"/>
    <mergeCell ref="A578:C578"/>
    <mergeCell ref="B538:B539"/>
    <mergeCell ref="C538:C539"/>
    <mergeCell ref="D538:E538"/>
    <mergeCell ref="F538:F539"/>
    <mergeCell ref="A527:C527"/>
    <mergeCell ref="A528:C528"/>
    <mergeCell ref="A529:C529"/>
    <mergeCell ref="A533:B533"/>
    <mergeCell ref="A534:B534"/>
    <mergeCell ref="A535:F535"/>
    <mergeCell ref="A536:B536"/>
    <mergeCell ref="A538:A539"/>
  </mergeCells>
  <phoneticPr fontId="8" type="noConversion"/>
  <pageMargins left="0.51181102362204722" right="0.51181102362204722" top="0.74803149606299213" bottom="0.74803149606299213" header="0.31496062992125984" footer="0.31496062992125984"/>
  <pageSetup paperSize="9" orientation="portrait" horizontalDpi="4294967293" verticalDpi="36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371"/>
  <sheetViews>
    <sheetView showWhiteSpace="0" view="pageLayout" topLeftCell="A328" zoomScale="90" zoomScalePageLayoutView="90" workbookViewId="0">
      <selection activeCell="A4" sqref="A4:B4"/>
    </sheetView>
  </sheetViews>
  <sheetFormatPr defaultColWidth="9.140625" defaultRowHeight="12" x14ac:dyDescent="0.2"/>
  <cols>
    <col min="1" max="1" width="9.140625" style="1"/>
    <col min="2" max="2" width="33.28515625" style="1" customWidth="1"/>
    <col min="3" max="3" width="9.140625" style="1"/>
    <col min="4" max="4" width="11.28515625" style="1" customWidth="1"/>
    <col min="5" max="5" width="11.140625" style="1" customWidth="1"/>
    <col min="6" max="6" width="17.28515625" style="1" customWidth="1"/>
    <col min="7" max="7" width="9.140625" style="13"/>
    <col min="8" max="8" width="22.85546875" style="13" customWidth="1"/>
    <col min="9" max="9" width="9.140625" style="1"/>
    <col min="10" max="10" width="10.85546875" style="1" customWidth="1"/>
    <col min="11" max="11" width="10.5703125" style="1" customWidth="1"/>
    <col min="12" max="12" width="18" style="1" customWidth="1"/>
    <col min="13" max="13" width="9.140625" style="1"/>
    <col min="14" max="14" width="22.42578125" style="1" customWidth="1"/>
    <col min="15" max="15" width="9.140625" style="1"/>
    <col min="16" max="16" width="12.5703125" style="1" customWidth="1"/>
    <col min="17" max="18" width="12.85546875" style="1" customWidth="1"/>
    <col min="19" max="19" width="19" style="1" customWidth="1"/>
    <col min="20" max="20" width="9.140625" style="1"/>
    <col min="21" max="21" width="33.28515625" style="1" customWidth="1"/>
    <col min="22" max="22" width="9.140625" style="1"/>
    <col min="23" max="23" width="11.28515625" style="1" customWidth="1"/>
    <col min="24" max="24" width="11.7109375" style="1" customWidth="1"/>
    <col min="25" max="25" width="17.140625" style="1" customWidth="1"/>
    <col min="26" max="26" width="9.140625" style="1"/>
    <col min="27" max="27" width="29" style="1" customWidth="1"/>
    <col min="28" max="28" width="9.140625" style="1"/>
    <col min="29" max="29" width="10.28515625" style="1" customWidth="1"/>
    <col min="30" max="30" width="11.42578125" style="1" customWidth="1"/>
    <col min="31" max="31" width="16.85546875" style="1" customWidth="1"/>
    <col min="32" max="32" width="9.140625" style="1"/>
    <col min="33" max="33" width="29.140625" style="1" customWidth="1"/>
    <col min="34" max="34" width="9.140625" style="1"/>
    <col min="35" max="35" width="11.140625" style="1" customWidth="1"/>
    <col min="36" max="36" width="11.7109375" style="1" customWidth="1"/>
    <col min="37" max="37" width="17.28515625" style="1" customWidth="1"/>
    <col min="38" max="38" width="9.140625" style="1"/>
    <col min="39" max="39" width="30.7109375" style="1" customWidth="1"/>
    <col min="40" max="40" width="9.140625" style="1"/>
    <col min="41" max="41" width="10.85546875" style="1" customWidth="1"/>
    <col min="42" max="42" width="10.5703125" style="1" customWidth="1"/>
    <col min="43" max="43" width="17.42578125" style="1" customWidth="1"/>
    <col min="44" max="44" width="9.140625" style="1"/>
    <col min="45" max="45" width="31.140625" style="1" customWidth="1"/>
    <col min="46" max="46" width="9.140625" style="1"/>
    <col min="47" max="47" width="12" style="1" customWidth="1"/>
    <col min="48" max="48" width="10.28515625" style="1" customWidth="1"/>
    <col min="49" max="49" width="16.140625" style="1" customWidth="1"/>
    <col min="50" max="50" width="9.140625" style="1"/>
    <col min="51" max="51" width="23.140625" style="1" customWidth="1"/>
    <col min="52" max="52" width="9.140625" style="1"/>
    <col min="53" max="53" width="12" style="1" customWidth="1"/>
    <col min="54" max="54" width="11.5703125" style="1" customWidth="1"/>
    <col min="55" max="55" width="18" style="1" customWidth="1"/>
    <col min="56"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22" t="s">
        <v>401</v>
      </c>
      <c r="B4" s="122"/>
      <c r="D4" s="123" t="s">
        <v>705</v>
      </c>
    </row>
    <row r="5" spans="1:6" x14ac:dyDescent="0.2">
      <c r="D5" s="1" t="s">
        <v>70</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18" t="s">
        <v>1222</v>
      </c>
      <c r="B8" s="4" t="s">
        <v>1275</v>
      </c>
      <c r="C8" s="4" t="s">
        <v>187</v>
      </c>
      <c r="D8" s="20"/>
      <c r="E8" s="20">
        <v>0</v>
      </c>
      <c r="F8" s="20">
        <f>D8+E8</f>
        <v>0</v>
      </c>
    </row>
    <row r="9" spans="1:6" x14ac:dyDescent="0.2">
      <c r="A9" s="18" t="s">
        <v>474</v>
      </c>
      <c r="B9" s="4" t="s">
        <v>570</v>
      </c>
      <c r="C9" s="4" t="s">
        <v>187</v>
      </c>
      <c r="D9" s="20"/>
      <c r="E9" s="20"/>
      <c r="F9" s="20">
        <f>F8+D9</f>
        <v>0</v>
      </c>
    </row>
    <row r="10" spans="1:6" x14ac:dyDescent="0.2">
      <c r="A10" s="18" t="s">
        <v>526</v>
      </c>
      <c r="B10" s="4" t="s">
        <v>770</v>
      </c>
      <c r="C10" s="4" t="s">
        <v>187</v>
      </c>
      <c r="D10" s="20"/>
      <c r="E10" s="20"/>
      <c r="F10" s="20">
        <f t="shared" ref="F10:F27" si="0">F9+D10</f>
        <v>0</v>
      </c>
    </row>
    <row r="11" spans="1:6" x14ac:dyDescent="0.2">
      <c r="A11" s="18" t="s">
        <v>476</v>
      </c>
      <c r="B11" s="4" t="s">
        <v>570</v>
      </c>
      <c r="C11" s="4" t="s">
        <v>187</v>
      </c>
      <c r="D11" s="20"/>
      <c r="E11" s="20"/>
      <c r="F11" s="20">
        <f t="shared" si="0"/>
        <v>0</v>
      </c>
    </row>
    <row r="12" spans="1:6" x14ac:dyDescent="0.2">
      <c r="A12" s="18" t="s">
        <v>790</v>
      </c>
      <c r="B12" s="4" t="s">
        <v>770</v>
      </c>
      <c r="C12" s="4" t="s">
        <v>187</v>
      </c>
      <c r="D12" s="20"/>
      <c r="E12" s="20"/>
      <c r="F12" s="20">
        <f t="shared" si="0"/>
        <v>0</v>
      </c>
    </row>
    <row r="13" spans="1:6" x14ac:dyDescent="0.2">
      <c r="A13" s="18" t="s">
        <v>798</v>
      </c>
      <c r="B13" s="4" t="s">
        <v>570</v>
      </c>
      <c r="C13" s="4" t="s">
        <v>187</v>
      </c>
      <c r="D13" s="20"/>
      <c r="E13" s="20"/>
      <c r="F13" s="20">
        <f t="shared" si="0"/>
        <v>0</v>
      </c>
    </row>
    <row r="14" spans="1:6" x14ac:dyDescent="0.2">
      <c r="A14" s="18" t="s">
        <v>838</v>
      </c>
      <c r="B14" s="4" t="s">
        <v>570</v>
      </c>
      <c r="C14" s="4" t="s">
        <v>187</v>
      </c>
      <c r="D14" s="20"/>
      <c r="E14" s="20"/>
      <c r="F14" s="20">
        <f t="shared" si="0"/>
        <v>0</v>
      </c>
    </row>
    <row r="15" spans="1:6" x14ac:dyDescent="0.2">
      <c r="A15" s="18" t="s">
        <v>885</v>
      </c>
      <c r="B15" s="4" t="s">
        <v>570</v>
      </c>
      <c r="C15" s="4" t="s">
        <v>187</v>
      </c>
      <c r="D15" s="20"/>
      <c r="E15" s="20"/>
      <c r="F15" s="20">
        <f t="shared" si="0"/>
        <v>0</v>
      </c>
    </row>
    <row r="16" spans="1:6" x14ac:dyDescent="0.2">
      <c r="A16" s="18" t="s">
        <v>932</v>
      </c>
      <c r="B16" s="4" t="s">
        <v>570</v>
      </c>
      <c r="C16" s="4" t="s">
        <v>187</v>
      </c>
      <c r="D16" s="20"/>
      <c r="E16" s="20"/>
      <c r="F16" s="20">
        <f t="shared" si="0"/>
        <v>0</v>
      </c>
    </row>
    <row r="17" spans="1:6" x14ac:dyDescent="0.2">
      <c r="A17" s="18" t="s">
        <v>613</v>
      </c>
      <c r="B17" s="4" t="s">
        <v>570</v>
      </c>
      <c r="C17" s="4" t="s">
        <v>187</v>
      </c>
      <c r="D17" s="20"/>
      <c r="E17" s="20"/>
      <c r="F17" s="20">
        <f t="shared" si="0"/>
        <v>0</v>
      </c>
    </row>
    <row r="18" spans="1:6" x14ac:dyDescent="0.2">
      <c r="A18" s="18" t="s">
        <v>485</v>
      </c>
      <c r="B18" s="4" t="s">
        <v>570</v>
      </c>
      <c r="C18" s="4" t="s">
        <v>187</v>
      </c>
      <c r="D18" s="20"/>
      <c r="E18" s="20"/>
      <c r="F18" s="20">
        <f t="shared" si="0"/>
        <v>0</v>
      </c>
    </row>
    <row r="19" spans="1:6" x14ac:dyDescent="0.2">
      <c r="A19" s="18" t="s">
        <v>372</v>
      </c>
      <c r="B19" s="4" t="s">
        <v>570</v>
      </c>
      <c r="C19" s="4" t="s">
        <v>187</v>
      </c>
      <c r="D19" s="20"/>
      <c r="E19" s="20"/>
      <c r="F19" s="20">
        <f t="shared" si="0"/>
        <v>0</v>
      </c>
    </row>
    <row r="20" spans="1:6" x14ac:dyDescent="0.2">
      <c r="A20" s="18" t="s">
        <v>550</v>
      </c>
      <c r="B20" s="4" t="s">
        <v>633</v>
      </c>
      <c r="C20" s="4" t="s">
        <v>187</v>
      </c>
      <c r="D20" s="20"/>
      <c r="E20" s="20"/>
      <c r="F20" s="20">
        <f t="shared" si="0"/>
        <v>0</v>
      </c>
    </row>
    <row r="21" spans="1:6" x14ac:dyDescent="0.2">
      <c r="A21" s="18" t="s">
        <v>1126</v>
      </c>
      <c r="B21" s="4" t="s">
        <v>570</v>
      </c>
      <c r="C21" s="4" t="s">
        <v>187</v>
      </c>
      <c r="D21" s="20"/>
      <c r="E21" s="20"/>
      <c r="F21" s="20">
        <f t="shared" si="0"/>
        <v>0</v>
      </c>
    </row>
    <row r="22" spans="1:6" x14ac:dyDescent="0.2">
      <c r="A22" s="18" t="s">
        <v>1181</v>
      </c>
      <c r="B22" s="4" t="s">
        <v>570</v>
      </c>
      <c r="C22" s="4" t="s">
        <v>187</v>
      </c>
      <c r="D22" s="20"/>
      <c r="E22" s="20"/>
      <c r="F22" s="20">
        <f t="shared" si="0"/>
        <v>0</v>
      </c>
    </row>
    <row r="23" spans="1:6" x14ac:dyDescent="0.2">
      <c r="A23" s="18"/>
      <c r="B23" s="4" t="s">
        <v>570</v>
      </c>
      <c r="C23" s="4" t="s">
        <v>187</v>
      </c>
      <c r="D23" s="20"/>
      <c r="E23" s="20"/>
      <c r="F23" s="20">
        <f t="shared" si="0"/>
        <v>0</v>
      </c>
    </row>
    <row r="24" spans="1:6" x14ac:dyDescent="0.2">
      <c r="A24" s="18"/>
      <c r="B24" s="4" t="s">
        <v>539</v>
      </c>
      <c r="C24" s="4" t="s">
        <v>187</v>
      </c>
      <c r="D24" s="20"/>
      <c r="E24" s="20"/>
      <c r="F24" s="20">
        <f t="shared" si="0"/>
        <v>0</v>
      </c>
    </row>
    <row r="25" spans="1:6" x14ac:dyDescent="0.2">
      <c r="A25" s="18"/>
      <c r="B25" s="4" t="s">
        <v>547</v>
      </c>
      <c r="C25" s="4" t="s">
        <v>187</v>
      </c>
      <c r="D25" s="20"/>
      <c r="E25" s="20"/>
      <c r="F25" s="20">
        <f t="shared" si="0"/>
        <v>0</v>
      </c>
    </row>
    <row r="26" spans="1:6" x14ac:dyDescent="0.2">
      <c r="A26" s="18"/>
      <c r="B26" s="4" t="s">
        <v>547</v>
      </c>
      <c r="C26" s="4" t="s">
        <v>187</v>
      </c>
      <c r="D26" s="20"/>
      <c r="E26" s="20"/>
      <c r="F26" s="20">
        <f t="shared" si="0"/>
        <v>0</v>
      </c>
    </row>
    <row r="27" spans="1:6" ht="24" x14ac:dyDescent="0.2">
      <c r="A27" s="70"/>
      <c r="B27" s="69" t="s">
        <v>562</v>
      </c>
      <c r="C27" s="76" t="s">
        <v>498</v>
      </c>
      <c r="D27" s="73"/>
      <c r="E27" s="73"/>
      <c r="F27" s="20">
        <f t="shared" si="0"/>
        <v>0</v>
      </c>
    </row>
    <row r="28" spans="1:6" x14ac:dyDescent="0.2">
      <c r="A28" s="53"/>
      <c r="B28" s="4"/>
      <c r="C28" s="10"/>
      <c r="D28" s="20"/>
      <c r="E28" s="20"/>
      <c r="F28" s="20"/>
    </row>
    <row r="29" spans="1:6" x14ac:dyDescent="0.2">
      <c r="A29" s="105" t="s">
        <v>10</v>
      </c>
      <c r="B29" s="112"/>
      <c r="C29" s="106"/>
      <c r="D29" s="20">
        <f>SUM(D8:D28)</f>
        <v>0</v>
      </c>
      <c r="E29" s="20">
        <f>SUM(E8:E28)</f>
        <v>0</v>
      </c>
      <c r="F29" s="20">
        <f>D29-E29</f>
        <v>0</v>
      </c>
    </row>
    <row r="30" spans="1:6" x14ac:dyDescent="0.2">
      <c r="A30" s="105" t="s">
        <v>11</v>
      </c>
      <c r="B30" s="112"/>
      <c r="C30" s="106"/>
      <c r="D30" s="20"/>
      <c r="E30" s="20"/>
      <c r="F30" s="20">
        <f>D30-E30</f>
        <v>0</v>
      </c>
    </row>
    <row r="31" spans="1:6" x14ac:dyDescent="0.2">
      <c r="A31" s="105" t="s">
        <v>10</v>
      </c>
      <c r="B31" s="112"/>
      <c r="C31" s="106"/>
      <c r="D31" s="20">
        <f>SUM(D29:D30)</f>
        <v>0</v>
      </c>
      <c r="E31" s="20">
        <f>SUM(E29:E30)</f>
        <v>0</v>
      </c>
      <c r="F31" s="20">
        <f>SUM(F29:F30)</f>
        <v>0</v>
      </c>
    </row>
    <row r="33" spans="1:6" x14ac:dyDescent="0.2">
      <c r="A33" s="100" t="s">
        <v>0</v>
      </c>
      <c r="B33" s="100"/>
    </row>
    <row r="34" spans="1:6" x14ac:dyDescent="0.2">
      <c r="A34" s="100" t="s">
        <v>1</v>
      </c>
      <c r="B34" s="100"/>
    </row>
    <row r="35" spans="1:6" x14ac:dyDescent="0.2">
      <c r="A35" s="101" t="s">
        <v>2</v>
      </c>
      <c r="B35" s="101"/>
      <c r="C35" s="101"/>
      <c r="D35" s="101"/>
      <c r="E35" s="101"/>
      <c r="F35" s="101"/>
    </row>
    <row r="36" spans="1:6" x14ac:dyDescent="0.2">
      <c r="A36" s="122" t="s">
        <v>162</v>
      </c>
      <c r="B36" s="122"/>
      <c r="D36" s="123" t="s">
        <v>706</v>
      </c>
    </row>
    <row r="37" spans="1:6" x14ac:dyDescent="0.2">
      <c r="D37" s="1" t="s">
        <v>70</v>
      </c>
    </row>
    <row r="38" spans="1:6" x14ac:dyDescent="0.2">
      <c r="A38" s="103" t="s">
        <v>3</v>
      </c>
      <c r="B38" s="103" t="s">
        <v>4</v>
      </c>
      <c r="C38" s="103" t="s">
        <v>5</v>
      </c>
      <c r="D38" s="105" t="s">
        <v>6</v>
      </c>
      <c r="E38" s="106"/>
      <c r="F38" s="103" t="s">
        <v>9</v>
      </c>
    </row>
    <row r="39" spans="1:6" x14ac:dyDescent="0.2">
      <c r="A39" s="104"/>
      <c r="B39" s="104"/>
      <c r="C39" s="104"/>
      <c r="D39" s="3" t="s">
        <v>7</v>
      </c>
      <c r="E39" s="3" t="s">
        <v>8</v>
      </c>
      <c r="F39" s="104"/>
    </row>
    <row r="40" spans="1:6" x14ac:dyDescent="0.2">
      <c r="A40" s="22" t="s">
        <v>1215</v>
      </c>
      <c r="B40" s="30" t="s">
        <v>1253</v>
      </c>
      <c r="C40" s="23" t="s">
        <v>187</v>
      </c>
      <c r="D40" s="20"/>
      <c r="E40" s="3"/>
      <c r="F40" s="20">
        <f>D40+E40</f>
        <v>0</v>
      </c>
    </row>
    <row r="41" spans="1:6" x14ac:dyDescent="0.2">
      <c r="A41" s="18" t="s">
        <v>1251</v>
      </c>
      <c r="B41" s="27" t="s">
        <v>1252</v>
      </c>
      <c r="C41" s="4" t="s">
        <v>187</v>
      </c>
      <c r="D41" s="20"/>
      <c r="E41" s="20">
        <v>0</v>
      </c>
      <c r="F41" s="20">
        <f>F40+D41</f>
        <v>0</v>
      </c>
    </row>
    <row r="42" spans="1:6" x14ac:dyDescent="0.2">
      <c r="A42" s="18" t="s">
        <v>754</v>
      </c>
      <c r="B42" s="27" t="s">
        <v>1332</v>
      </c>
      <c r="C42" s="4" t="s">
        <v>187</v>
      </c>
      <c r="D42" s="20"/>
      <c r="E42" s="20"/>
      <c r="F42" s="20">
        <f>F41+D42</f>
        <v>0</v>
      </c>
    </row>
    <row r="43" spans="1:6" x14ac:dyDescent="0.2">
      <c r="A43" s="18" t="s">
        <v>583</v>
      </c>
      <c r="B43" s="4" t="s">
        <v>1393</v>
      </c>
      <c r="C43" s="4" t="s">
        <v>187</v>
      </c>
      <c r="D43" s="20"/>
      <c r="E43" s="20"/>
      <c r="F43" s="20">
        <f t="shared" ref="F43:F54" si="1">F42+D43</f>
        <v>0</v>
      </c>
    </row>
    <row r="44" spans="1:6" x14ac:dyDescent="0.2">
      <c r="A44" s="18" t="s">
        <v>282</v>
      </c>
      <c r="B44" s="4" t="s">
        <v>775</v>
      </c>
      <c r="C44" s="4" t="s">
        <v>187</v>
      </c>
      <c r="D44" s="20"/>
      <c r="E44" s="20"/>
      <c r="F44" s="20">
        <f t="shared" si="1"/>
        <v>0</v>
      </c>
    </row>
    <row r="45" spans="1:6" x14ac:dyDescent="0.2">
      <c r="A45" s="18" t="s">
        <v>778</v>
      </c>
      <c r="B45" s="4" t="s">
        <v>781</v>
      </c>
      <c r="C45" s="4" t="s">
        <v>187</v>
      </c>
      <c r="D45" s="20"/>
      <c r="E45" s="20"/>
      <c r="F45" s="20">
        <f t="shared" si="1"/>
        <v>0</v>
      </c>
    </row>
    <row r="46" spans="1:6" x14ac:dyDescent="0.2">
      <c r="A46" s="18" t="s">
        <v>603</v>
      </c>
      <c r="B46" s="27" t="s">
        <v>880</v>
      </c>
      <c r="C46" s="4" t="s">
        <v>187</v>
      </c>
      <c r="D46" s="20"/>
      <c r="E46" s="20"/>
      <c r="F46" s="20">
        <f t="shared" si="1"/>
        <v>0</v>
      </c>
    </row>
    <row r="47" spans="1:6" x14ac:dyDescent="0.2">
      <c r="A47" s="18" t="s">
        <v>321</v>
      </c>
      <c r="B47" s="27" t="s">
        <v>907</v>
      </c>
      <c r="C47" s="4" t="s">
        <v>187</v>
      </c>
      <c r="D47" s="20"/>
      <c r="E47" s="20"/>
      <c r="F47" s="20">
        <f t="shared" si="1"/>
        <v>0</v>
      </c>
    </row>
    <row r="48" spans="1:6" x14ac:dyDescent="0.2">
      <c r="A48" s="18" t="s">
        <v>916</v>
      </c>
      <c r="B48" s="4" t="s">
        <v>917</v>
      </c>
      <c r="C48" s="4" t="s">
        <v>187</v>
      </c>
      <c r="D48" s="20"/>
      <c r="E48" s="20"/>
      <c r="F48" s="20">
        <f t="shared" si="1"/>
        <v>0</v>
      </c>
    </row>
    <row r="49" spans="1:6" x14ac:dyDescent="0.2">
      <c r="A49" s="18" t="s">
        <v>481</v>
      </c>
      <c r="B49" s="4" t="s">
        <v>951</v>
      </c>
      <c r="C49" s="4" t="s">
        <v>187</v>
      </c>
      <c r="D49" s="20"/>
      <c r="E49" s="20"/>
      <c r="F49" s="20">
        <f t="shared" si="1"/>
        <v>0</v>
      </c>
    </row>
    <row r="50" spans="1:6" x14ac:dyDescent="0.2">
      <c r="A50" s="18" t="s">
        <v>617</v>
      </c>
      <c r="B50" s="4" t="s">
        <v>956</v>
      </c>
      <c r="C50" s="4" t="s">
        <v>187</v>
      </c>
      <c r="D50" s="20"/>
      <c r="E50" s="20"/>
      <c r="F50" s="20">
        <f t="shared" si="1"/>
        <v>0</v>
      </c>
    </row>
    <row r="51" spans="1:6" x14ac:dyDescent="0.2">
      <c r="A51" s="53" t="s">
        <v>959</v>
      </c>
      <c r="B51" s="4" t="s">
        <v>963</v>
      </c>
      <c r="C51" s="4" t="s">
        <v>187</v>
      </c>
      <c r="D51" s="20"/>
      <c r="E51" s="20"/>
      <c r="F51" s="20">
        <f t="shared" si="1"/>
        <v>0</v>
      </c>
    </row>
    <row r="52" spans="1:6" x14ac:dyDescent="0.2">
      <c r="A52" s="53" t="s">
        <v>1007</v>
      </c>
      <c r="B52" s="27" t="s">
        <v>1008</v>
      </c>
      <c r="C52" s="4" t="s">
        <v>187</v>
      </c>
      <c r="D52" s="20"/>
      <c r="E52" s="20"/>
      <c r="F52" s="20">
        <f t="shared" si="1"/>
        <v>0</v>
      </c>
    </row>
    <row r="53" spans="1:6" x14ac:dyDescent="0.2">
      <c r="A53" s="53" t="s">
        <v>1063</v>
      </c>
      <c r="B53" s="4" t="s">
        <v>1064</v>
      </c>
      <c r="C53" s="4" t="s">
        <v>187</v>
      </c>
      <c r="D53" s="20"/>
      <c r="E53" s="20"/>
      <c r="F53" s="20">
        <f t="shared" si="1"/>
        <v>0</v>
      </c>
    </row>
    <row r="54" spans="1:6" x14ac:dyDescent="0.2">
      <c r="A54" s="53" t="s">
        <v>550</v>
      </c>
      <c r="B54" s="4" t="s">
        <v>1119</v>
      </c>
      <c r="C54" s="4" t="s">
        <v>187</v>
      </c>
      <c r="D54" s="20"/>
      <c r="E54" s="20"/>
      <c r="F54" s="20">
        <f t="shared" si="1"/>
        <v>0</v>
      </c>
    </row>
    <row r="55" spans="1:6" x14ac:dyDescent="0.2">
      <c r="A55" s="53" t="s">
        <v>643</v>
      </c>
      <c r="B55" s="4" t="s">
        <v>1180</v>
      </c>
      <c r="C55" s="4" t="s">
        <v>187</v>
      </c>
      <c r="D55" s="20"/>
      <c r="E55" s="20"/>
      <c r="F55" s="20"/>
    </row>
    <row r="56" spans="1:6" x14ac:dyDescent="0.2">
      <c r="A56" s="64"/>
      <c r="B56" s="4"/>
      <c r="C56" s="4" t="s">
        <v>187</v>
      </c>
      <c r="D56" s="20"/>
      <c r="E56" s="20"/>
      <c r="F56" s="20"/>
    </row>
    <row r="57" spans="1:6" x14ac:dyDescent="0.2">
      <c r="A57" s="64"/>
      <c r="B57" s="4"/>
      <c r="C57" s="4" t="s">
        <v>187</v>
      </c>
      <c r="D57" s="20"/>
      <c r="E57" s="20"/>
      <c r="F57" s="20"/>
    </row>
    <row r="58" spans="1:6" x14ac:dyDescent="0.2">
      <c r="A58" s="105" t="s">
        <v>10</v>
      </c>
      <c r="B58" s="112"/>
      <c r="C58" s="106"/>
      <c r="D58" s="20">
        <f>SUM(D41:D50)</f>
        <v>0</v>
      </c>
      <c r="E58" s="20">
        <f>SUM(E41:E50)</f>
        <v>0</v>
      </c>
      <c r="F58" s="20">
        <f>D58-E58</f>
        <v>0</v>
      </c>
    </row>
    <row r="59" spans="1:6" x14ac:dyDescent="0.2">
      <c r="A59" s="105" t="s">
        <v>11</v>
      </c>
      <c r="B59" s="112"/>
      <c r="C59" s="106"/>
      <c r="D59" s="20"/>
      <c r="E59" s="20"/>
      <c r="F59" s="20">
        <f>D59-E59</f>
        <v>0</v>
      </c>
    </row>
    <row r="60" spans="1:6" x14ac:dyDescent="0.2">
      <c r="A60" s="105" t="s">
        <v>10</v>
      </c>
      <c r="B60" s="112"/>
      <c r="C60" s="106"/>
      <c r="D60" s="20">
        <f>SUM(D58:D59)</f>
        <v>0</v>
      </c>
      <c r="E60" s="20">
        <f>SUM(E58:E59)</f>
        <v>0</v>
      </c>
      <c r="F60" s="20">
        <f>SUM(F58:F59)</f>
        <v>0</v>
      </c>
    </row>
    <row r="61" spans="1:6" x14ac:dyDescent="0.2">
      <c r="A61" s="5"/>
      <c r="B61" s="5"/>
      <c r="C61" s="5"/>
    </row>
    <row r="62" spans="1:6" x14ac:dyDescent="0.2">
      <c r="A62" s="100" t="s">
        <v>0</v>
      </c>
      <c r="B62" s="100"/>
    </row>
    <row r="63" spans="1:6" x14ac:dyDescent="0.2">
      <c r="A63" s="100" t="s">
        <v>1</v>
      </c>
      <c r="B63" s="100"/>
    </row>
    <row r="64" spans="1:6" x14ac:dyDescent="0.2">
      <c r="A64" s="101" t="s">
        <v>2</v>
      </c>
      <c r="B64" s="101"/>
      <c r="C64" s="101"/>
      <c r="D64" s="101"/>
      <c r="E64" s="101"/>
      <c r="F64" s="101"/>
    </row>
    <row r="65" spans="1:6" x14ac:dyDescent="0.2">
      <c r="A65" s="122" t="s">
        <v>163</v>
      </c>
      <c r="B65" s="122"/>
      <c r="D65" s="123" t="s">
        <v>707</v>
      </c>
    </row>
    <row r="66" spans="1:6" x14ac:dyDescent="0.2">
      <c r="D66" s="1" t="s">
        <v>70</v>
      </c>
    </row>
    <row r="67" spans="1:6" x14ac:dyDescent="0.2">
      <c r="A67" s="103" t="s">
        <v>3</v>
      </c>
      <c r="B67" s="103" t="s">
        <v>4</v>
      </c>
      <c r="C67" s="103" t="s">
        <v>5</v>
      </c>
      <c r="D67" s="105" t="s">
        <v>6</v>
      </c>
      <c r="E67" s="106"/>
      <c r="F67" s="103" t="s">
        <v>9</v>
      </c>
    </row>
    <row r="68" spans="1:6" x14ac:dyDescent="0.2">
      <c r="A68" s="104"/>
      <c r="B68" s="104"/>
      <c r="C68" s="104"/>
      <c r="D68" s="3" t="s">
        <v>7</v>
      </c>
      <c r="E68" s="3" t="s">
        <v>8</v>
      </c>
      <c r="F68" s="104"/>
    </row>
    <row r="69" spans="1:6" x14ac:dyDescent="0.2">
      <c r="A69" s="18" t="s">
        <v>1215</v>
      </c>
      <c r="B69" s="4" t="s">
        <v>1233</v>
      </c>
      <c r="C69" s="4" t="s">
        <v>187</v>
      </c>
      <c r="D69" s="20"/>
      <c r="E69" s="20">
        <v>0</v>
      </c>
      <c r="F69" s="20">
        <f>D69+E69</f>
        <v>0</v>
      </c>
    </row>
    <row r="70" spans="1:6" x14ac:dyDescent="0.2">
      <c r="A70" s="18" t="s">
        <v>526</v>
      </c>
      <c r="B70" s="4" t="s">
        <v>744</v>
      </c>
      <c r="C70" s="4" t="s">
        <v>187</v>
      </c>
      <c r="D70" s="20"/>
      <c r="E70" s="20"/>
      <c r="F70" s="20">
        <f>F69+D70</f>
        <v>0</v>
      </c>
    </row>
    <row r="71" spans="1:6" x14ac:dyDescent="0.2">
      <c r="A71" s="18" t="s">
        <v>795</v>
      </c>
      <c r="B71" s="4" t="s">
        <v>744</v>
      </c>
      <c r="C71" s="4" t="s">
        <v>187</v>
      </c>
      <c r="D71" s="20"/>
      <c r="E71" s="20"/>
      <c r="F71" s="20">
        <f t="shared" ref="F71:F80" si="2">F70+D71</f>
        <v>0</v>
      </c>
    </row>
    <row r="72" spans="1:6" x14ac:dyDescent="0.2">
      <c r="A72" s="18" t="s">
        <v>885</v>
      </c>
      <c r="B72" s="4" t="s">
        <v>895</v>
      </c>
      <c r="C72" s="4" t="s">
        <v>187</v>
      </c>
      <c r="D72" s="20"/>
      <c r="E72" s="20"/>
      <c r="F72" s="20">
        <f t="shared" si="2"/>
        <v>0</v>
      </c>
    </row>
    <row r="73" spans="1:6" x14ac:dyDescent="0.2">
      <c r="A73" s="18" t="s">
        <v>957</v>
      </c>
      <c r="B73" s="4" t="s">
        <v>744</v>
      </c>
      <c r="C73" s="4" t="s">
        <v>187</v>
      </c>
      <c r="D73" s="20"/>
      <c r="E73" s="20"/>
      <c r="F73" s="20">
        <f t="shared" si="2"/>
        <v>0</v>
      </c>
    </row>
    <row r="74" spans="1:6" x14ac:dyDescent="0.2">
      <c r="A74" s="18" t="s">
        <v>486</v>
      </c>
      <c r="B74" s="4" t="s">
        <v>744</v>
      </c>
      <c r="C74" s="4" t="s">
        <v>187</v>
      </c>
      <c r="D74" s="20"/>
      <c r="E74" s="20"/>
      <c r="F74" s="20">
        <f t="shared" si="2"/>
        <v>0</v>
      </c>
    </row>
    <row r="75" spans="1:6" x14ac:dyDescent="0.2">
      <c r="A75" s="18" t="s">
        <v>550</v>
      </c>
      <c r="B75" s="4" t="s">
        <v>744</v>
      </c>
      <c r="C75" s="4" t="s">
        <v>187</v>
      </c>
      <c r="D75" s="20"/>
      <c r="E75" s="20"/>
      <c r="F75" s="20">
        <f t="shared" si="2"/>
        <v>0</v>
      </c>
    </row>
    <row r="76" spans="1:6" x14ac:dyDescent="0.2">
      <c r="A76" s="18" t="s">
        <v>1142</v>
      </c>
      <c r="B76" s="4" t="s">
        <v>744</v>
      </c>
      <c r="C76" s="4" t="s">
        <v>187</v>
      </c>
      <c r="D76" s="20"/>
      <c r="E76" s="20"/>
      <c r="F76" s="20">
        <f t="shared" si="2"/>
        <v>0</v>
      </c>
    </row>
    <row r="77" spans="1:6" x14ac:dyDescent="0.2">
      <c r="A77" s="18" t="s">
        <v>463</v>
      </c>
      <c r="B77" s="4" t="s">
        <v>744</v>
      </c>
      <c r="C77" s="4" t="s">
        <v>187</v>
      </c>
      <c r="D77" s="20"/>
      <c r="E77" s="20"/>
      <c r="F77" s="20">
        <f t="shared" si="2"/>
        <v>0</v>
      </c>
    </row>
    <row r="78" spans="1:6" x14ac:dyDescent="0.2">
      <c r="A78" s="18" t="s">
        <v>1181</v>
      </c>
      <c r="B78" s="4" t="s">
        <v>1194</v>
      </c>
      <c r="C78" s="4" t="s">
        <v>187</v>
      </c>
      <c r="D78" s="20"/>
      <c r="E78" s="20"/>
      <c r="F78" s="20">
        <f t="shared" si="2"/>
        <v>0</v>
      </c>
    </row>
    <row r="79" spans="1:6" x14ac:dyDescent="0.2">
      <c r="A79" s="18" t="s">
        <v>449</v>
      </c>
      <c r="B79" s="4" t="s">
        <v>744</v>
      </c>
      <c r="C79" s="4" t="s">
        <v>187</v>
      </c>
      <c r="D79" s="20"/>
      <c r="E79" s="20"/>
      <c r="F79" s="20">
        <f t="shared" si="2"/>
        <v>0</v>
      </c>
    </row>
    <row r="80" spans="1:6" x14ac:dyDescent="0.2">
      <c r="A80" s="4"/>
      <c r="B80" s="4"/>
      <c r="C80" s="4" t="s">
        <v>187</v>
      </c>
      <c r="D80" s="20"/>
      <c r="E80" s="20"/>
      <c r="F80" s="20">
        <f t="shared" si="2"/>
        <v>0</v>
      </c>
    </row>
    <row r="81" spans="1:49" x14ac:dyDescent="0.2">
      <c r="A81" s="105" t="s">
        <v>10</v>
      </c>
      <c r="B81" s="112"/>
      <c r="C81" s="106"/>
      <c r="D81" s="20">
        <f>SUM(D69:D80)</f>
        <v>0</v>
      </c>
      <c r="E81" s="20">
        <f>SUM(E69:E80)</f>
        <v>0</v>
      </c>
      <c r="F81" s="20">
        <f>D81-E81</f>
        <v>0</v>
      </c>
    </row>
    <row r="82" spans="1:49" x14ac:dyDescent="0.2">
      <c r="A82" s="105" t="s">
        <v>11</v>
      </c>
      <c r="B82" s="112"/>
      <c r="C82" s="106"/>
      <c r="D82" s="20"/>
      <c r="E82" s="20"/>
      <c r="F82" s="20">
        <f>D82-E82</f>
        <v>0</v>
      </c>
    </row>
    <row r="83" spans="1:49" x14ac:dyDescent="0.2">
      <c r="A83" s="105" t="s">
        <v>10</v>
      </c>
      <c r="B83" s="112"/>
      <c r="C83" s="106"/>
      <c r="D83" s="20">
        <f>SUM(D81:D82)</f>
        <v>0</v>
      </c>
      <c r="E83" s="20">
        <f>SUM(E81:E82)</f>
        <v>0</v>
      </c>
      <c r="F83" s="20">
        <f>SUM(F81:F82)</f>
        <v>0</v>
      </c>
    </row>
    <row r="85" spans="1:49" x14ac:dyDescent="0.2">
      <c r="A85" s="100" t="s">
        <v>0</v>
      </c>
      <c r="B85" s="100"/>
      <c r="AR85" s="11"/>
      <c r="AS85" s="11"/>
      <c r="AT85" s="11"/>
      <c r="AU85" s="11"/>
      <c r="AV85" s="11"/>
      <c r="AW85" s="11"/>
    </row>
    <row r="86" spans="1:49" x14ac:dyDescent="0.2">
      <c r="A86" s="100" t="s">
        <v>1</v>
      </c>
      <c r="B86" s="100"/>
      <c r="AR86" s="11"/>
      <c r="AS86" s="11"/>
      <c r="AT86" s="11"/>
      <c r="AU86" s="11"/>
      <c r="AV86" s="11"/>
      <c r="AW86" s="11"/>
    </row>
    <row r="87" spans="1:49" x14ac:dyDescent="0.2">
      <c r="A87" s="101" t="s">
        <v>2</v>
      </c>
      <c r="B87" s="101"/>
      <c r="C87" s="101"/>
      <c r="D87" s="101"/>
      <c r="E87" s="101"/>
      <c r="F87" s="101"/>
      <c r="AR87" s="11"/>
      <c r="AS87" s="11"/>
      <c r="AT87" s="11"/>
      <c r="AU87" s="11"/>
      <c r="AV87" s="11"/>
      <c r="AW87" s="11"/>
    </row>
    <row r="88" spans="1:49" x14ac:dyDescent="0.2">
      <c r="A88" s="109" t="s">
        <v>371</v>
      </c>
      <c r="B88" s="109"/>
      <c r="D88" s="2" t="s">
        <v>370</v>
      </c>
      <c r="AR88" s="11"/>
      <c r="AS88" s="11"/>
      <c r="AT88" s="11"/>
      <c r="AU88" s="11"/>
      <c r="AV88" s="11"/>
      <c r="AW88" s="11"/>
    </row>
    <row r="89" spans="1:49" x14ac:dyDescent="0.2">
      <c r="D89" s="1" t="s">
        <v>70</v>
      </c>
      <c r="AR89" s="11"/>
      <c r="AS89" s="11"/>
      <c r="AT89" s="11"/>
      <c r="AU89" s="11"/>
      <c r="AV89" s="11"/>
      <c r="AW89" s="11"/>
    </row>
    <row r="90" spans="1:49" x14ac:dyDescent="0.2">
      <c r="A90" s="103" t="s">
        <v>3</v>
      </c>
      <c r="B90" s="103" t="s">
        <v>4</v>
      </c>
      <c r="C90" s="103" t="s">
        <v>5</v>
      </c>
      <c r="D90" s="105" t="s">
        <v>6</v>
      </c>
      <c r="E90" s="106"/>
      <c r="F90" s="103" t="s">
        <v>9</v>
      </c>
      <c r="AR90" s="11"/>
      <c r="AS90" s="11"/>
      <c r="AT90" s="11"/>
      <c r="AU90" s="11"/>
      <c r="AV90" s="11"/>
      <c r="AW90" s="11"/>
    </row>
    <row r="91" spans="1:49" x14ac:dyDescent="0.2">
      <c r="A91" s="104"/>
      <c r="B91" s="104"/>
      <c r="C91" s="104"/>
      <c r="D91" s="3" t="s">
        <v>7</v>
      </c>
      <c r="E91" s="3" t="s">
        <v>8</v>
      </c>
      <c r="F91" s="104"/>
      <c r="AR91" s="12"/>
      <c r="AS91" s="12"/>
      <c r="AT91" s="12"/>
      <c r="AU91" s="11"/>
      <c r="AV91" s="11"/>
      <c r="AW91" s="11"/>
    </row>
    <row r="92" spans="1:49" x14ac:dyDescent="0.2">
      <c r="A92" s="18" t="s">
        <v>480</v>
      </c>
      <c r="B92" s="27" t="s">
        <v>923</v>
      </c>
      <c r="C92" s="4" t="s">
        <v>187</v>
      </c>
      <c r="D92" s="20"/>
      <c r="E92" s="20">
        <v>0</v>
      </c>
      <c r="F92" s="20">
        <f>D92+E92</f>
        <v>0</v>
      </c>
      <c r="AR92" s="12"/>
      <c r="AS92" s="12"/>
      <c r="AT92" s="12"/>
      <c r="AU92" s="11"/>
      <c r="AV92" s="11"/>
      <c r="AW92" s="11"/>
    </row>
    <row r="93" spans="1:49" x14ac:dyDescent="0.2">
      <c r="A93" s="18" t="s">
        <v>1009</v>
      </c>
      <c r="B93" s="27" t="s">
        <v>1010</v>
      </c>
      <c r="C93" s="4" t="s">
        <v>187</v>
      </c>
      <c r="D93" s="20"/>
      <c r="E93" s="20"/>
      <c r="F93" s="20">
        <f>F92+D93</f>
        <v>0</v>
      </c>
      <c r="AR93" s="12"/>
      <c r="AS93" s="12"/>
      <c r="AT93" s="12"/>
      <c r="AU93" s="11"/>
      <c r="AV93" s="11"/>
      <c r="AW93" s="11"/>
    </row>
    <row r="94" spans="1:49" x14ac:dyDescent="0.2">
      <c r="A94" s="18"/>
      <c r="B94" s="4"/>
      <c r="C94" s="4" t="s">
        <v>187</v>
      </c>
      <c r="D94" s="20"/>
      <c r="E94" s="20"/>
      <c r="F94" s="20">
        <f>F93+D94</f>
        <v>0</v>
      </c>
    </row>
    <row r="95" spans="1:49" x14ac:dyDescent="0.2">
      <c r="A95" s="105" t="s">
        <v>10</v>
      </c>
      <c r="B95" s="112"/>
      <c r="C95" s="106"/>
      <c r="D95" s="20">
        <f>SUM(D92:D94)</f>
        <v>0</v>
      </c>
      <c r="E95" s="20">
        <f>SUM(E92:E94)</f>
        <v>0</v>
      </c>
      <c r="F95" s="20">
        <f>D95-E95</f>
        <v>0</v>
      </c>
    </row>
    <row r="96" spans="1:49" x14ac:dyDescent="0.2">
      <c r="A96" s="105" t="s">
        <v>11</v>
      </c>
      <c r="B96" s="112"/>
      <c r="C96" s="106"/>
      <c r="D96" s="20"/>
      <c r="E96" s="20"/>
      <c r="F96" s="20">
        <f>D96-E96</f>
        <v>0</v>
      </c>
    </row>
    <row r="97" spans="1:6" x14ac:dyDescent="0.2">
      <c r="A97" s="105" t="s">
        <v>10</v>
      </c>
      <c r="B97" s="112"/>
      <c r="C97" s="106"/>
      <c r="D97" s="20">
        <f>SUM(D95:D96)</f>
        <v>0</v>
      </c>
      <c r="E97" s="20">
        <f>SUM(E95:E96)</f>
        <v>0</v>
      </c>
      <c r="F97" s="20">
        <f>SUM(F95:F96)</f>
        <v>0</v>
      </c>
    </row>
    <row r="98" spans="1:6" x14ac:dyDescent="0.2">
      <c r="A98" s="5"/>
      <c r="B98" s="5"/>
      <c r="C98" s="5"/>
      <c r="D98" s="39"/>
      <c r="E98" s="39"/>
      <c r="F98" s="39"/>
    </row>
    <row r="99" spans="1:6" x14ac:dyDescent="0.2">
      <c r="A99" s="5"/>
      <c r="B99" s="5"/>
      <c r="C99" s="5"/>
      <c r="D99" s="39"/>
      <c r="E99" s="39"/>
      <c r="F99" s="39"/>
    </row>
    <row r="100" spans="1:6" x14ac:dyDescent="0.2">
      <c r="A100" s="5"/>
      <c r="B100" s="5"/>
      <c r="C100" s="5"/>
      <c r="D100" s="39"/>
      <c r="E100" s="39"/>
      <c r="F100" s="39"/>
    </row>
    <row r="101" spans="1:6" x14ac:dyDescent="0.2">
      <c r="A101" s="100" t="s">
        <v>0</v>
      </c>
      <c r="B101" s="100"/>
    </row>
    <row r="102" spans="1:6" x14ac:dyDescent="0.2">
      <c r="A102" s="100" t="s">
        <v>1</v>
      </c>
      <c r="B102" s="100"/>
    </row>
    <row r="103" spans="1:6" x14ac:dyDescent="0.2">
      <c r="A103" s="101" t="s">
        <v>2</v>
      </c>
      <c r="B103" s="101"/>
      <c r="C103" s="101"/>
      <c r="D103" s="101"/>
      <c r="E103" s="101"/>
      <c r="F103" s="101"/>
    </row>
    <row r="104" spans="1:6" x14ac:dyDescent="0.2">
      <c r="A104" s="122" t="s">
        <v>196</v>
      </c>
      <c r="B104" s="122"/>
      <c r="D104" s="123" t="s">
        <v>708</v>
      </c>
    </row>
    <row r="105" spans="1:6" x14ac:dyDescent="0.2">
      <c r="D105" s="1" t="s">
        <v>70</v>
      </c>
    </row>
    <row r="106" spans="1:6" x14ac:dyDescent="0.2">
      <c r="A106" s="103" t="s">
        <v>3</v>
      </c>
      <c r="B106" s="103" t="s">
        <v>4</v>
      </c>
      <c r="C106" s="103" t="s">
        <v>5</v>
      </c>
      <c r="D106" s="105" t="s">
        <v>6</v>
      </c>
      <c r="E106" s="106"/>
      <c r="F106" s="103" t="s">
        <v>9</v>
      </c>
    </row>
    <row r="107" spans="1:6" x14ac:dyDescent="0.2">
      <c r="A107" s="104"/>
      <c r="B107" s="104"/>
      <c r="C107" s="104"/>
      <c r="D107" s="3" t="s">
        <v>7</v>
      </c>
      <c r="E107" s="3" t="s">
        <v>8</v>
      </c>
      <c r="F107" s="104"/>
    </row>
    <row r="108" spans="1:6" x14ac:dyDescent="0.2">
      <c r="A108" s="18" t="s">
        <v>505</v>
      </c>
      <c r="B108" s="4" t="s">
        <v>1309</v>
      </c>
      <c r="C108" s="4" t="s">
        <v>187</v>
      </c>
      <c r="D108" s="20"/>
      <c r="E108" s="20">
        <v>0</v>
      </c>
      <c r="F108" s="20">
        <f>D108+E108</f>
        <v>0</v>
      </c>
    </row>
    <row r="109" spans="1:6" x14ac:dyDescent="0.2">
      <c r="A109" s="18" t="s">
        <v>742</v>
      </c>
      <c r="B109" s="4" t="s">
        <v>1310</v>
      </c>
      <c r="C109" s="4" t="s">
        <v>187</v>
      </c>
      <c r="D109" s="20"/>
      <c r="E109" s="20"/>
      <c r="F109" s="20">
        <f>F108+D109</f>
        <v>0</v>
      </c>
    </row>
    <row r="110" spans="1:6" x14ac:dyDescent="0.2">
      <c r="A110" s="18" t="s">
        <v>751</v>
      </c>
      <c r="B110" s="4" t="s">
        <v>1311</v>
      </c>
      <c r="C110" s="4" t="s">
        <v>187</v>
      </c>
      <c r="D110" s="20"/>
      <c r="E110" s="20"/>
      <c r="F110" s="20">
        <f t="shared" ref="F110:F125" si="3">F109+D110</f>
        <v>0</v>
      </c>
    </row>
    <row r="111" spans="1:6" x14ac:dyDescent="0.2">
      <c r="A111" s="18" t="s">
        <v>527</v>
      </c>
      <c r="B111" s="4" t="s">
        <v>1391</v>
      </c>
      <c r="C111" s="4" t="s">
        <v>187</v>
      </c>
      <c r="D111" s="20"/>
      <c r="E111" s="20"/>
      <c r="F111" s="20">
        <f t="shared" si="3"/>
        <v>0</v>
      </c>
    </row>
    <row r="112" spans="1:6" x14ac:dyDescent="0.2">
      <c r="A112" s="18" t="s">
        <v>1365</v>
      </c>
      <c r="B112" s="4" t="s">
        <v>1392</v>
      </c>
      <c r="C112" s="4" t="s">
        <v>187</v>
      </c>
      <c r="D112" s="20"/>
      <c r="E112" s="20"/>
      <c r="F112" s="20">
        <f t="shared" si="3"/>
        <v>0</v>
      </c>
    </row>
    <row r="113" spans="1:6" x14ac:dyDescent="0.2">
      <c r="A113" s="18" t="s">
        <v>930</v>
      </c>
      <c r="B113" s="4" t="s">
        <v>931</v>
      </c>
      <c r="C113" s="4" t="s">
        <v>187</v>
      </c>
      <c r="D113" s="20"/>
      <c r="E113" s="20"/>
      <c r="F113" s="20">
        <f t="shared" si="3"/>
        <v>0</v>
      </c>
    </row>
    <row r="114" spans="1:6" x14ac:dyDescent="0.2">
      <c r="A114" s="18" t="s">
        <v>613</v>
      </c>
      <c r="B114" s="4" t="s">
        <v>987</v>
      </c>
      <c r="C114" s="4" t="s">
        <v>187</v>
      </c>
      <c r="D114" s="20"/>
      <c r="E114" s="20"/>
      <c r="F114" s="20">
        <f t="shared" si="3"/>
        <v>0</v>
      </c>
    </row>
    <row r="115" spans="1:6" x14ac:dyDescent="0.2">
      <c r="A115" s="18" t="s">
        <v>1004</v>
      </c>
      <c r="B115" s="4" t="s">
        <v>1037</v>
      </c>
      <c r="C115" s="4" t="s">
        <v>187</v>
      </c>
      <c r="D115" s="20"/>
      <c r="E115" s="20"/>
      <c r="F115" s="20">
        <f t="shared" si="3"/>
        <v>0</v>
      </c>
    </row>
    <row r="116" spans="1:6" x14ac:dyDescent="0.2">
      <c r="A116" s="18" t="s">
        <v>1137</v>
      </c>
      <c r="B116" s="4" t="s">
        <v>1155</v>
      </c>
      <c r="C116" s="4" t="s">
        <v>187</v>
      </c>
      <c r="D116" s="20"/>
      <c r="E116" s="20"/>
      <c r="F116" s="20">
        <f t="shared" si="3"/>
        <v>0</v>
      </c>
    </row>
    <row r="117" spans="1:6" x14ac:dyDescent="0.2">
      <c r="A117" s="18" t="s">
        <v>1181</v>
      </c>
      <c r="B117" s="4" t="s">
        <v>1193</v>
      </c>
      <c r="C117" s="4" t="s">
        <v>187</v>
      </c>
      <c r="D117" s="20"/>
      <c r="E117" s="20"/>
      <c r="F117" s="20">
        <f t="shared" si="3"/>
        <v>0</v>
      </c>
    </row>
    <row r="118" spans="1:6" x14ac:dyDescent="0.2">
      <c r="A118" s="18"/>
      <c r="B118" s="4"/>
      <c r="C118" s="4" t="s">
        <v>187</v>
      </c>
      <c r="D118" s="20"/>
      <c r="E118" s="20"/>
      <c r="F118" s="20">
        <f t="shared" si="3"/>
        <v>0</v>
      </c>
    </row>
    <row r="119" spans="1:6" x14ac:dyDescent="0.2">
      <c r="A119" s="18"/>
      <c r="B119" s="4"/>
      <c r="C119" s="4" t="s">
        <v>187</v>
      </c>
      <c r="D119" s="20"/>
      <c r="E119" s="20"/>
      <c r="F119" s="20">
        <f t="shared" si="3"/>
        <v>0</v>
      </c>
    </row>
    <row r="120" spans="1:6" x14ac:dyDescent="0.2">
      <c r="A120" s="18"/>
      <c r="B120" s="4"/>
      <c r="C120" s="4" t="s">
        <v>187</v>
      </c>
      <c r="D120" s="20"/>
      <c r="E120" s="20"/>
      <c r="F120" s="20">
        <f t="shared" si="3"/>
        <v>0</v>
      </c>
    </row>
    <row r="121" spans="1:6" x14ac:dyDescent="0.2">
      <c r="A121" s="18"/>
      <c r="B121" s="4"/>
      <c r="C121" s="4" t="s">
        <v>187</v>
      </c>
      <c r="D121" s="20"/>
      <c r="E121" s="20"/>
      <c r="F121" s="20">
        <f t="shared" si="3"/>
        <v>0</v>
      </c>
    </row>
    <row r="122" spans="1:6" x14ac:dyDescent="0.2">
      <c r="A122" s="18"/>
      <c r="B122" s="4"/>
      <c r="C122" s="4" t="s">
        <v>187</v>
      </c>
      <c r="D122" s="20"/>
      <c r="E122" s="20"/>
      <c r="F122" s="20">
        <f t="shared" si="3"/>
        <v>0</v>
      </c>
    </row>
    <row r="123" spans="1:6" x14ac:dyDescent="0.2">
      <c r="A123" s="18"/>
      <c r="B123" s="4"/>
      <c r="C123" s="4" t="s">
        <v>187</v>
      </c>
      <c r="D123" s="20"/>
      <c r="E123" s="20"/>
      <c r="F123" s="20">
        <f t="shared" si="3"/>
        <v>0</v>
      </c>
    </row>
    <row r="124" spans="1:6" x14ac:dyDescent="0.2">
      <c r="A124" s="18"/>
      <c r="B124" s="4"/>
      <c r="C124" s="4" t="s">
        <v>187</v>
      </c>
      <c r="D124" s="20"/>
      <c r="E124" s="20"/>
      <c r="F124" s="20">
        <f t="shared" si="3"/>
        <v>0</v>
      </c>
    </row>
    <row r="125" spans="1:6" x14ac:dyDescent="0.2">
      <c r="A125" s="4"/>
      <c r="B125" s="4"/>
      <c r="C125" s="4" t="s">
        <v>187</v>
      </c>
      <c r="D125" s="20"/>
      <c r="E125" s="20"/>
      <c r="F125" s="20">
        <f t="shared" si="3"/>
        <v>0</v>
      </c>
    </row>
    <row r="126" spans="1:6" x14ac:dyDescent="0.2">
      <c r="A126" s="105" t="s">
        <v>10</v>
      </c>
      <c r="B126" s="112"/>
      <c r="C126" s="106"/>
      <c r="D126" s="20">
        <f>SUM(D108:D125)</f>
        <v>0</v>
      </c>
      <c r="E126" s="20">
        <f>SUM(E108:E125)</f>
        <v>0</v>
      </c>
      <c r="F126" s="20">
        <f>D126-E126</f>
        <v>0</v>
      </c>
    </row>
    <row r="127" spans="1:6" x14ac:dyDescent="0.2">
      <c r="A127" s="105" t="s">
        <v>11</v>
      </c>
      <c r="B127" s="112"/>
      <c r="C127" s="106"/>
      <c r="D127" s="20"/>
      <c r="E127" s="20"/>
      <c r="F127" s="20">
        <f>D127-E127</f>
        <v>0</v>
      </c>
    </row>
    <row r="128" spans="1:6" x14ac:dyDescent="0.2">
      <c r="A128" s="105" t="s">
        <v>10</v>
      </c>
      <c r="B128" s="112"/>
      <c r="C128" s="106"/>
      <c r="D128" s="20">
        <f>SUM(D126:D127)</f>
        <v>0</v>
      </c>
      <c r="E128" s="20">
        <f>SUM(E126:E127)</f>
        <v>0</v>
      </c>
      <c r="F128" s="20">
        <f>SUM(F126:F127)</f>
        <v>0</v>
      </c>
    </row>
    <row r="129" spans="1:6" x14ac:dyDescent="0.2">
      <c r="A129" s="5"/>
      <c r="B129" s="5"/>
      <c r="C129" s="5"/>
    </row>
    <row r="130" spans="1:6" x14ac:dyDescent="0.2">
      <c r="A130" s="100" t="s">
        <v>0</v>
      </c>
      <c r="B130" s="100"/>
    </row>
    <row r="131" spans="1:6" x14ac:dyDescent="0.2">
      <c r="A131" s="100" t="s">
        <v>1</v>
      </c>
      <c r="B131" s="100"/>
    </row>
    <row r="132" spans="1:6" x14ac:dyDescent="0.2">
      <c r="A132" s="101" t="s">
        <v>2</v>
      </c>
      <c r="B132" s="101"/>
      <c r="C132" s="101"/>
      <c r="D132" s="101"/>
      <c r="E132" s="101"/>
      <c r="F132" s="101"/>
    </row>
    <row r="133" spans="1:6" x14ac:dyDescent="0.2">
      <c r="A133" s="122" t="s">
        <v>164</v>
      </c>
      <c r="B133" s="122"/>
      <c r="D133" s="123" t="s">
        <v>709</v>
      </c>
      <c r="F133" s="1" t="s">
        <v>70</v>
      </c>
    </row>
    <row r="134" spans="1:6" x14ac:dyDescent="0.2">
      <c r="D134" s="1" t="s">
        <v>70</v>
      </c>
    </row>
    <row r="135" spans="1:6" x14ac:dyDescent="0.2">
      <c r="A135" s="103" t="s">
        <v>3</v>
      </c>
      <c r="B135" s="103" t="s">
        <v>4</v>
      </c>
      <c r="C135" s="103" t="s">
        <v>5</v>
      </c>
      <c r="D135" s="105" t="s">
        <v>6</v>
      </c>
      <c r="E135" s="106"/>
      <c r="F135" s="103" t="s">
        <v>9</v>
      </c>
    </row>
    <row r="136" spans="1:6" x14ac:dyDescent="0.2">
      <c r="A136" s="104"/>
      <c r="B136" s="104"/>
      <c r="C136" s="104"/>
      <c r="D136" s="3" t="s">
        <v>7</v>
      </c>
      <c r="E136" s="3" t="s">
        <v>8</v>
      </c>
      <c r="F136" s="104"/>
    </row>
    <row r="137" spans="1:6" x14ac:dyDescent="0.2">
      <c r="A137" s="50" t="s">
        <v>469</v>
      </c>
      <c r="B137" s="4"/>
      <c r="C137" s="4" t="s">
        <v>187</v>
      </c>
      <c r="D137" s="20"/>
      <c r="E137" s="20">
        <v>0</v>
      </c>
      <c r="F137" s="20"/>
    </row>
    <row r="138" spans="1:6" x14ac:dyDescent="0.2">
      <c r="A138" s="18" t="s">
        <v>1215</v>
      </c>
      <c r="B138" s="4" t="s">
        <v>566</v>
      </c>
      <c r="C138" s="4" t="s">
        <v>187</v>
      </c>
      <c r="D138" s="20"/>
      <c r="E138" s="20"/>
      <c r="F138" s="20">
        <f t="shared" ref="F138:F143" si="4">F137+D138</f>
        <v>0</v>
      </c>
    </row>
    <row r="139" spans="1:6" x14ac:dyDescent="0.2">
      <c r="A139" s="18" t="s">
        <v>1215</v>
      </c>
      <c r="B139" s="4" t="s">
        <v>1218</v>
      </c>
      <c r="C139" s="4" t="s">
        <v>187</v>
      </c>
      <c r="D139" s="20"/>
      <c r="E139" s="20"/>
      <c r="F139" s="20">
        <f t="shared" si="4"/>
        <v>0</v>
      </c>
    </row>
    <row r="140" spans="1:6" x14ac:dyDescent="0.2">
      <c r="A140" s="18" t="s">
        <v>1216</v>
      </c>
      <c r="B140" s="27" t="s">
        <v>1217</v>
      </c>
      <c r="C140" s="4" t="s">
        <v>187</v>
      </c>
      <c r="D140" s="20"/>
      <c r="E140" s="20"/>
      <c r="F140" s="20">
        <f t="shared" si="4"/>
        <v>0</v>
      </c>
    </row>
    <row r="141" spans="1:6" x14ac:dyDescent="0.2">
      <c r="A141" s="18" t="s">
        <v>1219</v>
      </c>
      <c r="B141" s="27" t="s">
        <v>1221</v>
      </c>
      <c r="C141" s="4" t="s">
        <v>187</v>
      </c>
      <c r="D141" s="20"/>
      <c r="E141" s="20"/>
      <c r="F141" s="20">
        <f t="shared" si="4"/>
        <v>0</v>
      </c>
    </row>
    <row r="142" spans="1:6" x14ac:dyDescent="0.2">
      <c r="A142" s="18" t="s">
        <v>1219</v>
      </c>
      <c r="B142" s="4" t="s">
        <v>1220</v>
      </c>
      <c r="C142" s="4" t="s">
        <v>187</v>
      </c>
      <c r="D142" s="20"/>
      <c r="E142" s="20"/>
      <c r="F142" s="20">
        <f t="shared" si="4"/>
        <v>0</v>
      </c>
    </row>
    <row r="143" spans="1:6" x14ac:dyDescent="0.2">
      <c r="A143" s="18" t="s">
        <v>1222</v>
      </c>
      <c r="B143" s="18" t="s">
        <v>1223</v>
      </c>
      <c r="C143" s="4" t="s">
        <v>187</v>
      </c>
      <c r="D143" s="20"/>
      <c r="E143" s="20"/>
      <c r="F143" s="20">
        <f t="shared" si="4"/>
        <v>0</v>
      </c>
    </row>
    <row r="144" spans="1:6" x14ac:dyDescent="0.2">
      <c r="A144" s="50" t="s">
        <v>247</v>
      </c>
      <c r="B144" s="4"/>
      <c r="C144" s="4"/>
      <c r="D144" s="20"/>
      <c r="E144" s="20"/>
      <c r="F144" s="20"/>
    </row>
    <row r="145" spans="1:6" x14ac:dyDescent="0.2">
      <c r="A145" s="18" t="s">
        <v>246</v>
      </c>
      <c r="B145" s="4" t="s">
        <v>1319</v>
      </c>
      <c r="C145" s="4" t="s">
        <v>187</v>
      </c>
      <c r="D145" s="20"/>
      <c r="E145" s="20"/>
      <c r="F145" s="20">
        <f t="shared" ref="F145:F164" si="5">F144+D145</f>
        <v>0</v>
      </c>
    </row>
    <row r="146" spans="1:6" x14ac:dyDescent="0.2">
      <c r="A146" s="18" t="s">
        <v>575</v>
      </c>
      <c r="B146" s="4" t="s">
        <v>1320</v>
      </c>
      <c r="C146" s="4" t="s">
        <v>187</v>
      </c>
      <c r="D146" s="20"/>
      <c r="E146" s="20"/>
      <c r="F146" s="20">
        <f t="shared" si="5"/>
        <v>0</v>
      </c>
    </row>
    <row r="147" spans="1:6" x14ac:dyDescent="0.2">
      <c r="A147" s="18" t="s">
        <v>474</v>
      </c>
      <c r="B147" s="4" t="s">
        <v>1321</v>
      </c>
      <c r="C147" s="4" t="s">
        <v>187</v>
      </c>
      <c r="D147" s="20"/>
      <c r="E147" s="20"/>
      <c r="F147" s="20">
        <f t="shared" si="5"/>
        <v>0</v>
      </c>
    </row>
    <row r="148" spans="1:6" x14ac:dyDescent="0.2">
      <c r="A148" s="50" t="s">
        <v>262</v>
      </c>
      <c r="B148" s="4"/>
      <c r="C148" s="4"/>
      <c r="D148" s="20"/>
      <c r="E148" s="20"/>
      <c r="F148" s="20"/>
    </row>
    <row r="149" spans="1:6" x14ac:dyDescent="0.2">
      <c r="A149" s="18" t="s">
        <v>526</v>
      </c>
      <c r="B149" s="27" t="s">
        <v>1374</v>
      </c>
      <c r="C149" s="4" t="s">
        <v>187</v>
      </c>
      <c r="D149" s="20"/>
      <c r="E149" s="20"/>
      <c r="F149" s="20">
        <f t="shared" ref="F149:F156" si="6">F148+D149</f>
        <v>0</v>
      </c>
    </row>
    <row r="150" spans="1:6" x14ac:dyDescent="0.2">
      <c r="A150" s="18" t="s">
        <v>476</v>
      </c>
      <c r="B150" s="4" t="s">
        <v>1375</v>
      </c>
      <c r="C150" s="4" t="s">
        <v>187</v>
      </c>
      <c r="D150" s="20"/>
      <c r="E150" s="20"/>
      <c r="F150" s="20">
        <f t="shared" si="6"/>
        <v>0</v>
      </c>
    </row>
    <row r="151" spans="1:6" x14ac:dyDescent="0.2">
      <c r="A151" s="18" t="s">
        <v>476</v>
      </c>
      <c r="B151" s="4" t="s">
        <v>1376</v>
      </c>
      <c r="C151" s="4" t="s">
        <v>187</v>
      </c>
      <c r="D151" s="20"/>
      <c r="E151" s="20"/>
      <c r="F151" s="20">
        <f t="shared" si="6"/>
        <v>0</v>
      </c>
    </row>
    <row r="152" spans="1:6" x14ac:dyDescent="0.2">
      <c r="A152" s="50" t="s">
        <v>283</v>
      </c>
      <c r="B152" s="27"/>
      <c r="C152" s="4"/>
      <c r="D152" s="20"/>
      <c r="E152" s="20"/>
      <c r="F152" s="20"/>
    </row>
    <row r="153" spans="1:6" x14ac:dyDescent="0.2">
      <c r="A153" s="18"/>
      <c r="B153" s="27"/>
      <c r="C153" s="4"/>
      <c r="D153" s="20"/>
      <c r="E153" s="20"/>
      <c r="F153" s="20">
        <f t="shared" si="6"/>
        <v>0</v>
      </c>
    </row>
    <row r="154" spans="1:6" x14ac:dyDescent="0.2">
      <c r="A154" s="18"/>
      <c r="B154" s="27"/>
      <c r="C154" s="4"/>
      <c r="D154" s="20"/>
      <c r="E154" s="20"/>
      <c r="F154" s="20">
        <f t="shared" si="6"/>
        <v>0</v>
      </c>
    </row>
    <row r="155" spans="1:6" x14ac:dyDescent="0.2">
      <c r="A155" s="18"/>
      <c r="B155" s="4"/>
      <c r="C155" s="4"/>
      <c r="D155" s="20"/>
      <c r="E155" s="20"/>
      <c r="F155" s="20">
        <f t="shared" si="6"/>
        <v>0</v>
      </c>
    </row>
    <row r="156" spans="1:6" x14ac:dyDescent="0.2">
      <c r="A156" s="18"/>
      <c r="B156" s="18"/>
      <c r="C156" s="4"/>
      <c r="D156" s="20"/>
      <c r="E156" s="20"/>
      <c r="F156" s="20">
        <f t="shared" si="6"/>
        <v>0</v>
      </c>
    </row>
    <row r="157" spans="1:6" x14ac:dyDescent="0.2">
      <c r="A157" s="50" t="s">
        <v>283</v>
      </c>
      <c r="B157" s="4"/>
      <c r="C157" s="4"/>
      <c r="D157" s="20"/>
      <c r="E157" s="20"/>
      <c r="F157" s="20"/>
    </row>
    <row r="158" spans="1:6" x14ac:dyDescent="0.2">
      <c r="A158" s="18" t="s">
        <v>585</v>
      </c>
      <c r="B158" s="4" t="s">
        <v>794</v>
      </c>
      <c r="C158" s="4" t="s">
        <v>187</v>
      </c>
      <c r="D158" s="20"/>
      <c r="E158" s="20"/>
      <c r="F158" s="20">
        <f t="shared" ref="F158:F160" si="7">F157+D158</f>
        <v>0</v>
      </c>
    </row>
    <row r="159" spans="1:6" x14ac:dyDescent="0.2">
      <c r="A159" s="18" t="s">
        <v>585</v>
      </c>
      <c r="B159" s="4" t="s">
        <v>607</v>
      </c>
      <c r="C159" s="4" t="s">
        <v>187</v>
      </c>
      <c r="D159" s="20"/>
      <c r="E159" s="20"/>
      <c r="F159" s="20">
        <f t="shared" si="7"/>
        <v>0</v>
      </c>
    </row>
    <row r="160" spans="1:6" x14ac:dyDescent="0.2">
      <c r="A160" s="18" t="s">
        <v>798</v>
      </c>
      <c r="B160" s="4" t="s">
        <v>800</v>
      </c>
      <c r="C160" s="4" t="s">
        <v>187</v>
      </c>
      <c r="D160" s="20"/>
      <c r="E160" s="20"/>
      <c r="F160" s="20">
        <f t="shared" si="7"/>
        <v>0</v>
      </c>
    </row>
    <row r="161" spans="1:6" x14ac:dyDescent="0.2">
      <c r="A161" s="50" t="s">
        <v>299</v>
      </c>
      <c r="B161" s="4"/>
      <c r="C161" s="4"/>
      <c r="D161" s="20"/>
      <c r="E161" s="20"/>
      <c r="F161" s="20"/>
    </row>
    <row r="162" spans="1:6" x14ac:dyDescent="0.2">
      <c r="A162" s="18" t="s">
        <v>593</v>
      </c>
      <c r="B162" s="4" t="s">
        <v>814</v>
      </c>
      <c r="C162" s="4" t="s">
        <v>187</v>
      </c>
      <c r="D162" s="20"/>
      <c r="E162" s="20"/>
      <c r="F162" s="20">
        <f>D162</f>
        <v>0</v>
      </c>
    </row>
    <row r="163" spans="1:6" x14ac:dyDescent="0.2">
      <c r="A163" s="18" t="s">
        <v>593</v>
      </c>
      <c r="B163" s="4" t="s">
        <v>818</v>
      </c>
      <c r="C163" s="4" t="s">
        <v>187</v>
      </c>
      <c r="D163" s="20"/>
      <c r="E163" s="20"/>
      <c r="F163" s="20">
        <f t="shared" ref="F163" si="8">F162+D163</f>
        <v>0</v>
      </c>
    </row>
    <row r="164" spans="1:6" x14ac:dyDescent="0.2">
      <c r="A164" s="18" t="s">
        <v>596</v>
      </c>
      <c r="B164" s="4" t="s">
        <v>800</v>
      </c>
      <c r="C164" s="4" t="s">
        <v>187</v>
      </c>
      <c r="D164" s="20"/>
      <c r="E164" s="20"/>
      <c r="F164" s="20">
        <f t="shared" si="5"/>
        <v>0</v>
      </c>
    </row>
    <row r="165" spans="1:6" x14ac:dyDescent="0.2">
      <c r="A165" s="50" t="s">
        <v>315</v>
      </c>
      <c r="B165" s="4"/>
      <c r="C165" s="4"/>
      <c r="D165" s="20"/>
      <c r="E165" s="20"/>
      <c r="F165" s="20"/>
    </row>
    <row r="166" spans="1:6" x14ac:dyDescent="0.2">
      <c r="A166" s="18" t="s">
        <v>599</v>
      </c>
      <c r="B166" s="27" t="s">
        <v>607</v>
      </c>
      <c r="C166" s="4" t="s">
        <v>187</v>
      </c>
      <c r="D166" s="20"/>
      <c r="E166" s="20"/>
      <c r="F166" s="20">
        <f>D166</f>
        <v>0</v>
      </c>
    </row>
    <row r="167" spans="1:6" x14ac:dyDescent="0.2">
      <c r="A167" s="18" t="s">
        <v>599</v>
      </c>
      <c r="B167" s="27" t="s">
        <v>857</v>
      </c>
      <c r="C167" s="4" t="s">
        <v>187</v>
      </c>
      <c r="D167" s="20"/>
      <c r="E167" s="20"/>
      <c r="F167" s="20">
        <f t="shared" ref="F167:F169" si="9">F166+D167</f>
        <v>0</v>
      </c>
    </row>
    <row r="168" spans="1:6" x14ac:dyDescent="0.2">
      <c r="A168" s="18" t="s">
        <v>861</v>
      </c>
      <c r="B168" s="4" t="s">
        <v>576</v>
      </c>
      <c r="C168" s="4" t="s">
        <v>187</v>
      </c>
      <c r="D168" s="20"/>
      <c r="E168" s="20"/>
      <c r="F168" s="20">
        <f t="shared" si="9"/>
        <v>0</v>
      </c>
    </row>
    <row r="169" spans="1:6" x14ac:dyDescent="0.2">
      <c r="A169" s="18" t="s">
        <v>885</v>
      </c>
      <c r="B169" s="4" t="s">
        <v>800</v>
      </c>
      <c r="C169" s="4" t="s">
        <v>187</v>
      </c>
      <c r="D169" s="20"/>
      <c r="E169" s="20"/>
      <c r="F169" s="20">
        <f t="shared" si="9"/>
        <v>0</v>
      </c>
    </row>
    <row r="170" spans="1:6" x14ac:dyDescent="0.2">
      <c r="A170" s="50" t="s">
        <v>330</v>
      </c>
      <c r="B170" s="4"/>
      <c r="C170" s="4"/>
      <c r="D170" s="20"/>
      <c r="E170" s="20"/>
      <c r="F170" s="20"/>
    </row>
    <row r="171" spans="1:6" x14ac:dyDescent="0.2">
      <c r="A171" s="18" t="s">
        <v>912</v>
      </c>
      <c r="B171" s="4" t="s">
        <v>911</v>
      </c>
      <c r="C171" s="4" t="s">
        <v>187</v>
      </c>
      <c r="D171" s="20"/>
      <c r="E171" s="20"/>
      <c r="F171" s="20">
        <f>D171</f>
        <v>0</v>
      </c>
    </row>
    <row r="172" spans="1:6" x14ac:dyDescent="0.2">
      <c r="A172" s="18" t="s">
        <v>609</v>
      </c>
      <c r="B172" s="4" t="s">
        <v>818</v>
      </c>
      <c r="C172" s="4" t="s">
        <v>187</v>
      </c>
      <c r="D172" s="20"/>
      <c r="E172" s="20"/>
      <c r="F172" s="20">
        <f t="shared" ref="F172:F173" si="10">F171+D172</f>
        <v>0</v>
      </c>
    </row>
    <row r="173" spans="1:6" x14ac:dyDescent="0.2">
      <c r="A173" s="18" t="s">
        <v>934</v>
      </c>
      <c r="B173" s="4" t="s">
        <v>800</v>
      </c>
      <c r="C173" s="4" t="s">
        <v>187</v>
      </c>
      <c r="D173" s="20"/>
      <c r="E173" s="20"/>
      <c r="F173" s="20">
        <f t="shared" si="10"/>
        <v>0</v>
      </c>
    </row>
    <row r="174" spans="1:6" x14ac:dyDescent="0.2">
      <c r="A174" s="50" t="s">
        <v>344</v>
      </c>
      <c r="B174" s="18"/>
      <c r="C174" s="4"/>
      <c r="D174" s="20"/>
      <c r="E174" s="20"/>
      <c r="F174" s="20"/>
    </row>
    <row r="175" spans="1:6" x14ac:dyDescent="0.2">
      <c r="A175" s="18" t="s">
        <v>613</v>
      </c>
      <c r="B175" s="18" t="s">
        <v>626</v>
      </c>
      <c r="C175" s="4" t="s">
        <v>187</v>
      </c>
      <c r="D175" s="20"/>
      <c r="E175" s="20"/>
      <c r="F175" s="20">
        <f>D175</f>
        <v>0</v>
      </c>
    </row>
    <row r="176" spans="1:6" x14ac:dyDescent="0.2">
      <c r="A176" s="18" t="s">
        <v>613</v>
      </c>
      <c r="B176" s="18" t="s">
        <v>993</v>
      </c>
      <c r="C176" s="4" t="s">
        <v>187</v>
      </c>
      <c r="D176" s="20"/>
      <c r="E176" s="20"/>
      <c r="F176" s="20">
        <f t="shared" ref="F176:F177" si="11">F175+D176</f>
        <v>0</v>
      </c>
    </row>
    <row r="177" spans="1:6" x14ac:dyDescent="0.2">
      <c r="A177" s="18" t="s">
        <v>996</v>
      </c>
      <c r="B177" s="4" t="s">
        <v>997</v>
      </c>
      <c r="C177" s="4" t="s">
        <v>187</v>
      </c>
      <c r="D177" s="20"/>
      <c r="E177" s="20"/>
      <c r="F177" s="20">
        <f t="shared" si="11"/>
        <v>0</v>
      </c>
    </row>
    <row r="178" spans="1:6" x14ac:dyDescent="0.2">
      <c r="A178" s="50" t="s">
        <v>363</v>
      </c>
      <c r="B178" s="18"/>
      <c r="C178" s="4"/>
      <c r="D178" s="20"/>
      <c r="E178" s="20"/>
      <c r="F178" s="20"/>
    </row>
    <row r="179" spans="1:6" x14ac:dyDescent="0.2">
      <c r="A179" s="18" t="s">
        <v>1033</v>
      </c>
      <c r="B179" s="26" t="s">
        <v>1034</v>
      </c>
      <c r="C179" s="4" t="s">
        <v>187</v>
      </c>
      <c r="D179" s="20"/>
      <c r="E179" s="20"/>
      <c r="F179" s="20">
        <f>D179</f>
        <v>0</v>
      </c>
    </row>
    <row r="180" spans="1:6" x14ac:dyDescent="0.2">
      <c r="A180" s="18" t="s">
        <v>1004</v>
      </c>
      <c r="B180" s="4" t="s">
        <v>1072</v>
      </c>
      <c r="C180" s="4" t="s">
        <v>187</v>
      </c>
      <c r="D180" s="20"/>
      <c r="E180" s="20"/>
      <c r="F180" s="20">
        <f t="shared" ref="F180:F181" si="12">F179+D180</f>
        <v>0</v>
      </c>
    </row>
    <row r="181" spans="1:6" x14ac:dyDescent="0.2">
      <c r="A181" s="18" t="s">
        <v>485</v>
      </c>
      <c r="B181" s="18" t="s">
        <v>626</v>
      </c>
      <c r="C181" s="4" t="s">
        <v>187</v>
      </c>
      <c r="D181" s="20"/>
      <c r="E181" s="20"/>
      <c r="F181" s="20">
        <f t="shared" si="12"/>
        <v>0</v>
      </c>
    </row>
    <row r="182" spans="1:6" x14ac:dyDescent="0.2">
      <c r="A182" s="50" t="s">
        <v>368</v>
      </c>
      <c r="B182" s="18"/>
      <c r="C182" s="4"/>
      <c r="D182" s="20"/>
      <c r="E182" s="20"/>
      <c r="F182" s="20"/>
    </row>
    <row r="183" spans="1:6" x14ac:dyDescent="0.2">
      <c r="A183" s="18" t="s">
        <v>630</v>
      </c>
      <c r="B183" s="4" t="s">
        <v>1072</v>
      </c>
      <c r="C183" s="10" t="s">
        <v>187</v>
      </c>
      <c r="D183" s="20"/>
      <c r="E183" s="20"/>
      <c r="F183" s="20">
        <f>D183</f>
        <v>0</v>
      </c>
    </row>
    <row r="184" spans="1:6" x14ac:dyDescent="0.2">
      <c r="A184" s="18" t="s">
        <v>631</v>
      </c>
      <c r="B184" s="4" t="s">
        <v>1072</v>
      </c>
      <c r="C184" s="10" t="s">
        <v>187</v>
      </c>
      <c r="D184" s="20"/>
      <c r="E184" s="20"/>
      <c r="F184" s="20">
        <f t="shared" ref="F184:F188" si="13">F183+D184</f>
        <v>0</v>
      </c>
    </row>
    <row r="185" spans="1:6" x14ac:dyDescent="0.2">
      <c r="A185" s="18" t="s">
        <v>486</v>
      </c>
      <c r="B185" s="4" t="s">
        <v>1075</v>
      </c>
      <c r="C185" s="10" t="s">
        <v>187</v>
      </c>
      <c r="D185" s="20"/>
      <c r="E185" s="20"/>
      <c r="F185" s="20">
        <f t="shared" si="13"/>
        <v>0</v>
      </c>
    </row>
    <row r="186" spans="1:6" x14ac:dyDescent="0.2">
      <c r="A186" s="18" t="s">
        <v>486</v>
      </c>
      <c r="B186" s="4" t="s">
        <v>1072</v>
      </c>
      <c r="C186" s="10" t="s">
        <v>187</v>
      </c>
      <c r="D186" s="20"/>
      <c r="E186" s="20"/>
      <c r="F186" s="20">
        <f t="shared" si="13"/>
        <v>0</v>
      </c>
    </row>
    <row r="187" spans="1:6" x14ac:dyDescent="0.2">
      <c r="A187" s="18" t="s">
        <v>372</v>
      </c>
      <c r="B187" s="18" t="s">
        <v>626</v>
      </c>
      <c r="C187" s="10" t="s">
        <v>187</v>
      </c>
      <c r="D187" s="20"/>
      <c r="E187" s="20"/>
      <c r="F187" s="20">
        <f t="shared" si="13"/>
        <v>0</v>
      </c>
    </row>
    <row r="188" spans="1:6" x14ac:dyDescent="0.2">
      <c r="A188" s="18"/>
      <c r="B188" s="18"/>
      <c r="C188" s="10" t="s">
        <v>187</v>
      </c>
      <c r="D188" s="20"/>
      <c r="E188" s="20"/>
      <c r="F188" s="20">
        <f t="shared" si="13"/>
        <v>0</v>
      </c>
    </row>
    <row r="189" spans="1:6" x14ac:dyDescent="0.2">
      <c r="A189" s="50" t="s">
        <v>397</v>
      </c>
      <c r="B189" s="18"/>
      <c r="C189" s="4"/>
      <c r="D189" s="20"/>
      <c r="E189" s="20"/>
      <c r="F189" s="20"/>
    </row>
    <row r="190" spans="1:6" x14ac:dyDescent="0.2">
      <c r="A190" s="18" t="s">
        <v>634</v>
      </c>
      <c r="B190" s="4" t="s">
        <v>635</v>
      </c>
      <c r="C190" s="10" t="s">
        <v>187</v>
      </c>
      <c r="D190" s="20"/>
      <c r="E190" s="20"/>
      <c r="F190" s="20">
        <f>D190</f>
        <v>0</v>
      </c>
    </row>
    <row r="191" spans="1:6" x14ac:dyDescent="0.2">
      <c r="A191" s="18" t="s">
        <v>1124</v>
      </c>
      <c r="B191" s="4" t="s">
        <v>567</v>
      </c>
      <c r="C191" s="10" t="s">
        <v>187</v>
      </c>
      <c r="D191" s="20"/>
      <c r="E191" s="20"/>
      <c r="F191" s="20">
        <f t="shared" ref="F191:F194" si="14">F190+D191</f>
        <v>0</v>
      </c>
    </row>
    <row r="192" spans="1:6" x14ac:dyDescent="0.2">
      <c r="A192" s="18" t="s">
        <v>1126</v>
      </c>
      <c r="B192" s="18" t="s">
        <v>626</v>
      </c>
      <c r="C192" s="10" t="s">
        <v>187</v>
      </c>
      <c r="D192" s="20"/>
      <c r="E192" s="20"/>
      <c r="F192" s="20">
        <f t="shared" si="14"/>
        <v>0</v>
      </c>
    </row>
    <row r="193" spans="1:6" x14ac:dyDescent="0.2">
      <c r="A193" s="18" t="s">
        <v>1126</v>
      </c>
      <c r="B193" s="4" t="s">
        <v>567</v>
      </c>
      <c r="C193" s="10" t="s">
        <v>187</v>
      </c>
      <c r="D193" s="20"/>
      <c r="E193" s="20"/>
      <c r="F193" s="20">
        <f t="shared" si="14"/>
        <v>0</v>
      </c>
    </row>
    <row r="194" spans="1:6" x14ac:dyDescent="0.2">
      <c r="A194" s="18"/>
      <c r="B194" s="18"/>
      <c r="C194" s="10" t="s">
        <v>187</v>
      </c>
      <c r="D194" s="20"/>
      <c r="E194" s="20"/>
      <c r="F194" s="20">
        <f t="shared" si="14"/>
        <v>0</v>
      </c>
    </row>
    <row r="195" spans="1:6" x14ac:dyDescent="0.2">
      <c r="A195" s="50" t="s">
        <v>453</v>
      </c>
      <c r="B195" s="18"/>
      <c r="C195" s="4" t="s">
        <v>187</v>
      </c>
      <c r="D195" s="20"/>
      <c r="E195" s="20"/>
      <c r="F195" s="20"/>
    </row>
    <row r="196" spans="1:6" x14ac:dyDescent="0.2">
      <c r="A196" s="18" t="s">
        <v>637</v>
      </c>
      <c r="B196" s="18" t="s">
        <v>1147</v>
      </c>
      <c r="C196" s="10" t="s">
        <v>187</v>
      </c>
      <c r="D196" s="20"/>
      <c r="E196" s="20"/>
      <c r="F196" s="20">
        <f>D196</f>
        <v>0</v>
      </c>
    </row>
    <row r="197" spans="1:6" x14ac:dyDescent="0.2">
      <c r="A197" s="18" t="s">
        <v>1137</v>
      </c>
      <c r="B197" s="4" t="s">
        <v>1153</v>
      </c>
      <c r="C197" s="10" t="s">
        <v>187</v>
      </c>
      <c r="D197" s="20"/>
      <c r="E197" s="20"/>
      <c r="F197" s="20">
        <f t="shared" ref="F197:F204" si="15">F196+D197</f>
        <v>0</v>
      </c>
    </row>
    <row r="198" spans="1:6" x14ac:dyDescent="0.2">
      <c r="A198" s="18" t="s">
        <v>1162</v>
      </c>
      <c r="B198" s="4" t="s">
        <v>1166</v>
      </c>
      <c r="C198" s="10" t="s">
        <v>187</v>
      </c>
      <c r="D198" s="20"/>
      <c r="E198" s="20"/>
      <c r="F198" s="20">
        <f t="shared" si="15"/>
        <v>0</v>
      </c>
    </row>
    <row r="199" spans="1:6" x14ac:dyDescent="0.2">
      <c r="A199" s="18" t="s">
        <v>1181</v>
      </c>
      <c r="B199" s="18" t="s">
        <v>626</v>
      </c>
      <c r="C199" s="10" t="s">
        <v>187</v>
      </c>
      <c r="D199" s="20"/>
      <c r="E199" s="20"/>
      <c r="F199" s="20">
        <f t="shared" si="15"/>
        <v>0</v>
      </c>
    </row>
    <row r="200" spans="1:6" x14ac:dyDescent="0.2">
      <c r="A200" s="18" t="s">
        <v>449</v>
      </c>
      <c r="B200" s="4" t="s">
        <v>1198</v>
      </c>
      <c r="C200" s="10" t="s">
        <v>187</v>
      </c>
      <c r="D200" s="20"/>
      <c r="E200" s="20"/>
      <c r="F200" s="20">
        <f t="shared" si="15"/>
        <v>0</v>
      </c>
    </row>
    <row r="201" spans="1:6" x14ac:dyDescent="0.2">
      <c r="A201" s="18"/>
      <c r="B201" s="4"/>
      <c r="C201" s="10" t="s">
        <v>187</v>
      </c>
      <c r="D201" s="20"/>
      <c r="E201" s="20"/>
      <c r="F201" s="20">
        <f t="shared" si="15"/>
        <v>0</v>
      </c>
    </row>
    <row r="202" spans="1:6" x14ac:dyDescent="0.2">
      <c r="A202" s="18"/>
      <c r="B202" s="18"/>
      <c r="C202" s="10" t="s">
        <v>187</v>
      </c>
      <c r="D202" s="20"/>
      <c r="E202" s="20"/>
      <c r="F202" s="20">
        <f t="shared" si="15"/>
        <v>0</v>
      </c>
    </row>
    <row r="203" spans="1:6" x14ac:dyDescent="0.2">
      <c r="A203" s="18"/>
      <c r="B203" s="4"/>
      <c r="C203" s="10" t="s">
        <v>187</v>
      </c>
      <c r="D203" s="20"/>
      <c r="E203" s="20"/>
      <c r="F203" s="20">
        <f t="shared" si="15"/>
        <v>0</v>
      </c>
    </row>
    <row r="204" spans="1:6" x14ac:dyDescent="0.2">
      <c r="A204" s="18"/>
      <c r="B204" s="18"/>
      <c r="C204" s="10"/>
      <c r="D204" s="20"/>
      <c r="E204" s="20"/>
      <c r="F204" s="20">
        <f t="shared" si="15"/>
        <v>0</v>
      </c>
    </row>
    <row r="205" spans="1:6" x14ac:dyDescent="0.2">
      <c r="A205" s="18"/>
      <c r="B205" s="18"/>
      <c r="C205" s="10"/>
      <c r="D205" s="20"/>
      <c r="E205" s="20"/>
      <c r="F205" s="20"/>
    </row>
    <row r="206" spans="1:6" x14ac:dyDescent="0.2">
      <c r="A206" s="4"/>
      <c r="B206" s="4"/>
      <c r="C206" s="10"/>
      <c r="D206" s="20"/>
      <c r="E206" s="20"/>
      <c r="F206" s="20"/>
    </row>
    <row r="207" spans="1:6" x14ac:dyDescent="0.2">
      <c r="A207" s="105" t="s">
        <v>10</v>
      </c>
      <c r="B207" s="112"/>
      <c r="C207" s="106"/>
      <c r="D207" s="20">
        <f>SUM(D137:D206)</f>
        <v>0</v>
      </c>
      <c r="E207" s="20">
        <f>SUM(E137:E165)</f>
        <v>0</v>
      </c>
      <c r="F207" s="20">
        <f>D207-E207</f>
        <v>0</v>
      </c>
    </row>
    <row r="208" spans="1:6" x14ac:dyDescent="0.2">
      <c r="A208" s="105" t="s">
        <v>11</v>
      </c>
      <c r="B208" s="112"/>
      <c r="C208" s="106"/>
      <c r="D208" s="20"/>
      <c r="E208" s="20"/>
      <c r="F208" s="20">
        <f>D208-E208</f>
        <v>0</v>
      </c>
    </row>
    <row r="209" spans="1:6" x14ac:dyDescent="0.2">
      <c r="A209" s="105" t="s">
        <v>10</v>
      </c>
      <c r="B209" s="112"/>
      <c r="C209" s="106"/>
      <c r="D209" s="20">
        <f>SUM(D207:D208)</f>
        <v>0</v>
      </c>
      <c r="E209" s="20">
        <f>SUM(E207:E208)</f>
        <v>0</v>
      </c>
      <c r="F209" s="20">
        <f>SUM(F207:F208)</f>
        <v>0</v>
      </c>
    </row>
    <row r="211" spans="1:6" x14ac:dyDescent="0.2">
      <c r="A211" s="100" t="s">
        <v>0</v>
      </c>
      <c r="B211" s="100"/>
    </row>
    <row r="212" spans="1:6" x14ac:dyDescent="0.2">
      <c r="A212" s="100" t="s">
        <v>1</v>
      </c>
      <c r="B212" s="100"/>
    </row>
    <row r="213" spans="1:6" x14ac:dyDescent="0.2">
      <c r="A213" s="101" t="s">
        <v>2</v>
      </c>
      <c r="B213" s="101"/>
      <c r="C213" s="101"/>
      <c r="D213" s="101"/>
      <c r="E213" s="101"/>
      <c r="F213" s="101"/>
    </row>
    <row r="214" spans="1:6" x14ac:dyDescent="0.2">
      <c r="A214" s="109" t="s">
        <v>464</v>
      </c>
      <c r="B214" s="109"/>
      <c r="D214" s="2" t="s">
        <v>710</v>
      </c>
    </row>
    <row r="215" spans="1:6" x14ac:dyDescent="0.2">
      <c r="D215" s="1" t="s">
        <v>70</v>
      </c>
    </row>
    <row r="216" spans="1:6" x14ac:dyDescent="0.2">
      <c r="A216" s="103" t="s">
        <v>3</v>
      </c>
      <c r="B216" s="103" t="s">
        <v>4</v>
      </c>
      <c r="C216" s="103" t="s">
        <v>5</v>
      </c>
      <c r="D216" s="105" t="s">
        <v>6</v>
      </c>
      <c r="E216" s="106"/>
      <c r="F216" s="103" t="s">
        <v>9</v>
      </c>
    </row>
    <row r="217" spans="1:6" x14ac:dyDescent="0.2">
      <c r="A217" s="104"/>
      <c r="B217" s="104"/>
      <c r="C217" s="104"/>
      <c r="D217" s="3" t="s">
        <v>7</v>
      </c>
      <c r="E217" s="3" t="s">
        <v>8</v>
      </c>
      <c r="F217" s="104"/>
    </row>
    <row r="218" spans="1:6" x14ac:dyDescent="0.2">
      <c r="A218" s="18" t="s">
        <v>510</v>
      </c>
      <c r="B218" s="4" t="s">
        <v>747</v>
      </c>
      <c r="C218" s="4" t="s">
        <v>187</v>
      </c>
      <c r="D218" s="20"/>
      <c r="E218" s="20">
        <v>0</v>
      </c>
      <c r="F218" s="20">
        <f>D218+E218</f>
        <v>0</v>
      </c>
    </row>
    <row r="219" spans="1:6" x14ac:dyDescent="0.2">
      <c r="A219" s="18" t="s">
        <v>583</v>
      </c>
      <c r="B219" s="4" t="s">
        <v>769</v>
      </c>
      <c r="C219" s="4" t="s">
        <v>187</v>
      </c>
      <c r="D219" s="20"/>
      <c r="E219" s="20"/>
      <c r="F219" s="20">
        <f>F218+D219</f>
        <v>0</v>
      </c>
    </row>
    <row r="220" spans="1:6" x14ac:dyDescent="0.2">
      <c r="A220" s="18" t="s">
        <v>778</v>
      </c>
      <c r="B220" s="4" t="s">
        <v>780</v>
      </c>
      <c r="C220" s="4" t="s">
        <v>187</v>
      </c>
      <c r="D220" s="20"/>
      <c r="E220" s="20"/>
      <c r="F220" s="20">
        <f>F219+D220</f>
        <v>0</v>
      </c>
    </row>
    <row r="221" spans="1:6" x14ac:dyDescent="0.2">
      <c r="A221" s="18" t="s">
        <v>593</v>
      </c>
      <c r="B221" s="4" t="s">
        <v>815</v>
      </c>
      <c r="C221" s="4" t="s">
        <v>187</v>
      </c>
      <c r="D221" s="20"/>
      <c r="E221" s="20"/>
      <c r="F221" s="20">
        <f t="shared" ref="F221:F231" si="16">F220+D221</f>
        <v>0</v>
      </c>
    </row>
    <row r="222" spans="1:6" x14ac:dyDescent="0.2">
      <c r="A222" s="18" t="s">
        <v>836</v>
      </c>
      <c r="B222" s="4" t="s">
        <v>837</v>
      </c>
      <c r="C222" s="4" t="s">
        <v>187</v>
      </c>
      <c r="D222" s="20"/>
      <c r="E222" s="20"/>
      <c r="F222" s="20">
        <f t="shared" si="16"/>
        <v>0</v>
      </c>
    </row>
    <row r="223" spans="1:6" x14ac:dyDescent="0.2">
      <c r="A223" s="18" t="s">
        <v>934</v>
      </c>
      <c r="B223" s="4" t="s">
        <v>941</v>
      </c>
      <c r="C223" s="4" t="s">
        <v>187</v>
      </c>
      <c r="D223" s="20"/>
      <c r="E223" s="20"/>
      <c r="F223" s="20">
        <f t="shared" si="16"/>
        <v>0</v>
      </c>
    </row>
    <row r="224" spans="1:6" x14ac:dyDescent="0.2">
      <c r="A224" s="18" t="s">
        <v>357</v>
      </c>
      <c r="B224" s="4" t="s">
        <v>1058</v>
      </c>
      <c r="C224" s="4" t="s">
        <v>187</v>
      </c>
      <c r="D224" s="20"/>
      <c r="E224" s="20"/>
      <c r="F224" s="20">
        <f t="shared" si="16"/>
        <v>0</v>
      </c>
    </row>
    <row r="225" spans="1:6" x14ac:dyDescent="0.2">
      <c r="A225" s="18" t="s">
        <v>357</v>
      </c>
      <c r="B225" s="4" t="s">
        <v>1059</v>
      </c>
      <c r="C225" s="4" t="s">
        <v>187</v>
      </c>
      <c r="D225" s="20"/>
      <c r="E225" s="20"/>
      <c r="F225" s="20">
        <f t="shared" si="16"/>
        <v>0</v>
      </c>
    </row>
    <row r="226" spans="1:6" x14ac:dyDescent="0.2">
      <c r="A226" s="18" t="s">
        <v>1066</v>
      </c>
      <c r="B226" s="4" t="s">
        <v>1068</v>
      </c>
      <c r="C226" s="4" t="s">
        <v>187</v>
      </c>
      <c r="D226" s="20"/>
      <c r="E226" s="20"/>
      <c r="F226" s="20">
        <f t="shared" si="16"/>
        <v>0</v>
      </c>
    </row>
    <row r="227" spans="1:6" x14ac:dyDescent="0.2">
      <c r="A227" s="18"/>
      <c r="B227" s="4"/>
      <c r="C227" s="4" t="s">
        <v>187</v>
      </c>
      <c r="D227" s="20"/>
      <c r="E227" s="20"/>
      <c r="F227" s="20">
        <f t="shared" si="16"/>
        <v>0</v>
      </c>
    </row>
    <row r="228" spans="1:6" x14ac:dyDescent="0.2">
      <c r="A228" s="18"/>
      <c r="B228" s="4"/>
      <c r="C228" s="4" t="s">
        <v>187</v>
      </c>
      <c r="D228" s="20"/>
      <c r="E228" s="20"/>
      <c r="F228" s="20">
        <f t="shared" si="16"/>
        <v>0</v>
      </c>
    </row>
    <row r="229" spans="1:6" x14ac:dyDescent="0.2">
      <c r="A229" s="18"/>
      <c r="B229" s="4"/>
      <c r="C229" s="4" t="s">
        <v>187</v>
      </c>
      <c r="D229" s="20"/>
      <c r="E229" s="20"/>
      <c r="F229" s="20">
        <f t="shared" si="16"/>
        <v>0</v>
      </c>
    </row>
    <row r="230" spans="1:6" x14ac:dyDescent="0.2">
      <c r="A230" s="18"/>
      <c r="B230" s="4"/>
      <c r="C230" s="4" t="s">
        <v>187</v>
      </c>
      <c r="D230" s="20"/>
      <c r="E230" s="20"/>
      <c r="F230" s="20">
        <f t="shared" si="16"/>
        <v>0</v>
      </c>
    </row>
    <row r="231" spans="1:6" x14ac:dyDescent="0.2">
      <c r="A231" s="18"/>
      <c r="B231" s="4" t="s">
        <v>1059</v>
      </c>
      <c r="C231" s="4"/>
      <c r="D231" s="20"/>
      <c r="E231" s="20"/>
      <c r="F231" s="20">
        <f t="shared" si="16"/>
        <v>0</v>
      </c>
    </row>
    <row r="232" spans="1:6" x14ac:dyDescent="0.2">
      <c r="A232" s="4"/>
      <c r="B232" s="4"/>
      <c r="C232" s="4"/>
      <c r="D232" s="20"/>
      <c r="E232" s="20"/>
      <c r="F232" s="20"/>
    </row>
    <row r="233" spans="1:6" x14ac:dyDescent="0.2">
      <c r="A233" s="105" t="s">
        <v>10</v>
      </c>
      <c r="B233" s="112"/>
      <c r="C233" s="106"/>
      <c r="D233" s="20">
        <f>SUM(D218:D232)</f>
        <v>0</v>
      </c>
      <c r="E233" s="20">
        <f>SUM(E218:E232)</f>
        <v>0</v>
      </c>
      <c r="F233" s="20">
        <f>D233-E233</f>
        <v>0</v>
      </c>
    </row>
    <row r="234" spans="1:6" x14ac:dyDescent="0.2">
      <c r="A234" s="105" t="s">
        <v>11</v>
      </c>
      <c r="B234" s="112"/>
      <c r="C234" s="106"/>
      <c r="D234" s="20"/>
      <c r="E234" s="20"/>
      <c r="F234" s="20">
        <f>D234-E234</f>
        <v>0</v>
      </c>
    </row>
    <row r="235" spans="1:6" x14ac:dyDescent="0.2">
      <c r="A235" s="105" t="s">
        <v>10</v>
      </c>
      <c r="B235" s="112"/>
      <c r="C235" s="106"/>
      <c r="D235" s="20">
        <f>SUM(D233:D234)</f>
        <v>0</v>
      </c>
      <c r="E235" s="20">
        <f>SUM(E233:E234)</f>
        <v>0</v>
      </c>
      <c r="F235" s="20">
        <f>SUM(F233:F234)</f>
        <v>0</v>
      </c>
    </row>
    <row r="236" spans="1:6" x14ac:dyDescent="0.2">
      <c r="A236" s="5"/>
      <c r="B236" s="5"/>
      <c r="C236" s="5"/>
      <c r="D236" s="39"/>
      <c r="E236" s="39"/>
      <c r="F236" s="39"/>
    </row>
    <row r="237" spans="1:6" x14ac:dyDescent="0.2">
      <c r="A237" s="100" t="s">
        <v>0</v>
      </c>
      <c r="B237" s="100"/>
      <c r="D237" s="13"/>
      <c r="E237" s="13"/>
      <c r="F237" s="13"/>
    </row>
    <row r="238" spans="1:6" x14ac:dyDescent="0.2">
      <c r="A238" s="100" t="s">
        <v>1</v>
      </c>
      <c r="B238" s="100"/>
    </row>
    <row r="239" spans="1:6" x14ac:dyDescent="0.2">
      <c r="A239" s="101" t="s">
        <v>2</v>
      </c>
      <c r="B239" s="101"/>
      <c r="C239" s="101"/>
      <c r="D239" s="101"/>
      <c r="E239" s="101"/>
      <c r="F239" s="101"/>
    </row>
    <row r="240" spans="1:6" x14ac:dyDescent="0.2">
      <c r="A240" s="122" t="s">
        <v>347</v>
      </c>
      <c r="B240" s="122"/>
      <c r="D240" s="123" t="s">
        <v>711</v>
      </c>
    </row>
    <row r="241" spans="1:6" x14ac:dyDescent="0.2">
      <c r="D241" s="1" t="s">
        <v>70</v>
      </c>
    </row>
    <row r="242" spans="1:6" x14ac:dyDescent="0.2">
      <c r="A242" s="103" t="s">
        <v>3</v>
      </c>
      <c r="B242" s="103" t="s">
        <v>4</v>
      </c>
      <c r="C242" s="103" t="s">
        <v>5</v>
      </c>
      <c r="D242" s="105" t="s">
        <v>6</v>
      </c>
      <c r="E242" s="106"/>
      <c r="F242" s="103" t="s">
        <v>9</v>
      </c>
    </row>
    <row r="243" spans="1:6" x14ac:dyDescent="0.2">
      <c r="A243" s="104"/>
      <c r="B243" s="104"/>
      <c r="C243" s="104"/>
      <c r="D243" s="3" t="s">
        <v>7</v>
      </c>
      <c r="E243" s="3" t="s">
        <v>8</v>
      </c>
      <c r="F243" s="104"/>
    </row>
    <row r="244" spans="1:6" x14ac:dyDescent="0.2">
      <c r="A244" s="41" t="s">
        <v>469</v>
      </c>
      <c r="B244" s="15"/>
      <c r="C244" s="15"/>
      <c r="D244" s="3"/>
      <c r="E244" s="3"/>
      <c r="F244" s="15"/>
    </row>
    <row r="245" spans="1:6" x14ac:dyDescent="0.2">
      <c r="A245" s="18" t="s">
        <v>1222</v>
      </c>
      <c r="B245" s="4" t="s">
        <v>736</v>
      </c>
      <c r="C245" s="4" t="s">
        <v>187</v>
      </c>
      <c r="D245" s="20"/>
      <c r="E245" s="20">
        <v>0</v>
      </c>
      <c r="F245" s="20">
        <f>D245+E245</f>
        <v>0</v>
      </c>
    </row>
    <row r="246" spans="1:6" x14ac:dyDescent="0.2">
      <c r="A246" s="41" t="s">
        <v>247</v>
      </c>
      <c r="B246" s="4"/>
      <c r="C246" s="4"/>
      <c r="D246" s="20"/>
      <c r="E246" s="20"/>
      <c r="F246" s="20"/>
    </row>
    <row r="247" spans="1:6" x14ac:dyDescent="0.2">
      <c r="A247" s="18" t="s">
        <v>751</v>
      </c>
      <c r="B247" s="4" t="s">
        <v>1330</v>
      </c>
      <c r="C247" s="4" t="s">
        <v>187</v>
      </c>
      <c r="D247" s="20"/>
      <c r="E247" s="20"/>
      <c r="F247" s="20">
        <f>D247</f>
        <v>0</v>
      </c>
    </row>
    <row r="248" spans="1:6" x14ac:dyDescent="0.2">
      <c r="A248" s="18" t="s">
        <v>474</v>
      </c>
      <c r="B248" s="4" t="s">
        <v>1331</v>
      </c>
      <c r="C248" s="4" t="s">
        <v>187</v>
      </c>
      <c r="D248" s="20"/>
      <c r="E248" s="20"/>
      <c r="F248" s="20">
        <f>F247+D248</f>
        <v>0</v>
      </c>
    </row>
    <row r="249" spans="1:6" x14ac:dyDescent="0.2">
      <c r="A249" s="41" t="s">
        <v>262</v>
      </c>
      <c r="B249" s="4"/>
      <c r="C249" s="4"/>
      <c r="D249" s="20"/>
      <c r="E249" s="20"/>
      <c r="F249" s="20"/>
    </row>
    <row r="250" spans="1:6" x14ac:dyDescent="0.2">
      <c r="A250" s="18" t="s">
        <v>526</v>
      </c>
      <c r="B250" s="4" t="s">
        <v>1377</v>
      </c>
      <c r="C250" s="4" t="s">
        <v>187</v>
      </c>
      <c r="D250" s="20"/>
      <c r="E250" s="20"/>
      <c r="F250" s="20">
        <f t="shared" ref="F250:F251" si="17">F249+D250</f>
        <v>0</v>
      </c>
    </row>
    <row r="251" spans="1:6" x14ac:dyDescent="0.2">
      <c r="A251" s="51" t="s">
        <v>527</v>
      </c>
      <c r="B251" s="4" t="s">
        <v>1378</v>
      </c>
      <c r="C251" s="4" t="s">
        <v>187</v>
      </c>
      <c r="D251" s="20"/>
      <c r="E251" s="20"/>
      <c r="F251" s="20">
        <f t="shared" si="17"/>
        <v>0</v>
      </c>
    </row>
    <row r="252" spans="1:6" x14ac:dyDescent="0.2">
      <c r="A252" s="50" t="s">
        <v>283</v>
      </c>
      <c r="B252" s="27"/>
      <c r="C252" s="4"/>
      <c r="D252" s="20"/>
      <c r="E252" s="20"/>
      <c r="F252" s="20">
        <f>D252</f>
        <v>0</v>
      </c>
    </row>
    <row r="253" spans="1:6" x14ac:dyDescent="0.2">
      <c r="A253" s="18" t="s">
        <v>798</v>
      </c>
      <c r="B253" s="4" t="s">
        <v>736</v>
      </c>
      <c r="C253" s="4" t="s">
        <v>187</v>
      </c>
      <c r="D253" s="20"/>
      <c r="E253" s="20"/>
      <c r="F253" s="20">
        <f>F252+D253</f>
        <v>0</v>
      </c>
    </row>
    <row r="254" spans="1:6" x14ac:dyDescent="0.2">
      <c r="A254" s="41" t="s">
        <v>299</v>
      </c>
      <c r="B254" s="4"/>
      <c r="C254" s="4"/>
      <c r="D254" s="20"/>
      <c r="E254" s="20"/>
      <c r="F254" s="20"/>
    </row>
    <row r="255" spans="1:6" x14ac:dyDescent="0.2">
      <c r="A255" s="18" t="s">
        <v>596</v>
      </c>
      <c r="B255" s="4" t="s">
        <v>736</v>
      </c>
      <c r="C255" s="4" t="s">
        <v>187</v>
      </c>
      <c r="D255" s="20"/>
      <c r="E255" s="20"/>
      <c r="F255" s="20">
        <f>D255</f>
        <v>0</v>
      </c>
    </row>
    <row r="256" spans="1:6" x14ac:dyDescent="0.2">
      <c r="A256" s="41" t="s">
        <v>315</v>
      </c>
      <c r="B256" s="4"/>
      <c r="C256" s="4" t="s">
        <v>187</v>
      </c>
      <c r="D256" s="20"/>
      <c r="E256" s="20"/>
      <c r="F256" s="20"/>
    </row>
    <row r="257" spans="1:6" x14ac:dyDescent="0.2">
      <c r="A257" s="18" t="s">
        <v>534</v>
      </c>
      <c r="B257" s="4" t="s">
        <v>873</v>
      </c>
      <c r="C257" s="4" t="s">
        <v>187</v>
      </c>
      <c r="D257" s="20"/>
      <c r="E257" s="20"/>
      <c r="F257" s="20">
        <f>D257</f>
        <v>0</v>
      </c>
    </row>
    <row r="258" spans="1:6" x14ac:dyDescent="0.2">
      <c r="A258" s="18" t="s">
        <v>885</v>
      </c>
      <c r="B258" s="4" t="s">
        <v>736</v>
      </c>
      <c r="C258" s="4" t="s">
        <v>187</v>
      </c>
      <c r="D258" s="20"/>
      <c r="E258" s="20"/>
      <c r="F258" s="20">
        <f>F257+D258</f>
        <v>0</v>
      </c>
    </row>
    <row r="259" spans="1:6" x14ac:dyDescent="0.2">
      <c r="A259" s="41" t="s">
        <v>330</v>
      </c>
      <c r="B259" s="4"/>
      <c r="C259" s="4" t="s">
        <v>187</v>
      </c>
      <c r="D259" s="20"/>
      <c r="E259" s="20"/>
      <c r="F259" s="20"/>
    </row>
    <row r="260" spans="1:6" x14ac:dyDescent="0.2">
      <c r="A260" s="18" t="s">
        <v>934</v>
      </c>
      <c r="B260" s="4" t="s">
        <v>736</v>
      </c>
      <c r="C260" s="4" t="s">
        <v>187</v>
      </c>
      <c r="D260" s="20"/>
      <c r="E260" s="20"/>
      <c r="F260" s="20">
        <f>D260</f>
        <v>0</v>
      </c>
    </row>
    <row r="261" spans="1:6" x14ac:dyDescent="0.2">
      <c r="A261" s="18"/>
      <c r="B261" s="4"/>
      <c r="C261" s="4"/>
      <c r="D261" s="20"/>
      <c r="E261" s="20"/>
      <c r="F261" s="20">
        <f>F260+D261</f>
        <v>0</v>
      </c>
    </row>
    <row r="262" spans="1:6" x14ac:dyDescent="0.2">
      <c r="A262" s="41" t="s">
        <v>442</v>
      </c>
      <c r="B262" s="4"/>
      <c r="C262" s="4"/>
      <c r="D262" s="20"/>
      <c r="E262" s="20"/>
      <c r="F262" s="20"/>
    </row>
    <row r="263" spans="1:6" x14ac:dyDescent="0.2">
      <c r="A263" s="18" t="s">
        <v>949</v>
      </c>
      <c r="B263" s="4" t="s">
        <v>950</v>
      </c>
      <c r="C263" s="4" t="s">
        <v>187</v>
      </c>
      <c r="D263" s="20"/>
      <c r="E263" s="20"/>
      <c r="F263" s="20">
        <f>D263</f>
        <v>0</v>
      </c>
    </row>
    <row r="264" spans="1:6" x14ac:dyDescent="0.2">
      <c r="A264" s="18" t="s">
        <v>964</v>
      </c>
      <c r="B264" s="4" t="s">
        <v>966</v>
      </c>
      <c r="C264" s="4" t="s">
        <v>187</v>
      </c>
      <c r="D264" s="20"/>
      <c r="E264" s="20"/>
      <c r="F264" s="20">
        <f>F263+D264</f>
        <v>0</v>
      </c>
    </row>
    <row r="265" spans="1:6" x14ac:dyDescent="0.2">
      <c r="A265" s="18" t="s">
        <v>613</v>
      </c>
      <c r="B265" s="4" t="s">
        <v>736</v>
      </c>
      <c r="C265" s="4" t="s">
        <v>187</v>
      </c>
      <c r="D265" s="20"/>
      <c r="E265" s="20"/>
      <c r="F265" s="20">
        <f t="shared" ref="F265:F266" si="18">F264+D265</f>
        <v>0</v>
      </c>
    </row>
    <row r="266" spans="1:6" x14ac:dyDescent="0.2">
      <c r="A266" s="18" t="s">
        <v>348</v>
      </c>
      <c r="B266" s="4" t="s">
        <v>998</v>
      </c>
      <c r="C266" s="4" t="s">
        <v>187</v>
      </c>
      <c r="D266" s="20"/>
      <c r="E266" s="20"/>
      <c r="F266" s="20">
        <f t="shared" si="18"/>
        <v>0</v>
      </c>
    </row>
    <row r="267" spans="1:6" x14ac:dyDescent="0.2">
      <c r="A267" s="41" t="s">
        <v>363</v>
      </c>
      <c r="B267" s="4"/>
      <c r="C267" s="4"/>
      <c r="D267" s="20"/>
      <c r="E267" s="20"/>
      <c r="F267" s="20"/>
    </row>
    <row r="268" spans="1:6" x14ac:dyDescent="0.2">
      <c r="A268" s="18" t="s">
        <v>622</v>
      </c>
      <c r="B268" s="4" t="s">
        <v>1023</v>
      </c>
      <c r="C268" s="4" t="s">
        <v>187</v>
      </c>
      <c r="D268" s="20"/>
      <c r="E268" s="20"/>
      <c r="F268" s="20">
        <f>D268</f>
        <v>0</v>
      </c>
    </row>
    <row r="269" spans="1:6" x14ac:dyDescent="0.2">
      <c r="A269" s="18" t="s">
        <v>485</v>
      </c>
      <c r="B269" s="4" t="s">
        <v>736</v>
      </c>
      <c r="C269" s="4" t="s">
        <v>187</v>
      </c>
      <c r="D269" s="20"/>
      <c r="E269" s="20"/>
      <c r="F269" s="20">
        <f>F268+D269</f>
        <v>0</v>
      </c>
    </row>
    <row r="270" spans="1:6" x14ac:dyDescent="0.2">
      <c r="A270" s="18" t="s">
        <v>1047</v>
      </c>
      <c r="B270" s="4" t="s">
        <v>1051</v>
      </c>
      <c r="C270" s="4" t="s">
        <v>187</v>
      </c>
      <c r="D270" s="20"/>
      <c r="E270" s="20"/>
      <c r="F270" s="20">
        <f t="shared" ref="F270" si="19">F269+D270</f>
        <v>0</v>
      </c>
    </row>
    <row r="271" spans="1:6" x14ac:dyDescent="0.2">
      <c r="A271" s="41" t="s">
        <v>368</v>
      </c>
      <c r="B271" s="4"/>
      <c r="C271" s="4" t="s">
        <v>187</v>
      </c>
      <c r="D271" s="20"/>
      <c r="E271" s="20"/>
      <c r="F271" s="20"/>
    </row>
    <row r="272" spans="1:6" x14ac:dyDescent="0.2">
      <c r="A272" s="18" t="s">
        <v>372</v>
      </c>
      <c r="B272" s="4" t="s">
        <v>736</v>
      </c>
      <c r="C272" s="4" t="s">
        <v>187</v>
      </c>
      <c r="D272" s="20"/>
      <c r="E272" s="20"/>
      <c r="F272" s="20">
        <f>D272</f>
        <v>0</v>
      </c>
    </row>
    <row r="273" spans="1:6" x14ac:dyDescent="0.2">
      <c r="A273" s="41" t="s">
        <v>397</v>
      </c>
      <c r="B273" s="4"/>
      <c r="C273" s="4" t="s">
        <v>187</v>
      </c>
      <c r="D273" s="20"/>
      <c r="E273" s="20"/>
      <c r="F273" s="20"/>
    </row>
    <row r="274" spans="1:6" x14ac:dyDescent="0.2">
      <c r="A274" s="18" t="s">
        <v>1126</v>
      </c>
      <c r="B274" s="4" t="s">
        <v>736</v>
      </c>
      <c r="C274" s="4" t="s">
        <v>187</v>
      </c>
      <c r="D274" s="20"/>
      <c r="E274" s="20"/>
      <c r="F274" s="20">
        <f>D274</f>
        <v>0</v>
      </c>
    </row>
    <row r="275" spans="1:6" x14ac:dyDescent="0.2">
      <c r="A275" s="18"/>
      <c r="B275" s="4"/>
      <c r="C275" s="4" t="s">
        <v>187</v>
      </c>
      <c r="D275" s="20"/>
      <c r="E275" s="20"/>
      <c r="F275" s="20">
        <f>F274+D275</f>
        <v>0</v>
      </c>
    </row>
    <row r="276" spans="1:6" x14ac:dyDescent="0.2">
      <c r="A276" s="41" t="s">
        <v>453</v>
      </c>
      <c r="B276" s="4"/>
      <c r="C276" s="4" t="s">
        <v>187</v>
      </c>
      <c r="D276" s="20"/>
      <c r="E276" s="20"/>
      <c r="F276" s="20"/>
    </row>
    <row r="277" spans="1:6" x14ac:dyDescent="0.2">
      <c r="A277" s="18" t="s">
        <v>1143</v>
      </c>
      <c r="B277" s="4" t="s">
        <v>1144</v>
      </c>
      <c r="C277" s="4" t="s">
        <v>187</v>
      </c>
      <c r="D277" s="20"/>
      <c r="E277" s="20"/>
      <c r="F277" s="20">
        <f>D277</f>
        <v>0</v>
      </c>
    </row>
    <row r="278" spans="1:6" x14ac:dyDescent="0.2">
      <c r="A278" s="18" t="s">
        <v>463</v>
      </c>
      <c r="B278" s="4" t="s">
        <v>1151</v>
      </c>
      <c r="C278" s="4" t="s">
        <v>187</v>
      </c>
      <c r="D278" s="20"/>
      <c r="E278" s="20"/>
      <c r="F278" s="20">
        <f>F277+D278</f>
        <v>0</v>
      </c>
    </row>
    <row r="279" spans="1:6" x14ac:dyDescent="0.2">
      <c r="A279" s="18" t="s">
        <v>463</v>
      </c>
      <c r="B279" s="27" t="s">
        <v>1152</v>
      </c>
      <c r="C279" s="4" t="s">
        <v>187</v>
      </c>
      <c r="D279" s="20"/>
      <c r="E279" s="20"/>
      <c r="F279" s="20">
        <f t="shared" ref="F279:F281" si="20">F278+D279</f>
        <v>0</v>
      </c>
    </row>
    <row r="280" spans="1:6" x14ac:dyDescent="0.2">
      <c r="A280" s="18" t="s">
        <v>1181</v>
      </c>
      <c r="B280" s="4" t="s">
        <v>736</v>
      </c>
      <c r="C280" s="4" t="s">
        <v>187</v>
      </c>
      <c r="D280" s="20"/>
      <c r="E280" s="20"/>
      <c r="F280" s="20">
        <f t="shared" si="20"/>
        <v>0</v>
      </c>
    </row>
    <row r="281" spans="1:6" x14ac:dyDescent="0.2">
      <c r="A281" s="18" t="s">
        <v>638</v>
      </c>
      <c r="B281" s="4"/>
      <c r="C281" s="4" t="s">
        <v>187</v>
      </c>
      <c r="D281" s="20"/>
      <c r="E281" s="20"/>
      <c r="F281" s="20">
        <f t="shared" si="20"/>
        <v>0</v>
      </c>
    </row>
    <row r="282" spans="1:6" x14ac:dyDescent="0.2">
      <c r="A282" s="18" t="s">
        <v>556</v>
      </c>
      <c r="B282" s="4"/>
      <c r="C282" s="4" t="s">
        <v>187</v>
      </c>
      <c r="D282" s="20"/>
      <c r="E282" s="20"/>
      <c r="F282" s="20"/>
    </row>
    <row r="283" spans="1:6" x14ac:dyDescent="0.2">
      <c r="A283" s="18"/>
      <c r="B283" s="4"/>
      <c r="C283" s="4" t="s">
        <v>187</v>
      </c>
      <c r="D283" s="20"/>
      <c r="E283" s="20"/>
      <c r="F283" s="20"/>
    </row>
    <row r="284" spans="1:6" x14ac:dyDescent="0.2">
      <c r="A284" s="18"/>
      <c r="B284" s="4"/>
      <c r="C284" s="4" t="s">
        <v>187</v>
      </c>
      <c r="D284" s="20"/>
      <c r="E284" s="20"/>
      <c r="F284" s="20"/>
    </row>
    <row r="285" spans="1:6" x14ac:dyDescent="0.2">
      <c r="A285" s="18"/>
      <c r="B285" s="4"/>
      <c r="C285" s="4" t="s">
        <v>187</v>
      </c>
      <c r="D285" s="20"/>
      <c r="E285" s="20"/>
      <c r="F285" s="20"/>
    </row>
    <row r="286" spans="1:6" x14ac:dyDescent="0.2">
      <c r="A286" s="41"/>
      <c r="B286" s="4"/>
      <c r="C286" s="4"/>
      <c r="D286" s="20"/>
      <c r="E286" s="20"/>
      <c r="F286" s="20"/>
    </row>
    <row r="287" spans="1:6" x14ac:dyDescent="0.2">
      <c r="A287" s="18"/>
      <c r="B287" s="4"/>
      <c r="C287" s="4" t="s">
        <v>187</v>
      </c>
      <c r="D287" s="20"/>
      <c r="E287" s="20"/>
      <c r="F287" s="20"/>
    </row>
    <row r="288" spans="1:6" x14ac:dyDescent="0.2">
      <c r="A288" s="18"/>
      <c r="B288" s="4"/>
      <c r="C288" s="4" t="s">
        <v>187</v>
      </c>
      <c r="D288" s="20"/>
      <c r="E288" s="20"/>
      <c r="F288" s="20"/>
    </row>
    <row r="289" spans="1:6" x14ac:dyDescent="0.2">
      <c r="A289" s="18"/>
      <c r="B289" s="4"/>
      <c r="C289" s="4" t="s">
        <v>187</v>
      </c>
      <c r="D289" s="20"/>
      <c r="E289" s="20"/>
      <c r="F289" s="20"/>
    </row>
    <row r="290" spans="1:6" x14ac:dyDescent="0.2">
      <c r="A290" s="41"/>
      <c r="B290" s="4"/>
      <c r="C290" s="4"/>
      <c r="D290" s="20"/>
      <c r="E290" s="20"/>
      <c r="F290" s="20"/>
    </row>
    <row r="291" spans="1:6" x14ac:dyDescent="0.2">
      <c r="A291" s="18"/>
      <c r="B291" s="4"/>
      <c r="C291" s="4" t="s">
        <v>187</v>
      </c>
      <c r="D291" s="20"/>
      <c r="E291" s="20"/>
      <c r="F291" s="20"/>
    </row>
    <row r="292" spans="1:6" x14ac:dyDescent="0.2">
      <c r="A292" s="18"/>
      <c r="B292" s="4"/>
      <c r="C292" s="4" t="s">
        <v>187</v>
      </c>
      <c r="D292" s="20"/>
      <c r="E292" s="20"/>
      <c r="F292" s="20"/>
    </row>
    <row r="293" spans="1:6" x14ac:dyDescent="0.2">
      <c r="A293" s="18"/>
      <c r="B293" s="4"/>
      <c r="C293" s="4" t="s">
        <v>187</v>
      </c>
      <c r="D293" s="20"/>
      <c r="E293" s="20"/>
      <c r="F293" s="20"/>
    </row>
    <row r="294" spans="1:6" x14ac:dyDescent="0.2">
      <c r="A294" s="18"/>
      <c r="B294" s="4"/>
      <c r="C294" s="4" t="s">
        <v>187</v>
      </c>
      <c r="D294" s="20"/>
      <c r="E294" s="20"/>
      <c r="F294" s="20"/>
    </row>
    <row r="295" spans="1:6" x14ac:dyDescent="0.2">
      <c r="A295" s="18"/>
      <c r="B295" s="4"/>
      <c r="C295" s="4"/>
      <c r="D295" s="20"/>
      <c r="E295" s="20"/>
      <c r="F295" s="20"/>
    </row>
    <row r="296" spans="1:6" x14ac:dyDescent="0.2">
      <c r="A296" s="18"/>
      <c r="B296" s="4"/>
      <c r="C296" s="4"/>
      <c r="D296" s="20"/>
      <c r="E296" s="20"/>
      <c r="F296" s="20"/>
    </row>
    <row r="297" spans="1:6" x14ac:dyDescent="0.2">
      <c r="A297" s="18"/>
      <c r="B297" s="4"/>
      <c r="C297" s="4"/>
      <c r="D297" s="20"/>
      <c r="E297" s="20"/>
      <c r="F297" s="20"/>
    </row>
    <row r="298" spans="1:6" x14ac:dyDescent="0.2">
      <c r="A298" s="105" t="s">
        <v>10</v>
      </c>
      <c r="B298" s="112"/>
      <c r="C298" s="106"/>
      <c r="D298" s="20">
        <f>SUM(D245:D297)</f>
        <v>0</v>
      </c>
      <c r="E298" s="20">
        <f>SUM(E245:E297)</f>
        <v>0</v>
      </c>
      <c r="F298" s="20">
        <f>D298-E298</f>
        <v>0</v>
      </c>
    </row>
    <row r="299" spans="1:6" x14ac:dyDescent="0.2">
      <c r="A299" s="105" t="s">
        <v>11</v>
      </c>
      <c r="B299" s="112"/>
      <c r="C299" s="106"/>
      <c r="D299" s="20"/>
      <c r="E299" s="20"/>
      <c r="F299" s="20">
        <f>D299-E299</f>
        <v>0</v>
      </c>
    </row>
    <row r="300" spans="1:6" x14ac:dyDescent="0.2">
      <c r="A300" s="105" t="s">
        <v>10</v>
      </c>
      <c r="B300" s="112"/>
      <c r="C300" s="106"/>
      <c r="D300" s="20">
        <f>SUM(D298:D299)</f>
        <v>0</v>
      </c>
      <c r="E300" s="20">
        <f>SUM(E298:E299)</f>
        <v>0</v>
      </c>
      <c r="F300" s="20">
        <f>SUM(F298:F299)</f>
        <v>0</v>
      </c>
    </row>
    <row r="301" spans="1:6" x14ac:dyDescent="0.2">
      <c r="A301" s="5"/>
      <c r="B301" s="5"/>
      <c r="C301" s="5"/>
      <c r="D301" s="39"/>
      <c r="E301" s="39"/>
      <c r="F301" s="39"/>
    </row>
    <row r="302" spans="1:6" x14ac:dyDescent="0.2">
      <c r="A302" s="5"/>
      <c r="B302" s="5"/>
      <c r="C302" s="5"/>
      <c r="D302" s="39"/>
      <c r="E302" s="39"/>
      <c r="F302" s="39"/>
    </row>
    <row r="303" spans="1:6" x14ac:dyDescent="0.2">
      <c r="A303" s="5"/>
      <c r="B303" s="5"/>
      <c r="C303" s="5"/>
      <c r="D303" s="39"/>
      <c r="E303" s="39"/>
      <c r="F303" s="39"/>
    </row>
    <row r="304" spans="1:6" x14ac:dyDescent="0.2">
      <c r="A304" s="100" t="s">
        <v>0</v>
      </c>
      <c r="B304" s="100"/>
      <c r="D304" s="13"/>
      <c r="E304" s="13"/>
      <c r="F304" s="13"/>
    </row>
    <row r="305" spans="1:6" x14ac:dyDescent="0.2">
      <c r="A305" s="100" t="s">
        <v>1</v>
      </c>
      <c r="B305" s="100"/>
    </row>
    <row r="306" spans="1:6" x14ac:dyDescent="0.2">
      <c r="A306" s="101" t="s">
        <v>2</v>
      </c>
      <c r="B306" s="101"/>
      <c r="C306" s="101"/>
      <c r="D306" s="101"/>
      <c r="E306" s="101"/>
      <c r="F306" s="101"/>
    </row>
    <row r="307" spans="1:6" x14ac:dyDescent="0.2">
      <c r="A307" s="122" t="s">
        <v>165</v>
      </c>
      <c r="B307" s="122"/>
      <c r="D307" s="123" t="s">
        <v>712</v>
      </c>
    </row>
    <row r="308" spans="1:6" x14ac:dyDescent="0.2">
      <c r="D308" s="1" t="s">
        <v>70</v>
      </c>
    </row>
    <row r="309" spans="1:6" x14ac:dyDescent="0.2">
      <c r="A309" s="103" t="s">
        <v>3</v>
      </c>
      <c r="B309" s="103" t="s">
        <v>4</v>
      </c>
      <c r="C309" s="103" t="s">
        <v>5</v>
      </c>
      <c r="D309" s="105" t="s">
        <v>6</v>
      </c>
      <c r="E309" s="106"/>
      <c r="F309" s="103" t="s">
        <v>9</v>
      </c>
    </row>
    <row r="310" spans="1:6" x14ac:dyDescent="0.2">
      <c r="A310" s="104"/>
      <c r="B310" s="104"/>
      <c r="C310" s="104"/>
      <c r="D310" s="3" t="s">
        <v>7</v>
      </c>
      <c r="E310" s="3" t="s">
        <v>8</v>
      </c>
      <c r="F310" s="104"/>
    </row>
    <row r="311" spans="1:6" x14ac:dyDescent="0.2">
      <c r="A311" s="18" t="s">
        <v>1222</v>
      </c>
      <c r="B311" s="4" t="s">
        <v>1277</v>
      </c>
      <c r="C311" s="4" t="s">
        <v>187</v>
      </c>
      <c r="D311" s="46"/>
      <c r="E311" s="20">
        <v>0</v>
      </c>
      <c r="F311" s="20">
        <f>D311+E311</f>
        <v>0</v>
      </c>
    </row>
    <row r="312" spans="1:6" x14ac:dyDescent="0.2">
      <c r="A312" s="18" t="s">
        <v>733</v>
      </c>
      <c r="B312" s="4" t="s">
        <v>1278</v>
      </c>
      <c r="C312" s="4" t="s">
        <v>187</v>
      </c>
      <c r="D312" s="20"/>
      <c r="E312" s="20"/>
      <c r="F312" s="20">
        <f>F311+D312</f>
        <v>0</v>
      </c>
    </row>
    <row r="313" spans="1:6" x14ac:dyDescent="0.2">
      <c r="A313" s="41" t="s">
        <v>247</v>
      </c>
      <c r="B313" s="4"/>
      <c r="C313" s="4"/>
      <c r="D313" s="20"/>
      <c r="E313" s="20"/>
      <c r="F313" s="20"/>
    </row>
    <row r="314" spans="1:6" x14ac:dyDescent="0.2">
      <c r="A314" s="18" t="s">
        <v>474</v>
      </c>
      <c r="B314" s="4" t="s">
        <v>1350</v>
      </c>
      <c r="C314" s="4" t="s">
        <v>187</v>
      </c>
      <c r="D314" s="20"/>
      <c r="E314" s="20"/>
      <c r="F314" s="20">
        <f>D314</f>
        <v>0</v>
      </c>
    </row>
    <row r="315" spans="1:6" x14ac:dyDescent="0.2">
      <c r="A315" s="18" t="s">
        <v>474</v>
      </c>
      <c r="B315" s="4" t="s">
        <v>1351</v>
      </c>
      <c r="C315" s="4" t="s">
        <v>187</v>
      </c>
      <c r="D315" s="20"/>
      <c r="E315" s="20"/>
      <c r="F315" s="20">
        <f t="shared" ref="F315:F319" si="21">F314+D315</f>
        <v>0</v>
      </c>
    </row>
    <row r="316" spans="1:6" x14ac:dyDescent="0.2">
      <c r="A316" s="41" t="s">
        <v>262</v>
      </c>
      <c r="B316" s="4"/>
      <c r="C316" s="4"/>
      <c r="D316" s="20"/>
      <c r="E316" s="20"/>
      <c r="F316" s="20"/>
    </row>
    <row r="317" spans="1:6" x14ac:dyDescent="0.2">
      <c r="A317" s="18" t="s">
        <v>476</v>
      </c>
      <c r="B317" s="4" t="s">
        <v>1406</v>
      </c>
      <c r="C317" s="4" t="s">
        <v>187</v>
      </c>
      <c r="D317" s="20"/>
      <c r="E317" s="20"/>
      <c r="F317" s="20">
        <f t="shared" si="21"/>
        <v>0</v>
      </c>
    </row>
    <row r="318" spans="1:6" x14ac:dyDescent="0.2">
      <c r="A318" s="97">
        <v>46108</v>
      </c>
      <c r="B318" s="4" t="s">
        <v>1407</v>
      </c>
      <c r="C318" s="4" t="s">
        <v>187</v>
      </c>
      <c r="D318" s="20"/>
      <c r="E318" s="20"/>
      <c r="F318" s="20">
        <f t="shared" si="21"/>
        <v>0</v>
      </c>
    </row>
    <row r="319" spans="1:6" x14ac:dyDescent="0.2">
      <c r="A319" s="37" t="s">
        <v>1365</v>
      </c>
      <c r="B319" s="4" t="s">
        <v>1408</v>
      </c>
      <c r="C319" s="4" t="s">
        <v>187</v>
      </c>
      <c r="D319" s="20"/>
      <c r="E319" s="20"/>
      <c r="F319" s="20">
        <f t="shared" si="21"/>
        <v>0</v>
      </c>
    </row>
    <row r="320" spans="1:6" x14ac:dyDescent="0.2">
      <c r="A320" s="18" t="s">
        <v>1404</v>
      </c>
      <c r="B320" s="4"/>
      <c r="C320" s="4"/>
      <c r="D320" s="20"/>
      <c r="E320" s="20"/>
      <c r="F320" s="20"/>
    </row>
    <row r="321" spans="1:6" x14ac:dyDescent="0.2">
      <c r="A321" s="41" t="s">
        <v>299</v>
      </c>
      <c r="B321" s="4"/>
      <c r="C321" s="4"/>
      <c r="D321" s="20"/>
      <c r="E321" s="20"/>
      <c r="F321" s="20"/>
    </row>
    <row r="322" spans="1:6" x14ac:dyDescent="0.2">
      <c r="A322" s="18" t="s">
        <v>808</v>
      </c>
      <c r="B322" s="4" t="s">
        <v>796</v>
      </c>
      <c r="C322" s="4" t="s">
        <v>187</v>
      </c>
      <c r="D322" s="20"/>
      <c r="E322" s="20"/>
      <c r="F322" s="20">
        <f>D322</f>
        <v>0</v>
      </c>
    </row>
    <row r="323" spans="1:6" x14ac:dyDescent="0.2">
      <c r="A323" s="18" t="s">
        <v>841</v>
      </c>
      <c r="B323" s="4" t="s">
        <v>835</v>
      </c>
      <c r="C323" s="4" t="s">
        <v>187</v>
      </c>
      <c r="D323" s="20"/>
      <c r="E323" s="20"/>
      <c r="F323" s="20">
        <f t="shared" ref="F323:F325" si="22">F322+D323</f>
        <v>0</v>
      </c>
    </row>
    <row r="324" spans="1:6" x14ac:dyDescent="0.2">
      <c r="A324" s="18" t="s">
        <v>838</v>
      </c>
      <c r="B324" s="4" t="s">
        <v>757</v>
      </c>
      <c r="C324" s="4" t="s">
        <v>187</v>
      </c>
      <c r="D324" s="20"/>
      <c r="E324" s="20"/>
      <c r="F324" s="20">
        <f t="shared" si="22"/>
        <v>0</v>
      </c>
    </row>
    <row r="325" spans="1:6" x14ac:dyDescent="0.2">
      <c r="A325" s="18" t="s">
        <v>592</v>
      </c>
      <c r="B325" s="4" t="s">
        <v>845</v>
      </c>
      <c r="C325" s="4" t="s">
        <v>187</v>
      </c>
      <c r="D325" s="20"/>
      <c r="E325" s="20"/>
      <c r="F325" s="20">
        <f t="shared" si="22"/>
        <v>0</v>
      </c>
    </row>
    <row r="326" spans="1:6" x14ac:dyDescent="0.2">
      <c r="A326" s="41" t="s">
        <v>315</v>
      </c>
      <c r="B326" s="4"/>
      <c r="C326" s="4"/>
      <c r="D326" s="20"/>
      <c r="E326" s="20"/>
      <c r="F326" s="20"/>
    </row>
    <row r="327" spans="1:6" x14ac:dyDescent="0.2">
      <c r="A327" s="18" t="s">
        <v>876</v>
      </c>
      <c r="B327" s="4" t="s">
        <v>745</v>
      </c>
      <c r="C327" s="4" t="s">
        <v>187</v>
      </c>
      <c r="D327" s="20"/>
      <c r="E327" s="20"/>
      <c r="F327" s="20">
        <f>D327</f>
        <v>0</v>
      </c>
    </row>
    <row r="328" spans="1:6" x14ac:dyDescent="0.2">
      <c r="A328" s="18" t="s">
        <v>881</v>
      </c>
      <c r="B328" s="4" t="s">
        <v>882</v>
      </c>
      <c r="C328" s="4" t="s">
        <v>187</v>
      </c>
      <c r="D328" s="20"/>
      <c r="E328" s="20"/>
      <c r="F328" s="20">
        <f t="shared" ref="F328:F330" si="23">F327+D328</f>
        <v>0</v>
      </c>
    </row>
    <row r="329" spans="1:6" x14ac:dyDescent="0.2">
      <c r="A329" s="18" t="s">
        <v>885</v>
      </c>
      <c r="B329" s="4" t="s">
        <v>757</v>
      </c>
      <c r="C329" s="4" t="s">
        <v>187</v>
      </c>
      <c r="D329" s="20"/>
      <c r="E329" s="20"/>
      <c r="F329" s="20">
        <f t="shared" si="23"/>
        <v>0</v>
      </c>
    </row>
    <row r="330" spans="1:6" x14ac:dyDescent="0.2">
      <c r="A330" s="18" t="s">
        <v>308</v>
      </c>
      <c r="B330" s="4" t="s">
        <v>796</v>
      </c>
      <c r="C330" s="4" t="s">
        <v>187</v>
      </c>
      <c r="D330" s="20"/>
      <c r="E330" s="20"/>
      <c r="F330" s="20">
        <f t="shared" si="23"/>
        <v>0</v>
      </c>
    </row>
    <row r="331" spans="1:6" x14ac:dyDescent="0.2">
      <c r="A331" s="41" t="s">
        <v>330</v>
      </c>
      <c r="B331" s="4"/>
      <c r="C331" s="4"/>
      <c r="D331" s="20"/>
      <c r="E331" s="20"/>
      <c r="F331" s="20"/>
    </row>
    <row r="332" spans="1:6" x14ac:dyDescent="0.2">
      <c r="A332" s="18" t="s">
        <v>329</v>
      </c>
      <c r="B332" s="4" t="s">
        <v>921</v>
      </c>
      <c r="C332" s="4" t="s">
        <v>187</v>
      </c>
      <c r="D332" s="20"/>
      <c r="E332" s="20"/>
      <c r="F332" s="20">
        <f>D332</f>
        <v>0</v>
      </c>
    </row>
    <row r="333" spans="1:6" x14ac:dyDescent="0.2">
      <c r="A333" s="18" t="s">
        <v>920</v>
      </c>
      <c r="B333" s="4" t="s">
        <v>882</v>
      </c>
      <c r="C333" s="4" t="s">
        <v>187</v>
      </c>
      <c r="D333" s="20"/>
      <c r="E333" s="20"/>
      <c r="F333" s="20">
        <f t="shared" ref="F333:F335" si="24">F332+D333</f>
        <v>0</v>
      </c>
    </row>
    <row r="334" spans="1:6" x14ac:dyDescent="0.2">
      <c r="A334" s="18" t="s">
        <v>932</v>
      </c>
      <c r="B334" s="4" t="s">
        <v>757</v>
      </c>
      <c r="C334" s="4" t="s">
        <v>187</v>
      </c>
      <c r="D334" s="20"/>
      <c r="E334" s="20"/>
      <c r="F334" s="20">
        <f t="shared" si="24"/>
        <v>0</v>
      </c>
    </row>
    <row r="335" spans="1:6" x14ac:dyDescent="0.2">
      <c r="A335" s="18" t="s">
        <v>540</v>
      </c>
      <c r="B335" s="4" t="s">
        <v>796</v>
      </c>
      <c r="C335" s="4" t="s">
        <v>187</v>
      </c>
      <c r="D335" s="20"/>
      <c r="E335" s="20"/>
      <c r="F335" s="20">
        <f t="shared" si="24"/>
        <v>0</v>
      </c>
    </row>
    <row r="336" spans="1:6" x14ac:dyDescent="0.2">
      <c r="A336" s="41" t="s">
        <v>344</v>
      </c>
      <c r="B336" s="4"/>
      <c r="C336" s="4"/>
      <c r="D336" s="20"/>
      <c r="E336" s="20"/>
      <c r="F336" s="20"/>
    </row>
    <row r="337" spans="1:6" x14ac:dyDescent="0.2">
      <c r="A337" s="18" t="s">
        <v>980</v>
      </c>
      <c r="B337" s="4" t="s">
        <v>745</v>
      </c>
      <c r="C337" s="4" t="s">
        <v>187</v>
      </c>
      <c r="D337" s="20"/>
      <c r="E337" s="20"/>
      <c r="F337" s="20">
        <f>D337</f>
        <v>0</v>
      </c>
    </row>
    <row r="338" spans="1:6" x14ac:dyDescent="0.2">
      <c r="A338" s="18" t="s">
        <v>613</v>
      </c>
      <c r="B338" s="4" t="s">
        <v>757</v>
      </c>
      <c r="C338" s="4" t="s">
        <v>187</v>
      </c>
      <c r="D338" s="20"/>
      <c r="E338" s="20"/>
      <c r="F338" s="20">
        <f t="shared" ref="F338:F339" si="25">F337+D338</f>
        <v>0</v>
      </c>
    </row>
    <row r="339" spans="1:6" x14ac:dyDescent="0.2">
      <c r="A339" s="18" t="s">
        <v>613</v>
      </c>
      <c r="B339" s="4" t="s">
        <v>796</v>
      </c>
      <c r="C339" s="4" t="s">
        <v>187</v>
      </c>
      <c r="D339" s="20"/>
      <c r="E339" s="20"/>
      <c r="F339" s="20">
        <f t="shared" si="25"/>
        <v>0</v>
      </c>
    </row>
    <row r="340" spans="1:6" x14ac:dyDescent="0.2">
      <c r="A340" s="41" t="s">
        <v>363</v>
      </c>
      <c r="B340" s="4"/>
      <c r="C340" s="4"/>
      <c r="D340" s="20"/>
      <c r="E340" s="20"/>
      <c r="F340" s="20"/>
    </row>
    <row r="341" spans="1:6" x14ac:dyDescent="0.2">
      <c r="A341" s="18" t="s">
        <v>1017</v>
      </c>
      <c r="B341" s="4" t="s">
        <v>745</v>
      </c>
      <c r="C341" s="4" t="s">
        <v>187</v>
      </c>
      <c r="D341" s="20"/>
      <c r="E341" s="20"/>
      <c r="F341" s="20">
        <f>D341</f>
        <v>0</v>
      </c>
    </row>
    <row r="342" spans="1:6" x14ac:dyDescent="0.2">
      <c r="A342" s="18" t="s">
        <v>485</v>
      </c>
      <c r="B342" s="4" t="s">
        <v>757</v>
      </c>
      <c r="C342" s="4" t="s">
        <v>187</v>
      </c>
      <c r="D342" s="20"/>
      <c r="E342" s="20"/>
      <c r="F342" s="20">
        <f t="shared" ref="F342:F343" si="26">F341+D342</f>
        <v>0</v>
      </c>
    </row>
    <row r="343" spans="1:6" x14ac:dyDescent="0.2">
      <c r="A343" s="18" t="s">
        <v>1050</v>
      </c>
      <c r="B343" s="4" t="s">
        <v>796</v>
      </c>
      <c r="C343" s="4" t="s">
        <v>187</v>
      </c>
      <c r="D343" s="20"/>
      <c r="E343" s="20"/>
      <c r="F343" s="20">
        <f t="shared" si="26"/>
        <v>0</v>
      </c>
    </row>
    <row r="344" spans="1:6" x14ac:dyDescent="0.2">
      <c r="A344" s="41" t="s">
        <v>368</v>
      </c>
      <c r="B344" s="4"/>
      <c r="C344" s="4"/>
      <c r="D344" s="20"/>
      <c r="E344" s="20"/>
      <c r="F344" s="20"/>
    </row>
    <row r="345" spans="1:6" x14ac:dyDescent="0.2">
      <c r="A345" s="18" t="s">
        <v>372</v>
      </c>
      <c r="B345" s="4" t="s">
        <v>757</v>
      </c>
      <c r="C345" s="4" t="s">
        <v>187</v>
      </c>
      <c r="D345" s="20"/>
      <c r="E345" s="20"/>
      <c r="F345" s="20">
        <f>D345</f>
        <v>0</v>
      </c>
    </row>
    <row r="346" spans="1:6" x14ac:dyDescent="0.2">
      <c r="A346" s="18" t="s">
        <v>1086</v>
      </c>
      <c r="B346" s="4" t="s">
        <v>796</v>
      </c>
      <c r="C346" s="4" t="s">
        <v>187</v>
      </c>
      <c r="D346" s="20"/>
      <c r="E346" s="20"/>
      <c r="F346" s="20">
        <f t="shared" ref="F346" si="27">F345+D346</f>
        <v>0</v>
      </c>
    </row>
    <row r="347" spans="1:6" x14ac:dyDescent="0.2">
      <c r="A347" s="41" t="s">
        <v>490</v>
      </c>
      <c r="B347" s="4"/>
      <c r="C347" s="4"/>
      <c r="D347" s="20"/>
      <c r="E347" s="20"/>
      <c r="F347" s="20"/>
    </row>
    <row r="348" spans="1:6" x14ac:dyDescent="0.2">
      <c r="A348" s="18" t="s">
        <v>1126</v>
      </c>
      <c r="B348" s="4" t="s">
        <v>757</v>
      </c>
      <c r="C348" s="4" t="s">
        <v>187</v>
      </c>
      <c r="D348" s="20"/>
      <c r="E348" s="20"/>
      <c r="F348" s="20">
        <f>D348</f>
        <v>0</v>
      </c>
    </row>
    <row r="349" spans="1:6" x14ac:dyDescent="0.2">
      <c r="A349" s="18" t="s">
        <v>1097</v>
      </c>
      <c r="B349" s="4" t="s">
        <v>796</v>
      </c>
      <c r="C349" s="4" t="s">
        <v>187</v>
      </c>
      <c r="D349" s="20"/>
      <c r="E349" s="20"/>
      <c r="F349" s="20">
        <f t="shared" ref="F349" si="28">F348+D349</f>
        <v>0</v>
      </c>
    </row>
    <row r="350" spans="1:6" x14ac:dyDescent="0.2">
      <c r="A350" s="41" t="s">
        <v>491</v>
      </c>
      <c r="B350" s="4"/>
      <c r="C350" s="4"/>
      <c r="D350" s="20"/>
      <c r="E350" s="20"/>
      <c r="F350" s="20"/>
    </row>
    <row r="351" spans="1:6" x14ac:dyDescent="0.2">
      <c r="A351" s="18" t="s">
        <v>1181</v>
      </c>
      <c r="B351" s="4" t="s">
        <v>757</v>
      </c>
      <c r="C351" s="4" t="s">
        <v>187</v>
      </c>
      <c r="D351" s="20"/>
      <c r="E351" s="20"/>
      <c r="F351" s="20">
        <f>D351</f>
        <v>0</v>
      </c>
    </row>
    <row r="352" spans="1:6" x14ac:dyDescent="0.2">
      <c r="A352" s="18" t="s">
        <v>1181</v>
      </c>
      <c r="B352" s="4" t="s">
        <v>796</v>
      </c>
      <c r="C352" s="4" t="s">
        <v>187</v>
      </c>
      <c r="D352" s="20"/>
      <c r="E352" s="20"/>
      <c r="F352" s="20">
        <f t="shared" ref="F352" si="29">F351+D352</f>
        <v>0</v>
      </c>
    </row>
    <row r="353" spans="1:6" x14ac:dyDescent="0.2">
      <c r="A353" s="18"/>
      <c r="B353" s="4"/>
      <c r="C353" s="4"/>
      <c r="D353" s="20"/>
      <c r="E353" s="20"/>
      <c r="F353" s="20"/>
    </row>
    <row r="354" spans="1:6" x14ac:dyDescent="0.2">
      <c r="A354" s="18"/>
      <c r="B354" s="4"/>
      <c r="C354" s="4"/>
      <c r="D354" s="20"/>
      <c r="E354" s="20"/>
      <c r="F354" s="20"/>
    </row>
    <row r="355" spans="1:6" x14ac:dyDescent="0.2">
      <c r="A355" s="18"/>
      <c r="B355" s="4"/>
      <c r="C355" s="4"/>
      <c r="D355" s="20"/>
      <c r="E355" s="20"/>
      <c r="F355" s="20"/>
    </row>
    <row r="356" spans="1:6" x14ac:dyDescent="0.2">
      <c r="A356" s="18"/>
      <c r="B356" s="4"/>
      <c r="C356" s="4"/>
      <c r="D356" s="20"/>
      <c r="E356" s="20"/>
      <c r="F356" s="20"/>
    </row>
    <row r="357" spans="1:6" x14ac:dyDescent="0.2">
      <c r="A357" s="18"/>
      <c r="B357" s="4"/>
      <c r="C357" s="4"/>
      <c r="D357" s="20"/>
      <c r="E357" s="20"/>
      <c r="F357" s="20"/>
    </row>
    <row r="358" spans="1:6" x14ac:dyDescent="0.2">
      <c r="A358" s="18"/>
      <c r="B358" s="4"/>
      <c r="C358" s="4"/>
      <c r="D358" s="20"/>
      <c r="E358" s="20"/>
      <c r="F358" s="20"/>
    </row>
    <row r="359" spans="1:6" x14ac:dyDescent="0.2">
      <c r="A359" s="18"/>
      <c r="B359" s="4"/>
      <c r="C359" s="4"/>
      <c r="D359" s="20"/>
      <c r="E359" s="20"/>
      <c r="F359" s="20"/>
    </row>
    <row r="360" spans="1:6" x14ac:dyDescent="0.2">
      <c r="A360" s="18"/>
      <c r="B360" s="4"/>
      <c r="C360" s="4"/>
      <c r="D360" s="20"/>
      <c r="E360" s="20"/>
      <c r="F360" s="20"/>
    </row>
    <row r="361" spans="1:6" x14ac:dyDescent="0.2">
      <c r="A361" s="18"/>
      <c r="B361" s="4"/>
      <c r="C361" s="4"/>
      <c r="D361" s="20"/>
      <c r="E361" s="20"/>
      <c r="F361" s="20"/>
    </row>
    <row r="362" spans="1:6" x14ac:dyDescent="0.2">
      <c r="A362" s="18"/>
      <c r="B362" s="4"/>
      <c r="C362" s="4" t="s">
        <v>187</v>
      </c>
      <c r="D362" s="20"/>
      <c r="E362" s="20"/>
      <c r="F362" s="20">
        <f>F336+D362</f>
        <v>0</v>
      </c>
    </row>
    <row r="363" spans="1:6" x14ac:dyDescent="0.2">
      <c r="A363" s="105" t="s">
        <v>10</v>
      </c>
      <c r="B363" s="112"/>
      <c r="C363" s="106"/>
      <c r="D363" s="20">
        <f>SUM(D311:D362)</f>
        <v>0</v>
      </c>
      <c r="E363" s="20">
        <f>SUM(E311:E362)</f>
        <v>0</v>
      </c>
      <c r="F363" s="20">
        <f>D363-E363</f>
        <v>0</v>
      </c>
    </row>
    <row r="364" spans="1:6" x14ac:dyDescent="0.2">
      <c r="A364" s="105" t="s">
        <v>11</v>
      </c>
      <c r="B364" s="112"/>
      <c r="C364" s="106"/>
      <c r="D364" s="20"/>
      <c r="E364" s="20"/>
      <c r="F364" s="20">
        <f>D364-E364</f>
        <v>0</v>
      </c>
    </row>
    <row r="365" spans="1:6" x14ac:dyDescent="0.2">
      <c r="A365" s="105" t="s">
        <v>10</v>
      </c>
      <c r="B365" s="112"/>
      <c r="C365" s="106"/>
      <c r="D365" s="20">
        <f>SUM(D363:D364)</f>
        <v>0</v>
      </c>
      <c r="E365" s="20">
        <f>SUM(E363:E364)</f>
        <v>0</v>
      </c>
      <c r="F365" s="20">
        <f>SUM(F363:F364)</f>
        <v>0</v>
      </c>
    </row>
    <row r="366" spans="1:6" x14ac:dyDescent="0.2">
      <c r="A366" s="5"/>
      <c r="B366" s="5"/>
      <c r="C366" s="5"/>
    </row>
    <row r="371" spans="2:2" x14ac:dyDescent="0.2">
      <c r="B371" s="31">
        <f>D8+D40+D41+D69+D138+D139+D140+D141+D142+D143+D245+D311+D312</f>
        <v>0</v>
      </c>
    </row>
  </sheetData>
  <mergeCells count="108">
    <mergeCell ref="A363:C363"/>
    <mergeCell ref="A364:C364"/>
    <mergeCell ref="A365:C365"/>
    <mergeCell ref="A307:B307"/>
    <mergeCell ref="A309:A310"/>
    <mergeCell ref="B309:B310"/>
    <mergeCell ref="C309:C310"/>
    <mergeCell ref="D309:E309"/>
    <mergeCell ref="F309:F310"/>
    <mergeCell ref="A304:B304"/>
    <mergeCell ref="A305:B305"/>
    <mergeCell ref="A306:F306"/>
    <mergeCell ref="A233:C233"/>
    <mergeCell ref="A234:C234"/>
    <mergeCell ref="A235:C235"/>
    <mergeCell ref="A214:B214"/>
    <mergeCell ref="A216:A217"/>
    <mergeCell ref="B216:B217"/>
    <mergeCell ref="C216:C217"/>
    <mergeCell ref="D216:E216"/>
    <mergeCell ref="F216:F217"/>
    <mergeCell ref="A237:B237"/>
    <mergeCell ref="A238:B238"/>
    <mergeCell ref="A239:F239"/>
    <mergeCell ref="A240:B240"/>
    <mergeCell ref="A242:A243"/>
    <mergeCell ref="B242:B243"/>
    <mergeCell ref="C242:C243"/>
    <mergeCell ref="D242:E242"/>
    <mergeCell ref="F242:F243"/>
    <mergeCell ref="A298:C298"/>
    <mergeCell ref="A299:C299"/>
    <mergeCell ref="A300:C300"/>
    <mergeCell ref="A207:C207"/>
    <mergeCell ref="A208:C208"/>
    <mergeCell ref="A209:C209"/>
    <mergeCell ref="A211:B211"/>
    <mergeCell ref="A212:B212"/>
    <mergeCell ref="A213:F213"/>
    <mergeCell ref="A133:B133"/>
    <mergeCell ref="A135:A136"/>
    <mergeCell ref="B135:B136"/>
    <mergeCell ref="C135:C136"/>
    <mergeCell ref="D135:E135"/>
    <mergeCell ref="F135:F136"/>
    <mergeCell ref="A126:C126"/>
    <mergeCell ref="A127:C127"/>
    <mergeCell ref="A128:C128"/>
    <mergeCell ref="A130:B130"/>
    <mergeCell ref="A131:B131"/>
    <mergeCell ref="A132:F132"/>
    <mergeCell ref="A104:B104"/>
    <mergeCell ref="A106:A107"/>
    <mergeCell ref="B106:B107"/>
    <mergeCell ref="C106:C107"/>
    <mergeCell ref="D106:E106"/>
    <mergeCell ref="F106:F107"/>
    <mergeCell ref="A101:B101"/>
    <mergeCell ref="A102:B102"/>
    <mergeCell ref="A103:F103"/>
    <mergeCell ref="A95:C95"/>
    <mergeCell ref="A96:C96"/>
    <mergeCell ref="A97:C97"/>
    <mergeCell ref="A88:B88"/>
    <mergeCell ref="A90:A91"/>
    <mergeCell ref="B90:B91"/>
    <mergeCell ref="C90:C91"/>
    <mergeCell ref="D90:E90"/>
    <mergeCell ref="F90:F91"/>
    <mergeCell ref="A85:B85"/>
    <mergeCell ref="A86:B86"/>
    <mergeCell ref="A87:F87"/>
    <mergeCell ref="A81:C81"/>
    <mergeCell ref="A82:C82"/>
    <mergeCell ref="A83:C83"/>
    <mergeCell ref="A65:B65"/>
    <mergeCell ref="A67:A68"/>
    <mergeCell ref="B67:B68"/>
    <mergeCell ref="C67:C68"/>
    <mergeCell ref="D67:E67"/>
    <mergeCell ref="F67:F68"/>
    <mergeCell ref="A58:C58"/>
    <mergeCell ref="A59:C59"/>
    <mergeCell ref="A60:C60"/>
    <mergeCell ref="A62:B62"/>
    <mergeCell ref="A63:B63"/>
    <mergeCell ref="A64:F64"/>
    <mergeCell ref="A36:B36"/>
    <mergeCell ref="A38:A39"/>
    <mergeCell ref="B38:B39"/>
    <mergeCell ref="C38:C39"/>
    <mergeCell ref="D38:E38"/>
    <mergeCell ref="F38:F39"/>
    <mergeCell ref="A1:B1"/>
    <mergeCell ref="A2:B2"/>
    <mergeCell ref="A3:F3"/>
    <mergeCell ref="A33:B33"/>
    <mergeCell ref="A34:B34"/>
    <mergeCell ref="A35:F35"/>
    <mergeCell ref="A29:C29"/>
    <mergeCell ref="A30:C30"/>
    <mergeCell ref="A31:C31"/>
    <mergeCell ref="A4:B4"/>
    <mergeCell ref="A6:A7"/>
    <mergeCell ref="B6:B7"/>
    <mergeCell ref="C6:C7"/>
    <mergeCell ref="D6:E6"/>
    <mergeCell ref="F6:F7"/>
  </mergeCells>
  <phoneticPr fontId="8" type="noConversion"/>
  <pageMargins left="0.51181102362204722" right="0.51181102362204722" top="0.74803149606299213" bottom="0.74803149606299213" header="0.31496062992125984" footer="0.31496062992125984"/>
  <pageSetup paperSize="9"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413"/>
  <sheetViews>
    <sheetView view="pageLayout" zoomScale="90" zoomScalePageLayoutView="90" workbookViewId="0">
      <selection activeCell="A375" sqref="A375:B375"/>
    </sheetView>
  </sheetViews>
  <sheetFormatPr defaultColWidth="9.140625" defaultRowHeight="12" x14ac:dyDescent="0.2"/>
  <cols>
    <col min="1" max="1" width="9.140625" style="1"/>
    <col min="2" max="2" width="33.28515625" style="1" customWidth="1"/>
    <col min="3" max="3" width="9.140625" style="1"/>
    <col min="4" max="4" width="11.28515625" style="1" customWidth="1"/>
    <col min="5" max="5" width="11.140625" style="1" customWidth="1"/>
    <col min="6" max="6" width="17.28515625" style="1" customWidth="1"/>
    <col min="7" max="7" width="9.140625" style="13"/>
    <col min="8" max="8" width="22.85546875" style="13" customWidth="1"/>
    <col min="9" max="9" width="9.140625" style="1"/>
    <col min="10" max="10" width="10.85546875" style="13" customWidth="1"/>
    <col min="11" max="11" width="10.5703125" style="1" customWidth="1"/>
    <col min="12" max="12" width="18" style="1" customWidth="1"/>
    <col min="13" max="13" width="9.140625" style="1"/>
    <col min="14" max="14" width="22.42578125" style="1" customWidth="1"/>
    <col min="15" max="15" width="9.140625" style="1"/>
    <col min="16" max="16" width="12.5703125" style="1" customWidth="1"/>
    <col min="17" max="18" width="12.85546875" style="1" customWidth="1"/>
    <col min="19" max="19" width="19" style="1" customWidth="1"/>
    <col min="20" max="20" width="9.140625" style="1"/>
    <col min="21" max="21" width="33.28515625" style="1" customWidth="1"/>
    <col min="22" max="22" width="9.140625" style="1"/>
    <col min="23" max="23" width="11.28515625" style="1" customWidth="1"/>
    <col min="24" max="24" width="11.7109375" style="1" customWidth="1"/>
    <col min="25" max="25" width="17.140625" style="1" customWidth="1"/>
    <col min="26" max="26" width="9.140625" style="1"/>
    <col min="27" max="27" width="29" style="1" customWidth="1"/>
    <col min="28" max="28" width="9.140625" style="1"/>
    <col min="29" max="29" width="10.28515625" style="1" customWidth="1"/>
    <col min="30" max="30" width="11.42578125" style="1" customWidth="1"/>
    <col min="31" max="31" width="16.85546875" style="1" customWidth="1"/>
    <col min="32" max="32" width="9.140625" style="1"/>
    <col min="33" max="33" width="29.140625" style="1" customWidth="1"/>
    <col min="34" max="34" width="9.140625" style="1"/>
    <col min="35" max="35" width="11.140625" style="1" customWidth="1"/>
    <col min="36" max="36" width="11.7109375" style="1" customWidth="1"/>
    <col min="37" max="37" width="17.28515625" style="1" customWidth="1"/>
    <col min="38" max="38" width="9.140625" style="1"/>
    <col min="39" max="39" width="30.7109375" style="1" customWidth="1"/>
    <col min="40" max="40" width="9.140625" style="1"/>
    <col min="41" max="41" width="10.85546875" style="1" customWidth="1"/>
    <col min="42" max="42" width="10.5703125" style="1" customWidth="1"/>
    <col min="43" max="43" width="17.42578125" style="1" customWidth="1"/>
    <col min="44" max="44" width="9.140625" style="1"/>
    <col min="45" max="45" width="31.140625" style="1" customWidth="1"/>
    <col min="46" max="46" width="9.140625" style="1"/>
    <col min="47" max="47" width="12" style="1" customWidth="1"/>
    <col min="48" max="48" width="10.28515625" style="1" customWidth="1"/>
    <col min="49" max="49" width="16.140625" style="1" customWidth="1"/>
    <col min="50" max="50" width="9.140625" style="1"/>
    <col min="51" max="51" width="23.140625" style="1" customWidth="1"/>
    <col min="52" max="52" width="9.140625" style="1"/>
    <col min="53" max="53" width="12" style="1" customWidth="1"/>
    <col min="54" max="54" width="11.5703125" style="1" customWidth="1"/>
    <col min="55" max="55" width="18" style="1" customWidth="1"/>
    <col min="56" max="16384" width="9.140625" style="1"/>
  </cols>
  <sheetData>
    <row r="1" spans="1:6" x14ac:dyDescent="0.2">
      <c r="A1" s="100" t="s">
        <v>0</v>
      </c>
      <c r="B1" s="100"/>
    </row>
    <row r="2" spans="1:6" x14ac:dyDescent="0.2">
      <c r="A2" s="100" t="s">
        <v>1</v>
      </c>
      <c r="B2" s="100"/>
    </row>
    <row r="3" spans="1:6" x14ac:dyDescent="0.2">
      <c r="A3" s="101" t="s">
        <v>2</v>
      </c>
      <c r="B3" s="101"/>
      <c r="C3" s="101"/>
      <c r="D3" s="101"/>
      <c r="E3" s="101"/>
      <c r="F3" s="101"/>
    </row>
    <row r="4" spans="1:6" x14ac:dyDescent="0.2">
      <c r="A4" s="102" t="s">
        <v>166</v>
      </c>
      <c r="B4" s="102"/>
      <c r="D4" s="93" t="s">
        <v>713</v>
      </c>
    </row>
    <row r="5" spans="1:6" x14ac:dyDescent="0.2">
      <c r="D5" s="1" t="s">
        <v>70</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41" t="s">
        <v>469</v>
      </c>
      <c r="B8" s="4"/>
      <c r="C8" s="4" t="s">
        <v>187</v>
      </c>
      <c r="D8" s="20"/>
      <c r="E8" s="20">
        <v>0</v>
      </c>
      <c r="F8" s="20">
        <f>D8+E8</f>
        <v>0</v>
      </c>
    </row>
    <row r="9" spans="1:6" x14ac:dyDescent="0.2">
      <c r="A9" s="18" t="s">
        <v>1227</v>
      </c>
      <c r="B9" s="4" t="s">
        <v>1249</v>
      </c>
      <c r="C9" s="4" t="s">
        <v>187</v>
      </c>
      <c r="D9" s="20"/>
      <c r="E9" s="20"/>
      <c r="F9" s="20">
        <f>F8+D9</f>
        <v>0</v>
      </c>
    </row>
    <row r="10" spans="1:6" x14ac:dyDescent="0.2">
      <c r="A10" s="18" t="s">
        <v>1237</v>
      </c>
      <c r="B10" s="4" t="s">
        <v>1250</v>
      </c>
      <c r="C10" s="4" t="s">
        <v>187</v>
      </c>
      <c r="D10" s="20"/>
      <c r="E10" s="20"/>
      <c r="F10" s="20">
        <f t="shared" ref="F10" si="0">F9+D10</f>
        <v>0</v>
      </c>
    </row>
    <row r="11" spans="1:6" x14ac:dyDescent="0.2">
      <c r="A11" s="38" t="s">
        <v>247</v>
      </c>
      <c r="B11" s="4"/>
      <c r="C11" s="4"/>
      <c r="D11" s="20"/>
      <c r="E11" s="20"/>
      <c r="F11" s="20"/>
    </row>
    <row r="12" spans="1:6" x14ac:dyDescent="0.2">
      <c r="A12" s="18" t="s">
        <v>742</v>
      </c>
      <c r="B12" s="4" t="s">
        <v>1327</v>
      </c>
      <c r="C12" s="4" t="s">
        <v>187</v>
      </c>
      <c r="D12" s="20"/>
      <c r="E12" s="20"/>
      <c r="F12" s="20">
        <f>F11+D12</f>
        <v>0</v>
      </c>
    </row>
    <row r="13" spans="1:6" x14ac:dyDescent="0.2">
      <c r="A13" s="18" t="s">
        <v>756</v>
      </c>
      <c r="B13" s="4" t="s">
        <v>1328</v>
      </c>
      <c r="C13" s="4" t="s">
        <v>187</v>
      </c>
      <c r="D13" s="20"/>
      <c r="E13" s="20"/>
      <c r="F13" s="20">
        <f t="shared" ref="F13" si="1">F12+D13</f>
        <v>0</v>
      </c>
    </row>
    <row r="14" spans="1:6" x14ac:dyDescent="0.2">
      <c r="A14" s="38" t="s">
        <v>262</v>
      </c>
      <c r="B14" s="4"/>
      <c r="C14" s="4"/>
      <c r="D14" s="20"/>
      <c r="E14" s="20"/>
      <c r="F14" s="20"/>
    </row>
    <row r="15" spans="1:6" x14ac:dyDescent="0.2">
      <c r="A15" s="18" t="s">
        <v>763</v>
      </c>
      <c r="B15" s="4" t="s">
        <v>1385</v>
      </c>
      <c r="C15" s="4" t="s">
        <v>187</v>
      </c>
      <c r="D15" s="20"/>
      <c r="E15" s="20"/>
      <c r="F15" s="20">
        <f>F14+D15</f>
        <v>0</v>
      </c>
    </row>
    <row r="16" spans="1:6" x14ac:dyDescent="0.2">
      <c r="A16" s="18" t="s">
        <v>1365</v>
      </c>
      <c r="B16" s="4" t="s">
        <v>1386</v>
      </c>
      <c r="C16" s="4" t="s">
        <v>187</v>
      </c>
      <c r="D16" s="20"/>
      <c r="E16" s="20"/>
      <c r="F16" s="20">
        <f t="shared" ref="F16" si="2">F15+D16</f>
        <v>0</v>
      </c>
    </row>
    <row r="17" spans="1:6" x14ac:dyDescent="0.2">
      <c r="A17" s="38" t="s">
        <v>283</v>
      </c>
      <c r="B17" s="4"/>
      <c r="C17" s="4"/>
      <c r="D17" s="20"/>
      <c r="E17" s="20"/>
      <c r="F17" s="20"/>
    </row>
    <row r="18" spans="1:6" x14ac:dyDescent="0.2">
      <c r="A18" s="18" t="s">
        <v>798</v>
      </c>
      <c r="B18" s="4" t="s">
        <v>799</v>
      </c>
      <c r="C18" s="4" t="s">
        <v>187</v>
      </c>
      <c r="D18" s="20"/>
      <c r="E18" s="20"/>
      <c r="F18" s="20">
        <f>F17+D18</f>
        <v>0</v>
      </c>
    </row>
    <row r="19" spans="1:6" x14ac:dyDescent="0.2">
      <c r="A19" s="18" t="s">
        <v>798</v>
      </c>
      <c r="B19" s="4" t="s">
        <v>189</v>
      </c>
      <c r="C19" s="4" t="s">
        <v>187</v>
      </c>
      <c r="D19" s="20"/>
      <c r="E19" s="20"/>
      <c r="F19" s="20">
        <f t="shared" ref="F19" si="3">F18+D19</f>
        <v>0</v>
      </c>
    </row>
    <row r="20" spans="1:6" x14ac:dyDescent="0.2">
      <c r="A20" s="38" t="s">
        <v>299</v>
      </c>
      <c r="B20" s="4"/>
      <c r="C20" s="4"/>
      <c r="D20" s="20"/>
      <c r="E20" s="20"/>
      <c r="F20" s="20"/>
    </row>
    <row r="21" spans="1:6" x14ac:dyDescent="0.2">
      <c r="A21" s="18" t="s">
        <v>838</v>
      </c>
      <c r="B21" s="4" t="s">
        <v>839</v>
      </c>
      <c r="C21" s="4" t="s">
        <v>187</v>
      </c>
      <c r="D21" s="20"/>
      <c r="E21" s="20"/>
      <c r="F21" s="20">
        <f>F20+D21</f>
        <v>0</v>
      </c>
    </row>
    <row r="22" spans="1:6" x14ac:dyDescent="0.2">
      <c r="A22" s="18" t="s">
        <v>838</v>
      </c>
      <c r="B22" s="4" t="s">
        <v>189</v>
      </c>
      <c r="C22" s="4" t="s">
        <v>187</v>
      </c>
      <c r="D22" s="20"/>
      <c r="E22" s="20"/>
      <c r="F22" s="20">
        <f t="shared" ref="F22" si="4">F21+D22</f>
        <v>0</v>
      </c>
    </row>
    <row r="23" spans="1:6" x14ac:dyDescent="0.2">
      <c r="A23" s="38" t="s">
        <v>315</v>
      </c>
      <c r="B23" s="4"/>
      <c r="C23" s="4"/>
      <c r="D23" s="20"/>
      <c r="E23" s="20"/>
      <c r="F23" s="20"/>
    </row>
    <row r="24" spans="1:6" x14ac:dyDescent="0.2">
      <c r="A24" s="18" t="s">
        <v>885</v>
      </c>
      <c r="B24" s="4" t="s">
        <v>189</v>
      </c>
      <c r="C24" s="4" t="s">
        <v>187</v>
      </c>
      <c r="D24" s="20"/>
      <c r="E24" s="20"/>
      <c r="F24" s="20">
        <f>F23+D24</f>
        <v>0</v>
      </c>
    </row>
    <row r="25" spans="1:6" x14ac:dyDescent="0.2">
      <c r="A25" s="18" t="s">
        <v>308</v>
      </c>
      <c r="B25" s="4" t="s">
        <v>899</v>
      </c>
      <c r="C25" s="4" t="s">
        <v>187</v>
      </c>
      <c r="D25" s="20"/>
      <c r="E25" s="20"/>
      <c r="F25" s="20">
        <f t="shared" ref="F25" si="5">F24+D25</f>
        <v>0</v>
      </c>
    </row>
    <row r="26" spans="1:6" x14ac:dyDescent="0.2">
      <c r="A26" s="38" t="s">
        <v>330</v>
      </c>
      <c r="B26" s="4"/>
      <c r="C26" s="4"/>
      <c r="D26" s="20"/>
      <c r="E26" s="20"/>
      <c r="F26" s="20"/>
    </row>
    <row r="27" spans="1:6" x14ac:dyDescent="0.2">
      <c r="A27" s="18" t="s">
        <v>932</v>
      </c>
      <c r="B27" s="4" t="s">
        <v>189</v>
      </c>
      <c r="C27" s="4" t="s">
        <v>187</v>
      </c>
      <c r="D27" s="20"/>
      <c r="E27" s="20"/>
      <c r="F27" s="20">
        <f>F26+D27</f>
        <v>0</v>
      </c>
    </row>
    <row r="28" spans="1:6" x14ac:dyDescent="0.2">
      <c r="A28" s="18" t="s">
        <v>934</v>
      </c>
      <c r="B28" s="4" t="s">
        <v>936</v>
      </c>
      <c r="C28" s="4" t="s">
        <v>187</v>
      </c>
      <c r="D28" s="20"/>
      <c r="E28" s="20"/>
      <c r="F28" s="20">
        <f t="shared" ref="F28" si="6">F27+D28</f>
        <v>0</v>
      </c>
    </row>
    <row r="29" spans="1:6" x14ac:dyDescent="0.2">
      <c r="A29" s="38" t="s">
        <v>442</v>
      </c>
      <c r="B29" s="4"/>
      <c r="C29" s="4"/>
      <c r="D29" s="20"/>
      <c r="E29" s="20"/>
      <c r="F29" s="20"/>
    </row>
    <row r="30" spans="1:6" x14ac:dyDescent="0.2">
      <c r="A30" s="18" t="s">
        <v>613</v>
      </c>
      <c r="B30" s="4" t="s">
        <v>189</v>
      </c>
      <c r="C30" s="4" t="s">
        <v>187</v>
      </c>
      <c r="D30" s="20"/>
      <c r="E30" s="20"/>
      <c r="F30" s="20">
        <f>F29+D30</f>
        <v>0</v>
      </c>
    </row>
    <row r="31" spans="1:6" x14ac:dyDescent="0.2">
      <c r="A31" s="18" t="s">
        <v>348</v>
      </c>
      <c r="B31" s="4" t="s">
        <v>995</v>
      </c>
      <c r="C31" s="4" t="s">
        <v>187</v>
      </c>
      <c r="D31" s="20"/>
      <c r="E31" s="20"/>
      <c r="F31" s="20">
        <f t="shared" ref="F31" si="7">F30+D31</f>
        <v>0</v>
      </c>
    </row>
    <row r="32" spans="1:6" x14ac:dyDescent="0.2">
      <c r="A32" s="38" t="s">
        <v>363</v>
      </c>
      <c r="B32" s="4"/>
      <c r="C32" s="4"/>
      <c r="D32" s="20"/>
      <c r="E32" s="20"/>
      <c r="F32" s="20"/>
    </row>
    <row r="33" spans="1:6" x14ac:dyDescent="0.2">
      <c r="A33" s="18" t="s">
        <v>485</v>
      </c>
      <c r="B33" s="4" t="s">
        <v>189</v>
      </c>
      <c r="C33" s="4" t="s">
        <v>187</v>
      </c>
      <c r="D33" s="20"/>
      <c r="E33" s="20"/>
      <c r="F33" s="20">
        <f>F32+D33</f>
        <v>0</v>
      </c>
    </row>
    <row r="34" spans="1:6" x14ac:dyDescent="0.2">
      <c r="A34" s="18" t="s">
        <v>1047</v>
      </c>
      <c r="B34" s="4" t="s">
        <v>1048</v>
      </c>
      <c r="C34" s="4" t="s">
        <v>187</v>
      </c>
      <c r="D34" s="20"/>
      <c r="E34" s="20"/>
      <c r="F34" s="20">
        <f t="shared" ref="F34" si="8">F33+D34</f>
        <v>0</v>
      </c>
    </row>
    <row r="35" spans="1:6" x14ac:dyDescent="0.2">
      <c r="A35" s="38" t="s">
        <v>368</v>
      </c>
      <c r="B35" s="4"/>
      <c r="C35" s="4"/>
      <c r="D35" s="20"/>
      <c r="E35" s="20"/>
      <c r="F35" s="20"/>
    </row>
    <row r="36" spans="1:6" x14ac:dyDescent="0.2">
      <c r="A36" s="18" t="s">
        <v>372</v>
      </c>
      <c r="B36" s="4" t="s">
        <v>189</v>
      </c>
      <c r="C36" s="4" t="s">
        <v>187</v>
      </c>
      <c r="D36" s="20"/>
      <c r="E36" s="20"/>
      <c r="F36" s="20">
        <f>F35+D36</f>
        <v>0</v>
      </c>
    </row>
    <row r="37" spans="1:6" x14ac:dyDescent="0.2">
      <c r="A37" s="18" t="s">
        <v>1088</v>
      </c>
      <c r="B37" s="4" t="s">
        <v>1089</v>
      </c>
      <c r="C37" s="4" t="s">
        <v>187</v>
      </c>
      <c r="D37" s="20"/>
      <c r="E37" s="20"/>
      <c r="F37" s="20">
        <f t="shared" ref="F37" si="9">F36+D37</f>
        <v>0</v>
      </c>
    </row>
    <row r="38" spans="1:6" x14ac:dyDescent="0.2">
      <c r="A38" s="38" t="s">
        <v>490</v>
      </c>
      <c r="B38" s="4"/>
      <c r="C38" s="4"/>
      <c r="D38" s="20"/>
      <c r="E38" s="20"/>
      <c r="F38" s="20"/>
    </row>
    <row r="39" spans="1:6" x14ac:dyDescent="0.2">
      <c r="A39" s="18" t="s">
        <v>1102</v>
      </c>
      <c r="B39" s="4" t="s">
        <v>1103</v>
      </c>
      <c r="C39" s="4" t="s">
        <v>187</v>
      </c>
      <c r="D39" s="20"/>
      <c r="E39" s="20"/>
      <c r="F39" s="20">
        <f>F38+D39</f>
        <v>0</v>
      </c>
    </row>
    <row r="40" spans="1:6" x14ac:dyDescent="0.2">
      <c r="A40" s="18" t="s">
        <v>1126</v>
      </c>
      <c r="B40" s="4" t="s">
        <v>189</v>
      </c>
      <c r="C40" s="4" t="s">
        <v>187</v>
      </c>
      <c r="D40" s="20"/>
      <c r="E40" s="20"/>
      <c r="F40" s="20">
        <f t="shared" ref="F40" si="10">F39+D40</f>
        <v>0</v>
      </c>
    </row>
    <row r="41" spans="1:6" x14ac:dyDescent="0.2">
      <c r="A41" s="38" t="s">
        <v>491</v>
      </c>
      <c r="B41" s="4"/>
      <c r="C41" s="4"/>
      <c r="D41" s="20"/>
      <c r="E41" s="20"/>
      <c r="F41" s="20"/>
    </row>
    <row r="42" spans="1:6" x14ac:dyDescent="0.2">
      <c r="A42" s="18" t="s">
        <v>1137</v>
      </c>
      <c r="B42" s="4" t="s">
        <v>1103</v>
      </c>
      <c r="C42" s="4" t="s">
        <v>187</v>
      </c>
      <c r="D42" s="20"/>
      <c r="E42" s="20"/>
      <c r="F42" s="20">
        <f>F41+D42</f>
        <v>0</v>
      </c>
    </row>
    <row r="43" spans="1:6" x14ac:dyDescent="0.2">
      <c r="A43" s="18" t="s">
        <v>643</v>
      </c>
      <c r="B43" s="4" t="s">
        <v>189</v>
      </c>
      <c r="C43" s="4" t="s">
        <v>187</v>
      </c>
      <c r="D43" s="20"/>
      <c r="E43" s="20"/>
      <c r="F43" s="20">
        <f t="shared" ref="F43" si="11">F42+D43</f>
        <v>0</v>
      </c>
    </row>
    <row r="44" spans="1:6" x14ac:dyDescent="0.2">
      <c r="A44" s="18"/>
      <c r="B44" s="4"/>
      <c r="C44" s="4"/>
      <c r="D44" s="20"/>
      <c r="E44" s="20"/>
      <c r="F44" s="20"/>
    </row>
    <row r="45" spans="1:6" x14ac:dyDescent="0.2">
      <c r="A45" s="18"/>
      <c r="B45" s="4"/>
      <c r="C45" s="4"/>
      <c r="D45" s="20"/>
      <c r="E45" s="20"/>
      <c r="F45" s="20"/>
    </row>
    <row r="46" spans="1:6" x14ac:dyDescent="0.2">
      <c r="A46" s="18"/>
      <c r="B46" s="4"/>
      <c r="C46" s="4"/>
      <c r="D46" s="20"/>
      <c r="E46" s="20"/>
      <c r="F46" s="20"/>
    </row>
    <row r="47" spans="1:6" x14ac:dyDescent="0.2">
      <c r="A47" s="18"/>
      <c r="B47" s="4"/>
      <c r="C47" s="4"/>
      <c r="D47" s="20"/>
      <c r="E47" s="20"/>
      <c r="F47" s="20"/>
    </row>
    <row r="48" spans="1:6" x14ac:dyDescent="0.2">
      <c r="A48" s="18"/>
      <c r="B48" s="4"/>
      <c r="C48" s="4"/>
      <c r="D48" s="20"/>
      <c r="E48" s="20"/>
      <c r="F48" s="20"/>
    </row>
    <row r="49" spans="1:6" x14ac:dyDescent="0.2">
      <c r="A49" s="4"/>
      <c r="B49" s="4"/>
      <c r="C49" s="4"/>
      <c r="D49" s="20"/>
      <c r="E49" s="20"/>
      <c r="F49" s="20"/>
    </row>
    <row r="50" spans="1:6" x14ac:dyDescent="0.2">
      <c r="A50" s="105" t="s">
        <v>10</v>
      </c>
      <c r="B50" s="112"/>
      <c r="C50" s="106"/>
      <c r="D50" s="20">
        <f>SUM(D8:D49)</f>
        <v>0</v>
      </c>
      <c r="E50" s="20">
        <f>SUM(E8:E49)</f>
        <v>0</v>
      </c>
      <c r="F50" s="20">
        <f>D50-E50</f>
        <v>0</v>
      </c>
    </row>
    <row r="51" spans="1:6" x14ac:dyDescent="0.2">
      <c r="A51" s="105" t="s">
        <v>11</v>
      </c>
      <c r="B51" s="112"/>
      <c r="C51" s="106"/>
      <c r="D51" s="20"/>
      <c r="E51" s="20"/>
      <c r="F51" s="20">
        <f>D51-E51</f>
        <v>0</v>
      </c>
    </row>
    <row r="52" spans="1:6" x14ac:dyDescent="0.2">
      <c r="A52" s="105" t="s">
        <v>10</v>
      </c>
      <c r="B52" s="112"/>
      <c r="C52" s="106"/>
      <c r="D52" s="20">
        <f>SUM(D50:D51)</f>
        <v>0</v>
      </c>
      <c r="E52" s="20">
        <f>SUM(E50:E51)</f>
        <v>0</v>
      </c>
      <c r="F52" s="20">
        <f>SUM(F50:F51)</f>
        <v>0</v>
      </c>
    </row>
    <row r="53" spans="1:6" x14ac:dyDescent="0.2">
      <c r="A53" s="5"/>
      <c r="B53" s="5"/>
      <c r="C53" s="5"/>
      <c r="D53" s="39"/>
      <c r="E53" s="39"/>
      <c r="F53" s="39"/>
    </row>
    <row r="54" spans="1:6" x14ac:dyDescent="0.2">
      <c r="A54" s="5"/>
      <c r="B54" s="5"/>
      <c r="C54" s="5"/>
    </row>
    <row r="55" spans="1:6" x14ac:dyDescent="0.2">
      <c r="A55" s="100" t="s">
        <v>0</v>
      </c>
      <c r="B55" s="100"/>
    </row>
    <row r="56" spans="1:6" x14ac:dyDescent="0.2">
      <c r="A56" s="100" t="s">
        <v>1</v>
      </c>
      <c r="B56" s="100"/>
    </row>
    <row r="57" spans="1:6" x14ac:dyDescent="0.2">
      <c r="A57" s="101" t="s">
        <v>2</v>
      </c>
      <c r="B57" s="101"/>
      <c r="C57" s="101"/>
      <c r="D57" s="101"/>
      <c r="E57" s="101"/>
      <c r="F57" s="101"/>
    </row>
    <row r="58" spans="1:6" x14ac:dyDescent="0.2">
      <c r="A58" s="109" t="s">
        <v>716</v>
      </c>
      <c r="B58" s="109"/>
      <c r="D58" s="2" t="s">
        <v>714</v>
      </c>
    </row>
    <row r="59" spans="1:6" x14ac:dyDescent="0.2">
      <c r="D59" s="1" t="s">
        <v>70</v>
      </c>
    </row>
    <row r="60" spans="1:6" x14ac:dyDescent="0.2">
      <c r="A60" s="103" t="s">
        <v>3</v>
      </c>
      <c r="B60" s="103" t="s">
        <v>4</v>
      </c>
      <c r="C60" s="103" t="s">
        <v>5</v>
      </c>
      <c r="D60" s="105" t="s">
        <v>6</v>
      </c>
      <c r="E60" s="106"/>
      <c r="F60" s="103" t="s">
        <v>9</v>
      </c>
    </row>
    <row r="61" spans="1:6" x14ac:dyDescent="0.2">
      <c r="A61" s="104"/>
      <c r="B61" s="104"/>
      <c r="C61" s="104"/>
      <c r="D61" s="3" t="s">
        <v>7</v>
      </c>
      <c r="E61" s="3" t="s">
        <v>8</v>
      </c>
      <c r="F61" s="104"/>
    </row>
    <row r="62" spans="1:6" x14ac:dyDescent="0.2">
      <c r="A62" s="18" t="s">
        <v>449</v>
      </c>
      <c r="B62" s="27" t="s">
        <v>1214</v>
      </c>
      <c r="C62" s="4" t="s">
        <v>187</v>
      </c>
      <c r="D62" s="20"/>
      <c r="E62" s="20">
        <v>0</v>
      </c>
      <c r="F62" s="20">
        <f>D62+E62</f>
        <v>0</v>
      </c>
    </row>
    <row r="63" spans="1:6" x14ac:dyDescent="0.2">
      <c r="A63" s="18"/>
      <c r="B63" s="4"/>
      <c r="C63" s="4" t="s">
        <v>187</v>
      </c>
      <c r="D63" s="20"/>
      <c r="E63" s="20"/>
      <c r="F63" s="20">
        <f>F62+D63</f>
        <v>0</v>
      </c>
    </row>
    <row r="64" spans="1:6" x14ac:dyDescent="0.2">
      <c r="A64" s="18"/>
      <c r="B64" s="4"/>
      <c r="C64" s="4" t="s">
        <v>187</v>
      </c>
      <c r="D64" s="20"/>
      <c r="E64" s="20"/>
      <c r="F64" s="20">
        <f t="shared" ref="F64:F74" si="12">F63+D64</f>
        <v>0</v>
      </c>
    </row>
    <row r="65" spans="1:6" x14ac:dyDescent="0.2">
      <c r="A65" s="18"/>
      <c r="B65" s="4"/>
      <c r="C65" s="4" t="s">
        <v>187</v>
      </c>
      <c r="D65" s="20"/>
      <c r="E65" s="20"/>
      <c r="F65" s="20">
        <f t="shared" si="12"/>
        <v>0</v>
      </c>
    </row>
    <row r="66" spans="1:6" x14ac:dyDescent="0.2">
      <c r="A66" s="18"/>
      <c r="B66" s="4"/>
      <c r="C66" s="4" t="s">
        <v>187</v>
      </c>
      <c r="D66" s="20"/>
      <c r="E66" s="20"/>
      <c r="F66" s="20">
        <f t="shared" si="12"/>
        <v>0</v>
      </c>
    </row>
    <row r="67" spans="1:6" x14ac:dyDescent="0.2">
      <c r="A67" s="18"/>
      <c r="B67" s="4"/>
      <c r="C67" s="4" t="s">
        <v>187</v>
      </c>
      <c r="D67" s="20"/>
      <c r="E67" s="20"/>
      <c r="F67" s="20">
        <f t="shared" si="12"/>
        <v>0</v>
      </c>
    </row>
    <row r="68" spans="1:6" x14ac:dyDescent="0.2">
      <c r="A68" s="18"/>
      <c r="B68" s="4"/>
      <c r="C68" s="4" t="s">
        <v>187</v>
      </c>
      <c r="D68" s="20"/>
      <c r="E68" s="20"/>
      <c r="F68" s="20">
        <f t="shared" si="12"/>
        <v>0</v>
      </c>
    </row>
    <row r="69" spans="1:6" x14ac:dyDescent="0.2">
      <c r="A69" s="18"/>
      <c r="B69" s="4"/>
      <c r="C69" s="4" t="s">
        <v>187</v>
      </c>
      <c r="D69" s="20"/>
      <c r="E69" s="20"/>
      <c r="F69" s="20">
        <f t="shared" si="12"/>
        <v>0</v>
      </c>
    </row>
    <row r="70" spans="1:6" x14ac:dyDescent="0.2">
      <c r="A70" s="18"/>
      <c r="B70" s="4"/>
      <c r="C70" s="4" t="s">
        <v>187</v>
      </c>
      <c r="D70" s="20"/>
      <c r="E70" s="20"/>
      <c r="F70" s="20">
        <f t="shared" si="12"/>
        <v>0</v>
      </c>
    </row>
    <row r="71" spans="1:6" x14ac:dyDescent="0.2">
      <c r="A71" s="18"/>
      <c r="B71" s="4"/>
      <c r="C71" s="4" t="s">
        <v>187</v>
      </c>
      <c r="D71" s="20"/>
      <c r="E71" s="20"/>
      <c r="F71" s="20">
        <f t="shared" si="12"/>
        <v>0</v>
      </c>
    </row>
    <row r="72" spans="1:6" x14ac:dyDescent="0.2">
      <c r="A72" s="18"/>
      <c r="B72" s="4"/>
      <c r="C72" s="4" t="s">
        <v>187</v>
      </c>
      <c r="D72" s="20"/>
      <c r="E72" s="20"/>
      <c r="F72" s="20">
        <f t="shared" si="12"/>
        <v>0</v>
      </c>
    </row>
    <row r="73" spans="1:6" x14ac:dyDescent="0.2">
      <c r="A73" s="18"/>
      <c r="B73" s="4"/>
      <c r="C73" s="4" t="s">
        <v>187</v>
      </c>
      <c r="D73" s="20"/>
      <c r="E73" s="20"/>
      <c r="F73" s="20">
        <f t="shared" si="12"/>
        <v>0</v>
      </c>
    </row>
    <row r="74" spans="1:6" x14ac:dyDescent="0.2">
      <c r="A74" s="18"/>
      <c r="B74" s="4"/>
      <c r="C74" s="4" t="s">
        <v>187</v>
      </c>
      <c r="D74" s="20"/>
      <c r="E74" s="20"/>
      <c r="F74" s="20">
        <f t="shared" si="12"/>
        <v>0</v>
      </c>
    </row>
    <row r="75" spans="1:6" x14ac:dyDescent="0.2">
      <c r="A75" s="4"/>
      <c r="B75" s="4"/>
      <c r="C75" s="4"/>
      <c r="D75" s="20"/>
      <c r="E75" s="20"/>
      <c r="F75" s="20"/>
    </row>
    <row r="76" spans="1:6" x14ac:dyDescent="0.2">
      <c r="A76" s="105" t="s">
        <v>10</v>
      </c>
      <c r="B76" s="112"/>
      <c r="C76" s="106"/>
      <c r="D76" s="20">
        <f>SUM(D62:D75)</f>
        <v>0</v>
      </c>
      <c r="E76" s="20">
        <f>SUM(E62:E75)</f>
        <v>0</v>
      </c>
      <c r="F76" s="20">
        <f>D76-E76</f>
        <v>0</v>
      </c>
    </row>
    <row r="77" spans="1:6" x14ac:dyDescent="0.2">
      <c r="A77" s="105" t="s">
        <v>11</v>
      </c>
      <c r="B77" s="112"/>
      <c r="C77" s="106"/>
      <c r="D77" s="20"/>
      <c r="E77" s="20"/>
      <c r="F77" s="20">
        <f>D77-E77</f>
        <v>0</v>
      </c>
    </row>
    <row r="78" spans="1:6" x14ac:dyDescent="0.2">
      <c r="A78" s="105" t="s">
        <v>10</v>
      </c>
      <c r="B78" s="112"/>
      <c r="C78" s="106"/>
      <c r="D78" s="20">
        <f>SUM(D76:D77)</f>
        <v>0</v>
      </c>
      <c r="E78" s="20">
        <f>SUM(E76:E77)</f>
        <v>0</v>
      </c>
      <c r="F78" s="20">
        <f>SUM(F76:F77)</f>
        <v>0</v>
      </c>
    </row>
    <row r="79" spans="1:6" x14ac:dyDescent="0.2">
      <c r="A79" s="5"/>
      <c r="B79" s="5"/>
      <c r="C79" s="5"/>
      <c r="D79" s="39"/>
      <c r="E79" s="39"/>
      <c r="F79" s="39"/>
    </row>
    <row r="80" spans="1:6" x14ac:dyDescent="0.2">
      <c r="A80" s="5"/>
      <c r="B80" s="5"/>
      <c r="C80" s="5"/>
      <c r="D80" s="39"/>
      <c r="E80" s="39"/>
      <c r="F80" s="39"/>
    </row>
    <row r="81" spans="1:6" x14ac:dyDescent="0.2">
      <c r="A81" s="5"/>
      <c r="B81" s="5"/>
      <c r="C81" s="5"/>
      <c r="D81" s="39"/>
      <c r="E81" s="39"/>
      <c r="F81" s="39"/>
    </row>
    <row r="82" spans="1:6" x14ac:dyDescent="0.2">
      <c r="A82" s="100" t="s">
        <v>0</v>
      </c>
      <c r="B82" s="100"/>
    </row>
    <row r="83" spans="1:6" x14ac:dyDescent="0.2">
      <c r="A83" s="100" t="s">
        <v>1</v>
      </c>
      <c r="B83" s="100"/>
    </row>
    <row r="84" spans="1:6" x14ac:dyDescent="0.2">
      <c r="A84" s="101" t="s">
        <v>2</v>
      </c>
      <c r="B84" s="101"/>
      <c r="C84" s="101"/>
      <c r="D84" s="101"/>
      <c r="E84" s="101"/>
      <c r="F84" s="101"/>
    </row>
    <row r="85" spans="1:6" x14ac:dyDescent="0.2">
      <c r="A85" s="122" t="s">
        <v>167</v>
      </c>
      <c r="B85" s="122"/>
      <c r="D85" s="123" t="s">
        <v>715</v>
      </c>
    </row>
    <row r="86" spans="1:6" x14ac:dyDescent="0.2">
      <c r="D86" s="1" t="s">
        <v>70</v>
      </c>
    </row>
    <row r="87" spans="1:6" x14ac:dyDescent="0.2">
      <c r="A87" s="103" t="s">
        <v>3</v>
      </c>
      <c r="B87" s="103" t="s">
        <v>4</v>
      </c>
      <c r="C87" s="103" t="s">
        <v>5</v>
      </c>
      <c r="D87" s="105" t="s">
        <v>6</v>
      </c>
      <c r="E87" s="106"/>
      <c r="F87" s="103" t="s">
        <v>9</v>
      </c>
    </row>
    <row r="88" spans="1:6" x14ac:dyDescent="0.2">
      <c r="A88" s="104"/>
      <c r="B88" s="104"/>
      <c r="C88" s="104"/>
      <c r="D88" s="3" t="s">
        <v>7</v>
      </c>
      <c r="E88" s="3" t="s">
        <v>8</v>
      </c>
      <c r="F88" s="104"/>
    </row>
    <row r="89" spans="1:6" x14ac:dyDescent="0.2">
      <c r="A89" s="18" t="s">
        <v>1222</v>
      </c>
      <c r="B89" s="4" t="s">
        <v>190</v>
      </c>
      <c r="C89" s="4" t="s">
        <v>187</v>
      </c>
      <c r="D89" s="20"/>
      <c r="E89" s="20">
        <v>0</v>
      </c>
      <c r="F89" s="20">
        <f>D89+E89</f>
        <v>0</v>
      </c>
    </row>
    <row r="90" spans="1:6" x14ac:dyDescent="0.2">
      <c r="A90" s="18" t="s">
        <v>756</v>
      </c>
      <c r="B90" s="4" t="s">
        <v>1344</v>
      </c>
      <c r="C90" s="4" t="s">
        <v>187</v>
      </c>
      <c r="D90" s="20"/>
      <c r="E90" s="20"/>
      <c r="F90" s="20">
        <f>F89+D90</f>
        <v>0</v>
      </c>
    </row>
    <row r="91" spans="1:6" x14ac:dyDescent="0.2">
      <c r="A91" s="18" t="s">
        <v>476</v>
      </c>
      <c r="B91" s="4" t="s">
        <v>1293</v>
      </c>
      <c r="C91" s="4" t="s">
        <v>187</v>
      </c>
      <c r="D91" s="20"/>
      <c r="E91" s="20"/>
      <c r="F91" s="20">
        <f t="shared" ref="F91:F101" si="13">F90+D91</f>
        <v>0</v>
      </c>
    </row>
    <row r="92" spans="1:6" x14ac:dyDescent="0.2">
      <c r="A92" s="18" t="s">
        <v>798</v>
      </c>
      <c r="B92" s="4" t="s">
        <v>190</v>
      </c>
      <c r="C92" s="4" t="s">
        <v>187</v>
      </c>
      <c r="D92" s="20"/>
      <c r="E92" s="20"/>
      <c r="F92" s="20">
        <f t="shared" si="13"/>
        <v>0</v>
      </c>
    </row>
    <row r="93" spans="1:6" x14ac:dyDescent="0.2">
      <c r="A93" s="18" t="s">
        <v>838</v>
      </c>
      <c r="B93" s="4" t="s">
        <v>190</v>
      </c>
      <c r="C93" s="4" t="s">
        <v>187</v>
      </c>
      <c r="D93" s="20"/>
      <c r="E93" s="20"/>
      <c r="F93" s="20">
        <f t="shared" si="13"/>
        <v>0</v>
      </c>
    </row>
    <row r="94" spans="1:6" x14ac:dyDescent="0.2">
      <c r="A94" s="18" t="s">
        <v>885</v>
      </c>
      <c r="B94" s="4" t="s">
        <v>190</v>
      </c>
      <c r="C94" s="4" t="s">
        <v>187</v>
      </c>
      <c r="D94" s="20"/>
      <c r="E94" s="20"/>
      <c r="F94" s="20">
        <f t="shared" si="13"/>
        <v>0</v>
      </c>
    </row>
    <row r="95" spans="1:6" x14ac:dyDescent="0.2">
      <c r="A95" s="18" t="s">
        <v>932</v>
      </c>
      <c r="B95" s="4" t="s">
        <v>190</v>
      </c>
      <c r="C95" s="4" t="s">
        <v>187</v>
      </c>
      <c r="D95" s="20"/>
      <c r="E95" s="20"/>
      <c r="F95" s="20">
        <f t="shared" si="13"/>
        <v>0</v>
      </c>
    </row>
    <row r="96" spans="1:6" x14ac:dyDescent="0.2">
      <c r="A96" s="18" t="s">
        <v>613</v>
      </c>
      <c r="B96" s="4" t="s">
        <v>190</v>
      </c>
      <c r="C96" s="4" t="s">
        <v>187</v>
      </c>
      <c r="D96" s="20"/>
      <c r="E96" s="20"/>
      <c r="F96" s="20">
        <f t="shared" si="13"/>
        <v>0</v>
      </c>
    </row>
    <row r="97" spans="1:6" x14ac:dyDescent="0.2">
      <c r="A97" s="18" t="s">
        <v>485</v>
      </c>
      <c r="B97" s="4" t="s">
        <v>190</v>
      </c>
      <c r="C97" s="4" t="s">
        <v>187</v>
      </c>
      <c r="D97" s="20"/>
      <c r="E97" s="20"/>
      <c r="F97" s="20">
        <f t="shared" si="13"/>
        <v>0</v>
      </c>
    </row>
    <row r="98" spans="1:6" x14ac:dyDescent="0.2">
      <c r="A98" s="18" t="s">
        <v>372</v>
      </c>
      <c r="B98" s="4" t="s">
        <v>190</v>
      </c>
      <c r="C98" s="4" t="s">
        <v>187</v>
      </c>
      <c r="D98" s="20"/>
      <c r="E98" s="20"/>
      <c r="F98" s="20">
        <f t="shared" si="13"/>
        <v>0</v>
      </c>
    </row>
    <row r="99" spans="1:6" x14ac:dyDescent="0.2">
      <c r="A99" s="18" t="s">
        <v>1126</v>
      </c>
      <c r="B99" s="4" t="s">
        <v>190</v>
      </c>
      <c r="C99" s="4" t="s">
        <v>187</v>
      </c>
      <c r="D99" s="20"/>
      <c r="E99" s="20"/>
      <c r="F99" s="20">
        <f t="shared" si="13"/>
        <v>0</v>
      </c>
    </row>
    <row r="100" spans="1:6" x14ac:dyDescent="0.2">
      <c r="A100" s="18" t="s">
        <v>1181</v>
      </c>
      <c r="B100" s="4" t="s">
        <v>190</v>
      </c>
      <c r="C100" s="4" t="s">
        <v>187</v>
      </c>
      <c r="D100" s="20"/>
      <c r="E100" s="20"/>
      <c r="F100" s="20">
        <f t="shared" si="13"/>
        <v>0</v>
      </c>
    </row>
    <row r="101" spans="1:6" x14ac:dyDescent="0.2">
      <c r="A101" s="18"/>
      <c r="B101" s="4"/>
      <c r="C101" s="4" t="s">
        <v>187</v>
      </c>
      <c r="D101" s="20"/>
      <c r="E101" s="20"/>
      <c r="F101" s="20">
        <f t="shared" si="13"/>
        <v>0</v>
      </c>
    </row>
    <row r="102" spans="1:6" x14ac:dyDescent="0.2">
      <c r="A102" s="4"/>
      <c r="B102" s="4"/>
      <c r="C102" s="4"/>
      <c r="D102" s="20"/>
      <c r="E102" s="20"/>
      <c r="F102" s="20"/>
    </row>
    <row r="103" spans="1:6" x14ac:dyDescent="0.2">
      <c r="A103" s="105" t="s">
        <v>10</v>
      </c>
      <c r="B103" s="112"/>
      <c r="C103" s="106"/>
      <c r="D103" s="20">
        <f>SUM(D89:D102)</f>
        <v>0</v>
      </c>
      <c r="E103" s="20">
        <f>SUM(E89:E102)</f>
        <v>0</v>
      </c>
      <c r="F103" s="20">
        <f>D103-E103</f>
        <v>0</v>
      </c>
    </row>
    <row r="104" spans="1:6" x14ac:dyDescent="0.2">
      <c r="A104" s="105" t="s">
        <v>11</v>
      </c>
      <c r="B104" s="112"/>
      <c r="C104" s="106"/>
      <c r="D104" s="20"/>
      <c r="E104" s="20"/>
      <c r="F104" s="20">
        <f>D104-E104</f>
        <v>0</v>
      </c>
    </row>
    <row r="105" spans="1:6" x14ac:dyDescent="0.2">
      <c r="A105" s="105" t="s">
        <v>10</v>
      </c>
      <c r="B105" s="112"/>
      <c r="C105" s="106"/>
      <c r="D105" s="20">
        <f>SUM(D103:D104)</f>
        <v>0</v>
      </c>
      <c r="E105" s="20">
        <f>SUM(E103:E104)</f>
        <v>0</v>
      </c>
      <c r="F105" s="20">
        <f>SUM(F103:F104)</f>
        <v>0</v>
      </c>
    </row>
    <row r="106" spans="1:6" x14ac:dyDescent="0.2">
      <c r="A106" s="5"/>
      <c r="B106" s="5"/>
      <c r="C106" s="5"/>
      <c r="D106" s="39"/>
      <c r="E106" s="39"/>
      <c r="F106" s="39"/>
    </row>
    <row r="107" spans="1:6" x14ac:dyDescent="0.2">
      <c r="A107" s="5"/>
      <c r="B107" s="5"/>
      <c r="C107" s="5"/>
      <c r="D107" s="39"/>
      <c r="E107" s="39"/>
      <c r="F107" s="39"/>
    </row>
    <row r="108" spans="1:6" x14ac:dyDescent="0.2">
      <c r="A108" s="5"/>
      <c r="B108" s="5"/>
      <c r="C108" s="5"/>
      <c r="D108" s="39"/>
      <c r="E108" s="39"/>
      <c r="F108" s="39"/>
    </row>
    <row r="109" spans="1:6" x14ac:dyDescent="0.2">
      <c r="A109" s="5"/>
      <c r="B109" s="5"/>
      <c r="C109" s="5"/>
      <c r="D109" s="39"/>
      <c r="E109" s="39"/>
      <c r="F109" s="39"/>
    </row>
    <row r="110" spans="1:6" x14ac:dyDescent="0.2">
      <c r="A110" s="100" t="s">
        <v>0</v>
      </c>
      <c r="B110" s="100"/>
    </row>
    <row r="111" spans="1:6" x14ac:dyDescent="0.2">
      <c r="A111" s="100" t="s">
        <v>1</v>
      </c>
      <c r="B111" s="100"/>
    </row>
    <row r="112" spans="1:6" x14ac:dyDescent="0.2">
      <c r="A112" s="101" t="s">
        <v>2</v>
      </c>
      <c r="B112" s="101"/>
      <c r="C112" s="101"/>
      <c r="D112" s="101"/>
      <c r="E112" s="101"/>
      <c r="F112" s="101"/>
    </row>
    <row r="113" spans="1:9" x14ac:dyDescent="0.2">
      <c r="A113" s="122" t="s">
        <v>168</v>
      </c>
      <c r="B113" s="122"/>
      <c r="D113" s="123" t="s">
        <v>717</v>
      </c>
    </row>
    <row r="114" spans="1:9" x14ac:dyDescent="0.2">
      <c r="D114" s="1" t="s">
        <v>70</v>
      </c>
    </row>
    <row r="115" spans="1:9" x14ac:dyDescent="0.2">
      <c r="A115" s="103" t="s">
        <v>3</v>
      </c>
      <c r="B115" s="103" t="s">
        <v>4</v>
      </c>
      <c r="C115" s="103" t="s">
        <v>5</v>
      </c>
      <c r="D115" s="105" t="s">
        <v>6</v>
      </c>
      <c r="E115" s="106"/>
      <c r="F115" s="103" t="s">
        <v>9</v>
      </c>
    </row>
    <row r="116" spans="1:9" x14ac:dyDescent="0.2">
      <c r="A116" s="104"/>
      <c r="B116" s="104"/>
      <c r="C116" s="104"/>
      <c r="D116" s="124" t="s">
        <v>7</v>
      </c>
      <c r="E116" s="3" t="s">
        <v>8</v>
      </c>
      <c r="F116" s="104"/>
    </row>
    <row r="117" spans="1:9" x14ac:dyDescent="0.2">
      <c r="A117" s="18" t="s">
        <v>1216</v>
      </c>
      <c r="B117" s="4" t="s">
        <v>1263</v>
      </c>
      <c r="C117" s="4" t="s">
        <v>187</v>
      </c>
      <c r="D117" s="20"/>
      <c r="E117" s="20">
        <v>0</v>
      </c>
      <c r="F117" s="20">
        <f>D117+E117</f>
        <v>0</v>
      </c>
    </row>
    <row r="118" spans="1:9" x14ac:dyDescent="0.2">
      <c r="A118" s="18" t="s">
        <v>1219</v>
      </c>
      <c r="B118" s="4" t="s">
        <v>1264</v>
      </c>
      <c r="C118" s="4" t="s">
        <v>187</v>
      </c>
      <c r="D118" s="20"/>
      <c r="E118" s="20"/>
      <c r="F118" s="20">
        <f>F117+D118</f>
        <v>0</v>
      </c>
    </row>
    <row r="119" spans="1:9" x14ac:dyDescent="0.2">
      <c r="A119" s="18" t="s">
        <v>568</v>
      </c>
      <c r="B119" s="27" t="s">
        <v>1265</v>
      </c>
      <c r="C119" s="4" t="s">
        <v>187</v>
      </c>
      <c r="D119" s="20"/>
      <c r="E119" s="20"/>
      <c r="F119" s="20">
        <f t="shared" ref="F119:F140" si="14">F118+D119</f>
        <v>0</v>
      </c>
    </row>
    <row r="120" spans="1:9" x14ac:dyDescent="0.2">
      <c r="A120" s="18" t="s">
        <v>568</v>
      </c>
      <c r="B120" s="4" t="s">
        <v>1266</v>
      </c>
      <c r="C120" s="4" t="s">
        <v>187</v>
      </c>
      <c r="D120" s="20"/>
      <c r="E120" s="20"/>
      <c r="F120" s="20">
        <f t="shared" si="14"/>
        <v>0</v>
      </c>
    </row>
    <row r="121" spans="1:9" x14ac:dyDescent="0.2">
      <c r="A121" s="41" t="s">
        <v>247</v>
      </c>
      <c r="B121" s="4"/>
      <c r="C121" s="4"/>
      <c r="D121" s="20"/>
      <c r="E121" s="20"/>
      <c r="F121" s="20"/>
      <c r="I121" s="13"/>
    </row>
    <row r="122" spans="1:9" x14ac:dyDescent="0.2">
      <c r="A122" s="18" t="s">
        <v>414</v>
      </c>
      <c r="B122" s="18" t="s">
        <v>1290</v>
      </c>
      <c r="C122" s="4" t="s">
        <v>187</v>
      </c>
      <c r="D122" s="20"/>
      <c r="E122" s="20"/>
      <c r="F122" s="20">
        <f>D122</f>
        <v>0</v>
      </c>
      <c r="I122" s="13"/>
    </row>
    <row r="123" spans="1:9" x14ac:dyDescent="0.2">
      <c r="A123" s="18" t="s">
        <v>755</v>
      </c>
      <c r="B123" s="4" t="s">
        <v>1289</v>
      </c>
      <c r="C123" s="4" t="s">
        <v>187</v>
      </c>
      <c r="D123" s="20"/>
      <c r="E123" s="20"/>
      <c r="F123" s="20">
        <f>F122+D123</f>
        <v>0</v>
      </c>
      <c r="I123" s="13"/>
    </row>
    <row r="124" spans="1:9" x14ac:dyDescent="0.2">
      <c r="A124" s="41" t="s">
        <v>262</v>
      </c>
      <c r="B124" s="4"/>
      <c r="C124" s="4"/>
      <c r="D124" s="20"/>
      <c r="E124" s="20"/>
      <c r="F124" s="20"/>
    </row>
    <row r="125" spans="1:9" x14ac:dyDescent="0.2">
      <c r="A125" s="18" t="s">
        <v>760</v>
      </c>
      <c r="B125" s="4" t="s">
        <v>1366</v>
      </c>
      <c r="C125" s="4" t="s">
        <v>187</v>
      </c>
      <c r="D125" s="20"/>
      <c r="E125" s="20"/>
      <c r="F125" s="20">
        <f>D125</f>
        <v>0</v>
      </c>
    </row>
    <row r="126" spans="1:9" x14ac:dyDescent="0.2">
      <c r="A126" s="18" t="s">
        <v>526</v>
      </c>
      <c r="B126" s="4" t="s">
        <v>1367</v>
      </c>
      <c r="C126" s="4" t="s">
        <v>187</v>
      </c>
      <c r="D126" s="20"/>
      <c r="E126" s="20"/>
      <c r="F126" s="20">
        <f t="shared" ref="F126" si="15">F125+D126</f>
        <v>0</v>
      </c>
    </row>
    <row r="127" spans="1:9" x14ac:dyDescent="0.2">
      <c r="A127" s="18" t="s">
        <v>526</v>
      </c>
      <c r="B127" s="4" t="s">
        <v>1368</v>
      </c>
      <c r="C127" s="4" t="s">
        <v>187</v>
      </c>
      <c r="D127" s="20"/>
      <c r="E127" s="20"/>
      <c r="F127" s="20">
        <f t="shared" si="14"/>
        <v>0</v>
      </c>
    </row>
    <row r="128" spans="1:9" x14ac:dyDescent="0.2">
      <c r="A128" s="41" t="s">
        <v>283</v>
      </c>
      <c r="B128" s="27"/>
      <c r="C128" s="4"/>
      <c r="D128" s="20"/>
      <c r="E128" s="20"/>
      <c r="F128" s="20"/>
    </row>
    <row r="129" spans="1:6" x14ac:dyDescent="0.2">
      <c r="A129" s="18"/>
      <c r="B129" s="4"/>
      <c r="C129" s="4"/>
      <c r="D129" s="20"/>
      <c r="E129" s="20"/>
      <c r="F129" s="20"/>
    </row>
    <row r="130" spans="1:6" x14ac:dyDescent="0.2">
      <c r="A130" s="18"/>
      <c r="B130" s="4"/>
      <c r="C130" s="4"/>
      <c r="D130" s="20"/>
      <c r="E130" s="20"/>
      <c r="F130" s="20">
        <f t="shared" si="14"/>
        <v>0</v>
      </c>
    </row>
    <row r="131" spans="1:6" x14ac:dyDescent="0.2">
      <c r="A131" s="18"/>
      <c r="B131" s="4"/>
      <c r="C131" s="4"/>
      <c r="D131" s="20"/>
      <c r="E131" s="20"/>
      <c r="F131" s="20">
        <f t="shared" si="14"/>
        <v>0</v>
      </c>
    </row>
    <row r="132" spans="1:6" x14ac:dyDescent="0.2">
      <c r="A132" s="41" t="s">
        <v>283</v>
      </c>
      <c r="B132" s="4"/>
      <c r="C132" s="4"/>
      <c r="D132" s="20"/>
      <c r="E132" s="20"/>
      <c r="F132" s="20"/>
    </row>
    <row r="133" spans="1:6" x14ac:dyDescent="0.2">
      <c r="A133" s="18" t="s">
        <v>784</v>
      </c>
      <c r="B133" s="4" t="s">
        <v>785</v>
      </c>
      <c r="C133" s="4" t="s">
        <v>187</v>
      </c>
      <c r="D133" s="20"/>
      <c r="E133" s="20"/>
      <c r="F133" s="20">
        <f>D133</f>
        <v>0</v>
      </c>
    </row>
    <row r="134" spans="1:6" x14ac:dyDescent="0.2">
      <c r="A134" s="18" t="s">
        <v>788</v>
      </c>
      <c r="B134" s="4" t="s">
        <v>789</v>
      </c>
      <c r="C134" s="4" t="s">
        <v>187</v>
      </c>
      <c r="D134" s="20"/>
      <c r="E134" s="20"/>
      <c r="F134" s="20">
        <f t="shared" ref="F134:F135" si="16">F133+D134</f>
        <v>0</v>
      </c>
    </row>
    <row r="135" spans="1:6" x14ac:dyDescent="0.2">
      <c r="A135" s="18" t="s">
        <v>792</v>
      </c>
      <c r="B135" s="4" t="s">
        <v>793</v>
      </c>
      <c r="C135" s="4" t="s">
        <v>187</v>
      </c>
      <c r="D135" s="20"/>
      <c r="E135" s="20"/>
      <c r="F135" s="20">
        <f t="shared" si="16"/>
        <v>0</v>
      </c>
    </row>
    <row r="136" spans="1:6" x14ac:dyDescent="0.2">
      <c r="A136" s="41" t="s">
        <v>299</v>
      </c>
      <c r="B136" s="4"/>
      <c r="C136" s="4"/>
      <c r="D136" s="20"/>
      <c r="E136" s="20"/>
      <c r="F136" s="20"/>
    </row>
    <row r="137" spans="1:6" x14ac:dyDescent="0.2">
      <c r="A137" s="18" t="s">
        <v>819</v>
      </c>
      <c r="B137" s="27" t="s">
        <v>820</v>
      </c>
      <c r="C137" s="4" t="s">
        <v>187</v>
      </c>
      <c r="D137" s="20"/>
      <c r="E137" s="20"/>
      <c r="F137" s="20">
        <f>D137</f>
        <v>0</v>
      </c>
    </row>
    <row r="138" spans="1:6" x14ac:dyDescent="0.2">
      <c r="A138" s="18" t="s">
        <v>824</v>
      </c>
      <c r="B138" s="4" t="s">
        <v>827</v>
      </c>
      <c r="C138" s="4" t="s">
        <v>187</v>
      </c>
      <c r="D138" s="20"/>
      <c r="E138" s="20"/>
      <c r="F138" s="20">
        <f t="shared" ref="F138" si="17">F137+D138</f>
        <v>0</v>
      </c>
    </row>
    <row r="139" spans="1:6" x14ac:dyDescent="0.2">
      <c r="A139" s="18" t="s">
        <v>824</v>
      </c>
      <c r="B139" s="4" t="s">
        <v>828</v>
      </c>
      <c r="C139" s="4" t="s">
        <v>187</v>
      </c>
      <c r="D139" s="20"/>
      <c r="E139" s="20"/>
      <c r="F139" s="20">
        <f t="shared" si="14"/>
        <v>0</v>
      </c>
    </row>
    <row r="140" spans="1:6" x14ac:dyDescent="0.2">
      <c r="A140" s="18" t="s">
        <v>831</v>
      </c>
      <c r="B140" s="4" t="s">
        <v>830</v>
      </c>
      <c r="C140" s="4" t="s">
        <v>187</v>
      </c>
      <c r="D140" s="20"/>
      <c r="E140" s="20"/>
      <c r="F140" s="20">
        <f t="shared" si="14"/>
        <v>0</v>
      </c>
    </row>
    <row r="141" spans="1:6" x14ac:dyDescent="0.2">
      <c r="A141" s="41" t="s">
        <v>315</v>
      </c>
      <c r="B141" s="4"/>
      <c r="C141" s="4"/>
      <c r="D141" s="20"/>
      <c r="E141" s="20"/>
      <c r="F141" s="20"/>
    </row>
    <row r="142" spans="1:6" x14ac:dyDescent="0.2">
      <c r="A142" s="18" t="s">
        <v>599</v>
      </c>
      <c r="B142" s="4" t="s">
        <v>855</v>
      </c>
      <c r="C142" s="4" t="s">
        <v>187</v>
      </c>
      <c r="D142" s="20"/>
      <c r="E142" s="20"/>
      <c r="F142" s="20">
        <f>D142</f>
        <v>0</v>
      </c>
    </row>
    <row r="143" spans="1:6" x14ac:dyDescent="0.2">
      <c r="A143" s="18" t="str">
        <f>A142</f>
        <v>03 Juni</v>
      </c>
      <c r="B143" s="4" t="s">
        <v>856</v>
      </c>
      <c r="C143" s="4" t="s">
        <v>187</v>
      </c>
      <c r="D143" s="20"/>
      <c r="E143" s="20"/>
      <c r="F143" s="20">
        <f>D143+F142</f>
        <v>0</v>
      </c>
    </row>
    <row r="144" spans="1:6" x14ac:dyDescent="0.2">
      <c r="A144" s="18" t="s">
        <v>861</v>
      </c>
      <c r="B144" s="4" t="s">
        <v>862</v>
      </c>
      <c r="C144" s="4" t="s">
        <v>187</v>
      </c>
      <c r="D144" s="20"/>
      <c r="E144" s="20"/>
      <c r="F144" s="20">
        <f t="shared" ref="F144:F149" si="18">F143+D144</f>
        <v>0</v>
      </c>
    </row>
    <row r="145" spans="1:6" x14ac:dyDescent="0.2">
      <c r="A145" s="18" t="s">
        <v>861</v>
      </c>
      <c r="B145" s="4" t="s">
        <v>865</v>
      </c>
      <c r="C145" s="4" t="s">
        <v>187</v>
      </c>
      <c r="D145" s="20"/>
      <c r="E145" s="20"/>
      <c r="F145" s="20">
        <f t="shared" si="18"/>
        <v>0</v>
      </c>
    </row>
    <row r="146" spans="1:6" x14ac:dyDescent="0.2">
      <c r="A146" s="18" t="s">
        <v>600</v>
      </c>
      <c r="B146" s="4" t="s">
        <v>869</v>
      </c>
      <c r="C146" s="4" t="s">
        <v>187</v>
      </c>
      <c r="D146" s="20"/>
      <c r="E146" s="20"/>
      <c r="F146" s="20">
        <f t="shared" si="18"/>
        <v>0</v>
      </c>
    </row>
    <row r="147" spans="1:6" x14ac:dyDescent="0.2">
      <c r="A147" s="18" t="s">
        <v>602</v>
      </c>
      <c r="B147" s="4" t="s">
        <v>874</v>
      </c>
      <c r="C147" s="4" t="s">
        <v>187</v>
      </c>
      <c r="D147" s="20"/>
      <c r="E147" s="20"/>
      <c r="F147" s="20">
        <f t="shared" si="18"/>
        <v>0</v>
      </c>
    </row>
    <row r="148" spans="1:6" x14ac:dyDescent="0.2">
      <c r="A148" s="18" t="s">
        <v>885</v>
      </c>
      <c r="B148" s="4" t="s">
        <v>897</v>
      </c>
      <c r="C148" s="4" t="s">
        <v>187</v>
      </c>
      <c r="D148" s="20"/>
      <c r="E148" s="20"/>
      <c r="F148" s="20">
        <f t="shared" si="18"/>
        <v>0</v>
      </c>
    </row>
    <row r="149" spans="1:6" x14ac:dyDescent="0.2">
      <c r="A149" s="18" t="s">
        <v>885</v>
      </c>
      <c r="B149" s="4" t="s">
        <v>898</v>
      </c>
      <c r="C149" s="4" t="s">
        <v>187</v>
      </c>
      <c r="D149" s="20"/>
      <c r="E149" s="20"/>
      <c r="F149" s="20">
        <f t="shared" si="18"/>
        <v>0</v>
      </c>
    </row>
    <row r="150" spans="1:6" x14ac:dyDescent="0.2">
      <c r="A150" s="18"/>
      <c r="B150" s="4"/>
      <c r="C150" s="4"/>
      <c r="D150" s="20"/>
      <c r="E150" s="20"/>
      <c r="F150" s="20"/>
    </row>
    <row r="151" spans="1:6" x14ac:dyDescent="0.2">
      <c r="A151" s="41" t="s">
        <v>330</v>
      </c>
      <c r="B151" s="4"/>
      <c r="C151" s="4"/>
      <c r="D151" s="20"/>
      <c r="E151" s="20"/>
      <c r="F151" s="20"/>
    </row>
    <row r="152" spans="1:6" x14ac:dyDescent="0.2">
      <c r="A152" s="18" t="s">
        <v>909</v>
      </c>
      <c r="B152" s="4" t="s">
        <v>910</v>
      </c>
      <c r="C152" s="4" t="s">
        <v>187</v>
      </c>
      <c r="D152" s="20"/>
      <c r="E152" s="20"/>
      <c r="F152" s="20">
        <f>D152</f>
        <v>0</v>
      </c>
    </row>
    <row r="153" spans="1:6" x14ac:dyDescent="0.2">
      <c r="A153" s="18" t="s">
        <v>608</v>
      </c>
      <c r="B153" s="4" t="s">
        <v>914</v>
      </c>
      <c r="C153" s="4" t="s">
        <v>187</v>
      </c>
      <c r="D153" s="20"/>
      <c r="E153" s="20"/>
      <c r="F153" s="20">
        <f>D153+F152</f>
        <v>0</v>
      </c>
    </row>
    <row r="154" spans="1:6" x14ac:dyDescent="0.2">
      <c r="A154" s="18" t="s">
        <v>918</v>
      </c>
      <c r="B154" s="4" t="s">
        <v>919</v>
      </c>
      <c r="C154" s="4" t="s">
        <v>187</v>
      </c>
      <c r="D154" s="20"/>
      <c r="E154" s="20"/>
      <c r="F154" s="20">
        <f t="shared" ref="F154:F155" si="19">F153+D154</f>
        <v>0</v>
      </c>
    </row>
    <row r="155" spans="1:6" x14ac:dyDescent="0.2">
      <c r="A155" s="18" t="s">
        <v>480</v>
      </c>
      <c r="B155" s="4" t="s">
        <v>924</v>
      </c>
      <c r="C155" s="4" t="s">
        <v>187</v>
      </c>
      <c r="D155" s="20"/>
      <c r="E155" s="20"/>
      <c r="F155" s="20">
        <f t="shared" si="19"/>
        <v>0</v>
      </c>
    </row>
    <row r="156" spans="1:6" x14ac:dyDescent="0.2">
      <c r="A156" s="41" t="s">
        <v>344</v>
      </c>
      <c r="B156" s="4"/>
      <c r="C156" s="4"/>
      <c r="D156" s="20"/>
      <c r="E156" s="20"/>
      <c r="F156" s="20"/>
    </row>
    <row r="157" spans="1:6" x14ac:dyDescent="0.2">
      <c r="A157" s="18" t="s">
        <v>954</v>
      </c>
      <c r="B157" s="27" t="s">
        <v>955</v>
      </c>
      <c r="C157" s="4" t="s">
        <v>187</v>
      </c>
      <c r="D157" s="20"/>
      <c r="E157" s="20"/>
      <c r="F157" s="20">
        <f>D157</f>
        <v>0</v>
      </c>
    </row>
    <row r="158" spans="1:6" x14ac:dyDescent="0.2">
      <c r="A158" s="18" t="s">
        <v>964</v>
      </c>
      <c r="B158" s="4" t="s">
        <v>965</v>
      </c>
      <c r="C158" s="4" t="s">
        <v>187</v>
      </c>
      <c r="D158" s="20"/>
      <c r="E158" s="20"/>
      <c r="F158" s="20">
        <f t="shared" ref="F158:F162" si="20">F157+D158</f>
        <v>0</v>
      </c>
    </row>
    <row r="159" spans="1:6" x14ac:dyDescent="0.2">
      <c r="A159" s="18" t="s">
        <v>973</v>
      </c>
      <c r="B159" s="4" t="s">
        <v>975</v>
      </c>
      <c r="C159" s="4" t="s">
        <v>187</v>
      </c>
      <c r="D159" s="20"/>
      <c r="E159" s="20"/>
      <c r="F159" s="20">
        <f t="shared" si="20"/>
        <v>0</v>
      </c>
    </row>
    <row r="160" spans="1:6" x14ac:dyDescent="0.2">
      <c r="A160" s="18" t="s">
        <v>974</v>
      </c>
      <c r="B160" s="4" t="s">
        <v>976</v>
      </c>
      <c r="C160" s="4" t="s">
        <v>187</v>
      </c>
      <c r="D160" s="20"/>
      <c r="E160" s="20"/>
      <c r="F160" s="20">
        <f t="shared" si="20"/>
        <v>0</v>
      </c>
    </row>
    <row r="161" spans="1:6" x14ac:dyDescent="0.2">
      <c r="A161" s="18" t="s">
        <v>984</v>
      </c>
      <c r="B161" s="4" t="s">
        <v>985</v>
      </c>
      <c r="C161" s="4" t="s">
        <v>187</v>
      </c>
      <c r="D161" s="20"/>
      <c r="E161" s="20"/>
      <c r="F161" s="20">
        <f t="shared" si="20"/>
        <v>0</v>
      </c>
    </row>
    <row r="162" spans="1:6" x14ac:dyDescent="0.2">
      <c r="A162" s="18" t="s">
        <v>984</v>
      </c>
      <c r="B162" s="4" t="s">
        <v>986</v>
      </c>
      <c r="C162" s="4" t="s">
        <v>187</v>
      </c>
      <c r="D162" s="20"/>
      <c r="E162" s="20"/>
      <c r="F162" s="20">
        <f t="shared" si="20"/>
        <v>0</v>
      </c>
    </row>
    <row r="163" spans="1:6" x14ac:dyDescent="0.2">
      <c r="A163" s="41" t="s">
        <v>363</v>
      </c>
      <c r="B163" s="4"/>
      <c r="C163" s="4"/>
      <c r="D163" s="20"/>
      <c r="E163" s="20"/>
      <c r="F163" s="20"/>
    </row>
    <row r="164" spans="1:6" x14ac:dyDescent="0.2">
      <c r="A164" s="18" t="s">
        <v>1009</v>
      </c>
      <c r="B164" s="4" t="s">
        <v>830</v>
      </c>
      <c r="C164" s="4" t="s">
        <v>187</v>
      </c>
      <c r="D164" s="20"/>
      <c r="E164" s="20"/>
      <c r="F164" s="20">
        <f>D164</f>
        <v>0</v>
      </c>
    </row>
    <row r="165" spans="1:6" x14ac:dyDescent="0.2">
      <c r="A165" s="18" t="s">
        <v>1009</v>
      </c>
      <c r="B165" s="4" t="s">
        <v>1016</v>
      </c>
      <c r="C165" s="4" t="s">
        <v>187</v>
      </c>
      <c r="D165" s="20"/>
      <c r="E165" s="20"/>
      <c r="F165" s="20">
        <f t="shared" ref="F165:F172" si="21">F164+D165</f>
        <v>0</v>
      </c>
    </row>
    <row r="166" spans="1:6" x14ac:dyDescent="0.2">
      <c r="A166" s="18" t="s">
        <v>362</v>
      </c>
      <c r="B166" s="4" t="s">
        <v>1019</v>
      </c>
      <c r="C166" s="4" t="s">
        <v>187</v>
      </c>
      <c r="D166" s="20"/>
      <c r="E166" s="20"/>
      <c r="F166" s="20">
        <f t="shared" si="21"/>
        <v>0</v>
      </c>
    </row>
    <row r="167" spans="1:6" x14ac:dyDescent="0.2">
      <c r="A167" s="18" t="s">
        <v>362</v>
      </c>
      <c r="B167" s="4" t="s">
        <v>1020</v>
      </c>
      <c r="C167" s="4" t="s">
        <v>187</v>
      </c>
      <c r="D167" s="20"/>
      <c r="E167" s="20"/>
      <c r="F167" s="20">
        <f t="shared" si="21"/>
        <v>0</v>
      </c>
    </row>
    <row r="168" spans="1:6" x14ac:dyDescent="0.2">
      <c r="A168" s="18" t="s">
        <v>1025</v>
      </c>
      <c r="B168" s="4" t="s">
        <v>1026</v>
      </c>
      <c r="C168" s="4" t="s">
        <v>187</v>
      </c>
      <c r="D168" s="20"/>
      <c r="E168" s="20"/>
      <c r="F168" s="20">
        <f t="shared" si="21"/>
        <v>0</v>
      </c>
    </row>
    <row r="169" spans="1:6" x14ac:dyDescent="0.2">
      <c r="A169" s="18" t="s">
        <v>544</v>
      </c>
      <c r="B169" s="4" t="s">
        <v>1036</v>
      </c>
      <c r="C169" s="4" t="s">
        <v>187</v>
      </c>
      <c r="D169" s="20"/>
      <c r="E169" s="20"/>
      <c r="F169" s="20">
        <f t="shared" si="21"/>
        <v>0</v>
      </c>
    </row>
    <row r="170" spans="1:6" x14ac:dyDescent="0.2">
      <c r="A170" s="18" t="s">
        <v>1004</v>
      </c>
      <c r="B170" s="4" t="s">
        <v>1038</v>
      </c>
      <c r="C170" s="4" t="s">
        <v>187</v>
      </c>
      <c r="D170" s="20"/>
      <c r="E170" s="20"/>
      <c r="F170" s="20">
        <f t="shared" si="21"/>
        <v>0</v>
      </c>
    </row>
    <row r="171" spans="1:6" x14ac:dyDescent="0.2">
      <c r="A171" s="18" t="s">
        <v>1004</v>
      </c>
      <c r="B171" s="4" t="s">
        <v>1039</v>
      </c>
      <c r="C171" s="4" t="s">
        <v>187</v>
      </c>
      <c r="D171" s="20"/>
      <c r="E171" s="20"/>
      <c r="F171" s="20">
        <f t="shared" si="21"/>
        <v>0</v>
      </c>
    </row>
    <row r="172" spans="1:6" x14ac:dyDescent="0.2">
      <c r="A172" s="18" t="s">
        <v>485</v>
      </c>
      <c r="B172" s="4" t="s">
        <v>1042</v>
      </c>
      <c r="C172" s="4" t="s">
        <v>187</v>
      </c>
      <c r="D172" s="20"/>
      <c r="E172" s="20"/>
      <c r="F172" s="20">
        <f t="shared" si="21"/>
        <v>0</v>
      </c>
    </row>
    <row r="173" spans="1:6" x14ac:dyDescent="0.2">
      <c r="A173" s="41" t="s">
        <v>368</v>
      </c>
      <c r="B173" s="4"/>
      <c r="C173" s="4"/>
      <c r="D173" s="20"/>
      <c r="E173" s="20"/>
      <c r="F173" s="20"/>
    </row>
    <row r="174" spans="1:6" x14ac:dyDescent="0.2">
      <c r="A174" s="18" t="s">
        <v>1066</v>
      </c>
      <c r="B174" s="4" t="s">
        <v>1067</v>
      </c>
      <c r="C174" s="4" t="s">
        <v>187</v>
      </c>
      <c r="D174" s="20"/>
      <c r="E174" s="20"/>
      <c r="F174" s="20">
        <f>D174</f>
        <v>0</v>
      </c>
    </row>
    <row r="175" spans="1:6" x14ac:dyDescent="0.2">
      <c r="A175" s="18" t="s">
        <v>486</v>
      </c>
      <c r="B175" s="4" t="s">
        <v>1076</v>
      </c>
      <c r="C175" s="4" t="s">
        <v>187</v>
      </c>
      <c r="D175" s="20"/>
      <c r="E175" s="20"/>
      <c r="F175" s="20">
        <f t="shared" ref="F175:F180" si="22">F174+D175</f>
        <v>0</v>
      </c>
    </row>
    <row r="176" spans="1:6" x14ac:dyDescent="0.2">
      <c r="A176" s="18" t="s">
        <v>1078</v>
      </c>
      <c r="B176" s="27" t="s">
        <v>1080</v>
      </c>
      <c r="C176" s="4" t="s">
        <v>187</v>
      </c>
      <c r="D176" s="20"/>
      <c r="E176" s="20"/>
      <c r="F176" s="20">
        <f t="shared" si="22"/>
        <v>0</v>
      </c>
    </row>
    <row r="177" spans="1:6" x14ac:dyDescent="0.2">
      <c r="A177" s="18" t="s">
        <v>372</v>
      </c>
      <c r="B177" s="27" t="s">
        <v>1082</v>
      </c>
      <c r="C177" s="4" t="s">
        <v>187</v>
      </c>
      <c r="D177" s="20"/>
      <c r="E177" s="20"/>
      <c r="F177" s="20">
        <f t="shared" si="22"/>
        <v>0</v>
      </c>
    </row>
    <row r="178" spans="1:6" x14ac:dyDescent="0.2">
      <c r="A178" s="18" t="s">
        <v>372</v>
      </c>
      <c r="B178" s="27" t="s">
        <v>1083</v>
      </c>
      <c r="C178" s="4" t="s">
        <v>187</v>
      </c>
      <c r="D178" s="20"/>
      <c r="E178" s="20"/>
      <c r="F178" s="20">
        <f t="shared" si="22"/>
        <v>0</v>
      </c>
    </row>
    <row r="179" spans="1:6" x14ac:dyDescent="0.2">
      <c r="A179" s="18" t="s">
        <v>372</v>
      </c>
      <c r="B179" s="27" t="s">
        <v>1085</v>
      </c>
      <c r="C179" s="4" t="s">
        <v>187</v>
      </c>
      <c r="D179" s="20"/>
      <c r="E179" s="20"/>
      <c r="F179" s="20">
        <f t="shared" si="22"/>
        <v>0</v>
      </c>
    </row>
    <row r="180" spans="1:6" x14ac:dyDescent="0.2">
      <c r="A180" s="18"/>
      <c r="B180" s="27"/>
      <c r="C180" s="4" t="s">
        <v>187</v>
      </c>
      <c r="D180" s="20"/>
      <c r="E180" s="20"/>
      <c r="F180" s="20">
        <f t="shared" si="22"/>
        <v>0</v>
      </c>
    </row>
    <row r="181" spans="1:6" x14ac:dyDescent="0.2">
      <c r="A181" s="18"/>
      <c r="B181" s="27"/>
      <c r="C181" s="4" t="s">
        <v>187</v>
      </c>
      <c r="D181" s="20"/>
      <c r="E181" s="20"/>
      <c r="F181" s="20"/>
    </row>
    <row r="182" spans="1:6" x14ac:dyDescent="0.2">
      <c r="A182" s="18"/>
      <c r="B182" s="27"/>
      <c r="C182" s="4"/>
      <c r="D182" s="20"/>
      <c r="E182" s="20"/>
      <c r="F182" s="20"/>
    </row>
    <row r="183" spans="1:6" x14ac:dyDescent="0.2">
      <c r="A183" s="41" t="s">
        <v>397</v>
      </c>
      <c r="B183" s="4"/>
      <c r="C183" s="4"/>
      <c r="D183" s="20"/>
      <c r="E183" s="20"/>
      <c r="F183" s="20"/>
    </row>
    <row r="184" spans="1:6" x14ac:dyDescent="0.2">
      <c r="A184" s="18" t="s">
        <v>548</v>
      </c>
      <c r="B184" s="4" t="s">
        <v>1104</v>
      </c>
      <c r="C184" s="4" t="s">
        <v>187</v>
      </c>
      <c r="D184" s="20"/>
      <c r="E184" s="20"/>
      <c r="F184" s="20">
        <f>D184</f>
        <v>0</v>
      </c>
    </row>
    <row r="185" spans="1:6" x14ac:dyDescent="0.2">
      <c r="A185" s="18" t="s">
        <v>1102</v>
      </c>
      <c r="B185" s="27" t="s">
        <v>1105</v>
      </c>
      <c r="C185" s="4" t="s">
        <v>187</v>
      </c>
      <c r="D185" s="20"/>
      <c r="E185" s="20"/>
      <c r="F185" s="20">
        <f t="shared" ref="F185:F187" si="23">F184+D185</f>
        <v>0</v>
      </c>
    </row>
    <row r="186" spans="1:6" x14ac:dyDescent="0.2">
      <c r="A186" s="18" t="str">
        <f>A185</f>
        <v>11 Nov</v>
      </c>
      <c r="B186" s="4" t="s">
        <v>1106</v>
      </c>
      <c r="C186" s="4" t="s">
        <v>187</v>
      </c>
      <c r="D186" s="20"/>
      <c r="E186" s="20"/>
      <c r="F186" s="20">
        <f t="shared" si="23"/>
        <v>0</v>
      </c>
    </row>
    <row r="187" spans="1:6" x14ac:dyDescent="0.2">
      <c r="A187" s="18" t="s">
        <v>1097</v>
      </c>
      <c r="B187" s="4" t="s">
        <v>1134</v>
      </c>
      <c r="C187" s="4" t="s">
        <v>187</v>
      </c>
      <c r="D187" s="20"/>
      <c r="E187" s="20"/>
      <c r="F187" s="20">
        <f t="shared" si="23"/>
        <v>0</v>
      </c>
    </row>
    <row r="188" spans="1:6" x14ac:dyDescent="0.2">
      <c r="A188" s="41" t="s">
        <v>453</v>
      </c>
      <c r="B188" s="4"/>
      <c r="C188" s="4"/>
      <c r="D188" s="20"/>
      <c r="E188" s="20"/>
      <c r="F188" s="20"/>
    </row>
    <row r="189" spans="1:6" x14ac:dyDescent="0.2">
      <c r="A189" s="18" t="s">
        <v>1138</v>
      </c>
      <c r="B189" s="27" t="s">
        <v>1160</v>
      </c>
      <c r="C189" s="4" t="s">
        <v>187</v>
      </c>
      <c r="D189" s="20"/>
      <c r="E189" s="20"/>
      <c r="F189" s="20">
        <f>D189</f>
        <v>0</v>
      </c>
    </row>
    <row r="190" spans="1:6" x14ac:dyDescent="0.2">
      <c r="A190" s="18" t="s">
        <v>643</v>
      </c>
      <c r="B190" s="27" t="s">
        <v>1179</v>
      </c>
      <c r="C190" s="4" t="s">
        <v>187</v>
      </c>
      <c r="D190" s="20"/>
      <c r="E190" s="20"/>
      <c r="F190" s="20">
        <f t="shared" ref="F190:F197" si="24">F189+D190</f>
        <v>0</v>
      </c>
    </row>
    <row r="191" spans="1:6" x14ac:dyDescent="0.2">
      <c r="A191" s="18"/>
      <c r="B191" s="4"/>
      <c r="C191" s="4" t="s">
        <v>187</v>
      </c>
      <c r="D191" s="20"/>
      <c r="E191" s="20"/>
      <c r="F191" s="20">
        <f t="shared" si="24"/>
        <v>0</v>
      </c>
    </row>
    <row r="192" spans="1:6" x14ac:dyDescent="0.2">
      <c r="A192" s="18"/>
      <c r="B192" s="4"/>
      <c r="C192" s="4" t="s">
        <v>187</v>
      </c>
      <c r="D192" s="20"/>
      <c r="E192" s="20"/>
      <c r="F192" s="20">
        <f t="shared" si="24"/>
        <v>0</v>
      </c>
    </row>
    <row r="193" spans="1:6" x14ac:dyDescent="0.2">
      <c r="A193" s="18"/>
      <c r="B193" s="4"/>
      <c r="C193" s="4" t="s">
        <v>187</v>
      </c>
      <c r="D193" s="20"/>
      <c r="E193" s="20"/>
      <c r="F193" s="20">
        <f t="shared" si="24"/>
        <v>0</v>
      </c>
    </row>
    <row r="194" spans="1:6" x14ac:dyDescent="0.2">
      <c r="A194" s="18"/>
      <c r="B194" s="4"/>
      <c r="C194" s="4" t="s">
        <v>187</v>
      </c>
      <c r="D194" s="20"/>
      <c r="E194" s="20"/>
      <c r="F194" s="20">
        <f t="shared" si="24"/>
        <v>0</v>
      </c>
    </row>
    <row r="195" spans="1:6" x14ac:dyDescent="0.2">
      <c r="A195" s="18"/>
      <c r="B195" s="4"/>
      <c r="C195" s="4" t="s">
        <v>187</v>
      </c>
      <c r="D195" s="20"/>
      <c r="E195" s="20"/>
      <c r="F195" s="20">
        <f t="shared" si="24"/>
        <v>0</v>
      </c>
    </row>
    <row r="196" spans="1:6" x14ac:dyDescent="0.2">
      <c r="A196" s="18"/>
      <c r="B196" s="4"/>
      <c r="C196" s="4" t="s">
        <v>187</v>
      </c>
      <c r="D196" s="20"/>
      <c r="E196" s="20"/>
      <c r="F196" s="20">
        <f t="shared" si="24"/>
        <v>0</v>
      </c>
    </row>
    <row r="197" spans="1:6" x14ac:dyDescent="0.2">
      <c r="A197" s="18"/>
      <c r="B197" s="4"/>
      <c r="C197" s="4" t="s">
        <v>187</v>
      </c>
      <c r="D197" s="20"/>
      <c r="E197" s="20"/>
      <c r="F197" s="20">
        <f t="shared" si="24"/>
        <v>0</v>
      </c>
    </row>
    <row r="198" spans="1:6" x14ac:dyDescent="0.2">
      <c r="A198" s="18"/>
      <c r="B198" s="4"/>
      <c r="C198" s="4"/>
      <c r="D198" s="20"/>
      <c r="E198" s="20"/>
      <c r="F198" s="20"/>
    </row>
    <row r="199" spans="1:6" x14ac:dyDescent="0.2">
      <c r="A199" s="18"/>
      <c r="B199" s="4"/>
      <c r="C199" s="4"/>
      <c r="D199" s="20"/>
      <c r="E199" s="20"/>
      <c r="F199" s="20"/>
    </row>
    <row r="200" spans="1:6" x14ac:dyDescent="0.2">
      <c r="A200" s="18"/>
      <c r="B200" s="4"/>
      <c r="C200" s="4"/>
      <c r="D200" s="20"/>
      <c r="E200" s="20"/>
      <c r="F200" s="20"/>
    </row>
    <row r="201" spans="1:6" x14ac:dyDescent="0.2">
      <c r="A201" s="4"/>
      <c r="B201" s="4"/>
      <c r="C201" s="4"/>
      <c r="D201" s="20"/>
      <c r="E201" s="20"/>
      <c r="F201" s="20"/>
    </row>
    <row r="202" spans="1:6" x14ac:dyDescent="0.2">
      <c r="A202" s="18"/>
      <c r="B202" s="4"/>
      <c r="C202" s="4" t="s">
        <v>187</v>
      </c>
      <c r="D202" s="20"/>
      <c r="E202" s="20"/>
      <c r="F202" s="20">
        <f t="shared" ref="F202:F207" si="25">F201+D202</f>
        <v>0</v>
      </c>
    </row>
    <row r="203" spans="1:6" x14ac:dyDescent="0.2">
      <c r="A203" s="18"/>
      <c r="B203" s="4"/>
      <c r="C203" s="4" t="s">
        <v>187</v>
      </c>
      <c r="D203" s="20"/>
      <c r="E203" s="20"/>
      <c r="F203" s="20">
        <f t="shared" si="25"/>
        <v>0</v>
      </c>
    </row>
    <row r="204" spans="1:6" x14ac:dyDescent="0.2">
      <c r="A204" s="18"/>
      <c r="B204" s="4"/>
      <c r="C204" s="4" t="s">
        <v>187</v>
      </c>
      <c r="D204" s="20"/>
      <c r="E204" s="20"/>
      <c r="F204" s="20">
        <f t="shared" si="25"/>
        <v>0</v>
      </c>
    </row>
    <row r="205" spans="1:6" x14ac:dyDescent="0.2">
      <c r="A205" s="18"/>
      <c r="B205" s="4"/>
      <c r="C205" s="4" t="s">
        <v>187</v>
      </c>
      <c r="D205" s="20"/>
      <c r="E205" s="20"/>
      <c r="F205" s="20">
        <f t="shared" si="25"/>
        <v>0</v>
      </c>
    </row>
    <row r="206" spans="1:6" x14ac:dyDescent="0.2">
      <c r="A206" s="18"/>
      <c r="B206" s="4"/>
      <c r="C206" s="4" t="s">
        <v>187</v>
      </c>
      <c r="D206" s="20"/>
      <c r="E206" s="20"/>
      <c r="F206" s="20">
        <f t="shared" si="25"/>
        <v>0</v>
      </c>
    </row>
    <row r="207" spans="1:6" x14ac:dyDescent="0.2">
      <c r="A207" s="18"/>
      <c r="B207" s="4"/>
      <c r="C207" s="4" t="s">
        <v>187</v>
      </c>
      <c r="D207" s="20"/>
      <c r="E207" s="20"/>
      <c r="F207" s="20">
        <f t="shared" si="25"/>
        <v>0</v>
      </c>
    </row>
    <row r="208" spans="1:6" x14ac:dyDescent="0.2">
      <c r="A208" s="18"/>
      <c r="B208" s="4"/>
      <c r="C208" s="4"/>
      <c r="D208" s="20"/>
      <c r="E208" s="20"/>
      <c r="F208" s="20"/>
    </row>
    <row r="209" spans="1:6" x14ac:dyDescent="0.2">
      <c r="A209" s="18"/>
      <c r="B209" s="4"/>
      <c r="C209" s="4"/>
      <c r="D209" s="20"/>
      <c r="E209" s="20"/>
      <c r="F209" s="20"/>
    </row>
    <row r="210" spans="1:6" x14ac:dyDescent="0.2">
      <c r="A210" s="18"/>
      <c r="B210" s="4"/>
      <c r="C210" s="4"/>
      <c r="D210" s="20"/>
      <c r="E210" s="20"/>
      <c r="F210" s="20"/>
    </row>
    <row r="211" spans="1:6" x14ac:dyDescent="0.2">
      <c r="A211" s="4"/>
      <c r="B211" s="4"/>
      <c r="C211" s="4"/>
      <c r="D211" s="20"/>
      <c r="E211" s="20"/>
      <c r="F211" s="20"/>
    </row>
    <row r="212" spans="1:6" x14ac:dyDescent="0.2">
      <c r="A212" s="105" t="s">
        <v>10</v>
      </c>
      <c r="B212" s="112"/>
      <c r="C212" s="106"/>
      <c r="D212" s="20">
        <f>SUM(D117:D211)</f>
        <v>0</v>
      </c>
      <c r="E212" s="20">
        <f>SUM(E117:E211)</f>
        <v>0</v>
      </c>
      <c r="F212" s="20">
        <f>D212-E212</f>
        <v>0</v>
      </c>
    </row>
    <row r="213" spans="1:6" x14ac:dyDescent="0.2">
      <c r="A213" s="105" t="s">
        <v>11</v>
      </c>
      <c r="B213" s="112"/>
      <c r="C213" s="106"/>
      <c r="D213" s="20"/>
      <c r="E213" s="20"/>
      <c r="F213" s="20">
        <f>D213-E213</f>
        <v>0</v>
      </c>
    </row>
    <row r="214" spans="1:6" x14ac:dyDescent="0.2">
      <c r="A214" s="105" t="s">
        <v>10</v>
      </c>
      <c r="B214" s="112"/>
      <c r="C214" s="106"/>
      <c r="D214" s="20">
        <f>SUM(D212:D213)</f>
        <v>0</v>
      </c>
      <c r="E214" s="20">
        <f>SUM(E212:E213)</f>
        <v>0</v>
      </c>
      <c r="F214" s="20">
        <f>SUM(F212:F213)</f>
        <v>0</v>
      </c>
    </row>
    <row r="216" spans="1:6" x14ac:dyDescent="0.2">
      <c r="A216" s="100" t="s">
        <v>0</v>
      </c>
      <c r="B216" s="100"/>
    </row>
    <row r="217" spans="1:6" x14ac:dyDescent="0.2">
      <c r="A217" s="100" t="s">
        <v>1</v>
      </c>
      <c r="B217" s="100"/>
    </row>
    <row r="218" spans="1:6" x14ac:dyDescent="0.2">
      <c r="A218" s="101" t="s">
        <v>2</v>
      </c>
      <c r="B218" s="101"/>
      <c r="C218" s="101"/>
      <c r="D218" s="101"/>
      <c r="E218" s="101"/>
      <c r="F218" s="101"/>
    </row>
    <row r="219" spans="1:6" x14ac:dyDescent="0.2">
      <c r="A219" s="122" t="s">
        <v>169</v>
      </c>
      <c r="B219" s="122"/>
      <c r="D219" s="123" t="s">
        <v>718</v>
      </c>
    </row>
    <row r="220" spans="1:6" x14ac:dyDescent="0.2">
      <c r="D220" s="1" t="s">
        <v>70</v>
      </c>
    </row>
    <row r="221" spans="1:6" x14ac:dyDescent="0.2">
      <c r="A221" s="103" t="s">
        <v>3</v>
      </c>
      <c r="B221" s="103" t="s">
        <v>4</v>
      </c>
      <c r="C221" s="103" t="s">
        <v>5</v>
      </c>
      <c r="D221" s="105" t="s">
        <v>6</v>
      </c>
      <c r="E221" s="106"/>
      <c r="F221" s="103" t="s">
        <v>9</v>
      </c>
    </row>
    <row r="222" spans="1:6" x14ac:dyDescent="0.2">
      <c r="A222" s="104"/>
      <c r="B222" s="104"/>
      <c r="C222" s="104"/>
      <c r="D222" s="3" t="s">
        <v>7</v>
      </c>
      <c r="E222" s="3" t="s">
        <v>8</v>
      </c>
      <c r="F222" s="104"/>
    </row>
    <row r="223" spans="1:6" x14ac:dyDescent="0.2">
      <c r="A223" s="18" t="s">
        <v>742</v>
      </c>
      <c r="B223" s="4" t="s">
        <v>1326</v>
      </c>
      <c r="C223" s="4" t="s">
        <v>187</v>
      </c>
      <c r="D223" s="20"/>
      <c r="E223" s="20">
        <v>0</v>
      </c>
      <c r="F223" s="20">
        <f>D223+E223</f>
        <v>0</v>
      </c>
    </row>
    <row r="224" spans="1:6" x14ac:dyDescent="0.2">
      <c r="A224" s="18" t="s">
        <v>767</v>
      </c>
      <c r="B224" s="4" t="s">
        <v>768</v>
      </c>
      <c r="C224" s="4" t="s">
        <v>187</v>
      </c>
      <c r="D224" s="20"/>
      <c r="E224" s="20"/>
      <c r="F224" s="20">
        <f>F223+D224</f>
        <v>0</v>
      </c>
    </row>
    <row r="225" spans="1:6" x14ac:dyDescent="0.2">
      <c r="A225" s="18" t="s">
        <v>602</v>
      </c>
      <c r="B225" s="4" t="s">
        <v>601</v>
      </c>
      <c r="C225" s="4" t="s">
        <v>187</v>
      </c>
      <c r="D225" s="20"/>
      <c r="E225" s="20"/>
      <c r="F225" s="20">
        <f>F224+D225</f>
        <v>0</v>
      </c>
    </row>
    <row r="226" spans="1:6" x14ac:dyDescent="0.2">
      <c r="A226" s="4"/>
      <c r="B226" s="4"/>
      <c r="C226" s="4"/>
      <c r="D226" s="20"/>
      <c r="E226" s="20"/>
      <c r="F226" s="20"/>
    </row>
    <row r="227" spans="1:6" x14ac:dyDescent="0.2">
      <c r="A227" s="105" t="s">
        <v>10</v>
      </c>
      <c r="B227" s="112"/>
      <c r="C227" s="106"/>
      <c r="D227" s="20">
        <f>SUM(D223:D226)</f>
        <v>0</v>
      </c>
      <c r="E227" s="20">
        <f>SUM(E223:E226)</f>
        <v>0</v>
      </c>
      <c r="F227" s="20">
        <f>D227-E227</f>
        <v>0</v>
      </c>
    </row>
    <row r="228" spans="1:6" x14ac:dyDescent="0.2">
      <c r="A228" s="105" t="s">
        <v>11</v>
      </c>
      <c r="B228" s="112"/>
      <c r="C228" s="106"/>
      <c r="D228" s="20"/>
      <c r="E228" s="20"/>
      <c r="F228" s="20">
        <f>D228-E228</f>
        <v>0</v>
      </c>
    </row>
    <row r="229" spans="1:6" x14ac:dyDescent="0.2">
      <c r="A229" s="105" t="s">
        <v>10</v>
      </c>
      <c r="B229" s="112"/>
      <c r="C229" s="106"/>
      <c r="D229" s="20">
        <f>SUM(D227:D228)</f>
        <v>0</v>
      </c>
      <c r="E229" s="20">
        <f>SUM(E227:E228)</f>
        <v>0</v>
      </c>
      <c r="F229" s="20">
        <f>SUM(F227:F228)</f>
        <v>0</v>
      </c>
    </row>
    <row r="230" spans="1:6" x14ac:dyDescent="0.2">
      <c r="A230" s="5"/>
      <c r="B230" s="5"/>
      <c r="C230" s="5"/>
    </row>
    <row r="231" spans="1:6" x14ac:dyDescent="0.2">
      <c r="A231" s="100" t="s">
        <v>0</v>
      </c>
      <c r="B231" s="100"/>
    </row>
    <row r="232" spans="1:6" x14ac:dyDescent="0.2">
      <c r="A232" s="100" t="s">
        <v>1</v>
      </c>
      <c r="B232" s="100"/>
    </row>
    <row r="233" spans="1:6" x14ac:dyDescent="0.2">
      <c r="A233" s="101" t="s">
        <v>2</v>
      </c>
      <c r="B233" s="101"/>
      <c r="C233" s="101"/>
      <c r="D233" s="101"/>
      <c r="E233" s="101"/>
      <c r="F233" s="101"/>
    </row>
    <row r="234" spans="1:6" x14ac:dyDescent="0.2">
      <c r="A234" s="109" t="s">
        <v>170</v>
      </c>
      <c r="B234" s="109"/>
      <c r="D234" s="2" t="s">
        <v>719</v>
      </c>
    </row>
    <row r="235" spans="1:6" x14ac:dyDescent="0.2">
      <c r="D235" s="1" t="s">
        <v>70</v>
      </c>
    </row>
    <row r="236" spans="1:6" x14ac:dyDescent="0.2">
      <c r="A236" s="103" t="s">
        <v>3</v>
      </c>
      <c r="B236" s="103" t="s">
        <v>4</v>
      </c>
      <c r="C236" s="103" t="s">
        <v>5</v>
      </c>
      <c r="D236" s="105" t="s">
        <v>6</v>
      </c>
      <c r="E236" s="106"/>
      <c r="F236" s="103" t="s">
        <v>9</v>
      </c>
    </row>
    <row r="237" spans="1:6" x14ac:dyDescent="0.2">
      <c r="A237" s="104"/>
      <c r="B237" s="104"/>
      <c r="C237" s="104"/>
      <c r="D237" s="3" t="s">
        <v>7</v>
      </c>
      <c r="E237" s="3" t="s">
        <v>8</v>
      </c>
      <c r="F237" s="104"/>
    </row>
    <row r="238" spans="1:6" x14ac:dyDescent="0.2">
      <c r="A238" s="4"/>
      <c r="B238" s="4"/>
      <c r="C238" s="4"/>
      <c r="D238" s="4">
        <v>0</v>
      </c>
      <c r="E238" s="4">
        <v>0</v>
      </c>
      <c r="F238" s="4">
        <f>D238+E238</f>
        <v>0</v>
      </c>
    </row>
    <row r="239" spans="1:6" x14ac:dyDescent="0.2">
      <c r="A239" s="4"/>
      <c r="B239" s="4"/>
      <c r="C239" s="4"/>
      <c r="D239" s="4"/>
      <c r="E239" s="4"/>
      <c r="F239" s="4"/>
    </row>
    <row r="240" spans="1:6" x14ac:dyDescent="0.2">
      <c r="A240" s="4"/>
      <c r="B240" s="4"/>
      <c r="C240" s="4"/>
      <c r="D240" s="4"/>
      <c r="E240" s="4"/>
      <c r="F240" s="4"/>
    </row>
    <row r="241" spans="1:6" x14ac:dyDescent="0.2">
      <c r="A241" s="4"/>
      <c r="B241" s="4"/>
      <c r="C241" s="4"/>
      <c r="D241" s="4"/>
      <c r="E241" s="4"/>
      <c r="F241" s="4"/>
    </row>
    <row r="242" spans="1:6" x14ac:dyDescent="0.2">
      <c r="A242" s="4"/>
      <c r="B242" s="4"/>
      <c r="C242" s="4"/>
      <c r="D242" s="4"/>
      <c r="E242" s="4"/>
      <c r="F242" s="4"/>
    </row>
    <row r="243" spans="1:6" x14ac:dyDescent="0.2">
      <c r="A243" s="105" t="s">
        <v>10</v>
      </c>
      <c r="B243" s="112"/>
      <c r="C243" s="106"/>
      <c r="D243" s="4">
        <f>SUM(D238:D242)</f>
        <v>0</v>
      </c>
      <c r="E243" s="4">
        <f>SUM(E238:E242)</f>
        <v>0</v>
      </c>
      <c r="F243" s="4">
        <f>D243-E243</f>
        <v>0</v>
      </c>
    </row>
    <row r="244" spans="1:6" x14ac:dyDescent="0.2">
      <c r="A244" s="105" t="s">
        <v>11</v>
      </c>
      <c r="B244" s="112"/>
      <c r="C244" s="106"/>
      <c r="D244" s="4"/>
      <c r="E244" s="4"/>
      <c r="F244" s="4">
        <f>D244-E244</f>
        <v>0</v>
      </c>
    </row>
    <row r="245" spans="1:6" x14ac:dyDescent="0.2">
      <c r="A245" s="105" t="s">
        <v>10</v>
      </c>
      <c r="B245" s="112"/>
      <c r="C245" s="106"/>
      <c r="D245" s="4">
        <f>SUM(D243:D244)</f>
        <v>0</v>
      </c>
      <c r="E245" s="4">
        <f>SUM(E243:E244)</f>
        <v>0</v>
      </c>
      <c r="F245" s="4">
        <f>SUM(F243:F244)</f>
        <v>0</v>
      </c>
    </row>
    <row r="246" spans="1:6" x14ac:dyDescent="0.2">
      <c r="A246" s="5"/>
      <c r="B246" s="5"/>
      <c r="C246" s="5"/>
    </row>
    <row r="247" spans="1:6" x14ac:dyDescent="0.2">
      <c r="A247" s="100" t="s">
        <v>0</v>
      </c>
      <c r="B247" s="100"/>
    </row>
    <row r="248" spans="1:6" x14ac:dyDescent="0.2">
      <c r="A248" s="100" t="s">
        <v>1</v>
      </c>
      <c r="B248" s="100"/>
    </row>
    <row r="249" spans="1:6" x14ac:dyDescent="0.2">
      <c r="A249" s="101" t="s">
        <v>2</v>
      </c>
      <c r="B249" s="101"/>
      <c r="C249" s="101"/>
      <c r="D249" s="101"/>
      <c r="E249" s="101"/>
      <c r="F249" s="101"/>
    </row>
    <row r="250" spans="1:6" x14ac:dyDescent="0.2">
      <c r="A250" s="122" t="s">
        <v>720</v>
      </c>
      <c r="B250" s="122"/>
      <c r="D250" s="123" t="s">
        <v>721</v>
      </c>
    </row>
    <row r="251" spans="1:6" x14ac:dyDescent="0.2">
      <c r="D251" s="1" t="s">
        <v>70</v>
      </c>
    </row>
    <row r="252" spans="1:6" x14ac:dyDescent="0.2">
      <c r="A252" s="103" t="s">
        <v>3</v>
      </c>
      <c r="B252" s="103" t="s">
        <v>4</v>
      </c>
      <c r="C252" s="103" t="s">
        <v>5</v>
      </c>
      <c r="D252" s="105" t="s">
        <v>6</v>
      </c>
      <c r="E252" s="106"/>
      <c r="F252" s="103" t="s">
        <v>9</v>
      </c>
    </row>
    <row r="253" spans="1:6" x14ac:dyDescent="0.2">
      <c r="A253" s="104"/>
      <c r="B253" s="104"/>
      <c r="C253" s="104"/>
      <c r="D253" s="3" t="s">
        <v>7</v>
      </c>
      <c r="E253" s="3" t="s">
        <v>8</v>
      </c>
      <c r="F253" s="104"/>
    </row>
    <row r="254" spans="1:6" x14ac:dyDescent="0.2">
      <c r="A254" s="18" t="s">
        <v>1222</v>
      </c>
      <c r="B254" s="4" t="s">
        <v>1276</v>
      </c>
      <c r="C254" s="4" t="s">
        <v>187</v>
      </c>
      <c r="D254" s="20"/>
      <c r="E254" s="20">
        <v>0</v>
      </c>
      <c r="F254" s="20">
        <f>D254+E254</f>
        <v>0</v>
      </c>
    </row>
    <row r="255" spans="1:6" x14ac:dyDescent="0.2">
      <c r="A255" s="18" t="s">
        <v>474</v>
      </c>
      <c r="B255" s="4" t="s">
        <v>1349</v>
      </c>
      <c r="C255" s="4" t="s">
        <v>187</v>
      </c>
      <c r="D255" s="20"/>
      <c r="E255" s="20"/>
      <c r="F255" s="20">
        <f>F254+D255</f>
        <v>0</v>
      </c>
    </row>
    <row r="256" spans="1:6" x14ac:dyDescent="0.2">
      <c r="A256" s="18" t="s">
        <v>476</v>
      </c>
      <c r="B256" s="4" t="s">
        <v>1405</v>
      </c>
      <c r="C256" s="4" t="s">
        <v>187</v>
      </c>
      <c r="D256" s="20"/>
      <c r="E256" s="20"/>
      <c r="F256" s="20">
        <f t="shared" ref="F256:F265" si="26">F255+D256</f>
        <v>0</v>
      </c>
    </row>
    <row r="257" spans="1:6" x14ac:dyDescent="0.2">
      <c r="A257" s="18" t="s">
        <v>798</v>
      </c>
      <c r="B257" s="4" t="s">
        <v>535</v>
      </c>
      <c r="C257" s="4" t="s">
        <v>187</v>
      </c>
      <c r="D257" s="20"/>
      <c r="E257" s="20"/>
      <c r="F257" s="20">
        <f t="shared" si="26"/>
        <v>0</v>
      </c>
    </row>
    <row r="258" spans="1:6" x14ac:dyDescent="0.2">
      <c r="A258" s="18" t="s">
        <v>838</v>
      </c>
      <c r="B258" s="4" t="s">
        <v>535</v>
      </c>
      <c r="C258" s="4" t="s">
        <v>187</v>
      </c>
      <c r="D258" s="20"/>
      <c r="E258" s="20"/>
      <c r="F258" s="20">
        <f t="shared" si="26"/>
        <v>0</v>
      </c>
    </row>
    <row r="259" spans="1:6" x14ac:dyDescent="0.2">
      <c r="A259" s="18" t="s">
        <v>885</v>
      </c>
      <c r="B259" s="4" t="s">
        <v>535</v>
      </c>
      <c r="C259" s="4" t="s">
        <v>187</v>
      </c>
      <c r="D259" s="20"/>
      <c r="E259" s="20"/>
      <c r="F259" s="20">
        <f t="shared" si="26"/>
        <v>0</v>
      </c>
    </row>
    <row r="260" spans="1:6" x14ac:dyDescent="0.2">
      <c r="A260" s="18" t="s">
        <v>932</v>
      </c>
      <c r="B260" s="4" t="s">
        <v>535</v>
      </c>
      <c r="C260" s="4" t="s">
        <v>187</v>
      </c>
      <c r="D260" s="20"/>
      <c r="E260" s="20"/>
      <c r="F260" s="20">
        <f t="shared" si="26"/>
        <v>0</v>
      </c>
    </row>
    <row r="261" spans="1:6" x14ac:dyDescent="0.2">
      <c r="A261" s="18" t="s">
        <v>613</v>
      </c>
      <c r="B261" s="4" t="s">
        <v>535</v>
      </c>
      <c r="C261" s="4" t="s">
        <v>187</v>
      </c>
      <c r="D261" s="20"/>
      <c r="E261" s="20"/>
      <c r="F261" s="20">
        <f t="shared" si="26"/>
        <v>0</v>
      </c>
    </row>
    <row r="262" spans="1:6" x14ac:dyDescent="0.2">
      <c r="A262" s="18" t="s">
        <v>485</v>
      </c>
      <c r="B262" s="4" t="s">
        <v>535</v>
      </c>
      <c r="C262" s="4" t="s">
        <v>187</v>
      </c>
      <c r="D262" s="20"/>
      <c r="E262" s="20"/>
      <c r="F262" s="20">
        <f t="shared" si="26"/>
        <v>0</v>
      </c>
    </row>
    <row r="263" spans="1:6" x14ac:dyDescent="0.2">
      <c r="A263" s="18" t="s">
        <v>372</v>
      </c>
      <c r="B263" s="4" t="s">
        <v>535</v>
      </c>
      <c r="C263" s="4" t="s">
        <v>187</v>
      </c>
      <c r="D263" s="20"/>
      <c r="E263" s="20"/>
      <c r="F263" s="20">
        <f t="shared" si="26"/>
        <v>0</v>
      </c>
    </row>
    <row r="264" spans="1:6" x14ac:dyDescent="0.2">
      <c r="A264" s="18" t="s">
        <v>1126</v>
      </c>
      <c r="B264" s="4" t="s">
        <v>535</v>
      </c>
      <c r="C264" s="4" t="s">
        <v>187</v>
      </c>
      <c r="D264" s="20"/>
      <c r="E264" s="20"/>
      <c r="F264" s="20">
        <f t="shared" si="26"/>
        <v>0</v>
      </c>
    </row>
    <row r="265" spans="1:6" x14ac:dyDescent="0.2">
      <c r="A265" s="18" t="s">
        <v>1181</v>
      </c>
      <c r="B265" s="4" t="s">
        <v>535</v>
      </c>
      <c r="C265" s="4" t="s">
        <v>187</v>
      </c>
      <c r="D265" s="20"/>
      <c r="E265" s="20"/>
      <c r="F265" s="20">
        <f t="shared" si="26"/>
        <v>0</v>
      </c>
    </row>
    <row r="266" spans="1:6" x14ac:dyDescent="0.2">
      <c r="A266" s="4"/>
      <c r="B266" s="4"/>
      <c r="C266" s="4"/>
      <c r="D266" s="20"/>
      <c r="E266" s="20"/>
      <c r="F266" s="20"/>
    </row>
    <row r="267" spans="1:6" x14ac:dyDescent="0.2">
      <c r="A267" s="105" t="s">
        <v>10</v>
      </c>
      <c r="B267" s="112"/>
      <c r="C267" s="106"/>
      <c r="D267" s="20">
        <f>SUM(D254:D266)</f>
        <v>0</v>
      </c>
      <c r="E267" s="20">
        <f>SUM(E254:E266)</f>
        <v>0</v>
      </c>
      <c r="F267" s="20">
        <f>D267-E267</f>
        <v>0</v>
      </c>
    </row>
    <row r="268" spans="1:6" x14ac:dyDescent="0.2">
      <c r="A268" s="105" t="s">
        <v>11</v>
      </c>
      <c r="B268" s="112"/>
      <c r="C268" s="106"/>
      <c r="D268" s="20"/>
      <c r="E268" s="20"/>
      <c r="F268" s="20">
        <f>D268-E268</f>
        <v>0</v>
      </c>
    </row>
    <row r="269" spans="1:6" x14ac:dyDescent="0.2">
      <c r="A269" s="105" t="s">
        <v>10</v>
      </c>
      <c r="B269" s="112"/>
      <c r="C269" s="106"/>
      <c r="D269" s="20">
        <f>SUM(D267:D268)</f>
        <v>0</v>
      </c>
      <c r="E269" s="20">
        <f>SUM(E267:E268)</f>
        <v>0</v>
      </c>
      <c r="F269" s="20">
        <f>SUM(F267:F268)</f>
        <v>0</v>
      </c>
    </row>
    <row r="270" spans="1:6" x14ac:dyDescent="0.2">
      <c r="D270" s="13"/>
      <c r="E270" s="13"/>
      <c r="F270" s="13"/>
    </row>
    <row r="271" spans="1:6" x14ac:dyDescent="0.2">
      <c r="A271" s="100" t="s">
        <v>0</v>
      </c>
      <c r="B271" s="100"/>
    </row>
    <row r="272" spans="1:6" x14ac:dyDescent="0.2">
      <c r="A272" s="100" t="s">
        <v>1</v>
      </c>
      <c r="B272" s="100"/>
    </row>
    <row r="273" spans="1:6" x14ac:dyDescent="0.2">
      <c r="A273" s="101" t="s">
        <v>2</v>
      </c>
      <c r="B273" s="101"/>
      <c r="C273" s="101"/>
      <c r="D273" s="101"/>
      <c r="E273" s="101"/>
      <c r="F273" s="101"/>
    </row>
    <row r="274" spans="1:6" x14ac:dyDescent="0.2">
      <c r="A274" s="109" t="s">
        <v>171</v>
      </c>
      <c r="B274" s="109"/>
      <c r="D274" s="2" t="s">
        <v>722</v>
      </c>
    </row>
    <row r="275" spans="1:6" x14ac:dyDescent="0.2">
      <c r="D275" s="1" t="s">
        <v>70</v>
      </c>
    </row>
    <row r="276" spans="1:6" x14ac:dyDescent="0.2">
      <c r="A276" s="103" t="s">
        <v>3</v>
      </c>
      <c r="B276" s="103" t="s">
        <v>4</v>
      </c>
      <c r="C276" s="103" t="s">
        <v>5</v>
      </c>
      <c r="D276" s="105" t="s">
        <v>6</v>
      </c>
      <c r="E276" s="106"/>
      <c r="F276" s="103" t="s">
        <v>9</v>
      </c>
    </row>
    <row r="277" spans="1:6" x14ac:dyDescent="0.2">
      <c r="A277" s="104"/>
      <c r="B277" s="104"/>
      <c r="C277" s="104"/>
      <c r="D277" s="3" t="s">
        <v>7</v>
      </c>
      <c r="E277" s="3" t="s">
        <v>8</v>
      </c>
      <c r="F277" s="104"/>
    </row>
    <row r="278" spans="1:6" x14ac:dyDescent="0.2">
      <c r="A278" s="18" t="s">
        <v>934</v>
      </c>
      <c r="B278" s="4" t="s">
        <v>935</v>
      </c>
      <c r="C278" s="4" t="s">
        <v>187</v>
      </c>
      <c r="D278" s="19"/>
      <c r="E278" s="4">
        <v>0</v>
      </c>
      <c r="F278" s="20">
        <f>D278+E278</f>
        <v>0</v>
      </c>
    </row>
    <row r="279" spans="1:6" x14ac:dyDescent="0.2">
      <c r="A279" s="18" t="s">
        <v>542</v>
      </c>
      <c r="B279" s="4" t="s">
        <v>1001</v>
      </c>
      <c r="C279" s="4" t="s">
        <v>187</v>
      </c>
      <c r="D279" s="19"/>
      <c r="E279" s="4"/>
      <c r="F279" s="20">
        <f>F278+D279</f>
        <v>0</v>
      </c>
    </row>
    <row r="280" spans="1:6" x14ac:dyDescent="0.2">
      <c r="A280" s="105" t="s">
        <v>10</v>
      </c>
      <c r="B280" s="112"/>
      <c r="C280" s="106"/>
      <c r="D280" s="20">
        <f>SUM(D278:D279)</f>
        <v>0</v>
      </c>
      <c r="E280" s="4">
        <f>SUM(E278:E279)</f>
        <v>0</v>
      </c>
      <c r="F280" s="20">
        <f>D280-E280</f>
        <v>0</v>
      </c>
    </row>
    <row r="281" spans="1:6" x14ac:dyDescent="0.2">
      <c r="A281" s="105" t="s">
        <v>11</v>
      </c>
      <c r="B281" s="112"/>
      <c r="C281" s="106"/>
      <c r="D281" s="20"/>
      <c r="E281" s="4"/>
      <c r="F281" s="20">
        <f>D281-E281</f>
        <v>0</v>
      </c>
    </row>
    <row r="282" spans="1:6" x14ac:dyDescent="0.2">
      <c r="A282" s="105" t="s">
        <v>10</v>
      </c>
      <c r="B282" s="112"/>
      <c r="C282" s="106"/>
      <c r="D282" s="20">
        <f>SUM(D280:D281)</f>
        <v>0</v>
      </c>
      <c r="E282" s="4">
        <f>SUM(E280:E281)</f>
        <v>0</v>
      </c>
      <c r="F282" s="20">
        <f>SUM(F280:F281)</f>
        <v>0</v>
      </c>
    </row>
    <row r="283" spans="1:6" x14ac:dyDescent="0.2">
      <c r="A283" s="5"/>
      <c r="B283" s="5"/>
      <c r="C283" s="5"/>
    </row>
    <row r="284" spans="1:6" x14ac:dyDescent="0.2">
      <c r="A284" s="5"/>
      <c r="B284" s="5"/>
      <c r="C284" s="5"/>
    </row>
    <row r="287" spans="1:6" x14ac:dyDescent="0.2">
      <c r="A287" s="100" t="s">
        <v>0</v>
      </c>
      <c r="B287" s="100"/>
    </row>
    <row r="288" spans="1:6" x14ac:dyDescent="0.2">
      <c r="A288" s="100" t="s">
        <v>1</v>
      </c>
      <c r="B288" s="100"/>
    </row>
    <row r="289" spans="1:6" x14ac:dyDescent="0.2">
      <c r="A289" s="101" t="s">
        <v>2</v>
      </c>
      <c r="B289" s="101"/>
      <c r="C289" s="101"/>
      <c r="D289" s="101"/>
      <c r="E289" s="101"/>
      <c r="F289" s="101"/>
    </row>
    <row r="290" spans="1:6" x14ac:dyDescent="0.2">
      <c r="A290" s="122" t="s">
        <v>172</v>
      </c>
      <c r="B290" s="122"/>
      <c r="D290" s="123" t="s">
        <v>723</v>
      </c>
    </row>
    <row r="291" spans="1:6" x14ac:dyDescent="0.2">
      <c r="D291" s="1" t="s">
        <v>70</v>
      </c>
    </row>
    <row r="292" spans="1:6" x14ac:dyDescent="0.2">
      <c r="A292" s="103" t="s">
        <v>3</v>
      </c>
      <c r="B292" s="103" t="s">
        <v>4</v>
      </c>
      <c r="C292" s="103" t="s">
        <v>5</v>
      </c>
      <c r="D292" s="105" t="s">
        <v>6</v>
      </c>
      <c r="E292" s="106"/>
      <c r="F292" s="103" t="s">
        <v>9</v>
      </c>
    </row>
    <row r="293" spans="1:6" x14ac:dyDescent="0.2">
      <c r="A293" s="104"/>
      <c r="B293" s="104"/>
      <c r="C293" s="104"/>
      <c r="D293" s="3" t="s">
        <v>7</v>
      </c>
      <c r="E293" s="3" t="s">
        <v>8</v>
      </c>
      <c r="F293" s="104"/>
    </row>
    <row r="294" spans="1:6" x14ac:dyDescent="0.2">
      <c r="A294" s="18" t="s">
        <v>1219</v>
      </c>
      <c r="B294" s="27" t="s">
        <v>1256</v>
      </c>
      <c r="C294" s="4" t="s">
        <v>187</v>
      </c>
      <c r="D294" s="20"/>
      <c r="E294" s="20"/>
      <c r="F294" s="20">
        <f>D294+E294</f>
        <v>0</v>
      </c>
    </row>
    <row r="295" spans="1:6" x14ac:dyDescent="0.2">
      <c r="A295" s="18" t="s">
        <v>1219</v>
      </c>
      <c r="B295" s="27" t="s">
        <v>1254</v>
      </c>
      <c r="C295" s="4" t="s">
        <v>187</v>
      </c>
      <c r="D295" s="20"/>
      <c r="E295" s="20"/>
      <c r="F295" s="20">
        <f>D295+F294</f>
        <v>0</v>
      </c>
    </row>
    <row r="296" spans="1:6" x14ac:dyDescent="0.2">
      <c r="A296" s="18" t="s">
        <v>1219</v>
      </c>
      <c r="B296" s="27" t="s">
        <v>1255</v>
      </c>
      <c r="C296" s="4" t="s">
        <v>187</v>
      </c>
      <c r="D296" s="20"/>
      <c r="E296" s="20"/>
      <c r="F296" s="20">
        <f>D296+F295</f>
        <v>0</v>
      </c>
    </row>
    <row r="297" spans="1:6" x14ac:dyDescent="0.2">
      <c r="A297" s="18" t="s">
        <v>1222</v>
      </c>
      <c r="B297" s="27" t="s">
        <v>1257</v>
      </c>
      <c r="C297" s="4" t="s">
        <v>187</v>
      </c>
      <c r="D297" s="20"/>
      <c r="E297" s="20"/>
      <c r="F297" s="20">
        <f>D297+F296</f>
        <v>0</v>
      </c>
    </row>
    <row r="298" spans="1:6" x14ac:dyDescent="0.2">
      <c r="A298" s="50" t="s">
        <v>247</v>
      </c>
      <c r="B298" s="4"/>
      <c r="C298" s="4"/>
      <c r="D298" s="20"/>
      <c r="E298" s="20"/>
      <c r="F298" s="20"/>
    </row>
    <row r="299" spans="1:6" x14ac:dyDescent="0.2">
      <c r="A299" s="18" t="s">
        <v>505</v>
      </c>
      <c r="B299" s="27" t="s">
        <v>1307</v>
      </c>
      <c r="C299" s="4" t="s">
        <v>187</v>
      </c>
      <c r="D299" s="20"/>
      <c r="E299" s="20"/>
      <c r="F299" s="20">
        <f>D299+E299</f>
        <v>0</v>
      </c>
    </row>
    <row r="300" spans="1:6" x14ac:dyDescent="0.2">
      <c r="A300" s="18" t="s">
        <v>755</v>
      </c>
      <c r="B300" s="27" t="s">
        <v>1308</v>
      </c>
      <c r="C300" s="4" t="s">
        <v>187</v>
      </c>
      <c r="D300" s="20"/>
      <c r="E300" s="20"/>
      <c r="F300" s="20">
        <f t="shared" ref="F300:F305" si="27">F299+D300-E300</f>
        <v>0</v>
      </c>
    </row>
    <row r="301" spans="1:6" x14ac:dyDescent="0.2">
      <c r="A301" s="50" t="s">
        <v>262</v>
      </c>
      <c r="B301" s="4"/>
      <c r="C301" s="4"/>
      <c r="D301" s="20"/>
      <c r="E301" s="20"/>
      <c r="F301" s="20"/>
    </row>
    <row r="302" spans="1:6" x14ac:dyDescent="0.2">
      <c r="A302" s="18" t="s">
        <v>583</v>
      </c>
      <c r="B302" s="4" t="s">
        <v>1394</v>
      </c>
      <c r="C302" s="4" t="s">
        <v>187</v>
      </c>
      <c r="D302" s="20"/>
      <c r="E302" s="20"/>
      <c r="F302" s="20">
        <f t="shared" si="27"/>
        <v>0</v>
      </c>
    </row>
    <row r="303" spans="1:6" x14ac:dyDescent="0.2">
      <c r="A303" s="18" t="s">
        <v>476</v>
      </c>
      <c r="B303" s="4" t="s">
        <v>1395</v>
      </c>
      <c r="C303" s="4" t="s">
        <v>187</v>
      </c>
      <c r="D303" s="20"/>
      <c r="E303" s="20"/>
      <c r="F303" s="20">
        <f t="shared" si="27"/>
        <v>0</v>
      </c>
    </row>
    <row r="304" spans="1:6" x14ac:dyDescent="0.2">
      <c r="A304" s="18" t="s">
        <v>476</v>
      </c>
      <c r="B304" s="4" t="s">
        <v>1396</v>
      </c>
      <c r="C304" s="4" t="s">
        <v>187</v>
      </c>
      <c r="D304" s="20"/>
      <c r="E304" s="20"/>
      <c r="F304" s="20">
        <f t="shared" si="27"/>
        <v>0</v>
      </c>
    </row>
    <row r="305" spans="1:6" x14ac:dyDescent="0.2">
      <c r="A305" s="37" t="s">
        <v>1365</v>
      </c>
      <c r="B305" s="4" t="s">
        <v>1397</v>
      </c>
      <c r="C305" s="4" t="s">
        <v>187</v>
      </c>
      <c r="D305" s="20"/>
      <c r="E305" s="20"/>
      <c r="F305" s="20">
        <f t="shared" si="27"/>
        <v>0</v>
      </c>
    </row>
    <row r="306" spans="1:6" x14ac:dyDescent="0.2">
      <c r="A306" s="18" t="s">
        <v>283</v>
      </c>
      <c r="B306" s="4"/>
      <c r="C306" s="4"/>
      <c r="D306" s="20"/>
      <c r="E306" s="20"/>
      <c r="F306" s="20"/>
    </row>
    <row r="307" spans="1:6" x14ac:dyDescent="0.2">
      <c r="A307" s="50" t="s">
        <v>299</v>
      </c>
      <c r="B307" s="4"/>
      <c r="C307" s="4"/>
      <c r="D307" s="20"/>
      <c r="E307" s="20"/>
      <c r="F307" s="20"/>
    </row>
    <row r="308" spans="1:6" x14ac:dyDescent="0.2">
      <c r="A308" s="18" t="s">
        <v>821</v>
      </c>
      <c r="B308" s="4" t="s">
        <v>823</v>
      </c>
      <c r="C308" s="4" t="s">
        <v>187</v>
      </c>
      <c r="D308" s="20"/>
      <c r="E308" s="20"/>
      <c r="F308" s="20">
        <f>D308</f>
        <v>0</v>
      </c>
    </row>
    <row r="309" spans="1:6" x14ac:dyDescent="0.2">
      <c r="A309" s="18" t="s">
        <v>808</v>
      </c>
      <c r="B309" s="4" t="s">
        <v>829</v>
      </c>
      <c r="C309" s="4" t="s">
        <v>187</v>
      </c>
      <c r="D309" s="20"/>
      <c r="E309" s="20"/>
      <c r="F309" s="20">
        <f t="shared" ref="F309:F313" si="28">F308+D309-E309</f>
        <v>0</v>
      </c>
    </row>
    <row r="310" spans="1:6" x14ac:dyDescent="0.2">
      <c r="A310" s="18" t="s">
        <v>836</v>
      </c>
      <c r="B310" s="27" t="s">
        <v>759</v>
      </c>
      <c r="C310" s="4" t="s">
        <v>187</v>
      </c>
      <c r="D310" s="20"/>
      <c r="E310" s="20"/>
      <c r="F310" s="20">
        <f t="shared" si="28"/>
        <v>0</v>
      </c>
    </row>
    <row r="311" spans="1:6" x14ac:dyDescent="0.2">
      <c r="A311" s="18" t="s">
        <v>592</v>
      </c>
      <c r="B311" s="27" t="s">
        <v>846</v>
      </c>
      <c r="C311" s="4" t="s">
        <v>187</v>
      </c>
      <c r="D311" s="20"/>
      <c r="E311" s="20"/>
      <c r="F311" s="20">
        <f t="shared" si="28"/>
        <v>0</v>
      </c>
    </row>
    <row r="312" spans="1:6" x14ac:dyDescent="0.2">
      <c r="A312" s="18" t="str">
        <f>A311</f>
        <v>28 Mei</v>
      </c>
      <c r="B312" s="27" t="s">
        <v>847</v>
      </c>
      <c r="C312" s="4" t="s">
        <v>187</v>
      </c>
      <c r="D312" s="20"/>
      <c r="E312" s="20"/>
      <c r="F312" s="20">
        <f t="shared" si="28"/>
        <v>0</v>
      </c>
    </row>
    <row r="313" spans="1:6" x14ac:dyDescent="0.2">
      <c r="A313" s="18" t="str">
        <f>A312</f>
        <v>28 Mei</v>
      </c>
      <c r="B313" s="27" t="s">
        <v>848</v>
      </c>
      <c r="C313" s="4" t="s">
        <v>187</v>
      </c>
      <c r="D313" s="20"/>
      <c r="E313" s="20"/>
      <c r="F313" s="20">
        <f t="shared" si="28"/>
        <v>0</v>
      </c>
    </row>
    <row r="314" spans="1:6" x14ac:dyDescent="0.2">
      <c r="A314" s="50" t="s">
        <v>315</v>
      </c>
      <c r="B314" s="4"/>
      <c r="C314" s="4"/>
      <c r="D314" s="20"/>
      <c r="E314" s="20"/>
      <c r="F314" s="20"/>
    </row>
    <row r="315" spans="1:6" x14ac:dyDescent="0.2">
      <c r="A315" s="18" t="s">
        <v>858</v>
      </c>
      <c r="B315" s="4" t="s">
        <v>860</v>
      </c>
      <c r="C315" s="4" t="s">
        <v>187</v>
      </c>
      <c r="D315" s="20"/>
      <c r="E315" s="20"/>
      <c r="F315" s="20">
        <f>D315</f>
        <v>0</v>
      </c>
    </row>
    <row r="316" spans="1:6" x14ac:dyDescent="0.2">
      <c r="A316" s="18" t="s">
        <v>600</v>
      </c>
      <c r="B316" s="4" t="s">
        <v>867</v>
      </c>
      <c r="C316" s="4" t="s">
        <v>187</v>
      </c>
      <c r="D316" s="20"/>
      <c r="E316" s="20"/>
      <c r="F316" s="20">
        <f t="shared" ref="F316:F319" si="29">F315+D316-E316</f>
        <v>0</v>
      </c>
    </row>
    <row r="317" spans="1:6" x14ac:dyDescent="0.2">
      <c r="A317" s="18" t="s">
        <v>600</v>
      </c>
      <c r="B317" s="4" t="s">
        <v>868</v>
      </c>
      <c r="C317" s="4" t="s">
        <v>187</v>
      </c>
      <c r="D317" s="20"/>
      <c r="E317" s="20"/>
      <c r="F317" s="20">
        <f t="shared" si="29"/>
        <v>0</v>
      </c>
    </row>
    <row r="318" spans="1:6" x14ac:dyDescent="0.2">
      <c r="A318" s="18" t="s">
        <v>885</v>
      </c>
      <c r="B318" s="4" t="s">
        <v>569</v>
      </c>
      <c r="C318" s="4" t="s">
        <v>187</v>
      </c>
      <c r="D318" s="20"/>
      <c r="E318" s="20"/>
      <c r="F318" s="20">
        <f t="shared" si="29"/>
        <v>0</v>
      </c>
    </row>
    <row r="319" spans="1:6" x14ac:dyDescent="0.2">
      <c r="A319" s="18" t="s">
        <v>885</v>
      </c>
      <c r="B319" s="27" t="s">
        <v>891</v>
      </c>
      <c r="C319" s="4" t="s">
        <v>187</v>
      </c>
      <c r="D319" s="20"/>
      <c r="E319" s="20"/>
      <c r="F319" s="20">
        <f t="shared" si="29"/>
        <v>0</v>
      </c>
    </row>
    <row r="320" spans="1:6" x14ac:dyDescent="0.2">
      <c r="A320" s="50" t="s">
        <v>330</v>
      </c>
      <c r="B320" s="4"/>
      <c r="C320" s="4"/>
      <c r="D320" s="20"/>
      <c r="E320" s="20"/>
      <c r="F320" s="20"/>
    </row>
    <row r="321" spans="1:6" x14ac:dyDescent="0.2">
      <c r="A321" s="18" t="s">
        <v>934</v>
      </c>
      <c r="B321" s="4" t="s">
        <v>569</v>
      </c>
      <c r="C321" s="4" t="s">
        <v>187</v>
      </c>
      <c r="D321" s="20"/>
      <c r="E321" s="20"/>
      <c r="F321" s="20">
        <f>D321</f>
        <v>0</v>
      </c>
    </row>
    <row r="322" spans="1:6" x14ac:dyDescent="0.2">
      <c r="A322" s="18" t="s">
        <v>322</v>
      </c>
      <c r="B322" s="4" t="s">
        <v>944</v>
      </c>
      <c r="C322" s="4" t="s">
        <v>187</v>
      </c>
      <c r="D322" s="20"/>
      <c r="E322" s="20"/>
      <c r="F322" s="20">
        <f t="shared" ref="F322:F329" si="30">F321+D322-E322</f>
        <v>0</v>
      </c>
    </row>
    <row r="323" spans="1:6" x14ac:dyDescent="0.2">
      <c r="A323" s="50" t="s">
        <v>442</v>
      </c>
      <c r="B323" s="4"/>
      <c r="C323" s="4"/>
      <c r="D323" s="20"/>
      <c r="E323" s="20"/>
      <c r="F323" s="20"/>
    </row>
    <row r="324" spans="1:6" x14ac:dyDescent="0.2">
      <c r="A324" s="18" t="s">
        <v>952</v>
      </c>
      <c r="B324" s="4" t="s">
        <v>759</v>
      </c>
      <c r="C324" s="4" t="s">
        <v>187</v>
      </c>
      <c r="D324" s="20"/>
      <c r="E324" s="20"/>
      <c r="F324" s="20">
        <f>D324</f>
        <v>0</v>
      </c>
    </row>
    <row r="325" spans="1:6" x14ac:dyDescent="0.2">
      <c r="A325" s="18" t="s">
        <v>959</v>
      </c>
      <c r="B325" s="4" t="s">
        <v>960</v>
      </c>
      <c r="C325" s="4" t="s">
        <v>187</v>
      </c>
      <c r="D325" s="20"/>
      <c r="E325" s="20"/>
      <c r="F325" s="20">
        <f t="shared" ref="F325" si="31">F324+D325-E325</f>
        <v>0</v>
      </c>
    </row>
    <row r="326" spans="1:6" x14ac:dyDescent="0.2">
      <c r="A326" s="18" t="s">
        <v>967</v>
      </c>
      <c r="B326" s="27" t="s">
        <v>968</v>
      </c>
      <c r="C326" s="4" t="s">
        <v>187</v>
      </c>
      <c r="D326" s="20"/>
      <c r="E326" s="20"/>
      <c r="F326" s="20">
        <f t="shared" si="30"/>
        <v>0</v>
      </c>
    </row>
    <row r="327" spans="1:6" x14ac:dyDescent="0.2">
      <c r="A327" s="18" t="s">
        <v>980</v>
      </c>
      <c r="B327" s="4" t="s">
        <v>981</v>
      </c>
      <c r="C327" s="4" t="s">
        <v>187</v>
      </c>
      <c r="D327" s="20"/>
      <c r="E327" s="20"/>
      <c r="F327" s="20">
        <f t="shared" si="30"/>
        <v>0</v>
      </c>
    </row>
    <row r="328" spans="1:6" x14ac:dyDescent="0.2">
      <c r="A328" s="18" t="str">
        <f>A327</f>
        <v>20 Agust</v>
      </c>
      <c r="B328" s="67" t="s">
        <v>982</v>
      </c>
      <c r="C328" s="4" t="s">
        <v>187</v>
      </c>
      <c r="D328" s="20"/>
      <c r="E328" s="20"/>
      <c r="F328" s="20">
        <f t="shared" si="30"/>
        <v>0</v>
      </c>
    </row>
    <row r="329" spans="1:6" x14ac:dyDescent="0.2">
      <c r="A329" s="18" t="str">
        <f>A328</f>
        <v>20 Agust</v>
      </c>
      <c r="B329" s="4" t="s">
        <v>983</v>
      </c>
      <c r="C329" s="4" t="s">
        <v>187</v>
      </c>
      <c r="D329" s="20"/>
      <c r="E329" s="20"/>
      <c r="F329" s="20">
        <f t="shared" si="30"/>
        <v>0</v>
      </c>
    </row>
    <row r="330" spans="1:6" x14ac:dyDescent="0.2">
      <c r="A330" s="50" t="s">
        <v>363</v>
      </c>
      <c r="B330" s="4"/>
      <c r="C330" s="4"/>
      <c r="D330" s="20"/>
      <c r="E330" s="20"/>
      <c r="F330" s="20"/>
    </row>
    <row r="331" spans="1:6" x14ac:dyDescent="0.2">
      <c r="A331" s="18" t="s">
        <v>1009</v>
      </c>
      <c r="B331" s="4" t="s">
        <v>1012</v>
      </c>
      <c r="C331" s="4" t="s">
        <v>187</v>
      </c>
      <c r="D331" s="20"/>
      <c r="E331" s="20"/>
      <c r="F331" s="20">
        <f>D331</f>
        <v>0</v>
      </c>
    </row>
    <row r="332" spans="1:6" x14ac:dyDescent="0.2">
      <c r="A332" s="18" t="s">
        <v>362</v>
      </c>
      <c r="B332" s="4" t="s">
        <v>1022</v>
      </c>
      <c r="C332" s="4" t="s">
        <v>187</v>
      </c>
      <c r="D332" s="20"/>
      <c r="E332" s="20"/>
      <c r="F332" s="20">
        <f t="shared" ref="F332:F333" si="32">F331+D332-E332</f>
        <v>0</v>
      </c>
    </row>
    <row r="333" spans="1:6" x14ac:dyDescent="0.2">
      <c r="A333" s="18" t="s">
        <v>485</v>
      </c>
      <c r="B333" s="4" t="s">
        <v>569</v>
      </c>
      <c r="C333" s="4" t="s">
        <v>187</v>
      </c>
      <c r="D333" s="20"/>
      <c r="E333" s="20"/>
      <c r="F333" s="20">
        <f t="shared" si="32"/>
        <v>0</v>
      </c>
    </row>
    <row r="334" spans="1:6" x14ac:dyDescent="0.2">
      <c r="A334" s="50" t="s">
        <v>368</v>
      </c>
      <c r="B334" s="4"/>
      <c r="C334" s="4"/>
      <c r="D334" s="20"/>
      <c r="E334" s="20"/>
      <c r="F334" s="20"/>
    </row>
    <row r="335" spans="1:6" x14ac:dyDescent="0.2">
      <c r="A335" s="18" t="s">
        <v>372</v>
      </c>
      <c r="B335" s="4" t="s">
        <v>569</v>
      </c>
      <c r="C335" s="4" t="s">
        <v>187</v>
      </c>
      <c r="D335" s="20"/>
      <c r="E335" s="20"/>
      <c r="F335" s="20">
        <f>D335</f>
        <v>0</v>
      </c>
    </row>
    <row r="336" spans="1:6" x14ac:dyDescent="0.2">
      <c r="A336" s="50" t="s">
        <v>397</v>
      </c>
      <c r="B336" s="4"/>
      <c r="C336" s="4"/>
      <c r="D336" s="20"/>
      <c r="E336" s="20"/>
      <c r="F336" s="20"/>
    </row>
    <row r="337" spans="1:6" x14ac:dyDescent="0.2">
      <c r="A337" s="18" t="s">
        <v>548</v>
      </c>
      <c r="B337" s="4" t="s">
        <v>1099</v>
      </c>
      <c r="C337" s="4" t="s">
        <v>187</v>
      </c>
      <c r="D337" s="20"/>
      <c r="E337" s="20"/>
      <c r="F337" s="20">
        <f>D337</f>
        <v>0</v>
      </c>
    </row>
    <row r="338" spans="1:6" x14ac:dyDescent="0.2">
      <c r="A338" s="18" t="s">
        <v>1095</v>
      </c>
      <c r="B338" s="4" t="s">
        <v>1100</v>
      </c>
      <c r="C338" s="4" t="s">
        <v>187</v>
      </c>
      <c r="D338" s="20"/>
      <c r="E338" s="20"/>
      <c r="F338" s="20">
        <f t="shared" ref="F338:F342" si="33">F337+D338-E338</f>
        <v>0</v>
      </c>
    </row>
    <row r="339" spans="1:6" x14ac:dyDescent="0.2">
      <c r="A339" s="53" t="s">
        <v>634</v>
      </c>
      <c r="B339" s="4" t="s">
        <v>759</v>
      </c>
      <c r="C339" s="4" t="s">
        <v>187</v>
      </c>
      <c r="D339" s="20"/>
      <c r="E339" s="20"/>
      <c r="F339" s="20">
        <f t="shared" si="33"/>
        <v>0</v>
      </c>
    </row>
    <row r="340" spans="1:6" x14ac:dyDescent="0.2">
      <c r="A340" s="53" t="s">
        <v>551</v>
      </c>
      <c r="B340" s="4" t="s">
        <v>1125</v>
      </c>
      <c r="C340" s="4" t="s">
        <v>187</v>
      </c>
      <c r="D340" s="20"/>
      <c r="E340" s="20"/>
      <c r="F340" s="20">
        <f t="shared" si="33"/>
        <v>0</v>
      </c>
    </row>
    <row r="341" spans="1:6" x14ac:dyDescent="0.2">
      <c r="A341" s="53" t="s">
        <v>1126</v>
      </c>
      <c r="B341" s="4" t="s">
        <v>569</v>
      </c>
      <c r="C341" s="4" t="s">
        <v>187</v>
      </c>
      <c r="D341" s="20"/>
      <c r="E341" s="20"/>
      <c r="F341" s="20">
        <f t="shared" si="33"/>
        <v>0</v>
      </c>
    </row>
    <row r="342" spans="1:6" x14ac:dyDescent="0.2">
      <c r="A342" s="53" t="s">
        <v>1097</v>
      </c>
      <c r="B342" s="4" t="s">
        <v>1131</v>
      </c>
      <c r="C342" s="4" t="s">
        <v>187</v>
      </c>
      <c r="D342" s="20"/>
      <c r="E342" s="20"/>
      <c r="F342" s="20">
        <f t="shared" si="33"/>
        <v>0</v>
      </c>
    </row>
    <row r="343" spans="1:6" x14ac:dyDescent="0.2">
      <c r="A343" s="50" t="s">
        <v>453</v>
      </c>
      <c r="B343" s="4"/>
      <c r="C343" s="4"/>
      <c r="D343" s="20"/>
      <c r="E343" s="20"/>
      <c r="F343" s="20"/>
    </row>
    <row r="344" spans="1:6" x14ac:dyDescent="0.2">
      <c r="A344" s="18" t="s">
        <v>463</v>
      </c>
      <c r="B344" s="4" t="s">
        <v>1149</v>
      </c>
      <c r="C344" s="4" t="s">
        <v>187</v>
      </c>
      <c r="D344" s="20"/>
      <c r="E344" s="20"/>
      <c r="F344" s="20">
        <f>D344</f>
        <v>0</v>
      </c>
    </row>
    <row r="345" spans="1:6" x14ac:dyDescent="0.2">
      <c r="A345" s="18" t="s">
        <v>638</v>
      </c>
      <c r="B345" s="4" t="s">
        <v>1161</v>
      </c>
      <c r="C345" s="4" t="s">
        <v>187</v>
      </c>
      <c r="D345" s="20"/>
      <c r="E345" s="20"/>
      <c r="F345" s="20">
        <f t="shared" ref="F345:F351" si="34">F344+D345-E345</f>
        <v>0</v>
      </c>
    </row>
    <row r="346" spans="1:6" x14ac:dyDescent="0.2">
      <c r="A346" s="53" t="s">
        <v>1162</v>
      </c>
      <c r="B346" s="4" t="s">
        <v>1171</v>
      </c>
      <c r="C346" s="4" t="s">
        <v>187</v>
      </c>
      <c r="D346" s="20"/>
      <c r="E346" s="20"/>
      <c r="F346" s="20">
        <f t="shared" si="34"/>
        <v>0</v>
      </c>
    </row>
    <row r="347" spans="1:6" x14ac:dyDescent="0.2">
      <c r="A347" s="53" t="s">
        <v>1181</v>
      </c>
      <c r="B347" s="4" t="s">
        <v>569</v>
      </c>
      <c r="C347" s="4" t="s">
        <v>187</v>
      </c>
      <c r="D347" s="20"/>
      <c r="E347" s="20"/>
      <c r="F347" s="20">
        <f t="shared" si="34"/>
        <v>0</v>
      </c>
    </row>
    <row r="348" spans="1:6" x14ac:dyDescent="0.2">
      <c r="A348" s="53" t="s">
        <v>1191</v>
      </c>
      <c r="B348" s="4" t="s">
        <v>1192</v>
      </c>
      <c r="C348" s="4" t="s">
        <v>187</v>
      </c>
      <c r="D348" s="20"/>
      <c r="E348" s="20"/>
      <c r="F348" s="20">
        <f t="shared" si="34"/>
        <v>0</v>
      </c>
    </row>
    <row r="349" spans="1:6" x14ac:dyDescent="0.2">
      <c r="A349" s="53" t="s">
        <v>449</v>
      </c>
      <c r="B349" s="4" t="s">
        <v>759</v>
      </c>
      <c r="C349" s="4" t="s">
        <v>187</v>
      </c>
      <c r="D349" s="20"/>
      <c r="E349" s="20"/>
      <c r="F349" s="20">
        <f t="shared" si="34"/>
        <v>0</v>
      </c>
    </row>
    <row r="350" spans="1:6" x14ac:dyDescent="0.2">
      <c r="A350" s="53" t="s">
        <v>449</v>
      </c>
      <c r="B350" s="4" t="s">
        <v>1195</v>
      </c>
      <c r="C350" s="4" t="s">
        <v>187</v>
      </c>
      <c r="D350" s="20"/>
      <c r="E350" s="20"/>
      <c r="F350" s="20">
        <f t="shared" si="34"/>
        <v>0</v>
      </c>
    </row>
    <row r="351" spans="1:6" x14ac:dyDescent="0.2">
      <c r="A351" s="53"/>
      <c r="B351" s="4"/>
      <c r="C351" s="4"/>
      <c r="D351" s="20"/>
      <c r="E351" s="20"/>
      <c r="F351" s="20">
        <f t="shared" si="34"/>
        <v>0</v>
      </c>
    </row>
    <row r="352" spans="1:6" x14ac:dyDescent="0.2">
      <c r="A352" s="105" t="s">
        <v>10</v>
      </c>
      <c r="B352" s="112"/>
      <c r="C352" s="106"/>
      <c r="D352" s="20">
        <f>SUM(D294:D350)</f>
        <v>0</v>
      </c>
      <c r="E352" s="20">
        <f>SUM(E328:E351)</f>
        <v>0</v>
      </c>
      <c r="F352" s="20">
        <f>D352-E352</f>
        <v>0</v>
      </c>
    </row>
    <row r="353" spans="1:6" x14ac:dyDescent="0.2">
      <c r="A353" s="105" t="s">
        <v>11</v>
      </c>
      <c r="B353" s="112"/>
      <c r="C353" s="106"/>
      <c r="D353" s="20"/>
      <c r="E353" s="20"/>
      <c r="F353" s="20">
        <f>D353-E353</f>
        <v>0</v>
      </c>
    </row>
    <row r="354" spans="1:6" x14ac:dyDescent="0.2">
      <c r="A354" s="105" t="s">
        <v>10</v>
      </c>
      <c r="B354" s="112"/>
      <c r="C354" s="106"/>
      <c r="D354" s="20">
        <f>SUM(D352:D353)</f>
        <v>0</v>
      </c>
      <c r="E354" s="20">
        <f>SUM(E352:E353)</f>
        <v>0</v>
      </c>
      <c r="F354" s="20">
        <f>SUM(F352:F353)</f>
        <v>0</v>
      </c>
    </row>
    <row r="357" spans="1:6" x14ac:dyDescent="0.2">
      <c r="A357" s="109" t="s">
        <v>559</v>
      </c>
      <c r="B357" s="109"/>
      <c r="D357" s="2" t="s">
        <v>724</v>
      </c>
    </row>
    <row r="358" spans="1:6" x14ac:dyDescent="0.2">
      <c r="D358" s="1" t="s">
        <v>70</v>
      </c>
    </row>
    <row r="359" spans="1:6" x14ac:dyDescent="0.2">
      <c r="A359" s="103" t="s">
        <v>3</v>
      </c>
      <c r="B359" s="103" t="s">
        <v>4</v>
      </c>
      <c r="C359" s="103" t="s">
        <v>5</v>
      </c>
      <c r="D359" s="105" t="s">
        <v>6</v>
      </c>
      <c r="E359" s="106"/>
      <c r="F359" s="103" t="s">
        <v>9</v>
      </c>
    </row>
    <row r="360" spans="1:6" x14ac:dyDescent="0.2">
      <c r="A360" s="104"/>
      <c r="B360" s="104"/>
      <c r="C360" s="104"/>
      <c r="D360" s="3" t="s">
        <v>7</v>
      </c>
      <c r="E360" s="3" t="s">
        <v>8</v>
      </c>
      <c r="F360" s="104"/>
    </row>
    <row r="361" spans="1:6" ht="24" x14ac:dyDescent="0.2">
      <c r="A361" s="18" t="s">
        <v>555</v>
      </c>
      <c r="B361" s="69" t="s">
        <v>560</v>
      </c>
      <c r="C361" s="7" t="s">
        <v>200</v>
      </c>
      <c r="D361" s="20"/>
      <c r="E361" s="20">
        <v>0</v>
      </c>
      <c r="F361" s="20">
        <f>D361+E361</f>
        <v>0</v>
      </c>
    </row>
    <row r="362" spans="1:6" x14ac:dyDescent="0.2">
      <c r="A362" s="18"/>
      <c r="B362" s="4"/>
      <c r="C362" s="7" t="s">
        <v>200</v>
      </c>
      <c r="D362" s="20"/>
      <c r="E362" s="20"/>
      <c r="F362" s="20">
        <f>F361+D362</f>
        <v>0</v>
      </c>
    </row>
    <row r="363" spans="1:6" x14ac:dyDescent="0.2">
      <c r="A363" s="18"/>
      <c r="B363" s="4"/>
      <c r="C363" s="7" t="s">
        <v>200</v>
      </c>
      <c r="D363" s="20"/>
      <c r="E363" s="20"/>
      <c r="F363" s="20">
        <f t="shared" ref="F363" si="35">F362+D363</f>
        <v>0</v>
      </c>
    </row>
    <row r="364" spans="1:6" x14ac:dyDescent="0.2">
      <c r="A364" s="4"/>
      <c r="B364" s="4"/>
      <c r="C364" s="7"/>
      <c r="D364" s="20"/>
      <c r="E364" s="20"/>
      <c r="F364" s="20"/>
    </row>
    <row r="365" spans="1:6" x14ac:dyDescent="0.2">
      <c r="A365" s="4"/>
      <c r="B365" s="4"/>
      <c r="C365" s="7"/>
      <c r="D365" s="20"/>
      <c r="E365" s="20"/>
      <c r="F365" s="20"/>
    </row>
    <row r="366" spans="1:6" x14ac:dyDescent="0.2">
      <c r="A366" s="105" t="s">
        <v>10</v>
      </c>
      <c r="B366" s="112"/>
      <c r="C366" s="106"/>
      <c r="D366" s="20">
        <f>SUM(D361:D365)</f>
        <v>0</v>
      </c>
      <c r="E366" s="20">
        <f>SUM(E361:E365)</f>
        <v>0</v>
      </c>
      <c r="F366" s="20">
        <f>D366-E366</f>
        <v>0</v>
      </c>
    </row>
    <row r="367" spans="1:6" x14ac:dyDescent="0.2">
      <c r="A367" s="105" t="s">
        <v>11</v>
      </c>
      <c r="B367" s="112"/>
      <c r="C367" s="106"/>
      <c r="D367" s="20"/>
      <c r="E367" s="20"/>
      <c r="F367" s="20">
        <f>D367-E367</f>
        <v>0</v>
      </c>
    </row>
    <row r="368" spans="1:6" x14ac:dyDescent="0.2">
      <c r="A368" s="105" t="s">
        <v>10</v>
      </c>
      <c r="B368" s="112"/>
      <c r="C368" s="106"/>
      <c r="D368" s="20">
        <f>SUM(D366:D367)</f>
        <v>0</v>
      </c>
      <c r="E368" s="20">
        <f>SUM(E366:E367)</f>
        <v>0</v>
      </c>
      <c r="F368" s="20">
        <f>SUM(F366:F367)</f>
        <v>0</v>
      </c>
    </row>
    <row r="372" spans="1:6" x14ac:dyDescent="0.2">
      <c r="A372" s="100" t="s">
        <v>0</v>
      </c>
      <c r="B372" s="100"/>
    </row>
    <row r="373" spans="1:6" x14ac:dyDescent="0.2">
      <c r="A373" s="100" t="s">
        <v>1</v>
      </c>
      <c r="B373" s="100"/>
    </row>
    <row r="374" spans="1:6" x14ac:dyDescent="0.2">
      <c r="A374" s="101" t="s">
        <v>2</v>
      </c>
      <c r="B374" s="101"/>
      <c r="C374" s="101"/>
      <c r="D374" s="101"/>
      <c r="E374" s="101"/>
      <c r="F374" s="101"/>
    </row>
    <row r="375" spans="1:6" x14ac:dyDescent="0.2">
      <c r="A375" s="122" t="s">
        <v>726</v>
      </c>
      <c r="B375" s="122"/>
      <c r="D375" s="2" t="s">
        <v>725</v>
      </c>
    </row>
    <row r="376" spans="1:6" x14ac:dyDescent="0.2">
      <c r="D376" s="1" t="s">
        <v>70</v>
      </c>
    </row>
    <row r="377" spans="1:6" x14ac:dyDescent="0.2">
      <c r="A377" s="103" t="s">
        <v>3</v>
      </c>
      <c r="B377" s="103" t="s">
        <v>4</v>
      </c>
      <c r="C377" s="103" t="s">
        <v>5</v>
      </c>
      <c r="D377" s="105" t="s">
        <v>6</v>
      </c>
      <c r="E377" s="106"/>
      <c r="F377" s="103" t="s">
        <v>9</v>
      </c>
    </row>
    <row r="378" spans="1:6" x14ac:dyDescent="0.2">
      <c r="A378" s="104"/>
      <c r="B378" s="104"/>
      <c r="C378" s="104"/>
      <c r="D378" s="3" t="s">
        <v>7</v>
      </c>
      <c r="E378" s="3" t="s">
        <v>8</v>
      </c>
      <c r="F378" s="104"/>
    </row>
    <row r="379" spans="1:6" x14ac:dyDescent="0.2">
      <c r="A379" s="18" t="s">
        <v>228</v>
      </c>
      <c r="B379" s="4" t="s">
        <v>252</v>
      </c>
      <c r="C379" s="4" t="s">
        <v>200</v>
      </c>
      <c r="D379" s="20"/>
      <c r="E379" s="20">
        <v>0</v>
      </c>
      <c r="F379" s="20">
        <f>D379+E379</f>
        <v>0</v>
      </c>
    </row>
    <row r="380" spans="1:6" x14ac:dyDescent="0.2">
      <c r="A380" s="18" t="s">
        <v>228</v>
      </c>
      <c r="B380" s="4" t="s">
        <v>253</v>
      </c>
      <c r="C380" s="4" t="s">
        <v>200</v>
      </c>
      <c r="D380" s="20"/>
      <c r="E380" s="20"/>
      <c r="F380" s="20">
        <f>F379+D380</f>
        <v>0</v>
      </c>
    </row>
    <row r="381" spans="1:6" x14ac:dyDescent="0.2">
      <c r="A381" s="18" t="s">
        <v>244</v>
      </c>
      <c r="B381" s="4" t="s">
        <v>260</v>
      </c>
      <c r="C381" s="4" t="s">
        <v>200</v>
      </c>
      <c r="D381" s="20"/>
      <c r="E381" s="20"/>
      <c r="F381" s="20">
        <f t="shared" ref="F381:F402" si="36">F380+D381</f>
        <v>0</v>
      </c>
    </row>
    <row r="382" spans="1:6" x14ac:dyDescent="0.2">
      <c r="A382" s="18" t="s">
        <v>244</v>
      </c>
      <c r="B382" s="4" t="s">
        <v>253</v>
      </c>
      <c r="C382" s="4" t="s">
        <v>200</v>
      </c>
      <c r="D382" s="20"/>
      <c r="E382" s="20"/>
      <c r="F382" s="20">
        <f t="shared" si="36"/>
        <v>0</v>
      </c>
    </row>
    <row r="383" spans="1:6" x14ac:dyDescent="0.2">
      <c r="A383" s="18" t="s">
        <v>269</v>
      </c>
      <c r="B383" s="4" t="s">
        <v>281</v>
      </c>
      <c r="C383" s="4" t="s">
        <v>200</v>
      </c>
      <c r="D383" s="20"/>
      <c r="E383" s="20"/>
      <c r="F383" s="20">
        <f t="shared" si="36"/>
        <v>0</v>
      </c>
    </row>
    <row r="384" spans="1:6" x14ac:dyDescent="0.2">
      <c r="A384" s="18" t="s">
        <v>269</v>
      </c>
      <c r="B384" s="4" t="s">
        <v>253</v>
      </c>
      <c r="C384" s="4" t="s">
        <v>200</v>
      </c>
      <c r="D384" s="20"/>
      <c r="E384" s="20"/>
      <c r="F384" s="20">
        <f t="shared" si="36"/>
        <v>0</v>
      </c>
    </row>
    <row r="385" spans="1:6" x14ac:dyDescent="0.2">
      <c r="A385" s="18" t="s">
        <v>284</v>
      </c>
      <c r="B385" s="4" t="s">
        <v>288</v>
      </c>
      <c r="C385" s="4" t="s">
        <v>200</v>
      </c>
      <c r="D385" s="20"/>
      <c r="E385" s="20"/>
      <c r="F385" s="20">
        <f t="shared" si="36"/>
        <v>0</v>
      </c>
    </row>
    <row r="386" spans="1:6" x14ac:dyDescent="0.2">
      <c r="A386" s="18" t="s">
        <v>284</v>
      </c>
      <c r="B386" s="4" t="s">
        <v>253</v>
      </c>
      <c r="C386" s="4" t="s">
        <v>200</v>
      </c>
      <c r="D386" s="20"/>
      <c r="E386" s="20"/>
      <c r="F386" s="20">
        <f t="shared" si="36"/>
        <v>0</v>
      </c>
    </row>
    <row r="387" spans="1:6" x14ac:dyDescent="0.2">
      <c r="A387" s="18" t="s">
        <v>290</v>
      </c>
      <c r="B387" s="4" t="s">
        <v>319</v>
      </c>
      <c r="C387" s="4" t="s">
        <v>200</v>
      </c>
      <c r="D387" s="20"/>
      <c r="E387" s="20"/>
      <c r="F387" s="20">
        <f t="shared" si="36"/>
        <v>0</v>
      </c>
    </row>
    <row r="388" spans="1:6" x14ac:dyDescent="0.2">
      <c r="A388" s="4" t="str">
        <f>A387</f>
        <v>31 Mei</v>
      </c>
      <c r="B388" s="4" t="s">
        <v>253</v>
      </c>
      <c r="C388" s="4" t="s">
        <v>200</v>
      </c>
      <c r="D388" s="20"/>
      <c r="E388" s="20"/>
      <c r="F388" s="20">
        <f t="shared" si="36"/>
        <v>0</v>
      </c>
    </row>
    <row r="389" spans="1:6" x14ac:dyDescent="0.2">
      <c r="A389" s="18" t="s">
        <v>308</v>
      </c>
      <c r="B389" s="4" t="s">
        <v>320</v>
      </c>
      <c r="C389" s="4" t="s">
        <v>200</v>
      </c>
      <c r="D389" s="20"/>
      <c r="E389" s="20"/>
      <c r="F389" s="20">
        <f t="shared" si="36"/>
        <v>0</v>
      </c>
    </row>
    <row r="390" spans="1:6" x14ac:dyDescent="0.2">
      <c r="A390" s="18" t="s">
        <v>308</v>
      </c>
      <c r="B390" s="4" t="s">
        <v>253</v>
      </c>
      <c r="C390" s="4" t="s">
        <v>200</v>
      </c>
      <c r="D390" s="20"/>
      <c r="E390" s="20"/>
      <c r="F390" s="20">
        <f t="shared" si="36"/>
        <v>0</v>
      </c>
    </row>
    <row r="391" spans="1:6" x14ac:dyDescent="0.2">
      <c r="A391" s="18" t="s">
        <v>322</v>
      </c>
      <c r="B391" s="4" t="s">
        <v>384</v>
      </c>
      <c r="C391" s="4" t="s">
        <v>200</v>
      </c>
      <c r="D391" s="20"/>
      <c r="E391" s="20"/>
      <c r="F391" s="20">
        <f t="shared" si="36"/>
        <v>0</v>
      </c>
    </row>
    <row r="392" spans="1:6" x14ac:dyDescent="0.2">
      <c r="A392" s="18" t="s">
        <v>322</v>
      </c>
      <c r="B392" s="4" t="s">
        <v>253</v>
      </c>
      <c r="C392" s="4" t="s">
        <v>200</v>
      </c>
      <c r="D392" s="20"/>
      <c r="E392" s="20"/>
      <c r="F392" s="20">
        <f t="shared" si="36"/>
        <v>0</v>
      </c>
    </row>
    <row r="393" spans="1:6" x14ac:dyDescent="0.2">
      <c r="A393" s="18" t="s">
        <v>335</v>
      </c>
      <c r="B393" s="4" t="s">
        <v>385</v>
      </c>
      <c r="C393" s="4" t="s">
        <v>200</v>
      </c>
      <c r="D393" s="20"/>
      <c r="E393" s="20"/>
      <c r="F393" s="20">
        <f t="shared" si="36"/>
        <v>0</v>
      </c>
    </row>
    <row r="394" spans="1:6" x14ac:dyDescent="0.2">
      <c r="A394" s="18" t="s">
        <v>341</v>
      </c>
      <c r="B394" s="4" t="s">
        <v>253</v>
      </c>
      <c r="C394" s="4" t="s">
        <v>200</v>
      </c>
      <c r="D394" s="20"/>
      <c r="E394" s="20"/>
      <c r="F394" s="20">
        <f t="shared" si="36"/>
        <v>0</v>
      </c>
    </row>
    <row r="395" spans="1:6" x14ac:dyDescent="0.2">
      <c r="A395" s="18" t="s">
        <v>357</v>
      </c>
      <c r="B395" s="4" t="s">
        <v>386</v>
      </c>
      <c r="C395" s="4" t="s">
        <v>200</v>
      </c>
      <c r="D395" s="20"/>
      <c r="E395" s="20"/>
      <c r="F395" s="20">
        <f t="shared" si="36"/>
        <v>0</v>
      </c>
    </row>
    <row r="396" spans="1:6" x14ac:dyDescent="0.2">
      <c r="A396" s="18" t="s">
        <v>357</v>
      </c>
      <c r="B396" s="4" t="s">
        <v>253</v>
      </c>
      <c r="C396" s="4" t="s">
        <v>200</v>
      </c>
      <c r="D396" s="20"/>
      <c r="E396" s="20"/>
      <c r="F396" s="20">
        <f t="shared" si="36"/>
        <v>0</v>
      </c>
    </row>
    <row r="397" spans="1:6" x14ac:dyDescent="0.2">
      <c r="A397" s="18" t="s">
        <v>376</v>
      </c>
      <c r="B397" s="4" t="s">
        <v>387</v>
      </c>
      <c r="C397" s="4" t="s">
        <v>200</v>
      </c>
      <c r="D397" s="20"/>
      <c r="E397" s="20"/>
      <c r="F397" s="20">
        <f t="shared" si="36"/>
        <v>0</v>
      </c>
    </row>
    <row r="398" spans="1:6" x14ac:dyDescent="0.2">
      <c r="A398" s="18" t="s">
        <v>376</v>
      </c>
      <c r="B398" s="4" t="s">
        <v>253</v>
      </c>
      <c r="C398" s="4" t="s">
        <v>200</v>
      </c>
      <c r="D398" s="20"/>
      <c r="E398" s="20"/>
      <c r="F398" s="20">
        <f t="shared" si="36"/>
        <v>0</v>
      </c>
    </row>
    <row r="399" spans="1:6" x14ac:dyDescent="0.2">
      <c r="A399" s="18" t="s">
        <v>390</v>
      </c>
      <c r="B399" s="4" t="s">
        <v>387</v>
      </c>
      <c r="C399" s="4" t="s">
        <v>200</v>
      </c>
      <c r="D399" s="20"/>
      <c r="E399" s="20"/>
      <c r="F399" s="20">
        <f t="shared" si="36"/>
        <v>0</v>
      </c>
    </row>
    <row r="400" spans="1:6" x14ac:dyDescent="0.2">
      <c r="A400" s="18" t="str">
        <f>A399</f>
        <v>30 Nov</v>
      </c>
      <c r="B400" s="4" t="s">
        <v>253</v>
      </c>
      <c r="C400" s="4" t="s">
        <v>200</v>
      </c>
      <c r="D400" s="20"/>
      <c r="E400" s="20"/>
      <c r="F400" s="20">
        <f t="shared" si="36"/>
        <v>0</v>
      </c>
    </row>
    <row r="401" spans="1:6" x14ac:dyDescent="0.2">
      <c r="A401" s="18" t="s">
        <v>449</v>
      </c>
      <c r="B401" s="4" t="s">
        <v>387</v>
      </c>
      <c r="C401" s="4" t="s">
        <v>200</v>
      </c>
      <c r="D401" s="20"/>
      <c r="E401" s="20"/>
      <c r="F401" s="20">
        <f t="shared" si="36"/>
        <v>0</v>
      </c>
    </row>
    <row r="402" spans="1:6" x14ac:dyDescent="0.2">
      <c r="A402" s="18" t="str">
        <f>A401</f>
        <v>31 Des</v>
      </c>
      <c r="B402" s="4" t="s">
        <v>253</v>
      </c>
      <c r="C402" s="4" t="s">
        <v>200</v>
      </c>
      <c r="D402" s="20"/>
      <c r="E402" s="20"/>
      <c r="F402" s="20">
        <f t="shared" si="36"/>
        <v>0</v>
      </c>
    </row>
    <row r="403" spans="1:6" x14ac:dyDescent="0.2">
      <c r="A403" s="105" t="s">
        <v>10</v>
      </c>
      <c r="B403" s="112"/>
      <c r="C403" s="106"/>
      <c r="D403" s="20">
        <f>SUM(D379:D402)</f>
        <v>0</v>
      </c>
      <c r="E403" s="20">
        <f>SUM(E379:E402)</f>
        <v>0</v>
      </c>
      <c r="F403" s="20">
        <f>D403-E403</f>
        <v>0</v>
      </c>
    </row>
    <row r="404" spans="1:6" x14ac:dyDescent="0.2">
      <c r="A404" s="105" t="s">
        <v>11</v>
      </c>
      <c r="B404" s="112"/>
      <c r="C404" s="106"/>
      <c r="D404" s="20"/>
      <c r="E404" s="20"/>
      <c r="F404" s="20">
        <f>D404-E404</f>
        <v>0</v>
      </c>
    </row>
    <row r="405" spans="1:6" x14ac:dyDescent="0.2">
      <c r="A405" s="105" t="s">
        <v>10</v>
      </c>
      <c r="B405" s="112"/>
      <c r="C405" s="106"/>
      <c r="D405" s="20">
        <f>SUM(D403:D404)</f>
        <v>0</v>
      </c>
      <c r="E405" s="20">
        <f>SUM(E403:E404)</f>
        <v>0</v>
      </c>
      <c r="F405" s="20">
        <f>SUM(F403:F404)</f>
        <v>0</v>
      </c>
    </row>
    <row r="410" spans="1:6" x14ac:dyDescent="0.2">
      <c r="D410" s="1" t="s">
        <v>185</v>
      </c>
    </row>
    <row r="413" spans="1:6" x14ac:dyDescent="0.2">
      <c r="B413" s="31">
        <f>D9+D10+D89+D117+D118+D119+D120+D254+D294+D295+D296+D297</f>
        <v>0</v>
      </c>
    </row>
  </sheetData>
  <mergeCells count="129">
    <mergeCell ref="A292:A293"/>
    <mergeCell ref="B292:B293"/>
    <mergeCell ref="D252:E252"/>
    <mergeCell ref="F252:F253"/>
    <mergeCell ref="A403:C403"/>
    <mergeCell ref="A404:C404"/>
    <mergeCell ref="A405:C405"/>
    <mergeCell ref="A375:B375"/>
    <mergeCell ref="A377:A378"/>
    <mergeCell ref="B377:B378"/>
    <mergeCell ref="C377:C378"/>
    <mergeCell ref="A287:B287"/>
    <mergeCell ref="A288:B288"/>
    <mergeCell ref="A289:F289"/>
    <mergeCell ref="D377:E377"/>
    <mergeCell ref="F377:F378"/>
    <mergeCell ref="A353:C353"/>
    <mergeCell ref="A354:C354"/>
    <mergeCell ref="A372:B372"/>
    <mergeCell ref="A373:B373"/>
    <mergeCell ref="A374:F374"/>
    <mergeCell ref="C292:C293"/>
    <mergeCell ref="D292:E292"/>
    <mergeCell ref="F292:F293"/>
    <mergeCell ref="A290:B290"/>
    <mergeCell ref="A281:C281"/>
    <mergeCell ref="A282:C282"/>
    <mergeCell ref="A244:C244"/>
    <mergeCell ref="A245:C245"/>
    <mergeCell ref="A247:B247"/>
    <mergeCell ref="A248:B248"/>
    <mergeCell ref="A252:A253"/>
    <mergeCell ref="B252:B253"/>
    <mergeCell ref="C252:C253"/>
    <mergeCell ref="A267:C267"/>
    <mergeCell ref="A249:F249"/>
    <mergeCell ref="A250:B250"/>
    <mergeCell ref="A276:A277"/>
    <mergeCell ref="B276:B277"/>
    <mergeCell ref="C276:C277"/>
    <mergeCell ref="D276:E276"/>
    <mergeCell ref="F276:F277"/>
    <mergeCell ref="A280:C280"/>
    <mergeCell ref="A268:C268"/>
    <mergeCell ref="A269:C269"/>
    <mergeCell ref="A271:B271"/>
    <mergeCell ref="A272:B272"/>
    <mergeCell ref="A273:F273"/>
    <mergeCell ref="A274:B274"/>
    <mergeCell ref="A236:A237"/>
    <mergeCell ref="B236:B237"/>
    <mergeCell ref="C236:C237"/>
    <mergeCell ref="D236:E236"/>
    <mergeCell ref="F236:F237"/>
    <mergeCell ref="A243:C243"/>
    <mergeCell ref="A228:C228"/>
    <mergeCell ref="A229:C229"/>
    <mergeCell ref="A231:B231"/>
    <mergeCell ref="A232:B232"/>
    <mergeCell ref="A233:F233"/>
    <mergeCell ref="A234:B234"/>
    <mergeCell ref="A221:A222"/>
    <mergeCell ref="B221:B222"/>
    <mergeCell ref="C221:C222"/>
    <mergeCell ref="D221:E221"/>
    <mergeCell ref="F221:F222"/>
    <mergeCell ref="A227:C227"/>
    <mergeCell ref="A213:C213"/>
    <mergeCell ref="A214:C214"/>
    <mergeCell ref="A216:B216"/>
    <mergeCell ref="A217:B217"/>
    <mergeCell ref="A218:F218"/>
    <mergeCell ref="A219:B219"/>
    <mergeCell ref="A115:A116"/>
    <mergeCell ref="B115:B116"/>
    <mergeCell ref="C115:C116"/>
    <mergeCell ref="D115:E115"/>
    <mergeCell ref="F115:F116"/>
    <mergeCell ref="A212:C212"/>
    <mergeCell ref="A77:C77"/>
    <mergeCell ref="A78:C78"/>
    <mergeCell ref="A110:B110"/>
    <mergeCell ref="A111:B111"/>
    <mergeCell ref="A112:F112"/>
    <mergeCell ref="A113:B113"/>
    <mergeCell ref="A103:C103"/>
    <mergeCell ref="A104:C104"/>
    <mergeCell ref="A105:C105"/>
    <mergeCell ref="A83:B83"/>
    <mergeCell ref="A84:F84"/>
    <mergeCell ref="A85:B85"/>
    <mergeCell ref="A87:A88"/>
    <mergeCell ref="B87:B88"/>
    <mergeCell ref="C87:C88"/>
    <mergeCell ref="D87:E87"/>
    <mergeCell ref="F87:F88"/>
    <mergeCell ref="A368:C368"/>
    <mergeCell ref="A6:A7"/>
    <mergeCell ref="B6:B7"/>
    <mergeCell ref="C6:C7"/>
    <mergeCell ref="D6:E6"/>
    <mergeCell ref="F6:F7"/>
    <mergeCell ref="A50:C50"/>
    <mergeCell ref="A1:B1"/>
    <mergeCell ref="A2:B2"/>
    <mergeCell ref="A3:F3"/>
    <mergeCell ref="A4:B4"/>
    <mergeCell ref="A60:A61"/>
    <mergeCell ref="B60:B61"/>
    <mergeCell ref="C60:C61"/>
    <mergeCell ref="D60:E60"/>
    <mergeCell ref="F60:F61"/>
    <mergeCell ref="A76:C76"/>
    <mergeCell ref="A51:C51"/>
    <mergeCell ref="A52:C52"/>
    <mergeCell ref="A82:B82"/>
    <mergeCell ref="A55:B55"/>
    <mergeCell ref="A56:B56"/>
    <mergeCell ref="A57:F57"/>
    <mergeCell ref="A58:B58"/>
    <mergeCell ref="A352:C352"/>
    <mergeCell ref="A357:B357"/>
    <mergeCell ref="A359:A360"/>
    <mergeCell ref="B359:B360"/>
    <mergeCell ref="C359:C360"/>
    <mergeCell ref="D359:E359"/>
    <mergeCell ref="F359:F360"/>
    <mergeCell ref="A366:C366"/>
    <mergeCell ref="A367:C367"/>
  </mergeCells>
  <phoneticPr fontId="8" type="noConversion"/>
  <pageMargins left="0.51181102362204722" right="0.51181102362204722" top="0.74803149606299213" bottom="0.74803149606299213" header="0.31496062992125984" footer="0.31496062992125984"/>
  <pageSetup paperSize="9"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0"/>
  <sheetViews>
    <sheetView tabSelected="1" view="pageLayout" workbookViewId="0">
      <selection activeCell="I8" sqref="I8"/>
    </sheetView>
  </sheetViews>
  <sheetFormatPr defaultColWidth="9.140625" defaultRowHeight="12" x14ac:dyDescent="0.2"/>
  <cols>
    <col min="1" max="1" width="9.140625" style="1"/>
    <col min="2" max="2" width="29.5703125" style="1" customWidth="1"/>
    <col min="3" max="3" width="9.140625" style="1"/>
    <col min="4" max="4" width="12" style="1" customWidth="1"/>
    <col min="5" max="5" width="10" style="1" customWidth="1"/>
    <col min="6" max="6" width="20.42578125" style="1" customWidth="1"/>
    <col min="7" max="16384" width="9.140625" style="1"/>
  </cols>
  <sheetData>
    <row r="1" spans="1:6" x14ac:dyDescent="0.2">
      <c r="A1" s="100" t="s">
        <v>0</v>
      </c>
      <c r="B1" s="100"/>
      <c r="F1" s="31"/>
    </row>
    <row r="2" spans="1:6" x14ac:dyDescent="0.2">
      <c r="A2" s="100" t="s">
        <v>1</v>
      </c>
      <c r="B2" s="100"/>
    </row>
    <row r="3" spans="1:6" x14ac:dyDescent="0.2">
      <c r="A3" s="101" t="s">
        <v>2</v>
      </c>
      <c r="B3" s="101"/>
      <c r="C3" s="101"/>
      <c r="D3" s="101"/>
      <c r="E3" s="101"/>
      <c r="F3" s="101"/>
    </row>
    <row r="4" spans="1:6" x14ac:dyDescent="0.2">
      <c r="A4" s="122" t="s">
        <v>186</v>
      </c>
      <c r="B4" s="122"/>
      <c r="D4" s="2" t="s">
        <v>727</v>
      </c>
    </row>
    <row r="5" spans="1:6" x14ac:dyDescent="0.2">
      <c r="D5" s="1" t="s">
        <v>70</v>
      </c>
    </row>
    <row r="6" spans="1:6" x14ac:dyDescent="0.2">
      <c r="A6" s="103" t="s">
        <v>3</v>
      </c>
      <c r="B6" s="103" t="s">
        <v>4</v>
      </c>
      <c r="C6" s="103" t="s">
        <v>5</v>
      </c>
      <c r="D6" s="105" t="s">
        <v>6</v>
      </c>
      <c r="E6" s="106"/>
      <c r="F6" s="103" t="s">
        <v>9</v>
      </c>
    </row>
    <row r="7" spans="1:6" x14ac:dyDescent="0.2">
      <c r="A7" s="104"/>
      <c r="B7" s="104"/>
      <c r="C7" s="104"/>
      <c r="D7" s="3" t="s">
        <v>7</v>
      </c>
      <c r="E7" s="3" t="s">
        <v>8</v>
      </c>
      <c r="F7" s="104"/>
    </row>
    <row r="8" spans="1:6" x14ac:dyDescent="0.2">
      <c r="A8" s="22" t="s">
        <v>1234</v>
      </c>
      <c r="B8" s="84" t="s">
        <v>1240</v>
      </c>
      <c r="C8" s="7" t="s">
        <v>200</v>
      </c>
      <c r="D8" s="20"/>
      <c r="E8" s="20">
        <v>0</v>
      </c>
      <c r="F8" s="20">
        <f>D8+E8</f>
        <v>0</v>
      </c>
    </row>
    <row r="9" spans="1:6" x14ac:dyDescent="0.2">
      <c r="A9" s="18" t="s">
        <v>1219</v>
      </c>
      <c r="B9" s="4" t="s">
        <v>1240</v>
      </c>
      <c r="C9" s="7" t="s">
        <v>200</v>
      </c>
      <c r="D9" s="20"/>
      <c r="E9" s="20"/>
      <c r="F9" s="20">
        <f>F8+D9</f>
        <v>0</v>
      </c>
    </row>
    <row r="10" spans="1:6" x14ac:dyDescent="0.2">
      <c r="A10" s="18" t="s">
        <v>1237</v>
      </c>
      <c r="B10" s="4" t="s">
        <v>1240</v>
      </c>
      <c r="C10" s="7" t="s">
        <v>200</v>
      </c>
      <c r="D10" s="20"/>
      <c r="E10" s="20"/>
      <c r="F10" s="20">
        <f t="shared" ref="F10:F21" si="0">F9+D10</f>
        <v>0</v>
      </c>
    </row>
    <row r="11" spans="1:6" x14ac:dyDescent="0.2">
      <c r="A11" s="18" t="s">
        <v>1237</v>
      </c>
      <c r="B11" s="4" t="s">
        <v>1240</v>
      </c>
      <c r="C11" s="7" t="s">
        <v>200</v>
      </c>
      <c r="D11" s="20"/>
      <c r="E11" s="20"/>
      <c r="F11" s="20">
        <f t="shared" si="0"/>
        <v>0</v>
      </c>
    </row>
    <row r="12" spans="1:6" x14ac:dyDescent="0.2">
      <c r="A12" s="37" t="s">
        <v>742</v>
      </c>
      <c r="B12" s="4" t="s">
        <v>1240</v>
      </c>
      <c r="C12" s="7" t="s">
        <v>200</v>
      </c>
      <c r="D12" s="20"/>
      <c r="E12" s="20"/>
      <c r="F12" s="20">
        <f t="shared" si="0"/>
        <v>0</v>
      </c>
    </row>
    <row r="13" spans="1:6" x14ac:dyDescent="0.2">
      <c r="A13" s="37" t="s">
        <v>755</v>
      </c>
      <c r="B13" s="4" t="s">
        <v>1240</v>
      </c>
      <c r="C13" s="7" t="s">
        <v>200</v>
      </c>
      <c r="D13" s="20"/>
      <c r="E13" s="20"/>
      <c r="F13" s="20">
        <f t="shared" si="0"/>
        <v>0</v>
      </c>
    </row>
    <row r="14" spans="1:6" x14ac:dyDescent="0.2">
      <c r="A14" s="18" t="s">
        <v>474</v>
      </c>
      <c r="B14" s="4" t="s">
        <v>1240</v>
      </c>
      <c r="C14" s="7" t="s">
        <v>200</v>
      </c>
      <c r="D14" s="20"/>
      <c r="E14" s="20"/>
      <c r="F14" s="20">
        <f t="shared" si="0"/>
        <v>0</v>
      </c>
    </row>
    <row r="15" spans="1:6" x14ac:dyDescent="0.2">
      <c r="A15" s="18" t="s">
        <v>474</v>
      </c>
      <c r="B15" s="4" t="s">
        <v>1240</v>
      </c>
      <c r="C15" s="7" t="s">
        <v>200</v>
      </c>
      <c r="D15" s="20"/>
      <c r="E15" s="20"/>
      <c r="F15" s="20">
        <f t="shared" si="0"/>
        <v>0</v>
      </c>
    </row>
    <row r="16" spans="1:6" x14ac:dyDescent="0.2">
      <c r="A16" s="18" t="s">
        <v>527</v>
      </c>
      <c r="B16" s="4" t="s">
        <v>1240</v>
      </c>
      <c r="C16" s="7" t="s">
        <v>200</v>
      </c>
      <c r="D16" s="20"/>
      <c r="E16" s="20"/>
      <c r="F16" s="20">
        <f t="shared" si="0"/>
        <v>0</v>
      </c>
    </row>
    <row r="17" spans="1:6" x14ac:dyDescent="0.2">
      <c r="A17" s="37" t="s">
        <v>1365</v>
      </c>
      <c r="B17" s="4" t="s">
        <v>1240</v>
      </c>
      <c r="C17" s="7" t="s">
        <v>200</v>
      </c>
      <c r="D17" s="20"/>
      <c r="E17" s="20"/>
      <c r="F17" s="20">
        <f t="shared" si="0"/>
        <v>0</v>
      </c>
    </row>
    <row r="18" spans="1:6" x14ac:dyDescent="0.2">
      <c r="A18" s="18" t="s">
        <v>1365</v>
      </c>
      <c r="B18" s="4" t="s">
        <v>1240</v>
      </c>
      <c r="C18" s="7" t="s">
        <v>200</v>
      </c>
      <c r="D18" s="20"/>
      <c r="E18" s="20"/>
      <c r="F18" s="20">
        <f t="shared" si="0"/>
        <v>0</v>
      </c>
    </row>
    <row r="19" spans="1:6" x14ac:dyDescent="0.2">
      <c r="A19" s="18" t="s">
        <v>1365</v>
      </c>
      <c r="B19" s="4" t="s">
        <v>1240</v>
      </c>
      <c r="C19" s="7" t="s">
        <v>200</v>
      </c>
      <c r="D19" s="20"/>
      <c r="E19" s="20"/>
      <c r="F19" s="20">
        <f t="shared" si="0"/>
        <v>0</v>
      </c>
    </row>
    <row r="20" spans="1:6" x14ac:dyDescent="0.2">
      <c r="A20" s="18" t="s">
        <v>1365</v>
      </c>
      <c r="B20" s="4" t="s">
        <v>1240</v>
      </c>
      <c r="C20" s="7" t="s">
        <v>200</v>
      </c>
      <c r="D20" s="20"/>
      <c r="E20" s="20"/>
      <c r="F20" s="20">
        <f t="shared" si="0"/>
        <v>0</v>
      </c>
    </row>
    <row r="21" spans="1:6" x14ac:dyDescent="0.2">
      <c r="A21" s="18" t="s">
        <v>639</v>
      </c>
      <c r="B21" s="4" t="s">
        <v>589</v>
      </c>
      <c r="C21" s="7" t="s">
        <v>200</v>
      </c>
      <c r="D21" s="20"/>
      <c r="E21" s="20"/>
      <c r="F21" s="20">
        <f t="shared" si="0"/>
        <v>0</v>
      </c>
    </row>
    <row r="22" spans="1:6" x14ac:dyDescent="0.2">
      <c r="A22" s="4"/>
      <c r="B22" s="4"/>
      <c r="C22" s="7"/>
      <c r="D22" s="20"/>
      <c r="E22" s="20"/>
      <c r="F22" s="20"/>
    </row>
    <row r="23" spans="1:6" x14ac:dyDescent="0.2">
      <c r="A23" s="4"/>
      <c r="B23" s="4"/>
      <c r="C23" s="7"/>
      <c r="D23" s="20"/>
      <c r="E23" s="20"/>
      <c r="F23" s="20"/>
    </row>
    <row r="24" spans="1:6" x14ac:dyDescent="0.2">
      <c r="A24" s="4"/>
      <c r="B24" s="4"/>
      <c r="C24" s="7"/>
      <c r="D24" s="20"/>
      <c r="E24" s="20"/>
      <c r="F24" s="20"/>
    </row>
    <row r="25" spans="1:6" x14ac:dyDescent="0.2">
      <c r="A25" s="4"/>
      <c r="B25" s="4"/>
      <c r="C25" s="7"/>
      <c r="D25" s="20"/>
      <c r="E25" s="20"/>
      <c r="F25" s="20"/>
    </row>
    <row r="26" spans="1:6" x14ac:dyDescent="0.2">
      <c r="A26" s="4"/>
      <c r="B26" s="4"/>
      <c r="C26" s="7"/>
      <c r="D26" s="20"/>
      <c r="E26" s="20"/>
      <c r="F26" s="20"/>
    </row>
    <row r="27" spans="1:6" x14ac:dyDescent="0.2">
      <c r="A27" s="4"/>
      <c r="B27" s="4"/>
      <c r="C27" s="7"/>
      <c r="D27" s="20"/>
      <c r="E27" s="20"/>
      <c r="F27" s="20"/>
    </row>
    <row r="28" spans="1:6" x14ac:dyDescent="0.2">
      <c r="A28" s="105" t="s">
        <v>10</v>
      </c>
      <c r="B28" s="112"/>
      <c r="C28" s="106"/>
      <c r="D28" s="20">
        <f>SUM(D8:D27)</f>
        <v>0</v>
      </c>
      <c r="E28" s="20">
        <f>SUM(E8:E27)</f>
        <v>0</v>
      </c>
      <c r="F28" s="20">
        <f>D28-E28</f>
        <v>0</v>
      </c>
    </row>
    <row r="29" spans="1:6" x14ac:dyDescent="0.2">
      <c r="A29" s="105" t="s">
        <v>11</v>
      </c>
      <c r="B29" s="112"/>
      <c r="C29" s="106"/>
      <c r="D29" s="20"/>
      <c r="E29" s="20"/>
      <c r="F29" s="20">
        <f>D29-E29</f>
        <v>0</v>
      </c>
    </row>
    <row r="30" spans="1:6" x14ac:dyDescent="0.2">
      <c r="A30" s="105" t="s">
        <v>10</v>
      </c>
      <c r="B30" s="112"/>
      <c r="C30" s="106"/>
      <c r="D30" s="20">
        <f>SUM(D28:D29)</f>
        <v>0</v>
      </c>
      <c r="E30" s="20">
        <f>SUM(E28:E29)</f>
        <v>0</v>
      </c>
      <c r="F30" s="20">
        <f>SUM(F28:F29)</f>
        <v>0</v>
      </c>
    </row>
  </sheetData>
  <mergeCells count="12">
    <mergeCell ref="A28:C28"/>
    <mergeCell ref="A29:C29"/>
    <mergeCell ref="A30:C30"/>
    <mergeCell ref="F6:F7"/>
    <mergeCell ref="A1:B1"/>
    <mergeCell ref="A2:B2"/>
    <mergeCell ref="A3:F3"/>
    <mergeCell ref="A4:B4"/>
    <mergeCell ref="A6:A7"/>
    <mergeCell ref="B6:B7"/>
    <mergeCell ref="C6:C7"/>
    <mergeCell ref="D6:E6"/>
  </mergeCells>
  <pageMargins left="0.51181102362204722" right="0.51181102362204722" top="0.74803149606299213" bottom="0.74803149606299213" header="0.31496062992125984" footer="0.31496062992125984"/>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11.01-12.01</vt:lpstr>
      <vt:lpstr>13.00</vt:lpstr>
      <vt:lpstr>14.00</vt:lpstr>
      <vt:lpstr>15.00-16.00</vt:lpstr>
      <vt:lpstr>31.01-31.09</vt:lpstr>
      <vt:lpstr>31.10</vt:lpstr>
      <vt:lpstr>35.00-35.01-37.00</vt:lpstr>
      <vt:lpstr>50.00</vt:lpstr>
      <vt:lpstr>70.00</vt:lpstr>
      <vt:lpstr>81.01</vt:lpstr>
      <vt:lpstr>81.02-81.03</vt:lpstr>
      <vt:lpstr>88.00</vt:lpstr>
      <vt:lpstr>91.00</vt:lpstr>
      <vt:lpstr>92.00</vt:lpstr>
      <vt:lpstr>93.00  dan 96.00</vt:lpstr>
      <vt:lpstr>97.01-97.02</vt:lpstr>
      <vt:lpstr>97.03-97.06</vt:lpstr>
      <vt:lpstr>97.07-97.09</vt:lpstr>
      <vt:lpstr>98.00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ADMIN-2</dc:creator>
  <cp:lastModifiedBy>PC</cp:lastModifiedBy>
  <cp:lastPrinted>2025-12-20T14:38:46Z</cp:lastPrinted>
  <dcterms:created xsi:type="dcterms:W3CDTF">2020-01-10T00:42:01Z</dcterms:created>
  <dcterms:modified xsi:type="dcterms:W3CDTF">2026-05-19T02:47:36Z</dcterms:modified>
</cp:coreProperties>
</file>