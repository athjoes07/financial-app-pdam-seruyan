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33C750D8-DB0E-45A6-8408-99FDBFC59E5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Laba-ETAP " sheetId="57" r:id="rId1"/>
    <sheet name="Laba-OTDA" sheetId="66" r:id="rId2"/>
    <sheet name="Neraca " sheetId="58" r:id="rId3"/>
    <sheet name="ARUS KAS" sheetId="62" r:id="rId4"/>
    <sheet name="LAP ARUS KAS" sheetId="80" state="hidden" r:id="rId5"/>
    <sheet name="LAP ARUS KAS (2)" sheetId="81" state="hidden" r:id="rId6"/>
    <sheet name="Lap. Perputaran Uang " sheetId="60" r:id="rId7"/>
    <sheet name="Ekuitas" sheetId="65" r:id="rId8"/>
    <sheet name="NERACA KOMPARATIF" sheetId="63" state="hidden" r:id="rId9"/>
    <sheet name="RL KOMPARATIF" sheetId="64" state="hidden" r:id="rId10"/>
    <sheet name="RINCIAN B. LANGSUNG USAHA" sheetId="67" r:id="rId11"/>
    <sheet name="RINCIAN B. TDK LANGSUNG" sheetId="68" r:id="rId12"/>
    <sheet name="B. NON OPERASIONAL" sheetId="69" r:id="rId13"/>
    <sheet name="P-9. Beban Operasi" sheetId="82" r:id="rId14"/>
    <sheet name="P-10. Beban Umum &amp; Adm" sheetId="83" r:id="rId15"/>
    <sheet name="Sheet1" sheetId="84" r:id="rId16"/>
    <sheet name="P-10. Biaya Operasi" sheetId="78" state="hidden" r:id="rId17"/>
    <sheet name="P-11. Biaya UMUM &amp; ADM" sheetId="79" state="hidden" r:id="rId18"/>
    <sheet name="lama" sheetId="76" state="hidden" r:id="rId19"/>
    <sheet name="lama2" sheetId="77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0">'Laba-ETAP '!$A$1:$Q$366</definedName>
    <definedName name="_xlnm.Print_Area" localSheetId="18">lama!$A$1:$T$95</definedName>
    <definedName name="_xlnm.Print_Area" localSheetId="19">lama2!$A$1:$T$90</definedName>
    <definedName name="_xlnm.Print_Area" localSheetId="14">'P-10. Beban Umum &amp; Adm'!$A$1:$S$85</definedName>
    <definedName name="_xlnm.Print_Area" localSheetId="16">'P-10. Biaya Operasi'!$A$1:$T$97</definedName>
    <definedName name="_xlnm.Print_Area" localSheetId="17">'P-11. Biaya UMUM &amp; ADM'!$A$1:$T$83</definedName>
    <definedName name="_xlnm.Print_Area" localSheetId="13">'P-9. Beban Operasi'!$A$1:$S$133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03" i="60" l="1"/>
  <c r="I793" i="60"/>
  <c r="H128" i="57"/>
  <c r="F128" i="57"/>
  <c r="F133" i="57"/>
  <c r="F134" i="57"/>
  <c r="F135" i="57"/>
  <c r="F136" i="57"/>
  <c r="G136" i="57"/>
  <c r="H136" i="57"/>
  <c r="E137" i="57"/>
  <c r="F137" i="57"/>
  <c r="H137" i="57"/>
  <c r="F139" i="57"/>
  <c r="F156" i="57" s="1"/>
  <c r="F140" i="57"/>
  <c r="F141" i="57"/>
  <c r="F142" i="57"/>
  <c r="F143" i="57"/>
  <c r="F144" i="57"/>
  <c r="F145" i="57"/>
  <c r="F146" i="57"/>
  <c r="F147" i="57"/>
  <c r="F148" i="57"/>
  <c r="F149" i="57"/>
  <c r="F150" i="57"/>
  <c r="F151" i="57"/>
  <c r="F152" i="57"/>
  <c r="F153" i="57"/>
  <c r="F154" i="57"/>
  <c r="F155" i="57"/>
  <c r="H156" i="57"/>
  <c r="F159" i="57"/>
  <c r="F164" i="57" s="1"/>
  <c r="F162" i="57"/>
  <c r="F163" i="57"/>
  <c r="H164" i="57"/>
  <c r="F18" i="57"/>
  <c r="F20" i="57"/>
  <c r="F21" i="57"/>
  <c r="F22" i="57"/>
  <c r="T44" i="82"/>
  <c r="T45" i="82"/>
  <c r="G189" i="60"/>
  <c r="E42" i="62"/>
  <c r="E103" i="62"/>
  <c r="G139" i="62"/>
  <c r="G43" i="62"/>
  <c r="I964" i="58"/>
  <c r="J962" i="58"/>
  <c r="H962" i="58"/>
  <c r="J955" i="58"/>
  <c r="J964" i="58" s="1"/>
  <c r="H955" i="58"/>
  <c r="H964" i="58" s="1"/>
  <c r="I945" i="58"/>
  <c r="J939" i="58"/>
  <c r="H939" i="58"/>
  <c r="J935" i="58"/>
  <c r="H935" i="58"/>
  <c r="J926" i="58"/>
  <c r="J930" i="58" s="1"/>
  <c r="J945" i="58" s="1"/>
  <c r="H926" i="58"/>
  <c r="H930" i="58" s="1"/>
  <c r="H945" i="58" s="1"/>
  <c r="I879" i="58"/>
  <c r="J877" i="58"/>
  <c r="H877" i="58"/>
  <c r="J870" i="58"/>
  <c r="J879" i="58" s="1"/>
  <c r="H870" i="58"/>
  <c r="H879" i="58" s="1"/>
  <c r="I860" i="58"/>
  <c r="J854" i="58"/>
  <c r="H854" i="58"/>
  <c r="J850" i="58"/>
  <c r="H850" i="58"/>
  <c r="J841" i="58"/>
  <c r="J845" i="58" s="1"/>
  <c r="J860" i="58" s="1"/>
  <c r="H841" i="58"/>
  <c r="H845" i="58" s="1"/>
  <c r="H860" i="58" s="1"/>
  <c r="I798" i="58"/>
  <c r="J796" i="58"/>
  <c r="H796" i="58"/>
  <c r="J789" i="58"/>
  <c r="J798" i="58" s="1"/>
  <c r="H789" i="58"/>
  <c r="H798" i="58" s="1"/>
  <c r="I779" i="58"/>
  <c r="J773" i="58"/>
  <c r="H773" i="58"/>
  <c r="H779" i="58" s="1"/>
  <c r="J769" i="58"/>
  <c r="H769" i="58"/>
  <c r="H764" i="58"/>
  <c r="J760" i="58"/>
  <c r="J764" i="58" s="1"/>
  <c r="J779" i="58" s="1"/>
  <c r="H760" i="58"/>
  <c r="J714" i="58"/>
  <c r="I714" i="58"/>
  <c r="H714" i="58"/>
  <c r="J712" i="58"/>
  <c r="H712" i="58"/>
  <c r="J705" i="58"/>
  <c r="H705" i="58"/>
  <c r="I695" i="58"/>
  <c r="J689" i="58"/>
  <c r="H689" i="58"/>
  <c r="J685" i="58"/>
  <c r="H685" i="58"/>
  <c r="H695" i="58" s="1"/>
  <c r="J680" i="58"/>
  <c r="J695" i="58" s="1"/>
  <c r="H680" i="58"/>
  <c r="J676" i="58"/>
  <c r="H676" i="58"/>
  <c r="I630" i="58"/>
  <c r="J628" i="58"/>
  <c r="H628" i="58"/>
  <c r="J621" i="58"/>
  <c r="J630" i="58" s="1"/>
  <c r="H621" i="58"/>
  <c r="H630" i="58" s="1"/>
  <c r="I611" i="58"/>
  <c r="J605" i="58"/>
  <c r="H605" i="58"/>
  <c r="J601" i="58"/>
  <c r="H601" i="58"/>
  <c r="J592" i="58"/>
  <c r="J596" i="58" s="1"/>
  <c r="J611" i="58" s="1"/>
  <c r="H592" i="58"/>
  <c r="H596" i="58" s="1"/>
  <c r="H611" i="58" s="1"/>
  <c r="I545" i="58"/>
  <c r="J543" i="58"/>
  <c r="H543" i="58"/>
  <c r="J536" i="58"/>
  <c r="J545" i="58" s="1"/>
  <c r="H536" i="58"/>
  <c r="H545" i="58" s="1"/>
  <c r="I526" i="58"/>
  <c r="J520" i="58"/>
  <c r="H520" i="58"/>
  <c r="J516" i="58"/>
  <c r="H516" i="58"/>
  <c r="J507" i="58"/>
  <c r="J511" i="58" s="1"/>
  <c r="J526" i="58" s="1"/>
  <c r="H507" i="58"/>
  <c r="H511" i="58" s="1"/>
  <c r="H526" i="58" s="1"/>
  <c r="I465" i="58"/>
  <c r="J463" i="58"/>
  <c r="H463" i="58"/>
  <c r="J456" i="58"/>
  <c r="J465" i="58" s="1"/>
  <c r="H456" i="58"/>
  <c r="H465" i="58" s="1"/>
  <c r="I446" i="58"/>
  <c r="J440" i="58"/>
  <c r="H440" i="58"/>
  <c r="J436" i="58"/>
  <c r="H436" i="58"/>
  <c r="J427" i="58"/>
  <c r="J431" i="58" s="1"/>
  <c r="J446" i="58" s="1"/>
  <c r="H427" i="58"/>
  <c r="H431" i="58" s="1"/>
  <c r="H446" i="58" s="1"/>
  <c r="I382" i="58"/>
  <c r="J380" i="58"/>
  <c r="J382" i="58" s="1"/>
  <c r="H380" i="58"/>
  <c r="J373" i="58"/>
  <c r="H373" i="58"/>
  <c r="H382" i="58" s="1"/>
  <c r="I363" i="58"/>
  <c r="J357" i="58"/>
  <c r="H357" i="58"/>
  <c r="J353" i="58"/>
  <c r="H353" i="58"/>
  <c r="J344" i="58"/>
  <c r="J348" i="58" s="1"/>
  <c r="J363" i="58" s="1"/>
  <c r="H344" i="58"/>
  <c r="H348" i="58" s="1"/>
  <c r="H363" i="58" s="1"/>
  <c r="I303" i="58"/>
  <c r="J301" i="58"/>
  <c r="H301" i="58"/>
  <c r="J294" i="58"/>
  <c r="J303" i="58" s="1"/>
  <c r="H294" i="58"/>
  <c r="H303" i="58" s="1"/>
  <c r="I284" i="58"/>
  <c r="J278" i="58"/>
  <c r="H278" i="58"/>
  <c r="J274" i="58"/>
  <c r="H274" i="58"/>
  <c r="J265" i="58"/>
  <c r="J269" i="58" s="1"/>
  <c r="J284" i="58" s="1"/>
  <c r="H265" i="58"/>
  <c r="H269" i="58" s="1"/>
  <c r="H284" i="58" s="1"/>
  <c r="I218" i="58"/>
  <c r="J216" i="58"/>
  <c r="J218" i="58" s="1"/>
  <c r="H216" i="58"/>
  <c r="J209" i="58"/>
  <c r="H209" i="58"/>
  <c r="H218" i="58" s="1"/>
  <c r="I199" i="58"/>
  <c r="H199" i="58"/>
  <c r="J193" i="58"/>
  <c r="H193" i="58"/>
  <c r="J189" i="58"/>
  <c r="H189" i="58"/>
  <c r="H184" i="58"/>
  <c r="J180" i="58"/>
  <c r="J184" i="58" s="1"/>
  <c r="J199" i="58" s="1"/>
  <c r="H180" i="58"/>
  <c r="I135" i="58"/>
  <c r="J133" i="58"/>
  <c r="J135" i="58" s="1"/>
  <c r="H133" i="58"/>
  <c r="J126" i="58"/>
  <c r="H126" i="58"/>
  <c r="H135" i="58" s="1"/>
  <c r="I116" i="58"/>
  <c r="J110" i="58"/>
  <c r="H110" i="58"/>
  <c r="J106" i="58"/>
  <c r="H106" i="58"/>
  <c r="J97" i="58"/>
  <c r="J101" i="58" s="1"/>
  <c r="J116" i="58" s="1"/>
  <c r="H97" i="58"/>
  <c r="H101" i="58" s="1"/>
  <c r="H116" i="58" s="1"/>
  <c r="A7" i="58" a="1"/>
  <c r="A7" i="58" s="1"/>
  <c r="P17" i="83"/>
  <c r="G17" i="83"/>
  <c r="E82" i="83"/>
  <c r="E83" i="83" s="1"/>
  <c r="E55" i="83"/>
  <c r="H157" i="57" l="1"/>
  <c r="H165" i="57" s="1"/>
  <c r="H168" i="57" s="1"/>
  <c r="F157" i="57"/>
  <c r="F165" i="57" s="1"/>
  <c r="F168" i="57" s="1"/>
  <c r="H135" i="82"/>
  <c r="I135" i="82"/>
  <c r="J135" i="82"/>
  <c r="K135" i="82"/>
  <c r="L135" i="82"/>
  <c r="M135" i="82"/>
  <c r="N135" i="82"/>
  <c r="O135" i="82"/>
  <c r="P135" i="82"/>
  <c r="G135" i="82"/>
  <c r="F135" i="82"/>
  <c r="E135" i="82" l="1"/>
  <c r="P56" i="82" l="1"/>
  <c r="P33" i="82"/>
  <c r="O33" i="82"/>
  <c r="N33" i="82"/>
  <c r="M33" i="82"/>
  <c r="L33" i="82"/>
  <c r="K33" i="82"/>
  <c r="J33" i="82"/>
  <c r="I33" i="82"/>
  <c r="H33" i="82"/>
  <c r="G33" i="82"/>
  <c r="F33" i="82"/>
  <c r="E33" i="82"/>
  <c r="P28" i="82"/>
  <c r="O28" i="82"/>
  <c r="N28" i="82"/>
  <c r="M28" i="82"/>
  <c r="L28" i="82"/>
  <c r="K28" i="82"/>
  <c r="J28" i="82"/>
  <c r="I28" i="82"/>
  <c r="H28" i="82"/>
  <c r="G28" i="82"/>
  <c r="F28" i="82"/>
  <c r="E28" i="82"/>
  <c r="H109" i="67" l="1"/>
  <c r="F276" i="57"/>
  <c r="H355" i="57"/>
  <c r="F354" i="57"/>
  <c r="F353" i="57"/>
  <c r="F350" i="57"/>
  <c r="H347" i="57"/>
  <c r="F346" i="57"/>
  <c r="F345" i="57"/>
  <c r="F344" i="57"/>
  <c r="F343" i="57"/>
  <c r="F342" i="57"/>
  <c r="F341" i="57"/>
  <c r="F339" i="57"/>
  <c r="F338" i="57"/>
  <c r="F337" i="57"/>
  <c r="F335" i="57"/>
  <c r="F333" i="57"/>
  <c r="F332" i="57"/>
  <c r="E328" i="57"/>
  <c r="H327" i="57"/>
  <c r="G327" i="57"/>
  <c r="F326" i="57"/>
  <c r="F325" i="57"/>
  <c r="F324" i="57"/>
  <c r="F322" i="57"/>
  <c r="H319" i="57"/>
  <c r="F260" i="57"/>
  <c r="F280" i="57"/>
  <c r="F215" i="57"/>
  <c r="F211" i="57"/>
  <c r="F273" i="57"/>
  <c r="F208" i="57"/>
  <c r="H293" i="57"/>
  <c r="F291" i="57"/>
  <c r="F288" i="57"/>
  <c r="H285" i="57"/>
  <c r="E266" i="57"/>
  <c r="H265" i="57"/>
  <c r="G265" i="57"/>
  <c r="F264" i="57"/>
  <c r="F263" i="57"/>
  <c r="F262" i="57"/>
  <c r="H257" i="57"/>
  <c r="H328" i="57" l="1"/>
  <c r="H348" i="57" s="1"/>
  <c r="H356" i="57" s="1"/>
  <c r="H359" i="57" s="1"/>
  <c r="H266" i="57"/>
  <c r="H286" i="57" s="1"/>
  <c r="H294" i="57" s="1"/>
  <c r="H297" i="57" s="1"/>
  <c r="F38" i="66" l="1"/>
  <c r="F22" i="66"/>
  <c r="F21" i="66"/>
  <c r="F20" i="66"/>
  <c r="F18" i="66"/>
  <c r="G42" i="60"/>
  <c r="G29" i="60"/>
  <c r="G23" i="60"/>
  <c r="G22" i="60"/>
  <c r="G20" i="60"/>
  <c r="G19" i="60"/>
  <c r="G14" i="60"/>
  <c r="G87" i="65" l="1"/>
  <c r="F81" i="65" l="1"/>
  <c r="E85" i="65"/>
  <c r="E81" i="65"/>
  <c r="D81" i="65"/>
  <c r="D89" i="65" s="1"/>
  <c r="C81" i="65"/>
  <c r="C89" i="65" s="1"/>
  <c r="G90" i="65"/>
  <c r="G83" i="65"/>
  <c r="F85" i="65" l="1"/>
  <c r="F89" i="65" s="1"/>
  <c r="G81" i="65"/>
  <c r="F40" i="65"/>
  <c r="E40" i="65"/>
  <c r="D40" i="65"/>
  <c r="D48" i="65" s="1"/>
  <c r="C40" i="65"/>
  <c r="G49" i="65"/>
  <c r="G46" i="65"/>
  <c r="G42" i="65"/>
  <c r="F10" i="65"/>
  <c r="E10" i="65"/>
  <c r="D10" i="65"/>
  <c r="C10" i="65"/>
  <c r="H228" i="57"/>
  <c r="F226" i="57"/>
  <c r="F223" i="57"/>
  <c r="H220" i="57"/>
  <c r="E201" i="57"/>
  <c r="H200" i="57"/>
  <c r="G200" i="57"/>
  <c r="F199" i="57"/>
  <c r="F198" i="57"/>
  <c r="F197" i="57"/>
  <c r="F195" i="57"/>
  <c r="H192" i="57"/>
  <c r="F46" i="57"/>
  <c r="F38" i="57"/>
  <c r="F34" i="57"/>
  <c r="F31" i="57"/>
  <c r="H201" i="57" l="1"/>
  <c r="H221" i="57" s="1"/>
  <c r="H229" i="57" s="1"/>
  <c r="H232" i="57" s="1"/>
  <c r="G85" i="65"/>
  <c r="G89" i="65" s="1"/>
  <c r="G98" i="65" s="1"/>
  <c r="E89" i="65"/>
  <c r="G40" i="65"/>
  <c r="C48" i="65"/>
  <c r="E44" i="65"/>
  <c r="F44" i="65"/>
  <c r="F48" i="65" s="1"/>
  <c r="G44" i="65" l="1"/>
  <c r="G48" i="65" s="1"/>
  <c r="G57" i="65" s="1"/>
  <c r="E48" i="65"/>
  <c r="G163" i="62" l="1"/>
  <c r="G158" i="62"/>
  <c r="G153" i="62"/>
  <c r="G165" i="62" l="1"/>
  <c r="G167" i="62" s="1"/>
  <c r="F49" i="57"/>
  <c r="I53" i="67" l="1"/>
  <c r="I37" i="67"/>
  <c r="G100" i="62" l="1"/>
  <c r="G95" i="62"/>
  <c r="G76" i="62"/>
  <c r="G90" i="62" s="1"/>
  <c r="G102" i="62" s="1"/>
  <c r="G104" i="62" s="1"/>
  <c r="L48" i="58" l="1"/>
  <c r="I54" i="58" l="1"/>
  <c r="J52" i="58"/>
  <c r="L43" i="58"/>
  <c r="E22" i="62" s="1"/>
  <c r="I35" i="58"/>
  <c r="J29" i="58"/>
  <c r="J25" i="58"/>
  <c r="J16" i="58"/>
  <c r="J20" i="58" s="1"/>
  <c r="J35" i="58" l="1"/>
  <c r="J45" i="58"/>
  <c r="J54" i="58" s="1"/>
  <c r="I51" i="60" l="1"/>
  <c r="I100" i="60" l="1"/>
  <c r="I171" i="60" s="1"/>
  <c r="I243" i="60" s="1"/>
  <c r="I314" i="60" s="1"/>
  <c r="I385" i="60" s="1"/>
  <c r="I101" i="60"/>
  <c r="G720" i="62" l="1"/>
  <c r="E720" i="62" l="1"/>
  <c r="G51" i="60"/>
  <c r="M767" i="66" l="1"/>
  <c r="G658" i="62" l="1"/>
  <c r="I725" i="60" l="1"/>
  <c r="G534" i="62" l="1"/>
  <c r="G12" i="66" l="1"/>
  <c r="G13" i="66"/>
  <c r="G473" i="62"/>
  <c r="O434" i="66" l="1"/>
  <c r="O443" i="66"/>
  <c r="O444" i="66"/>
  <c r="O454" i="66"/>
  <c r="O460" i="66"/>
  <c r="O465" i="66"/>
  <c r="G351" i="62" l="1"/>
  <c r="A5" i="84" l="1"/>
  <c r="G715" i="62"/>
  <c r="G710" i="62"/>
  <c r="G691" i="62"/>
  <c r="G705" i="62" s="1"/>
  <c r="G653" i="62"/>
  <c r="G648" i="62"/>
  <c r="G629" i="62"/>
  <c r="G643" i="62" s="1"/>
  <c r="G591" i="62"/>
  <c r="G586" i="62"/>
  <c r="G567" i="62"/>
  <c r="G581" i="62" s="1"/>
  <c r="G529" i="62"/>
  <c r="G524" i="62"/>
  <c r="G505" i="62"/>
  <c r="G519" i="62" s="1"/>
  <c r="G468" i="62"/>
  <c r="G463" i="62"/>
  <c r="G458" i="62"/>
  <c r="G407" i="62"/>
  <c r="G402" i="62"/>
  <c r="G383" i="62"/>
  <c r="G397" i="62" s="1"/>
  <c r="G346" i="62"/>
  <c r="G341" i="62"/>
  <c r="G322" i="62"/>
  <c r="G336" i="62" s="1"/>
  <c r="G285" i="62"/>
  <c r="G280" i="62"/>
  <c r="G261" i="62"/>
  <c r="G275" i="62" s="1"/>
  <c r="G225" i="62"/>
  <c r="G220" i="62"/>
  <c r="G201" i="62"/>
  <c r="G215" i="62" s="1"/>
  <c r="G409" i="62" l="1"/>
  <c r="G411" i="62" s="1"/>
  <c r="G655" i="62"/>
  <c r="G657" i="62" s="1"/>
  <c r="G287" i="62"/>
  <c r="G289" i="62" s="1"/>
  <c r="G531" i="62"/>
  <c r="G533" i="62" s="1"/>
  <c r="G227" i="62"/>
  <c r="G229" i="62" s="1"/>
  <c r="G348" i="62"/>
  <c r="G350" i="62" s="1"/>
  <c r="G470" i="62"/>
  <c r="G472" i="62" s="1"/>
  <c r="G593" i="62"/>
  <c r="G595" i="62" s="1"/>
  <c r="G717" i="62"/>
  <c r="G719" i="62" s="1"/>
  <c r="I721" i="62" s="1"/>
  <c r="G230" i="62"/>
  <c r="G86" i="60" l="1"/>
  <c r="S40" i="83" l="1"/>
  <c r="R92" i="82"/>
  <c r="Q81" i="83"/>
  <c r="Q80" i="83"/>
  <c r="Q79" i="83"/>
  <c r="Q78" i="83"/>
  <c r="Q77" i="83"/>
  <c r="Q76" i="83"/>
  <c r="Q74" i="83"/>
  <c r="Q73" i="83"/>
  <c r="Q72" i="83"/>
  <c r="Q71" i="83"/>
  <c r="Q70" i="83"/>
  <c r="Q69" i="83"/>
  <c r="O82" i="83"/>
  <c r="N82" i="83"/>
  <c r="M82" i="83"/>
  <c r="K82" i="83"/>
  <c r="J82" i="83"/>
  <c r="I82" i="83"/>
  <c r="H82" i="83"/>
  <c r="F82" i="83"/>
  <c r="Q67" i="83"/>
  <c r="B18" i="84" s="1"/>
  <c r="Q66" i="83"/>
  <c r="Q65" i="83"/>
  <c r="Q63" i="83"/>
  <c r="Q60" i="83"/>
  <c r="Q59" i="83"/>
  <c r="N62" i="83"/>
  <c r="J62" i="83"/>
  <c r="F62" i="83"/>
  <c r="Q57" i="83"/>
  <c r="Q56" i="83"/>
  <c r="P55" i="83"/>
  <c r="O55" i="83"/>
  <c r="N55" i="83"/>
  <c r="M55" i="83"/>
  <c r="L55" i="83"/>
  <c r="K55" i="83"/>
  <c r="J55" i="83"/>
  <c r="I55" i="83"/>
  <c r="H55" i="83"/>
  <c r="G55" i="83"/>
  <c r="F55" i="83"/>
  <c r="Q54" i="83"/>
  <c r="Q52" i="83"/>
  <c r="Q51" i="83"/>
  <c r="Q50" i="83"/>
  <c r="P48" i="83"/>
  <c r="O48" i="83"/>
  <c r="N48" i="83"/>
  <c r="M48" i="83"/>
  <c r="L48" i="83"/>
  <c r="K48" i="83"/>
  <c r="I48" i="83"/>
  <c r="H48" i="83"/>
  <c r="F48" i="83"/>
  <c r="E48" i="83"/>
  <c r="Q47" i="83"/>
  <c r="Q46" i="83"/>
  <c r="G48" i="83"/>
  <c r="Q44" i="83"/>
  <c r="Q42" i="83"/>
  <c r="Q41" i="83"/>
  <c r="P43" i="83"/>
  <c r="O43" i="83"/>
  <c r="N43" i="83"/>
  <c r="M43" i="83"/>
  <c r="L43" i="83"/>
  <c r="K43" i="83"/>
  <c r="J43" i="83"/>
  <c r="I43" i="83"/>
  <c r="H43" i="83"/>
  <c r="G43" i="83"/>
  <c r="Q38" i="83"/>
  <c r="Q37" i="83"/>
  <c r="Q36" i="83"/>
  <c r="Q35" i="83"/>
  <c r="Q34" i="83"/>
  <c r="Q33" i="83"/>
  <c r="Q32" i="83"/>
  <c r="O30" i="83"/>
  <c r="M30" i="83"/>
  <c r="L30" i="83"/>
  <c r="K30" i="83"/>
  <c r="J30" i="83"/>
  <c r="I30" i="83"/>
  <c r="F30" i="83"/>
  <c r="Q29" i="83"/>
  <c r="B24" i="84" s="1"/>
  <c r="Q28" i="83"/>
  <c r="Q27" i="83"/>
  <c r="Q26" i="83"/>
  <c r="Q25" i="83"/>
  <c r="N30" i="83"/>
  <c r="Q23" i="83"/>
  <c r="E30" i="83"/>
  <c r="Q21" i="83"/>
  <c r="Q20" i="83"/>
  <c r="Q19" i="83"/>
  <c r="Q18" i="83"/>
  <c r="P30" i="83"/>
  <c r="G30" i="83"/>
  <c r="Q16" i="83"/>
  <c r="Q15" i="83"/>
  <c r="Q14" i="83"/>
  <c r="Q125" i="82"/>
  <c r="P126" i="82"/>
  <c r="O126" i="82"/>
  <c r="N126" i="82"/>
  <c r="M126" i="82"/>
  <c r="L126" i="82"/>
  <c r="K126" i="82"/>
  <c r="J126" i="82"/>
  <c r="I126" i="82"/>
  <c r="H126" i="82"/>
  <c r="G126" i="82"/>
  <c r="F126" i="82"/>
  <c r="Q123" i="82"/>
  <c r="Q122" i="82"/>
  <c r="Q121" i="82"/>
  <c r="Q120" i="82"/>
  <c r="Q117" i="82"/>
  <c r="E118" i="82"/>
  <c r="Q115" i="82"/>
  <c r="Q114" i="82"/>
  <c r="Q113" i="82"/>
  <c r="Q111" i="82"/>
  <c r="Q110" i="82"/>
  <c r="Q109" i="82"/>
  <c r="Q108" i="82"/>
  <c r="Q107" i="82"/>
  <c r="Q106" i="82"/>
  <c r="Q104" i="82"/>
  <c r="J118" i="82"/>
  <c r="F118" i="82"/>
  <c r="Q102" i="82"/>
  <c r="P96" i="82"/>
  <c r="O96" i="82"/>
  <c r="N96" i="82"/>
  <c r="M96" i="82"/>
  <c r="L96" i="82"/>
  <c r="K96" i="82"/>
  <c r="I96" i="82"/>
  <c r="H96" i="82"/>
  <c r="G96" i="82"/>
  <c r="F96" i="82"/>
  <c r="E96" i="82"/>
  <c r="Q95" i="82"/>
  <c r="Q94" i="82"/>
  <c r="J96" i="82"/>
  <c r="Q92" i="82"/>
  <c r="S92" i="82" s="1"/>
  <c r="Q89" i="82"/>
  <c r="Q88" i="82"/>
  <c r="O81" i="82"/>
  <c r="E71" i="82"/>
  <c r="Q65" i="82"/>
  <c r="Q64" i="82"/>
  <c r="Q62" i="82"/>
  <c r="Q60" i="82"/>
  <c r="Q59" i="82"/>
  <c r="Q58" i="82"/>
  <c r="Q57" i="82"/>
  <c r="Q56" i="82"/>
  <c r="Q55" i="82"/>
  <c r="Q54" i="82"/>
  <c r="Q53" i="82"/>
  <c r="Q52" i="82"/>
  <c r="Q49" i="82"/>
  <c r="P44" i="82"/>
  <c r="O44" i="82"/>
  <c r="N44" i="82"/>
  <c r="M44" i="82"/>
  <c r="L44" i="82"/>
  <c r="K44" i="82"/>
  <c r="J44" i="82"/>
  <c r="I44" i="82"/>
  <c r="H44" i="82"/>
  <c r="G44" i="82"/>
  <c r="F44" i="82"/>
  <c r="E44" i="82"/>
  <c r="Q43" i="82"/>
  <c r="Q42" i="82"/>
  <c r="Q41" i="82"/>
  <c r="Q40" i="82"/>
  <c r="Q39" i="82"/>
  <c r="Q38" i="82"/>
  <c r="Q35" i="82"/>
  <c r="Q34" i="82"/>
  <c r="Q32" i="82"/>
  <c r="Q31" i="82"/>
  <c r="Q30" i="82"/>
  <c r="Q29" i="82"/>
  <c r="S29" i="82" s="1"/>
  <c r="Q25" i="82"/>
  <c r="S25" i="82" s="1"/>
  <c r="Q24" i="82"/>
  <c r="S24" i="82" s="1"/>
  <c r="Q23" i="82"/>
  <c r="S23" i="82" s="1"/>
  <c r="Q22" i="82"/>
  <c r="S22" i="82" s="1"/>
  <c r="Q21" i="82"/>
  <c r="S21" i="82" s="1"/>
  <c r="Q20" i="82"/>
  <c r="S20" i="82" s="1"/>
  <c r="Q19" i="82"/>
  <c r="S19" i="82" s="1"/>
  <c r="Q18" i="82"/>
  <c r="S18" i="82" s="1"/>
  <c r="Q17" i="82"/>
  <c r="S17" i="82" s="1"/>
  <c r="Q16" i="82"/>
  <c r="S16" i="82" s="1"/>
  <c r="Q15" i="82"/>
  <c r="S15" i="82" s="1"/>
  <c r="Q14" i="82"/>
  <c r="S14" i="82" s="1"/>
  <c r="Q13" i="82"/>
  <c r="S13" i="82" s="1"/>
  <c r="Q12" i="82"/>
  <c r="S12" i="82" s="1"/>
  <c r="Q11" i="82"/>
  <c r="S11" i="82" s="1"/>
  <c r="P82" i="83" l="1"/>
  <c r="N86" i="82"/>
  <c r="E36" i="82"/>
  <c r="E46" i="82" s="1"/>
  <c r="E48" i="82" s="1"/>
  <c r="K36" i="82"/>
  <c r="K46" i="82" s="1"/>
  <c r="K48" i="82" s="1"/>
  <c r="M36" i="82"/>
  <c r="M46" i="82" s="1"/>
  <c r="M48" i="82" s="1"/>
  <c r="I36" i="82"/>
  <c r="I46" i="82" s="1"/>
  <c r="I48" i="82" s="1"/>
  <c r="L82" i="83"/>
  <c r="G81" i="82"/>
  <c r="F86" i="82"/>
  <c r="N118" i="82"/>
  <c r="N127" i="82" s="1"/>
  <c r="N129" i="82" s="1"/>
  <c r="H118" i="82"/>
  <c r="H127" i="82" s="1"/>
  <c r="H129" i="82" s="1"/>
  <c r="H71" i="82"/>
  <c r="H62" i="83"/>
  <c r="Q112" i="82"/>
  <c r="I62" i="83"/>
  <c r="I83" i="83" s="1"/>
  <c r="I85" i="83" s="1"/>
  <c r="L71" i="82"/>
  <c r="O118" i="82"/>
  <c r="O127" i="82" s="1"/>
  <c r="O129" i="82" s="1"/>
  <c r="L76" i="82"/>
  <c r="K81" i="82"/>
  <c r="J86" i="82"/>
  <c r="M62" i="83"/>
  <c r="M83" i="83" s="1"/>
  <c r="M85" i="83" s="1"/>
  <c r="P71" i="82"/>
  <c r="G76" i="82"/>
  <c r="K76" i="82"/>
  <c r="Q83" i="82"/>
  <c r="I86" i="82"/>
  <c r="M86" i="82"/>
  <c r="B19" i="84"/>
  <c r="F132" i="82"/>
  <c r="J132" i="82"/>
  <c r="N132" i="82"/>
  <c r="Q17" i="83"/>
  <c r="S13" i="83" s="1"/>
  <c r="Q58" i="83"/>
  <c r="G82" i="83"/>
  <c r="Q82" i="83" s="1"/>
  <c r="Q22" i="83"/>
  <c r="Q45" i="83"/>
  <c r="Q84" i="83"/>
  <c r="Q39" i="83"/>
  <c r="Q55" i="83"/>
  <c r="B22" i="84" s="1"/>
  <c r="G62" i="83"/>
  <c r="K62" i="83"/>
  <c r="K83" i="83" s="1"/>
  <c r="K85" i="83" s="1"/>
  <c r="O62" i="83"/>
  <c r="O83" i="83" s="1"/>
  <c r="O85" i="83" s="1"/>
  <c r="Q61" i="83"/>
  <c r="Q24" i="83"/>
  <c r="L62" i="83"/>
  <c r="P62" i="83"/>
  <c r="P83" i="83" s="1"/>
  <c r="P85" i="83" s="1"/>
  <c r="F36" i="82"/>
  <c r="F46" i="82" s="1"/>
  <c r="F48" i="82" s="1"/>
  <c r="N36" i="82"/>
  <c r="N46" i="82" s="1"/>
  <c r="N48" i="82" s="1"/>
  <c r="Q47" i="82"/>
  <c r="Q63" i="82"/>
  <c r="Q124" i="82"/>
  <c r="G36" i="82"/>
  <c r="G46" i="82" s="1"/>
  <c r="G48" i="82" s="1"/>
  <c r="O36" i="82"/>
  <c r="O46" i="82" s="1"/>
  <c r="O48" i="82" s="1"/>
  <c r="Q33" i="82"/>
  <c r="H76" i="82"/>
  <c r="G86" i="82"/>
  <c r="K86" i="82"/>
  <c r="O86" i="82"/>
  <c r="Q98" i="82"/>
  <c r="P76" i="82"/>
  <c r="Q27" i="82"/>
  <c r="Q68" i="82"/>
  <c r="M71" i="82"/>
  <c r="Q74" i="82"/>
  <c r="Q75" i="82"/>
  <c r="Q93" i="82"/>
  <c r="Q96" i="82" s="1"/>
  <c r="E126" i="82"/>
  <c r="E127" i="82" s="1"/>
  <c r="G132" i="82"/>
  <c r="K132" i="82"/>
  <c r="O132" i="82"/>
  <c r="Q44" i="82"/>
  <c r="Q45" i="82"/>
  <c r="B23" i="84" s="1"/>
  <c r="Q61" i="82"/>
  <c r="Q70" i="82"/>
  <c r="O76" i="82"/>
  <c r="G118" i="82"/>
  <c r="G127" i="82" s="1"/>
  <c r="G129" i="82" s="1"/>
  <c r="J36" i="82"/>
  <c r="J46" i="82" s="1"/>
  <c r="J48" i="82" s="1"/>
  <c r="F81" i="82"/>
  <c r="J81" i="82"/>
  <c r="N81" i="82"/>
  <c r="Q79" i="82"/>
  <c r="L118" i="82"/>
  <c r="L127" i="82" s="1"/>
  <c r="L129" i="82" s="1"/>
  <c r="P118" i="82"/>
  <c r="P127" i="82" s="1"/>
  <c r="P129" i="82" s="1"/>
  <c r="N83" i="83"/>
  <c r="N85" i="83" s="1"/>
  <c r="H30" i="83"/>
  <c r="H83" i="83" s="1"/>
  <c r="H85" i="83" s="1"/>
  <c r="E43" i="83"/>
  <c r="J48" i="83"/>
  <c r="Q48" i="83" s="1"/>
  <c r="B13" i="84" s="1"/>
  <c r="Q68" i="83"/>
  <c r="Q75" i="83"/>
  <c r="E62" i="83"/>
  <c r="F43" i="83"/>
  <c r="F83" i="83" s="1"/>
  <c r="F85" i="83" s="1"/>
  <c r="H36" i="82"/>
  <c r="L36" i="82"/>
  <c r="L46" i="82" s="1"/>
  <c r="L48" i="82" s="1"/>
  <c r="P36" i="82"/>
  <c r="P46" i="82" s="1"/>
  <c r="P48" i="82" s="1"/>
  <c r="F71" i="82"/>
  <c r="J71" i="82"/>
  <c r="N71" i="82"/>
  <c r="I71" i="82"/>
  <c r="Q80" i="82"/>
  <c r="Q84" i="82"/>
  <c r="Q85" i="82"/>
  <c r="E86" i="82"/>
  <c r="K118" i="82"/>
  <c r="K127" i="82" s="1"/>
  <c r="Q116" i="82"/>
  <c r="Q26" i="82"/>
  <c r="G71" i="82"/>
  <c r="K71" i="82"/>
  <c r="O71" i="82"/>
  <c r="Q69" i="82"/>
  <c r="E76" i="82"/>
  <c r="I76" i="82"/>
  <c r="M76" i="82"/>
  <c r="H81" i="82"/>
  <c r="L81" i="82"/>
  <c r="P81" i="82"/>
  <c r="H86" i="82"/>
  <c r="L86" i="82"/>
  <c r="P86" i="82"/>
  <c r="F127" i="82"/>
  <c r="F129" i="82" s="1"/>
  <c r="J127" i="82"/>
  <c r="J129" i="82" s="1"/>
  <c r="H132" i="82"/>
  <c r="L132" i="82"/>
  <c r="P132" i="82"/>
  <c r="Q130" i="82"/>
  <c r="B26" i="84" s="1"/>
  <c r="F76" i="82"/>
  <c r="J76" i="82"/>
  <c r="N76" i="82"/>
  <c r="E81" i="82"/>
  <c r="I81" i="82"/>
  <c r="M81" i="82"/>
  <c r="I118" i="82"/>
  <c r="M118" i="82"/>
  <c r="M127" i="82" s="1"/>
  <c r="E132" i="82"/>
  <c r="I132" i="82"/>
  <c r="M132" i="82"/>
  <c r="Q73" i="82"/>
  <c r="Q103" i="82"/>
  <c r="Q78" i="82"/>
  <c r="Q128" i="82"/>
  <c r="G83" i="83" l="1"/>
  <c r="L83" i="83"/>
  <c r="L85" i="83" s="1"/>
  <c r="B5" i="84"/>
  <c r="U105" i="82"/>
  <c r="B11" i="84"/>
  <c r="B25" i="84"/>
  <c r="G85" i="83"/>
  <c r="Q86" i="82"/>
  <c r="E87" i="82"/>
  <c r="E90" i="82" s="1"/>
  <c r="K87" i="82"/>
  <c r="K90" i="82" s="1"/>
  <c r="K97" i="82" s="1"/>
  <c r="K99" i="82" s="1"/>
  <c r="Q71" i="82"/>
  <c r="G87" i="82"/>
  <c r="G90" i="82" s="1"/>
  <c r="G97" i="82" s="1"/>
  <c r="G99" i="82" s="1"/>
  <c r="Q36" i="82"/>
  <c r="Q62" i="83"/>
  <c r="J83" i="83"/>
  <c r="J85" i="83" s="1"/>
  <c r="Q126" i="82"/>
  <c r="P87" i="82"/>
  <c r="P90" i="82" s="1"/>
  <c r="P97" i="82" s="1"/>
  <c r="P99" i="82" s="1"/>
  <c r="Q132" i="82"/>
  <c r="B16" i="84" s="1"/>
  <c r="L87" i="82"/>
  <c r="L90" i="82" s="1"/>
  <c r="L97" i="82" s="1"/>
  <c r="L131" i="82" s="1"/>
  <c r="L133" i="82" s="1"/>
  <c r="L136" i="82" s="1"/>
  <c r="Q118" i="82"/>
  <c r="B6" i="84" s="1"/>
  <c r="H87" i="82"/>
  <c r="H90" i="82" s="1"/>
  <c r="H97" i="82" s="1"/>
  <c r="Q28" i="82"/>
  <c r="B20" i="84" s="1"/>
  <c r="I127" i="82"/>
  <c r="I129" i="82" s="1"/>
  <c r="Q76" i="82"/>
  <c r="Q81" i="82"/>
  <c r="H46" i="82"/>
  <c r="H48" i="82" s="1"/>
  <c r="Q48" i="82" s="1"/>
  <c r="M87" i="82"/>
  <c r="M90" i="82" s="1"/>
  <c r="M97" i="82" s="1"/>
  <c r="M99" i="82" s="1"/>
  <c r="O87" i="82"/>
  <c r="O90" i="82" s="1"/>
  <c r="O97" i="82" s="1"/>
  <c r="O99" i="82" s="1"/>
  <c r="Q30" i="83"/>
  <c r="B7" i="84" s="1"/>
  <c r="Q43" i="83"/>
  <c r="B21" i="84" s="1"/>
  <c r="M129" i="82"/>
  <c r="K129" i="82"/>
  <c r="F87" i="82"/>
  <c r="F90" i="82" s="1"/>
  <c r="F97" i="82" s="1"/>
  <c r="I87" i="82"/>
  <c r="I90" i="82" s="1"/>
  <c r="I97" i="82" s="1"/>
  <c r="I99" i="82" s="1"/>
  <c r="E129" i="82"/>
  <c r="N87" i="82"/>
  <c r="N90" i="82" s="1"/>
  <c r="N97" i="82" s="1"/>
  <c r="Q105" i="82"/>
  <c r="J87" i="82"/>
  <c r="J90" i="82" s="1"/>
  <c r="J97" i="82" s="1"/>
  <c r="B14" i="84" l="1"/>
  <c r="L99" i="82"/>
  <c r="K131" i="82"/>
  <c r="K133" i="82" s="1"/>
  <c r="K136" i="82" s="1"/>
  <c r="H131" i="82"/>
  <c r="H133" i="82" s="1"/>
  <c r="H136" i="82" s="1"/>
  <c r="M131" i="82"/>
  <c r="M133" i="82" s="1"/>
  <c r="M136" i="82" s="1"/>
  <c r="P131" i="82"/>
  <c r="P133" i="82" s="1"/>
  <c r="P136" i="82" s="1"/>
  <c r="H99" i="82"/>
  <c r="B8" i="84"/>
  <c r="O131" i="82"/>
  <c r="O133" i="82" s="1"/>
  <c r="O136" i="82" s="1"/>
  <c r="G131" i="82"/>
  <c r="G133" i="82" s="1"/>
  <c r="G136" i="82" s="1"/>
  <c r="Q46" i="82"/>
  <c r="Q127" i="82"/>
  <c r="Q129" i="82" s="1"/>
  <c r="Q83" i="83"/>
  <c r="Q85" i="83" s="1"/>
  <c r="E85" i="83"/>
  <c r="E97" i="82"/>
  <c r="Q90" i="82"/>
  <c r="Q87" i="82"/>
  <c r="B12" i="84" s="1"/>
  <c r="I131" i="82"/>
  <c r="I133" i="82" s="1"/>
  <c r="I136" i="82" s="1"/>
  <c r="F99" i="82"/>
  <c r="F131" i="82"/>
  <c r="F133" i="82" s="1"/>
  <c r="F136" i="82" s="1"/>
  <c r="J99" i="82"/>
  <c r="J131" i="82"/>
  <c r="J133" i="82" s="1"/>
  <c r="J136" i="82" s="1"/>
  <c r="N99" i="82"/>
  <c r="N131" i="82"/>
  <c r="N133" i="82" s="1"/>
  <c r="N136" i="82" s="1"/>
  <c r="B27" i="84" l="1"/>
  <c r="B31" i="84" s="1"/>
  <c r="Q97" i="82"/>
  <c r="E99" i="82"/>
  <c r="E131" i="82"/>
  <c r="Q131" i="82" s="1"/>
  <c r="Q133" i="82" l="1"/>
  <c r="E133" i="82"/>
  <c r="E136" i="82" s="1"/>
  <c r="Q99" i="82"/>
  <c r="G105" i="62" l="1"/>
  <c r="L880" i="58" l="1"/>
  <c r="L964" i="58"/>
  <c r="I24" i="60"/>
  <c r="I16" i="60"/>
  <c r="L13" i="81" l="1"/>
  <c r="L12" i="81"/>
  <c r="I44" i="60"/>
  <c r="I39" i="60" l="1"/>
  <c r="I46" i="60" s="1"/>
  <c r="I26" i="60"/>
  <c r="I31" i="60"/>
  <c r="I33" i="60" l="1"/>
  <c r="I47" i="60" s="1"/>
  <c r="I49" i="60" s="1"/>
  <c r="I24" i="81" l="1"/>
  <c r="I23" i="81"/>
  <c r="I22" i="81"/>
  <c r="G905" i="81"/>
  <c r="G898" i="81"/>
  <c r="G892" i="81"/>
  <c r="G881" i="81"/>
  <c r="G833" i="81"/>
  <c r="G826" i="81"/>
  <c r="G820" i="81"/>
  <c r="G809" i="81"/>
  <c r="G761" i="81"/>
  <c r="G754" i="81"/>
  <c r="G748" i="81"/>
  <c r="G737" i="81"/>
  <c r="G689" i="81"/>
  <c r="G682" i="81"/>
  <c r="G676" i="81"/>
  <c r="G665" i="81"/>
  <c r="G617" i="81"/>
  <c r="G610" i="81"/>
  <c r="G604" i="81"/>
  <c r="G593" i="81"/>
  <c r="G553" i="81"/>
  <c r="G545" i="81"/>
  <c r="G538" i="81"/>
  <c r="G532" i="81"/>
  <c r="G521" i="81"/>
  <c r="G481" i="81"/>
  <c r="G473" i="81"/>
  <c r="G466" i="81"/>
  <c r="G460" i="81"/>
  <c r="G449" i="81"/>
  <c r="G462" i="81" s="1"/>
  <c r="G475" i="81" s="1"/>
  <c r="G409" i="81"/>
  <c r="G401" i="81"/>
  <c r="G394" i="81"/>
  <c r="G388" i="81"/>
  <c r="G377" i="81"/>
  <c r="G390" i="81" s="1"/>
  <c r="G337" i="81"/>
  <c r="G329" i="81"/>
  <c r="G322" i="81"/>
  <c r="G316" i="81"/>
  <c r="G305" i="81"/>
  <c r="G265" i="81"/>
  <c r="G257" i="81"/>
  <c r="G250" i="81"/>
  <c r="G244" i="81"/>
  <c r="G233" i="81"/>
  <c r="G193" i="81"/>
  <c r="G185" i="81"/>
  <c r="I184" i="81"/>
  <c r="I255" i="81" s="1"/>
  <c r="I326" i="81" s="1"/>
  <c r="I397" i="81" s="1"/>
  <c r="I183" i="81"/>
  <c r="I254" i="81" s="1"/>
  <c r="I325" i="81" s="1"/>
  <c r="I182" i="81"/>
  <c r="I253" i="81" s="1"/>
  <c r="I181" i="81"/>
  <c r="G172" i="81"/>
  <c r="I170" i="81"/>
  <c r="I242" i="81" s="1"/>
  <c r="I314" i="81" s="1"/>
  <c r="I386" i="81" s="1"/>
  <c r="I458" i="81" s="1"/>
  <c r="I530" i="81" s="1"/>
  <c r="I602" i="81" s="1"/>
  <c r="I674" i="81" s="1"/>
  <c r="I746" i="81" s="1"/>
  <c r="I818" i="81" s="1"/>
  <c r="I890" i="81" s="1"/>
  <c r="G27" i="81" s="1"/>
  <c r="I169" i="81"/>
  <c r="I241" i="81" s="1"/>
  <c r="I313" i="81" s="1"/>
  <c r="I385" i="81" s="1"/>
  <c r="I457" i="81" s="1"/>
  <c r="I529" i="81" s="1"/>
  <c r="I601" i="81" s="1"/>
  <c r="I673" i="81" s="1"/>
  <c r="I745" i="81" s="1"/>
  <c r="I817" i="81" s="1"/>
  <c r="I889" i="81" s="1"/>
  <c r="G26" i="81" s="1"/>
  <c r="I168" i="81"/>
  <c r="I240" i="81" s="1"/>
  <c r="I312" i="81" s="1"/>
  <c r="I384" i="81" s="1"/>
  <c r="I456" i="81" s="1"/>
  <c r="I528" i="81" s="1"/>
  <c r="I600" i="81" s="1"/>
  <c r="I672" i="81" s="1"/>
  <c r="I744" i="81" s="1"/>
  <c r="I816" i="81" s="1"/>
  <c r="I888" i="81" s="1"/>
  <c r="G25" i="81" s="1"/>
  <c r="G161" i="81"/>
  <c r="G174" i="81" s="1"/>
  <c r="I160" i="81"/>
  <c r="I159" i="81"/>
  <c r="I231" i="81" s="1"/>
  <c r="I303" i="81" s="1"/>
  <c r="I375" i="81" s="1"/>
  <c r="I447" i="81" s="1"/>
  <c r="I519" i="81" s="1"/>
  <c r="I591" i="81" s="1"/>
  <c r="I663" i="81" s="1"/>
  <c r="I735" i="81" s="1"/>
  <c r="I807" i="81" s="1"/>
  <c r="I879" i="81" s="1"/>
  <c r="G16" i="81" s="1"/>
  <c r="I158" i="81"/>
  <c r="I230" i="81" s="1"/>
  <c r="I302" i="81" s="1"/>
  <c r="I374" i="81" s="1"/>
  <c r="I446" i="81" s="1"/>
  <c r="I518" i="81" s="1"/>
  <c r="I590" i="81" s="1"/>
  <c r="I662" i="81" s="1"/>
  <c r="I734" i="81" s="1"/>
  <c r="I806" i="81" s="1"/>
  <c r="I878" i="81" s="1"/>
  <c r="G15" i="81" s="1"/>
  <c r="I114" i="81"/>
  <c r="G114" i="81"/>
  <c r="G106" i="81"/>
  <c r="I106" i="81" s="1"/>
  <c r="I107" i="81" s="1"/>
  <c r="I42" i="81"/>
  <c r="M39" i="81"/>
  <c r="I34" i="81"/>
  <c r="I35" i="81" s="1"/>
  <c r="I21" i="81"/>
  <c r="L20" i="81"/>
  <c r="I18" i="81"/>
  <c r="I21" i="80"/>
  <c r="L20" i="80"/>
  <c r="I34" i="80"/>
  <c r="M39" i="80"/>
  <c r="G318" i="81" l="1"/>
  <c r="G331" i="81" s="1"/>
  <c r="I185" i="81"/>
  <c r="I256" i="81" s="1"/>
  <c r="I327" i="81" s="1"/>
  <c r="I398" i="81" s="1"/>
  <c r="I469" i="81" s="1"/>
  <c r="I26" i="81"/>
  <c r="G534" i="81"/>
  <c r="G547" i="81" s="1"/>
  <c r="G606" i="81"/>
  <c r="G619" i="81" s="1"/>
  <c r="G403" i="81"/>
  <c r="G246" i="81"/>
  <c r="G259" i="81" s="1"/>
  <c r="G678" i="81"/>
  <c r="G691" i="81" s="1"/>
  <c r="G750" i="81"/>
  <c r="G763" i="81" s="1"/>
  <c r="G822" i="81"/>
  <c r="G835" i="81" s="1"/>
  <c r="G894" i="81"/>
  <c r="G907" i="81" s="1"/>
  <c r="I29" i="81"/>
  <c r="I31" i="81" s="1"/>
  <c r="I44" i="81" s="1"/>
  <c r="I48" i="81" s="1"/>
  <c r="G107" i="81"/>
  <c r="I257" i="81" l="1"/>
  <c r="I328" i="81" s="1"/>
  <c r="I399" i="81" s="1"/>
  <c r="I470" i="81" s="1"/>
  <c r="I541" i="81" s="1"/>
  <c r="I329" i="81"/>
  <c r="I400" i="81" s="1"/>
  <c r="I471" i="81" s="1"/>
  <c r="I542" i="81" s="1"/>
  <c r="I613" i="81" s="1"/>
  <c r="I401" i="81" l="1"/>
  <c r="I472" i="81" s="1"/>
  <c r="I543" i="81" s="1"/>
  <c r="I614" i="81" s="1"/>
  <c r="I685" i="81" s="1"/>
  <c r="I473" i="81"/>
  <c r="I544" i="81" s="1"/>
  <c r="I615" i="81" s="1"/>
  <c r="I686" i="81" s="1"/>
  <c r="I757" i="81" s="1"/>
  <c r="I545" i="81" l="1"/>
  <c r="I616" i="81" s="1"/>
  <c r="I687" i="81" s="1"/>
  <c r="I758" i="81" s="1"/>
  <c r="I829" i="81" s="1"/>
  <c r="I617" i="81" l="1"/>
  <c r="I688" i="81" s="1"/>
  <c r="I759" i="81" s="1"/>
  <c r="I830" i="81" s="1"/>
  <c r="I901" i="81" s="1"/>
  <c r="I689" i="81" l="1"/>
  <c r="I760" i="81" s="1"/>
  <c r="I831" i="81" s="1"/>
  <c r="I902" i="81" s="1"/>
  <c r="G39" i="81" s="1"/>
  <c r="I761" i="81"/>
  <c r="I832" i="81" s="1"/>
  <c r="I903" i="81" s="1"/>
  <c r="G40" i="81" s="1"/>
  <c r="G38" i="81"/>
  <c r="I833" i="81" l="1"/>
  <c r="I904" i="81" s="1"/>
  <c r="G41" i="81" l="1"/>
  <c r="G42" i="81" s="1"/>
  <c r="I905" i="81"/>
  <c r="I23" i="80" l="1"/>
  <c r="I22" i="80"/>
  <c r="I24" i="80" l="1"/>
  <c r="G905" i="80"/>
  <c r="G898" i="80"/>
  <c r="G892" i="80"/>
  <c r="G881" i="80"/>
  <c r="G894" i="80" s="1"/>
  <c r="G907" i="80" s="1"/>
  <c r="G833" i="80"/>
  <c r="G826" i="80"/>
  <c r="G820" i="80"/>
  <c r="G809" i="80"/>
  <c r="G822" i="80" s="1"/>
  <c r="G835" i="80" s="1"/>
  <c r="G761" i="80"/>
  <c r="G754" i="80"/>
  <c r="G748" i="80"/>
  <c r="G737" i="80"/>
  <c r="G689" i="80"/>
  <c r="G682" i="80"/>
  <c r="G676" i="80"/>
  <c r="G665" i="80"/>
  <c r="G678" i="80" s="1"/>
  <c r="G691" i="80" s="1"/>
  <c r="G617" i="80"/>
  <c r="G610" i="80"/>
  <c r="G604" i="80"/>
  <c r="G593" i="80"/>
  <c r="G606" i="80" s="1"/>
  <c r="G619" i="80" s="1"/>
  <c r="G553" i="80"/>
  <c r="G545" i="80"/>
  <c r="G538" i="80"/>
  <c r="G532" i="80"/>
  <c r="G521" i="80"/>
  <c r="G481" i="80"/>
  <c r="G473" i="80"/>
  <c r="G466" i="80"/>
  <c r="G460" i="80"/>
  <c r="G449" i="80"/>
  <c r="G409" i="80"/>
  <c r="G401" i="80"/>
  <c r="G394" i="80"/>
  <c r="G388" i="80"/>
  <c r="G377" i="80"/>
  <c r="G390" i="80" s="1"/>
  <c r="G403" i="80" s="1"/>
  <c r="G337" i="80"/>
  <c r="G329" i="80"/>
  <c r="G322" i="80"/>
  <c r="G316" i="80"/>
  <c r="G305" i="80"/>
  <c r="G318" i="80" s="1"/>
  <c r="G331" i="80" s="1"/>
  <c r="G265" i="80"/>
  <c r="G257" i="80"/>
  <c r="G250" i="80"/>
  <c r="G244" i="80"/>
  <c r="G233" i="80"/>
  <c r="G462" i="80" l="1"/>
  <c r="G475" i="80" s="1"/>
  <c r="G246" i="80"/>
  <c r="G259" i="80" s="1"/>
  <c r="G534" i="80"/>
  <c r="G547" i="80" s="1"/>
  <c r="G750" i="80"/>
  <c r="G763" i="80"/>
  <c r="I182" i="80"/>
  <c r="I253" i="80" s="1"/>
  <c r="I183" i="80"/>
  <c r="I254" i="80" s="1"/>
  <c r="I325" i="80" s="1"/>
  <c r="I184" i="80"/>
  <c r="I255" i="80" s="1"/>
  <c r="I326" i="80" s="1"/>
  <c r="I397" i="80" s="1"/>
  <c r="I181" i="80"/>
  <c r="I185" i="80" s="1"/>
  <c r="I256" i="80" s="1"/>
  <c r="I327" i="80" s="1"/>
  <c r="I398" i="80" s="1"/>
  <c r="I469" i="80" s="1"/>
  <c r="I168" i="80"/>
  <c r="I240" i="80" s="1"/>
  <c r="I312" i="80" s="1"/>
  <c r="I384" i="80" s="1"/>
  <c r="I456" i="80" s="1"/>
  <c r="I528" i="80" s="1"/>
  <c r="I600" i="80" s="1"/>
  <c r="I672" i="80" s="1"/>
  <c r="I744" i="80" s="1"/>
  <c r="I816" i="80" s="1"/>
  <c r="I888" i="80" s="1"/>
  <c r="G25" i="80" s="1"/>
  <c r="I169" i="80"/>
  <c r="I241" i="80" s="1"/>
  <c r="I313" i="80" s="1"/>
  <c r="I385" i="80" s="1"/>
  <c r="I457" i="80" s="1"/>
  <c r="I529" i="80" s="1"/>
  <c r="I601" i="80" s="1"/>
  <c r="I673" i="80" s="1"/>
  <c r="I745" i="80" s="1"/>
  <c r="I817" i="80" s="1"/>
  <c r="I889" i="80" s="1"/>
  <c r="G26" i="80" s="1"/>
  <c r="I170" i="80"/>
  <c r="I242" i="80" s="1"/>
  <c r="I314" i="80" s="1"/>
  <c r="I386" i="80" s="1"/>
  <c r="I458" i="80" s="1"/>
  <c r="I530" i="80" s="1"/>
  <c r="I602" i="80" s="1"/>
  <c r="I674" i="80" s="1"/>
  <c r="I746" i="80" s="1"/>
  <c r="I818" i="80" s="1"/>
  <c r="I890" i="80" s="1"/>
  <c r="G27" i="80" s="1"/>
  <c r="I158" i="80"/>
  <c r="I230" i="80" s="1"/>
  <c r="I302" i="80" s="1"/>
  <c r="I374" i="80" s="1"/>
  <c r="I446" i="80" s="1"/>
  <c r="I518" i="80" s="1"/>
  <c r="I590" i="80" s="1"/>
  <c r="I662" i="80" s="1"/>
  <c r="I734" i="80" s="1"/>
  <c r="I806" i="80" s="1"/>
  <c r="I878" i="80" s="1"/>
  <c r="G15" i="80" s="1"/>
  <c r="I159" i="80"/>
  <c r="I231" i="80" s="1"/>
  <c r="I303" i="80" s="1"/>
  <c r="I375" i="80" s="1"/>
  <c r="I447" i="80" s="1"/>
  <c r="I519" i="80" s="1"/>
  <c r="I591" i="80" s="1"/>
  <c r="I663" i="80" s="1"/>
  <c r="I735" i="80" s="1"/>
  <c r="I807" i="80" s="1"/>
  <c r="I879" i="80" s="1"/>
  <c r="G16" i="80" s="1"/>
  <c r="I160" i="80"/>
  <c r="I42" i="80"/>
  <c r="I35" i="80"/>
  <c r="G193" i="80"/>
  <c r="G185" i="80"/>
  <c r="G161" i="80"/>
  <c r="I114" i="80"/>
  <c r="G106" i="80"/>
  <c r="I106" i="80" s="1"/>
  <c r="I107" i="80" s="1"/>
  <c r="I257" i="80" l="1"/>
  <c r="I328" i="80" s="1"/>
  <c r="I399" i="80" s="1"/>
  <c r="I470" i="80" s="1"/>
  <c r="I541" i="80" s="1"/>
  <c r="I18" i="80"/>
  <c r="G172" i="80"/>
  <c r="G174" i="80" s="1"/>
  <c r="G107" i="80"/>
  <c r="G114" i="80"/>
  <c r="I329" i="80" l="1"/>
  <c r="I400" i="80" s="1"/>
  <c r="I471" i="80" s="1"/>
  <c r="I542" i="80" s="1"/>
  <c r="I613" i="80" s="1"/>
  <c r="I401" i="80"/>
  <c r="I472" i="80" s="1"/>
  <c r="I543" i="80" s="1"/>
  <c r="I614" i="80" s="1"/>
  <c r="I685" i="80" s="1"/>
  <c r="H34" i="66"/>
  <c r="I473" i="80" l="1"/>
  <c r="I544" i="80" s="1"/>
  <c r="I615" i="80" s="1"/>
  <c r="I686" i="80" s="1"/>
  <c r="I757" i="80" s="1"/>
  <c r="I545" i="80"/>
  <c r="I616" i="80" s="1"/>
  <c r="I687" i="80" s="1"/>
  <c r="I758" i="80" s="1"/>
  <c r="I829" i="80" s="1"/>
  <c r="H43" i="57"/>
  <c r="I617" i="80" l="1"/>
  <c r="I688" i="80" s="1"/>
  <c r="I759" i="80" s="1"/>
  <c r="I830" i="80" s="1"/>
  <c r="I901" i="80" s="1"/>
  <c r="G38" i="80" l="1"/>
  <c r="I689" i="80"/>
  <c r="I760" i="80" s="1"/>
  <c r="I831" i="80" s="1"/>
  <c r="I902" i="80" s="1"/>
  <c r="G39" i="80" s="1"/>
  <c r="I761" i="80"/>
  <c r="I832" i="80" s="1"/>
  <c r="I903" i="80" s="1"/>
  <c r="G40" i="80" s="1"/>
  <c r="Q82" i="67"/>
  <c r="R111" i="82" s="1"/>
  <c r="S111" i="82" s="1"/>
  <c r="Q85" i="67"/>
  <c r="R114" i="82" s="1"/>
  <c r="S114" i="82" s="1"/>
  <c r="P77" i="67"/>
  <c r="P73" i="67"/>
  <c r="G39" i="62"/>
  <c r="G34" i="62"/>
  <c r="G15" i="62"/>
  <c r="G29" i="62" s="1"/>
  <c r="Q62" i="68"/>
  <c r="Q65" i="68"/>
  <c r="Q67" i="68"/>
  <c r="Q68" i="68"/>
  <c r="Q26" i="68"/>
  <c r="R27" i="83" s="1"/>
  <c r="S27" i="83" s="1"/>
  <c r="Q27" i="68"/>
  <c r="R28" i="83" s="1"/>
  <c r="S28" i="83" s="1"/>
  <c r="Q13" i="68"/>
  <c r="P44" i="67"/>
  <c r="P37" i="67"/>
  <c r="Q52" i="67"/>
  <c r="Q38" i="67"/>
  <c r="Q14" i="67"/>
  <c r="Q15" i="67"/>
  <c r="Q16" i="67"/>
  <c r="Q17" i="67"/>
  <c r="G41" i="62" l="1"/>
  <c r="I833" i="80"/>
  <c r="I904" i="80" s="1"/>
  <c r="G41" i="80" s="1"/>
  <c r="G42" i="80" s="1"/>
  <c r="R67" i="83"/>
  <c r="S67" i="83" s="1"/>
  <c r="P89" i="67"/>
  <c r="F758" i="66"/>
  <c r="I905" i="80" l="1"/>
  <c r="A970" i="58"/>
  <c r="F92" i="57" l="1"/>
  <c r="F85" i="57"/>
  <c r="G654" i="60" l="1"/>
  <c r="G412" i="62" l="1"/>
  <c r="G290" i="62" l="1"/>
  <c r="G371" i="60" l="1"/>
  <c r="G44" i="62" l="1"/>
  <c r="L713" i="58" l="1"/>
  <c r="L543" i="58"/>
  <c r="L628" i="58" l="1"/>
  <c r="G596" i="62" l="1"/>
  <c r="Q42" i="79" l="1"/>
  <c r="T38" i="79"/>
  <c r="S66" i="78"/>
  <c r="P82" i="79"/>
  <c r="O82" i="79"/>
  <c r="N82" i="79"/>
  <c r="M82" i="79"/>
  <c r="L82" i="79"/>
  <c r="K82" i="79"/>
  <c r="J82" i="79"/>
  <c r="I82" i="79"/>
  <c r="H82" i="79"/>
  <c r="G82" i="79"/>
  <c r="F82" i="79"/>
  <c r="E82" i="79"/>
  <c r="P80" i="79"/>
  <c r="O80" i="79"/>
  <c r="N80" i="79"/>
  <c r="M80" i="79"/>
  <c r="K80" i="79"/>
  <c r="J80" i="79"/>
  <c r="I80" i="79"/>
  <c r="H80" i="79"/>
  <c r="G80" i="79"/>
  <c r="F80" i="79"/>
  <c r="E79" i="79"/>
  <c r="E80" i="79" s="1"/>
  <c r="L78" i="79"/>
  <c r="L80" i="79" s="1"/>
  <c r="Q77" i="79"/>
  <c r="Q76" i="79"/>
  <c r="T76" i="79" s="1"/>
  <c r="Q75" i="79"/>
  <c r="T75" i="79" s="1"/>
  <c r="Q74" i="79"/>
  <c r="Q73" i="79"/>
  <c r="Q72" i="79"/>
  <c r="Q71" i="79"/>
  <c r="T71" i="79" s="1"/>
  <c r="Q70" i="79"/>
  <c r="T70" i="79" s="1"/>
  <c r="Q69" i="79"/>
  <c r="T69" i="79" s="1"/>
  <c r="Q68" i="79"/>
  <c r="Q67" i="79"/>
  <c r="T67" i="79" s="1"/>
  <c r="Q66" i="79"/>
  <c r="Q65" i="79"/>
  <c r="Q64" i="79"/>
  <c r="Q63" i="79"/>
  <c r="Q61" i="79"/>
  <c r="P60" i="79"/>
  <c r="O60" i="79"/>
  <c r="N60" i="79"/>
  <c r="M60" i="79"/>
  <c r="L60" i="79"/>
  <c r="K60" i="79"/>
  <c r="J60" i="79"/>
  <c r="I60" i="79"/>
  <c r="H60" i="79"/>
  <c r="G60" i="79"/>
  <c r="F60" i="79"/>
  <c r="E60" i="79"/>
  <c r="Q59" i="79"/>
  <c r="Q58" i="79"/>
  <c r="Q55" i="79"/>
  <c r="Q54" i="79"/>
  <c r="Q53" i="79"/>
  <c r="P52" i="79"/>
  <c r="P56" i="79" s="1"/>
  <c r="O52" i="79"/>
  <c r="O56" i="79" s="1"/>
  <c r="N52" i="79"/>
  <c r="N56" i="79" s="1"/>
  <c r="M52" i="79"/>
  <c r="M56" i="79" s="1"/>
  <c r="L52" i="79"/>
  <c r="L56" i="79" s="1"/>
  <c r="K52" i="79"/>
  <c r="K56" i="79" s="1"/>
  <c r="J52" i="79"/>
  <c r="J56" i="79" s="1"/>
  <c r="I52" i="79"/>
  <c r="I56" i="79" s="1"/>
  <c r="H52" i="79"/>
  <c r="H56" i="79" s="1"/>
  <c r="G52" i="79"/>
  <c r="G56" i="79" s="1"/>
  <c r="F52" i="79"/>
  <c r="F56" i="79" s="1"/>
  <c r="E52" i="79"/>
  <c r="E56" i="79" s="1"/>
  <c r="Q51" i="79"/>
  <c r="Q50" i="79"/>
  <c r="P49" i="79"/>
  <c r="O49" i="79"/>
  <c r="N49" i="79"/>
  <c r="M49" i="79"/>
  <c r="L49" i="79"/>
  <c r="K49" i="79"/>
  <c r="J49" i="79"/>
  <c r="I49" i="79"/>
  <c r="H49" i="79"/>
  <c r="G49" i="79"/>
  <c r="F49" i="79"/>
  <c r="E49" i="79"/>
  <c r="Q48" i="79"/>
  <c r="P46" i="79"/>
  <c r="O46" i="79"/>
  <c r="N46" i="79"/>
  <c r="M46" i="79"/>
  <c r="L46" i="79"/>
  <c r="K46" i="79"/>
  <c r="J46" i="79"/>
  <c r="I46" i="79"/>
  <c r="H46" i="79"/>
  <c r="G46" i="79"/>
  <c r="F46" i="79"/>
  <c r="E46" i="79"/>
  <c r="Q45" i="79"/>
  <c r="Q44" i="79"/>
  <c r="Q43" i="79"/>
  <c r="P41" i="79"/>
  <c r="O41" i="79"/>
  <c r="N41" i="79"/>
  <c r="M41" i="79"/>
  <c r="L41" i="79"/>
  <c r="K41" i="79"/>
  <c r="J41" i="79"/>
  <c r="I41" i="79"/>
  <c r="H41" i="79"/>
  <c r="G41" i="79"/>
  <c r="F41" i="79"/>
  <c r="E41" i="79"/>
  <c r="Q40" i="79"/>
  <c r="Q39" i="79"/>
  <c r="Q37" i="79"/>
  <c r="Q36" i="79"/>
  <c r="Q35" i="79"/>
  <c r="Q34" i="79"/>
  <c r="Q33" i="79"/>
  <c r="Q32" i="79"/>
  <c r="Q31" i="79"/>
  <c r="Q30" i="79"/>
  <c r="Q27" i="79"/>
  <c r="Q26" i="79"/>
  <c r="T26" i="79" s="1"/>
  <c r="Q25" i="79"/>
  <c r="Q24" i="79"/>
  <c r="G23" i="79"/>
  <c r="E23" i="79"/>
  <c r="Q23" i="79" s="1"/>
  <c r="Q22" i="79"/>
  <c r="Q20" i="79"/>
  <c r="H19" i="79"/>
  <c r="F19" i="79"/>
  <c r="Q18" i="79"/>
  <c r="Q16" i="79"/>
  <c r="P14" i="79"/>
  <c r="P15" i="79" s="1"/>
  <c r="P28" i="79" s="1"/>
  <c r="O14" i="79"/>
  <c r="O15" i="79" s="1"/>
  <c r="O28" i="79" s="1"/>
  <c r="N14" i="79"/>
  <c r="N15" i="79" s="1"/>
  <c r="N28" i="79" s="1"/>
  <c r="M14" i="79"/>
  <c r="M15" i="79" s="1"/>
  <c r="M28" i="79" s="1"/>
  <c r="L14" i="79"/>
  <c r="L15" i="79" s="1"/>
  <c r="L28" i="79" s="1"/>
  <c r="K14" i="79"/>
  <c r="K15" i="79" s="1"/>
  <c r="K28" i="79" s="1"/>
  <c r="J14" i="79"/>
  <c r="J15" i="79" s="1"/>
  <c r="J28" i="79" s="1"/>
  <c r="I14" i="79"/>
  <c r="I15" i="79" s="1"/>
  <c r="I28" i="79" s="1"/>
  <c r="H14" i="79"/>
  <c r="H15" i="79" s="1"/>
  <c r="G14" i="79"/>
  <c r="G15" i="79" s="1"/>
  <c r="F14" i="79"/>
  <c r="F15" i="79" s="1"/>
  <c r="F28" i="79" s="1"/>
  <c r="E14" i="79"/>
  <c r="Q13" i="79"/>
  <c r="P93" i="78"/>
  <c r="O93" i="78"/>
  <c r="N93" i="78"/>
  <c r="M93" i="78"/>
  <c r="L93" i="78"/>
  <c r="K93" i="78"/>
  <c r="J93" i="78"/>
  <c r="I93" i="78"/>
  <c r="H93" i="78"/>
  <c r="G93" i="78"/>
  <c r="F93" i="78"/>
  <c r="E93" i="78"/>
  <c r="Q90" i="78"/>
  <c r="P89" i="78"/>
  <c r="P91" i="78" s="1"/>
  <c r="O89" i="78"/>
  <c r="O91" i="78" s="1"/>
  <c r="N89" i="78"/>
  <c r="N91" i="78" s="1"/>
  <c r="M89" i="78"/>
  <c r="M91" i="78" s="1"/>
  <c r="L89" i="78"/>
  <c r="L91" i="78" s="1"/>
  <c r="K89" i="78"/>
  <c r="K91" i="78" s="1"/>
  <c r="J89" i="78"/>
  <c r="J91" i="78" s="1"/>
  <c r="I89" i="78"/>
  <c r="I91" i="78" s="1"/>
  <c r="H89" i="78"/>
  <c r="H91" i="78" s="1"/>
  <c r="G89" i="78"/>
  <c r="G91" i="78" s="1"/>
  <c r="F89" i="78"/>
  <c r="F91" i="78" s="1"/>
  <c r="E89" i="78"/>
  <c r="Q88" i="78"/>
  <c r="Q87" i="78"/>
  <c r="Q86" i="78"/>
  <c r="Q85" i="78"/>
  <c r="Q82" i="78"/>
  <c r="P81" i="78"/>
  <c r="P83" i="78" s="1"/>
  <c r="O81" i="78"/>
  <c r="O83" i="78" s="1"/>
  <c r="N81" i="78"/>
  <c r="N83" i="78" s="1"/>
  <c r="M81" i="78"/>
  <c r="M83" i="78" s="1"/>
  <c r="L81" i="78"/>
  <c r="L83" i="78" s="1"/>
  <c r="K81" i="78"/>
  <c r="K83" i="78" s="1"/>
  <c r="J81" i="78"/>
  <c r="J83" i="78" s="1"/>
  <c r="I81" i="78"/>
  <c r="I83" i="78" s="1"/>
  <c r="H81" i="78"/>
  <c r="H83" i="78" s="1"/>
  <c r="G81" i="78"/>
  <c r="G83" i="78" s="1"/>
  <c r="F81" i="78"/>
  <c r="F83" i="78" s="1"/>
  <c r="E81" i="78"/>
  <c r="Q80" i="78"/>
  <c r="Q79" i="78"/>
  <c r="P72" i="78"/>
  <c r="O72" i="78"/>
  <c r="N72" i="78"/>
  <c r="M72" i="78"/>
  <c r="L72" i="78"/>
  <c r="K72" i="78"/>
  <c r="J72" i="78"/>
  <c r="I72" i="78"/>
  <c r="H72" i="78"/>
  <c r="G72" i="78"/>
  <c r="F72" i="78"/>
  <c r="E72" i="78"/>
  <c r="P70" i="78"/>
  <c r="O70" i="78"/>
  <c r="N70" i="78"/>
  <c r="M70" i="78"/>
  <c r="K70" i="78"/>
  <c r="J70" i="78"/>
  <c r="I70" i="78"/>
  <c r="H70" i="78"/>
  <c r="G70" i="78"/>
  <c r="F70" i="78"/>
  <c r="E70" i="78"/>
  <c r="L69" i="78"/>
  <c r="L70" i="78" s="1"/>
  <c r="Q68" i="78"/>
  <c r="Q67" i="78"/>
  <c r="Q66" i="78"/>
  <c r="O63" i="78"/>
  <c r="L63" i="78"/>
  <c r="I63" i="78"/>
  <c r="F63" i="78"/>
  <c r="E62" i="78"/>
  <c r="Q62" i="78" s="1"/>
  <c r="P59" i="78"/>
  <c r="O59" i="78"/>
  <c r="N59" i="78"/>
  <c r="M59" i="78"/>
  <c r="L59" i="78"/>
  <c r="K59" i="78"/>
  <c r="J59" i="78"/>
  <c r="I59" i="78"/>
  <c r="H59" i="78"/>
  <c r="G59" i="78"/>
  <c r="F59" i="78"/>
  <c r="E59" i="78"/>
  <c r="P58" i="78"/>
  <c r="O58" i="78"/>
  <c r="N58" i="78"/>
  <c r="M58" i="78"/>
  <c r="L58" i="78"/>
  <c r="K58" i="78"/>
  <c r="J58" i="78"/>
  <c r="I58" i="78"/>
  <c r="H58" i="78"/>
  <c r="G58" i="78"/>
  <c r="F58" i="78"/>
  <c r="E58" i="78"/>
  <c r="P57" i="78"/>
  <c r="O57" i="78"/>
  <c r="N57" i="78"/>
  <c r="M57" i="78"/>
  <c r="L57" i="78"/>
  <c r="L60" i="78" s="1"/>
  <c r="K57" i="78"/>
  <c r="J57" i="78"/>
  <c r="J60" i="78" s="1"/>
  <c r="I57" i="78"/>
  <c r="H57" i="78"/>
  <c r="H60" i="78" s="1"/>
  <c r="G57" i="78"/>
  <c r="F57" i="78"/>
  <c r="F60" i="78" s="1"/>
  <c r="E57" i="78"/>
  <c r="P54" i="78"/>
  <c r="O54" i="78"/>
  <c r="N54" i="78"/>
  <c r="M54" i="78"/>
  <c r="L54" i="78"/>
  <c r="K54" i="78"/>
  <c r="J54" i="78"/>
  <c r="I54" i="78"/>
  <c r="H54" i="78"/>
  <c r="G54" i="78"/>
  <c r="F54" i="78"/>
  <c r="E54" i="78"/>
  <c r="P53" i="78"/>
  <c r="O53" i="78"/>
  <c r="N53" i="78"/>
  <c r="M53" i="78"/>
  <c r="L53" i="78"/>
  <c r="K53" i="78"/>
  <c r="J53" i="78"/>
  <c r="I53" i="78"/>
  <c r="H53" i="78"/>
  <c r="G53" i="78"/>
  <c r="F53" i="78"/>
  <c r="E53" i="78"/>
  <c r="P52" i="78"/>
  <c r="P55" i="78" s="1"/>
  <c r="O52" i="78"/>
  <c r="N52" i="78"/>
  <c r="M52" i="78"/>
  <c r="L52" i="78"/>
  <c r="K52" i="78"/>
  <c r="J52" i="78"/>
  <c r="J55" i="78" s="1"/>
  <c r="I52" i="78"/>
  <c r="H52" i="78"/>
  <c r="H55" i="78" s="1"/>
  <c r="G52" i="78"/>
  <c r="F52" i="78"/>
  <c r="F55" i="78" s="1"/>
  <c r="E52" i="78"/>
  <c r="P49" i="78"/>
  <c r="O49" i="78"/>
  <c r="N49" i="78"/>
  <c r="M49" i="78"/>
  <c r="L49" i="78"/>
  <c r="K49" i="78"/>
  <c r="J49" i="78"/>
  <c r="I49" i="78"/>
  <c r="H49" i="78"/>
  <c r="G49" i="78"/>
  <c r="F49" i="78"/>
  <c r="E49" i="78"/>
  <c r="P48" i="78"/>
  <c r="O48" i="78"/>
  <c r="N48" i="78"/>
  <c r="M48" i="78"/>
  <c r="L48" i="78"/>
  <c r="K48" i="78"/>
  <c r="J48" i="78"/>
  <c r="I48" i="78"/>
  <c r="H48" i="78"/>
  <c r="G48" i="78"/>
  <c r="F48" i="78"/>
  <c r="E48" i="78"/>
  <c r="P47" i="78"/>
  <c r="P50" i="78" s="1"/>
  <c r="O47" i="78"/>
  <c r="N47" i="78"/>
  <c r="M47" i="78"/>
  <c r="L47" i="78"/>
  <c r="L50" i="78" s="1"/>
  <c r="K47" i="78"/>
  <c r="K50" i="78" s="1"/>
  <c r="J47" i="78"/>
  <c r="J50" i="78" s="1"/>
  <c r="J61" i="78" s="1"/>
  <c r="I47" i="78"/>
  <c r="H47" i="78"/>
  <c r="G47" i="78"/>
  <c r="G50" i="78" s="1"/>
  <c r="F47" i="78"/>
  <c r="F50" i="78" s="1"/>
  <c r="F61" i="78" s="1"/>
  <c r="E47" i="78"/>
  <c r="P43" i="78"/>
  <c r="O43" i="78"/>
  <c r="N43" i="78"/>
  <c r="M43" i="78"/>
  <c r="L43" i="78"/>
  <c r="K43" i="78"/>
  <c r="J43" i="78"/>
  <c r="I43" i="78"/>
  <c r="H43" i="78"/>
  <c r="G43" i="78"/>
  <c r="F43" i="78"/>
  <c r="E43" i="78"/>
  <c r="P42" i="78"/>
  <c r="P44" i="78" s="1"/>
  <c r="O42" i="78"/>
  <c r="N42" i="78"/>
  <c r="M42" i="78"/>
  <c r="M44" i="78" s="1"/>
  <c r="L42" i="78"/>
  <c r="L44" i="78" s="1"/>
  <c r="K42" i="78"/>
  <c r="K44" i="78" s="1"/>
  <c r="J42" i="78"/>
  <c r="J44" i="78" s="1"/>
  <c r="I42" i="78"/>
  <c r="I44" i="78" s="1"/>
  <c r="H42" i="78"/>
  <c r="H44" i="78" s="1"/>
  <c r="G42" i="78"/>
  <c r="G44" i="78" s="1"/>
  <c r="F42" i="78"/>
  <c r="F44" i="78" s="1"/>
  <c r="E42" i="78"/>
  <c r="E44" i="78" s="1"/>
  <c r="Q41" i="78"/>
  <c r="Q39" i="78"/>
  <c r="Q38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G34" i="78"/>
  <c r="Q34" i="78" s="1"/>
  <c r="P33" i="78"/>
  <c r="O33" i="78"/>
  <c r="N33" i="78"/>
  <c r="M33" i="78"/>
  <c r="L33" i="78"/>
  <c r="K33" i="78"/>
  <c r="J33" i="78"/>
  <c r="I33" i="78"/>
  <c r="H33" i="78"/>
  <c r="G33" i="78"/>
  <c r="F33" i="78"/>
  <c r="E33" i="78"/>
  <c r="Q32" i="78"/>
  <c r="Q31" i="78"/>
  <c r="Q30" i="78"/>
  <c r="Q29" i="78"/>
  <c r="Q28" i="78"/>
  <c r="Q27" i="78"/>
  <c r="Q24" i="78"/>
  <c r="Q23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Q21" i="78"/>
  <c r="Q20" i="78"/>
  <c r="Q19" i="78"/>
  <c r="Q18" i="78"/>
  <c r="T18" i="78" s="1"/>
  <c r="N16" i="78"/>
  <c r="M16" i="78"/>
  <c r="L16" i="78"/>
  <c r="K16" i="78"/>
  <c r="J16" i="78"/>
  <c r="P15" i="78"/>
  <c r="P17" i="78" s="1"/>
  <c r="O15" i="78"/>
  <c r="O17" i="78" s="1"/>
  <c r="N15" i="78"/>
  <c r="M15" i="78"/>
  <c r="L15" i="78"/>
  <c r="L17" i="78" s="1"/>
  <c r="L25" i="78" s="1"/>
  <c r="K15" i="78"/>
  <c r="J15" i="78"/>
  <c r="I15" i="78"/>
  <c r="I17" i="78" s="1"/>
  <c r="H15" i="78"/>
  <c r="H17" i="78" s="1"/>
  <c r="G15" i="78"/>
  <c r="G17" i="78" s="1"/>
  <c r="F15" i="78"/>
  <c r="F17" i="78" s="1"/>
  <c r="E15" i="78"/>
  <c r="Q14" i="78"/>
  <c r="Q13" i="78"/>
  <c r="Q12" i="78"/>
  <c r="Q11" i="78"/>
  <c r="L55" i="78" l="1"/>
  <c r="F25" i="78"/>
  <c r="G25" i="78"/>
  <c r="Q19" i="79"/>
  <c r="P60" i="78"/>
  <c r="N60" i="78"/>
  <c r="N17" i="78"/>
  <c r="N25" i="78" s="1"/>
  <c r="N35" i="78" s="1"/>
  <c r="N37" i="78" s="1"/>
  <c r="N44" i="78"/>
  <c r="O44" i="78"/>
  <c r="O50" i="78"/>
  <c r="N50" i="78"/>
  <c r="N55" i="78"/>
  <c r="O25" i="78"/>
  <c r="O35" i="78" s="1"/>
  <c r="O37" i="78" s="1"/>
  <c r="P25" i="78"/>
  <c r="P35" i="78" s="1"/>
  <c r="P37" i="78" s="1"/>
  <c r="H50" i="78"/>
  <c r="H61" i="78" s="1"/>
  <c r="H64" i="78" s="1"/>
  <c r="H71" i="78" s="1"/>
  <c r="H73" i="78" s="1"/>
  <c r="Q41" i="79"/>
  <c r="O81" i="79"/>
  <c r="O83" i="79" s="1"/>
  <c r="H25" i="78"/>
  <c r="Q60" i="79"/>
  <c r="Q17" i="79"/>
  <c r="Q82" i="79"/>
  <c r="G28" i="79"/>
  <c r="G81" i="79" s="1"/>
  <c r="G83" i="79" s="1"/>
  <c r="Q49" i="79"/>
  <c r="J17" i="78"/>
  <c r="J25" i="78" s="1"/>
  <c r="J35" i="78" s="1"/>
  <c r="J37" i="78" s="1"/>
  <c r="Q69" i="78"/>
  <c r="Q70" i="78" s="1"/>
  <c r="Q14" i="79"/>
  <c r="Q15" i="79" s="1"/>
  <c r="E15" i="79"/>
  <c r="E28" i="79" s="1"/>
  <c r="E81" i="79" s="1"/>
  <c r="Q46" i="79"/>
  <c r="I25" i="78"/>
  <c r="I35" i="78" s="1"/>
  <c r="I37" i="78" s="1"/>
  <c r="K17" i="78"/>
  <c r="K25" i="78" s="1"/>
  <c r="K35" i="78" s="1"/>
  <c r="K37" i="78" s="1"/>
  <c r="Q22" i="78"/>
  <c r="Q78" i="79"/>
  <c r="Q79" i="79"/>
  <c r="T66" i="78"/>
  <c r="Q15" i="78"/>
  <c r="M17" i="78"/>
  <c r="M25" i="78" s="1"/>
  <c r="M35" i="78" s="1"/>
  <c r="M37" i="78" s="1"/>
  <c r="Q52" i="78"/>
  <c r="E55" i="78"/>
  <c r="I55" i="78"/>
  <c r="M55" i="78"/>
  <c r="Q54" i="78"/>
  <c r="Q57" i="78"/>
  <c r="E60" i="78"/>
  <c r="I60" i="78"/>
  <c r="M60" i="78"/>
  <c r="Q59" i="78"/>
  <c r="Q81" i="78"/>
  <c r="G96" i="78"/>
  <c r="K96" i="78"/>
  <c r="O96" i="78"/>
  <c r="Q47" i="78"/>
  <c r="E50" i="78"/>
  <c r="I50" i="78"/>
  <c r="M50" i="78"/>
  <c r="Q49" i="78"/>
  <c r="Q63" i="78"/>
  <c r="H96" i="78"/>
  <c r="L96" i="78"/>
  <c r="P96" i="78"/>
  <c r="Q89" i="78"/>
  <c r="G35" i="78"/>
  <c r="G37" i="78" s="1"/>
  <c r="Q43" i="78"/>
  <c r="G55" i="78"/>
  <c r="K55" i="78"/>
  <c r="O55" i="78"/>
  <c r="G60" i="78"/>
  <c r="K60" i="78"/>
  <c r="O60" i="78"/>
  <c r="O61" i="78" s="1"/>
  <c r="O64" i="78" s="1"/>
  <c r="O71" i="78" s="1"/>
  <c r="O73" i="78" s="1"/>
  <c r="Q72" i="78"/>
  <c r="F92" i="78"/>
  <c r="F94" i="78" s="1"/>
  <c r="J92" i="78"/>
  <c r="J94" i="78" s="1"/>
  <c r="N92" i="78"/>
  <c r="N94" i="78" s="1"/>
  <c r="Q93" i="78"/>
  <c r="I96" i="78"/>
  <c r="M96" i="78"/>
  <c r="Q80" i="79"/>
  <c r="Q56" i="79"/>
  <c r="I81" i="79"/>
  <c r="I83" i="79" s="1"/>
  <c r="M81" i="79"/>
  <c r="M83" i="79" s="1"/>
  <c r="N81" i="79"/>
  <c r="N83" i="79" s="1"/>
  <c r="L81" i="79"/>
  <c r="L83" i="79" s="1"/>
  <c r="F81" i="79"/>
  <c r="F83" i="79" s="1"/>
  <c r="J81" i="79"/>
  <c r="J83" i="79" s="1"/>
  <c r="H21" i="79"/>
  <c r="Q21" i="79" s="1"/>
  <c r="K81" i="79"/>
  <c r="K83" i="79" s="1"/>
  <c r="P81" i="79"/>
  <c r="P83" i="79" s="1"/>
  <c r="Q52" i="79"/>
  <c r="F35" i="78"/>
  <c r="F37" i="78" s="1"/>
  <c r="Q44" i="78"/>
  <c r="F64" i="78"/>
  <c r="J64" i="78"/>
  <c r="J71" i="78" s="1"/>
  <c r="J73" i="78" s="1"/>
  <c r="F71" i="78"/>
  <c r="F73" i="78" s="1"/>
  <c r="F96" i="78"/>
  <c r="J96" i="78"/>
  <c r="N96" i="78"/>
  <c r="G92" i="78"/>
  <c r="K92" i="78"/>
  <c r="O92" i="78"/>
  <c r="E17" i="78"/>
  <c r="E25" i="78" s="1"/>
  <c r="H35" i="78"/>
  <c r="H37" i="78" s="1"/>
  <c r="L35" i="78"/>
  <c r="L37" i="78" s="1"/>
  <c r="L61" i="78"/>
  <c r="L64" i="78" s="1"/>
  <c r="L71" i="78" s="1"/>
  <c r="L73" i="78" s="1"/>
  <c r="P61" i="78"/>
  <c r="P64" i="78" s="1"/>
  <c r="P71" i="78" s="1"/>
  <c r="P73" i="78" s="1"/>
  <c r="H92" i="78"/>
  <c r="L92" i="78"/>
  <c r="P92" i="78"/>
  <c r="Q16" i="78"/>
  <c r="Q33" i="78"/>
  <c r="Q36" i="78"/>
  <c r="I92" i="78"/>
  <c r="M92" i="78"/>
  <c r="Q42" i="78"/>
  <c r="Q48" i="78"/>
  <c r="Q53" i="78"/>
  <c r="Q58" i="78"/>
  <c r="E91" i="78"/>
  <c r="E83" i="78"/>
  <c r="Q83" i="78" s="1"/>
  <c r="E96" i="78"/>
  <c r="Q60" i="78" l="1"/>
  <c r="G61" i="78"/>
  <c r="G64" i="78" s="1"/>
  <c r="G71" i="78" s="1"/>
  <c r="G73" i="78" s="1"/>
  <c r="Q17" i="78"/>
  <c r="K61" i="78"/>
  <c r="K64" i="78" s="1"/>
  <c r="K71" i="78" s="1"/>
  <c r="K73" i="78" s="1"/>
  <c r="E61" i="78"/>
  <c r="E64" i="78" s="1"/>
  <c r="Q96" i="78"/>
  <c r="Q55" i="78"/>
  <c r="Q50" i="78"/>
  <c r="N61" i="78"/>
  <c r="N64" i="78" s="1"/>
  <c r="N71" i="78" s="1"/>
  <c r="N73" i="78" s="1"/>
  <c r="N100" i="78" s="1"/>
  <c r="F100" i="78"/>
  <c r="M61" i="78"/>
  <c r="M64" i="78" s="1"/>
  <c r="M71" i="78" s="1"/>
  <c r="M73" i="78" s="1"/>
  <c r="F95" i="78"/>
  <c r="F97" i="78" s="1"/>
  <c r="I61" i="78"/>
  <c r="I64" i="78" s="1"/>
  <c r="I71" i="78" s="1"/>
  <c r="I73" i="78" s="1"/>
  <c r="E83" i="79"/>
  <c r="H28" i="79"/>
  <c r="Q28" i="79" s="1"/>
  <c r="G95" i="78"/>
  <c r="G97" i="78" s="1"/>
  <c r="G94" i="78"/>
  <c r="G100" i="78" s="1"/>
  <c r="J100" i="78"/>
  <c r="E71" i="78"/>
  <c r="E92" i="78"/>
  <c r="Q91" i="78"/>
  <c r="P95" i="78"/>
  <c r="P97" i="78" s="1"/>
  <c r="P94" i="78"/>
  <c r="P100" i="78" s="1"/>
  <c r="E35" i="78"/>
  <c r="Q25" i="78"/>
  <c r="J95" i="78"/>
  <c r="J97" i="78" s="1"/>
  <c r="M94" i="78"/>
  <c r="L95" i="78"/>
  <c r="L97" i="78" s="1"/>
  <c r="L94" i="78"/>
  <c r="L100" i="78" s="1"/>
  <c r="O95" i="78"/>
  <c r="O97" i="78" s="1"/>
  <c r="O94" i="78"/>
  <c r="O100" i="78" s="1"/>
  <c r="I94" i="78"/>
  <c r="H95" i="78"/>
  <c r="H97" i="78" s="1"/>
  <c r="H94" i="78"/>
  <c r="H100" i="78" s="1"/>
  <c r="K95" i="78"/>
  <c r="K97" i="78" s="1"/>
  <c r="K94" i="78"/>
  <c r="K100" i="78" s="1"/>
  <c r="N95" i="78" l="1"/>
  <c r="N97" i="78" s="1"/>
  <c r="I95" i="78"/>
  <c r="I97" i="78" s="1"/>
  <c r="Q64" i="78"/>
  <c r="M95" i="78"/>
  <c r="M97" i="78" s="1"/>
  <c r="I100" i="78"/>
  <c r="M100" i="78"/>
  <c r="Q61" i="78"/>
  <c r="H81" i="79"/>
  <c r="Q35" i="78"/>
  <c r="E37" i="78"/>
  <c r="Q37" i="78" s="1"/>
  <c r="E94" i="78"/>
  <c r="Q92" i="78"/>
  <c r="Q94" i="78" s="1"/>
  <c r="E95" i="78"/>
  <c r="Q71" i="78"/>
  <c r="E73" i="78"/>
  <c r="Q73" i="78" s="1"/>
  <c r="H83" i="79" l="1"/>
  <c r="Q81" i="79"/>
  <c r="Q83" i="79" s="1"/>
  <c r="Q84" i="79" s="1"/>
  <c r="E100" i="78"/>
  <c r="Q100" i="78" s="1"/>
  <c r="E97" i="78"/>
  <c r="Q95" i="78"/>
  <c r="Q97" i="78" s="1"/>
  <c r="G309" i="60" l="1"/>
  <c r="G168" i="62" l="1"/>
  <c r="E715" i="62" l="1"/>
  <c r="E709" i="62"/>
  <c r="E653" i="62"/>
  <c r="E591" i="62"/>
  <c r="E529" i="62"/>
  <c r="E468" i="62"/>
  <c r="E462" i="62"/>
  <c r="E407" i="62"/>
  <c r="E346" i="62"/>
  <c r="E285" i="62"/>
  <c r="E225" i="62"/>
  <c r="E163" i="62"/>
  <c r="E157" i="62"/>
  <c r="E100" i="62"/>
  <c r="E94" i="62"/>
  <c r="E471" i="62" l="1"/>
  <c r="E656" i="62"/>
  <c r="E532" i="62"/>
  <c r="E718" i="62"/>
  <c r="E228" i="62"/>
  <c r="E288" i="62"/>
  <c r="E410" i="62"/>
  <c r="E166" i="62"/>
  <c r="E349" i="62"/>
  <c r="E594" i="62"/>
  <c r="L958" i="58" l="1"/>
  <c r="E690" i="62" s="1"/>
  <c r="A228" i="58"/>
  <c r="A145" i="58"/>
  <c r="L800" i="58" l="1"/>
  <c r="L463" i="58" l="1"/>
  <c r="L550" i="58"/>
  <c r="L380" i="58"/>
  <c r="L304" i="58"/>
  <c r="L140" i="58"/>
  <c r="L221" i="58"/>
  <c r="I85" i="60" l="1"/>
  <c r="P89" i="77" l="1"/>
  <c r="O89" i="77"/>
  <c r="N89" i="77"/>
  <c r="M89" i="77"/>
  <c r="L89" i="77"/>
  <c r="K89" i="77"/>
  <c r="J89" i="77"/>
  <c r="I89" i="77"/>
  <c r="H89" i="77"/>
  <c r="G89" i="77"/>
  <c r="F89" i="77"/>
  <c r="O43" i="77"/>
  <c r="Q43" i="77" s="1"/>
  <c r="G43" i="77"/>
  <c r="Q35" i="77"/>
  <c r="Q36" i="77"/>
  <c r="Q37" i="77"/>
  <c r="Q38" i="77"/>
  <c r="Q39" i="77"/>
  <c r="Q40" i="77"/>
  <c r="Q41" i="77"/>
  <c r="Q42" i="77"/>
  <c r="Q44" i="77"/>
  <c r="Q21" i="77"/>
  <c r="S21" i="77" s="1"/>
  <c r="Q22" i="77"/>
  <c r="Q23" i="77"/>
  <c r="Q24" i="77"/>
  <c r="E94" i="76"/>
  <c r="O63" i="76"/>
  <c r="P60" i="76"/>
  <c r="O60" i="76"/>
  <c r="N60" i="76"/>
  <c r="M60" i="76"/>
  <c r="L60" i="76"/>
  <c r="K60" i="76"/>
  <c r="J60" i="76"/>
  <c r="I60" i="76"/>
  <c r="H60" i="76"/>
  <c r="G60" i="76"/>
  <c r="F60" i="76"/>
  <c r="E60" i="76"/>
  <c r="P55" i="76"/>
  <c r="O55" i="76"/>
  <c r="N55" i="76"/>
  <c r="M55" i="76"/>
  <c r="L55" i="76"/>
  <c r="K55" i="76"/>
  <c r="J55" i="76"/>
  <c r="I55" i="76"/>
  <c r="H55" i="76"/>
  <c r="G55" i="76"/>
  <c r="F55" i="76"/>
  <c r="E55" i="76"/>
  <c r="P50" i="76"/>
  <c r="O50" i="76"/>
  <c r="N50" i="76"/>
  <c r="M50" i="76"/>
  <c r="L50" i="76"/>
  <c r="K50" i="76"/>
  <c r="J50" i="76"/>
  <c r="I50" i="76"/>
  <c r="H50" i="76"/>
  <c r="G50" i="76"/>
  <c r="F50" i="76"/>
  <c r="E50" i="76"/>
  <c r="P36" i="76"/>
  <c r="P94" i="76" s="1"/>
  <c r="O36" i="76"/>
  <c r="O94" i="76" s="1"/>
  <c r="N36" i="76"/>
  <c r="N94" i="76" s="1"/>
  <c r="M36" i="76"/>
  <c r="M94" i="76" s="1"/>
  <c r="L36" i="76"/>
  <c r="L94" i="76" s="1"/>
  <c r="K36" i="76"/>
  <c r="K94" i="76" s="1"/>
  <c r="J36" i="76"/>
  <c r="J94" i="76" s="1"/>
  <c r="I36" i="76"/>
  <c r="I94" i="76" s="1"/>
  <c r="H36" i="76"/>
  <c r="H94" i="76" s="1"/>
  <c r="G36" i="76"/>
  <c r="G94" i="76" s="1"/>
  <c r="F36" i="76"/>
  <c r="F94" i="76" s="1"/>
  <c r="P22" i="76"/>
  <c r="O22" i="76"/>
  <c r="N22" i="76"/>
  <c r="M22" i="76"/>
  <c r="L22" i="76"/>
  <c r="K22" i="76"/>
  <c r="J22" i="76"/>
  <c r="I22" i="76"/>
  <c r="H22" i="76"/>
  <c r="G22" i="76"/>
  <c r="F22" i="76"/>
  <c r="E22" i="76"/>
  <c r="P17" i="76"/>
  <c r="O17" i="76"/>
  <c r="O25" i="76" s="1"/>
  <c r="N17" i="76"/>
  <c r="N25" i="76" s="1"/>
  <c r="M17" i="76"/>
  <c r="L17" i="76"/>
  <c r="L25" i="76" s="1"/>
  <c r="K17" i="76"/>
  <c r="K25" i="76" s="1"/>
  <c r="J17" i="76"/>
  <c r="J25" i="76" s="1"/>
  <c r="I17" i="76"/>
  <c r="I25" i="76" s="1"/>
  <c r="H17" i="76"/>
  <c r="H25" i="76" s="1"/>
  <c r="G17" i="76"/>
  <c r="G25" i="76" s="1"/>
  <c r="F17" i="76"/>
  <c r="F25" i="76" s="1"/>
  <c r="E17" i="76"/>
  <c r="E25" i="76" s="1"/>
  <c r="P25" i="76"/>
  <c r="E33" i="76"/>
  <c r="E35" i="76" s="1"/>
  <c r="F33" i="76"/>
  <c r="F35" i="76" s="1"/>
  <c r="G33" i="76"/>
  <c r="H33" i="76"/>
  <c r="I33" i="76"/>
  <c r="J33" i="76"/>
  <c r="K33" i="76"/>
  <c r="L33" i="76"/>
  <c r="M33" i="76"/>
  <c r="N33" i="76"/>
  <c r="O33" i="76"/>
  <c r="P33" i="76"/>
  <c r="M25" i="76" l="1"/>
  <c r="M35" i="76"/>
  <c r="O35" i="76"/>
  <c r="N35" i="76"/>
  <c r="J35" i="76"/>
  <c r="K35" i="76"/>
  <c r="I35" i="76"/>
  <c r="P35" i="76"/>
  <c r="H35" i="76"/>
  <c r="G35" i="76"/>
  <c r="L35" i="76"/>
  <c r="E744" i="66"/>
  <c r="G897" i="60"/>
  <c r="G877" i="60" l="1"/>
  <c r="Q66" i="76" l="1"/>
  <c r="R76" i="76" l="1"/>
  <c r="S76" i="76" s="1"/>
  <c r="R75" i="76"/>
  <c r="S75" i="76" s="1"/>
  <c r="R66" i="76"/>
  <c r="S66" i="76" s="1"/>
  <c r="Q35" i="76"/>
  <c r="Q36" i="76"/>
  <c r="Q34" i="76"/>
  <c r="Q25" i="76"/>
  <c r="M104" i="77"/>
  <c r="M103" i="77"/>
  <c r="Q89" i="77"/>
  <c r="O87" i="77"/>
  <c r="M87" i="77"/>
  <c r="L87" i="77"/>
  <c r="J87" i="77"/>
  <c r="I87" i="77"/>
  <c r="H87" i="77"/>
  <c r="G87" i="77"/>
  <c r="F87" i="77"/>
  <c r="E87" i="77"/>
  <c r="Q86" i="77"/>
  <c r="Q85" i="77"/>
  <c r="Q84" i="77"/>
  <c r="Q83" i="77"/>
  <c r="Q82" i="77"/>
  <c r="Q81" i="77"/>
  <c r="Q80" i="77"/>
  <c r="Q79" i="77"/>
  <c r="Q78" i="77"/>
  <c r="Q77" i="77"/>
  <c r="Q76" i="77"/>
  <c r="Q75" i="77"/>
  <c r="Q74" i="77"/>
  <c r="Q73" i="77"/>
  <c r="Q72" i="77"/>
  <c r="Q71" i="77"/>
  <c r="Q70" i="77"/>
  <c r="Q69" i="77"/>
  <c r="P87" i="77"/>
  <c r="Q65" i="77"/>
  <c r="P64" i="77"/>
  <c r="O64" i="77"/>
  <c r="N64" i="77"/>
  <c r="M64" i="77"/>
  <c r="L64" i="77"/>
  <c r="K64" i="77"/>
  <c r="J64" i="77"/>
  <c r="I64" i="77"/>
  <c r="H64" i="77"/>
  <c r="G64" i="77"/>
  <c r="F64" i="77"/>
  <c r="E64" i="77"/>
  <c r="Q63" i="77"/>
  <c r="Q62" i="77"/>
  <c r="P60" i="77"/>
  <c r="O60" i="77"/>
  <c r="N60" i="77"/>
  <c r="M60" i="77"/>
  <c r="L60" i="77"/>
  <c r="K60" i="77"/>
  <c r="J60" i="77"/>
  <c r="I60" i="77"/>
  <c r="H60" i="77"/>
  <c r="G60" i="77"/>
  <c r="F60" i="77"/>
  <c r="E60" i="77"/>
  <c r="Q59" i="77"/>
  <c r="Q58" i="77"/>
  <c r="Q57" i="77"/>
  <c r="Q56" i="77"/>
  <c r="Q55" i="77"/>
  <c r="Q54" i="77"/>
  <c r="P53" i="77"/>
  <c r="O53" i="77"/>
  <c r="N53" i="77"/>
  <c r="M53" i="77"/>
  <c r="L53" i="77"/>
  <c r="K53" i="77"/>
  <c r="J53" i="77"/>
  <c r="I53" i="77"/>
  <c r="H53" i="77"/>
  <c r="G53" i="77"/>
  <c r="F53" i="77"/>
  <c r="E53" i="77"/>
  <c r="Q52" i="77"/>
  <c r="P50" i="77"/>
  <c r="O50" i="77"/>
  <c r="N50" i="77"/>
  <c r="M50" i="77"/>
  <c r="L50" i="77"/>
  <c r="K50" i="77"/>
  <c r="J50" i="77"/>
  <c r="I50" i="77"/>
  <c r="H50" i="77"/>
  <c r="G50" i="77"/>
  <c r="F50" i="77"/>
  <c r="E50" i="77"/>
  <c r="Q49" i="77"/>
  <c r="Q48" i="77"/>
  <c r="Q47" i="77"/>
  <c r="Q46" i="77"/>
  <c r="P45" i="77"/>
  <c r="N45" i="77"/>
  <c r="M45" i="77"/>
  <c r="L45" i="77"/>
  <c r="K45" i="77"/>
  <c r="J45" i="77"/>
  <c r="I45" i="77"/>
  <c r="H45" i="77"/>
  <c r="G45" i="77"/>
  <c r="F45" i="77"/>
  <c r="E45" i="77"/>
  <c r="O45" i="77"/>
  <c r="Q34" i="77"/>
  <c r="Q33" i="77"/>
  <c r="Q32" i="77"/>
  <c r="Q31" i="77"/>
  <c r="Q30" i="77"/>
  <c r="Q27" i="77"/>
  <c r="Q25" i="77"/>
  <c r="Q20" i="77"/>
  <c r="Q19" i="77"/>
  <c r="Q16" i="77"/>
  <c r="Q15" i="77"/>
  <c r="P17" i="77"/>
  <c r="P28" i="77" s="1"/>
  <c r="O17" i="77"/>
  <c r="O28" i="77" s="1"/>
  <c r="N17" i="77"/>
  <c r="N28" i="77" s="1"/>
  <c r="M17" i="77"/>
  <c r="M28" i="77" s="1"/>
  <c r="L17" i="77"/>
  <c r="L28" i="77" s="1"/>
  <c r="K17" i="77"/>
  <c r="K28" i="77" s="1"/>
  <c r="J17" i="77"/>
  <c r="J28" i="77" s="1"/>
  <c r="I17" i="77"/>
  <c r="H17" i="77"/>
  <c r="H28" i="77" s="1"/>
  <c r="G17" i="77"/>
  <c r="G28" i="77" s="1"/>
  <c r="F17" i="77"/>
  <c r="F28" i="77" s="1"/>
  <c r="Q13" i="77"/>
  <c r="Q91" i="76"/>
  <c r="P89" i="76"/>
  <c r="O89" i="76"/>
  <c r="N89" i="76"/>
  <c r="M89" i="76"/>
  <c r="L89" i="76"/>
  <c r="K89" i="76"/>
  <c r="J89" i="76"/>
  <c r="I89" i="76"/>
  <c r="H89" i="76"/>
  <c r="G89" i="76"/>
  <c r="F89" i="76"/>
  <c r="E89" i="76"/>
  <c r="Q88" i="76"/>
  <c r="Q87" i="76"/>
  <c r="Q86" i="76"/>
  <c r="Q85" i="76"/>
  <c r="Q84" i="76"/>
  <c r="Q83" i="76"/>
  <c r="P81" i="76"/>
  <c r="O81" i="76"/>
  <c r="N81" i="76"/>
  <c r="M81" i="76"/>
  <c r="L81" i="76"/>
  <c r="K81" i="76"/>
  <c r="J81" i="76"/>
  <c r="I81" i="76"/>
  <c r="H81" i="76"/>
  <c r="H90" i="76" s="1"/>
  <c r="H92" i="76" s="1"/>
  <c r="G81" i="76"/>
  <c r="F81" i="76"/>
  <c r="E81" i="76"/>
  <c r="Q80" i="76"/>
  <c r="Q79" i="76"/>
  <c r="Q78" i="76"/>
  <c r="Q77" i="76"/>
  <c r="Q72" i="76"/>
  <c r="P70" i="76"/>
  <c r="O70" i="76"/>
  <c r="N70" i="76"/>
  <c r="M70" i="76"/>
  <c r="L70" i="76"/>
  <c r="K70" i="76"/>
  <c r="J70" i="76"/>
  <c r="I70" i="76"/>
  <c r="H70" i="76"/>
  <c r="G70" i="76"/>
  <c r="F70" i="76"/>
  <c r="E70" i="76"/>
  <c r="Q69" i="76"/>
  <c r="Q68" i="76"/>
  <c r="Q67" i="76"/>
  <c r="Q63" i="76"/>
  <c r="Q62" i="76"/>
  <c r="Q59" i="76"/>
  <c r="Q58" i="76"/>
  <c r="Q57" i="76"/>
  <c r="Q60" i="76" s="1"/>
  <c r="Q54" i="76"/>
  <c r="Q53" i="76"/>
  <c r="P61" i="76"/>
  <c r="Q49" i="76"/>
  <c r="Q48" i="76"/>
  <c r="G61" i="76"/>
  <c r="P44" i="76"/>
  <c r="P64" i="76" s="1"/>
  <c r="O44" i="76"/>
  <c r="N44" i="76"/>
  <c r="M44" i="76"/>
  <c r="L44" i="76"/>
  <c r="K44" i="76"/>
  <c r="Q43" i="76"/>
  <c r="Q42" i="76"/>
  <c r="J44" i="76"/>
  <c r="I44" i="76"/>
  <c r="H44" i="76"/>
  <c r="G44" i="76"/>
  <c r="G64" i="76" s="1"/>
  <c r="F44" i="76"/>
  <c r="E44" i="76"/>
  <c r="Q39" i="76"/>
  <c r="Q38" i="76"/>
  <c r="Q32" i="76"/>
  <c r="Q31" i="76"/>
  <c r="Q30" i="76"/>
  <c r="Q29" i="76"/>
  <c r="Q28" i="76"/>
  <c r="Q27" i="76"/>
  <c r="Q24" i="76"/>
  <c r="Q23" i="76"/>
  <c r="Q21" i="76"/>
  <c r="Q20" i="76"/>
  <c r="I37" i="76"/>
  <c r="Q18" i="76"/>
  <c r="Q16" i="76"/>
  <c r="Q15" i="76"/>
  <c r="Q14" i="76"/>
  <c r="Q13" i="76"/>
  <c r="Q12" i="76"/>
  <c r="Q11" i="76"/>
  <c r="Q70" i="76" l="1"/>
  <c r="F90" i="76"/>
  <c r="F92" i="76" s="1"/>
  <c r="J90" i="76"/>
  <c r="J92" i="76" s="1"/>
  <c r="N90" i="76"/>
  <c r="N92" i="76" s="1"/>
  <c r="I18" i="77"/>
  <c r="Q18" i="77" s="1"/>
  <c r="P71" i="76"/>
  <c r="Q67" i="77"/>
  <c r="Q89" i="76"/>
  <c r="L90" i="76"/>
  <c r="L92" i="76" s="1"/>
  <c r="P90" i="76"/>
  <c r="P92" i="76" s="1"/>
  <c r="Q14" i="77"/>
  <c r="Q17" i="77" s="1"/>
  <c r="K87" i="77"/>
  <c r="K88" i="77" s="1"/>
  <c r="K90" i="77" s="1"/>
  <c r="Q68" i="77"/>
  <c r="N87" i="77"/>
  <c r="N88" i="77" s="1"/>
  <c r="N90" i="77" s="1"/>
  <c r="Q53" i="77"/>
  <c r="Q64" i="77"/>
  <c r="F88" i="77"/>
  <c r="F90" i="77" s="1"/>
  <c r="J88" i="77"/>
  <c r="J90" i="77" s="1"/>
  <c r="Q50" i="77"/>
  <c r="M37" i="76"/>
  <c r="N61" i="76"/>
  <c r="N64" i="76" s="1"/>
  <c r="N71" i="76" s="1"/>
  <c r="L61" i="76"/>
  <c r="L64" i="76" s="1"/>
  <c r="Q17" i="76"/>
  <c r="I61" i="76"/>
  <c r="I64" i="76" s="1"/>
  <c r="I71" i="76" s="1"/>
  <c r="Q33" i="76"/>
  <c r="Q52" i="76"/>
  <c r="Q55" i="76" s="1"/>
  <c r="Q94" i="76"/>
  <c r="H37" i="76"/>
  <c r="L37" i="76"/>
  <c r="P37" i="76"/>
  <c r="N37" i="76"/>
  <c r="G71" i="76"/>
  <c r="Q47" i="76"/>
  <c r="Q50" i="76" s="1"/>
  <c r="E61" i="76"/>
  <c r="E64" i="76" s="1"/>
  <c r="E71" i="76" s="1"/>
  <c r="E93" i="76" s="1"/>
  <c r="H61" i="76"/>
  <c r="K61" i="76"/>
  <c r="O61" i="76"/>
  <c r="Q81" i="76"/>
  <c r="I90" i="76"/>
  <c r="I92" i="76" s="1"/>
  <c r="M90" i="76"/>
  <c r="M92" i="76" s="1"/>
  <c r="G90" i="76"/>
  <c r="G92" i="76" s="1"/>
  <c r="K90" i="76"/>
  <c r="K92" i="76" s="1"/>
  <c r="O90" i="76"/>
  <c r="O92" i="76" s="1"/>
  <c r="Q41" i="76"/>
  <c r="M61" i="76"/>
  <c r="H88" i="77"/>
  <c r="H90" i="77" s="1"/>
  <c r="G88" i="77"/>
  <c r="G90" i="77" s="1"/>
  <c r="O88" i="77"/>
  <c r="O90" i="77" s="1"/>
  <c r="Q45" i="77"/>
  <c r="M88" i="77"/>
  <c r="M90" i="77" s="1"/>
  <c r="L88" i="77"/>
  <c r="L90" i="77" s="1"/>
  <c r="P88" i="77"/>
  <c r="P90" i="77" s="1"/>
  <c r="Q60" i="77"/>
  <c r="E17" i="77"/>
  <c r="E28" i="77" s="1"/>
  <c r="J37" i="76"/>
  <c r="Q44" i="76"/>
  <c r="F37" i="76"/>
  <c r="G37" i="76"/>
  <c r="K37" i="76"/>
  <c r="O37" i="76"/>
  <c r="F61" i="76"/>
  <c r="J61" i="76"/>
  <c r="E90" i="76"/>
  <c r="E92" i="76" s="1"/>
  <c r="Q19" i="76"/>
  <c r="Q22" i="76" s="1"/>
  <c r="M64" i="76" l="1"/>
  <c r="M71" i="76" s="1"/>
  <c r="H64" i="76"/>
  <c r="H71" i="76" s="1"/>
  <c r="L71" i="76"/>
  <c r="L73" i="76" s="1"/>
  <c r="O64" i="76"/>
  <c r="O71" i="76" s="1"/>
  <c r="K64" i="76"/>
  <c r="K71" i="76" s="1"/>
  <c r="J64" i="76"/>
  <c r="J71" i="76" s="1"/>
  <c r="F64" i="76"/>
  <c r="F71" i="76" s="1"/>
  <c r="I28" i="77"/>
  <c r="I88" i="77" s="1"/>
  <c r="I90" i="77" s="1"/>
  <c r="G73" i="76"/>
  <c r="G93" i="76"/>
  <c r="G95" i="76" s="1"/>
  <c r="I73" i="76"/>
  <c r="I93" i="76"/>
  <c r="I95" i="76" s="1"/>
  <c r="N73" i="76"/>
  <c r="N93" i="76"/>
  <c r="N95" i="76" s="1"/>
  <c r="P73" i="76"/>
  <c r="P93" i="76"/>
  <c r="P95" i="76" s="1"/>
  <c r="Q87" i="77"/>
  <c r="E88" i="77"/>
  <c r="Q90" i="76"/>
  <c r="Q92" i="76" s="1"/>
  <c r="Q61" i="76"/>
  <c r="E73" i="76"/>
  <c r="E37" i="76"/>
  <c r="Q37" i="76" s="1"/>
  <c r="L93" i="76" l="1"/>
  <c r="L95" i="76" s="1"/>
  <c r="K73" i="76"/>
  <c r="K93" i="76"/>
  <c r="K95" i="76" s="1"/>
  <c r="Q64" i="76"/>
  <c r="F93" i="76"/>
  <c r="F95" i="76" s="1"/>
  <c r="Q71" i="76"/>
  <c r="F73" i="76"/>
  <c r="H93" i="76"/>
  <c r="H95" i="76" s="1"/>
  <c r="H73" i="76"/>
  <c r="J93" i="76"/>
  <c r="J95" i="76" s="1"/>
  <c r="J73" i="76"/>
  <c r="O73" i="76"/>
  <c r="O93" i="76"/>
  <c r="O95" i="76" s="1"/>
  <c r="M93" i="76"/>
  <c r="M95" i="76" s="1"/>
  <c r="M73" i="76"/>
  <c r="Q28" i="77"/>
  <c r="Q88" i="77"/>
  <c r="E90" i="77"/>
  <c r="E95" i="76"/>
  <c r="Q73" i="76" l="1"/>
  <c r="Q93" i="76"/>
  <c r="Q95" i="76" s="1"/>
  <c r="Q90" i="77"/>
  <c r="A64" i="58" l="1"/>
  <c r="A63" i="58"/>
  <c r="A146" i="58"/>
  <c r="A231" i="58"/>
  <c r="A230" i="58"/>
  <c r="A229" i="58"/>
  <c r="A315" i="58"/>
  <c r="A314" i="58"/>
  <c r="A313" i="58"/>
  <c r="A312" i="58"/>
  <c r="A311" i="58"/>
  <c r="A310" i="58"/>
  <c r="A395" i="58"/>
  <c r="A394" i="58"/>
  <c r="A393" i="58"/>
  <c r="A392" i="58"/>
  <c r="A391" i="58"/>
  <c r="A390" i="58"/>
  <c r="A389" i="58"/>
  <c r="A478" i="58"/>
  <c r="A477" i="58"/>
  <c r="A476" i="58"/>
  <c r="A475" i="58"/>
  <c r="A474" i="58"/>
  <c r="A473" i="58"/>
  <c r="A472" i="58"/>
  <c r="A558" i="58"/>
  <c r="A557" i="58"/>
  <c r="A556" i="58"/>
  <c r="A555" i="58"/>
  <c r="A554" i="58"/>
  <c r="A553" i="58"/>
  <c r="A552" i="58"/>
  <c r="A643" i="58"/>
  <c r="A642" i="58"/>
  <c r="A641" i="58"/>
  <c r="A640" i="58"/>
  <c r="A639" i="58"/>
  <c r="A638" i="58"/>
  <c r="A637" i="58"/>
  <c r="A727" i="58"/>
  <c r="A726" i="58"/>
  <c r="A725" i="58"/>
  <c r="A724" i="58"/>
  <c r="A723" i="58"/>
  <c r="A722" i="58"/>
  <c r="A721" i="58"/>
  <c r="A976" i="58"/>
  <c r="A975" i="58"/>
  <c r="A974" i="58"/>
  <c r="A973" i="58"/>
  <c r="A972" i="58"/>
  <c r="A971" i="58"/>
  <c r="A892" i="58"/>
  <c r="A891" i="58"/>
  <c r="A890" i="58"/>
  <c r="A889" i="58"/>
  <c r="A888" i="58"/>
  <c r="A887" i="58"/>
  <c r="A886" i="58"/>
  <c r="H45" i="66" l="1"/>
  <c r="L865" i="58" l="1"/>
  <c r="L862" i="58"/>
  <c r="L861" i="58"/>
  <c r="L860" i="58"/>
  <c r="L859" i="58"/>
  <c r="L857" i="58"/>
  <c r="L855" i="58"/>
  <c r="L846" i="58"/>
  <c r="L844" i="58"/>
  <c r="L842" i="58"/>
  <c r="E631" i="62" s="1"/>
  <c r="L840" i="58"/>
  <c r="L838" i="58"/>
  <c r="G806" i="60" l="1"/>
  <c r="L847" i="58"/>
  <c r="L851" i="58"/>
  <c r="L863" i="58"/>
  <c r="E682" i="66" l="1"/>
  <c r="G755" i="60" l="1"/>
  <c r="L771" i="58"/>
  <c r="L786" i="58"/>
  <c r="E572" i="62" s="1"/>
  <c r="L781" i="58"/>
  <c r="L780" i="58"/>
  <c r="L779" i="58"/>
  <c r="L778" i="58"/>
  <c r="L776" i="58"/>
  <c r="L774" i="58"/>
  <c r="L765" i="58"/>
  <c r="L763" i="58"/>
  <c r="L761" i="58"/>
  <c r="E569" i="62" s="1"/>
  <c r="L759" i="58"/>
  <c r="L757" i="58"/>
  <c r="G735" i="60" l="1"/>
  <c r="L770" i="58"/>
  <c r="E621" i="66" l="1"/>
  <c r="L702" i="58" l="1"/>
  <c r="L697" i="58"/>
  <c r="L696" i="58"/>
  <c r="L695" i="58"/>
  <c r="L694" i="58"/>
  <c r="L692" i="58"/>
  <c r="L690" i="58"/>
  <c r="L687" i="58"/>
  <c r="L681" i="58"/>
  <c r="L679" i="58"/>
  <c r="L677" i="58"/>
  <c r="E507" i="62" s="1"/>
  <c r="L675" i="58"/>
  <c r="L673" i="58"/>
  <c r="L686" i="58" l="1"/>
  <c r="E566" i="66" l="1"/>
  <c r="G611" i="60" l="1"/>
  <c r="G591" i="60"/>
  <c r="L602" i="58"/>
  <c r="L618" i="58"/>
  <c r="L612" i="58"/>
  <c r="L611" i="58"/>
  <c r="L610" i="58"/>
  <c r="L608" i="58"/>
  <c r="L603" i="58"/>
  <c r="L597" i="58"/>
  <c r="L595" i="58"/>
  <c r="L593" i="58"/>
  <c r="E446" i="62" s="1"/>
  <c r="L591" i="58"/>
  <c r="L589" i="58"/>
  <c r="L613" i="58" l="1"/>
  <c r="L617" i="58"/>
  <c r="E451" i="62" s="1"/>
  <c r="E505" i="66" l="1"/>
  <c r="A649" i="58" l="1"/>
  <c r="A648" i="58"/>
  <c r="A647" i="58"/>
  <c r="A646" i="58"/>
  <c r="L527" i="58" l="1"/>
  <c r="L526" i="58"/>
  <c r="L525" i="58"/>
  <c r="L523" i="58"/>
  <c r="L518" i="58"/>
  <c r="L512" i="58"/>
  <c r="L510" i="58"/>
  <c r="L508" i="58"/>
  <c r="E385" i="62" s="1"/>
  <c r="L506" i="58"/>
  <c r="L504" i="58"/>
  <c r="L517" i="58" l="1"/>
  <c r="E442" i="66" l="1"/>
  <c r="E380" i="66" l="1"/>
  <c r="L345" i="58" l="1"/>
  <c r="E263" i="62" s="1"/>
  <c r="L347" i="58"/>
  <c r="L349" i="58"/>
  <c r="L360" i="58"/>
  <c r="L362" i="58"/>
  <c r="L363" i="58"/>
  <c r="L364" i="58"/>
  <c r="L365" i="58"/>
  <c r="L343" i="58"/>
  <c r="L341" i="58"/>
  <c r="G400" i="60" l="1"/>
  <c r="E319" i="66"/>
  <c r="E258" i="66" l="1"/>
  <c r="L315" i="58" l="1"/>
  <c r="L314" i="58"/>
  <c r="L313" i="58"/>
  <c r="L312" i="58"/>
  <c r="L311" i="58"/>
  <c r="L310" i="58"/>
  <c r="L309" i="58"/>
  <c r="L308" i="58"/>
  <c r="L307" i="58"/>
  <c r="L306" i="58"/>
  <c r="L303" i="58"/>
  <c r="L302" i="58"/>
  <c r="L300" i="58"/>
  <c r="L294" i="58"/>
  <c r="L287" i="58"/>
  <c r="L286" i="58"/>
  <c r="L285" i="58"/>
  <c r="L284" i="58"/>
  <c r="E279" i="62" s="1"/>
  <c r="L283" i="58"/>
  <c r="L281" i="58"/>
  <c r="L279" i="58"/>
  <c r="L275" i="58"/>
  <c r="L271" i="58"/>
  <c r="L270" i="58"/>
  <c r="L268" i="58"/>
  <c r="L266" i="58"/>
  <c r="E203" i="62" s="1"/>
  <c r="L264" i="58"/>
  <c r="L238" i="58"/>
  <c r="L237" i="58"/>
  <c r="L236" i="58"/>
  <c r="L235" i="58"/>
  <c r="L234" i="58"/>
  <c r="L233" i="58"/>
  <c r="L232" i="58"/>
  <c r="L231" i="58"/>
  <c r="L230" i="58"/>
  <c r="L229" i="58"/>
  <c r="L228" i="58"/>
  <c r="L226" i="58"/>
  <c r="L225" i="58"/>
  <c r="L224" i="58"/>
  <c r="L223" i="58"/>
  <c r="L220" i="58"/>
  <c r="L219" i="58"/>
  <c r="L217" i="58"/>
  <c r="L211" i="58"/>
  <c r="L204" i="58"/>
  <c r="L203" i="58"/>
  <c r="L202" i="58"/>
  <c r="L201" i="58"/>
  <c r="L200" i="58"/>
  <c r="L198" i="58"/>
  <c r="L195" i="58"/>
  <c r="L194" i="58"/>
  <c r="L190" i="58"/>
  <c r="L186" i="58"/>
  <c r="L185" i="58"/>
  <c r="L183" i="58"/>
  <c r="L181" i="58"/>
  <c r="E141" i="62" s="1"/>
  <c r="L179" i="58"/>
  <c r="L177" i="58"/>
  <c r="L262" i="58" l="1"/>
  <c r="E202" i="66"/>
  <c r="H168" i="60" l="1"/>
  <c r="L98" i="58"/>
  <c r="E78" i="62" s="1"/>
  <c r="L100" i="58"/>
  <c r="L102" i="58"/>
  <c r="L103" i="58"/>
  <c r="L107" i="58"/>
  <c r="L111" i="58"/>
  <c r="L112" i="58"/>
  <c r="L115" i="58"/>
  <c r="L117" i="58"/>
  <c r="L118" i="58"/>
  <c r="L119" i="58"/>
  <c r="L120" i="58"/>
  <c r="L121" i="58"/>
  <c r="L125" i="58"/>
  <c r="L134" i="58"/>
  <c r="L137" i="58"/>
  <c r="L128" i="58"/>
  <c r="L127" i="58"/>
  <c r="L96" i="58"/>
  <c r="L94" i="58" l="1"/>
  <c r="L108" i="58"/>
  <c r="E147" i="66" l="1"/>
  <c r="G23" i="57" l="1"/>
  <c r="H23" i="57"/>
  <c r="H51" i="57"/>
  <c r="H24" i="57" l="1"/>
  <c r="M15" i="57"/>
  <c r="L13" i="58"/>
  <c r="H82" i="66" l="1"/>
  <c r="H143" i="66" s="1"/>
  <c r="H198" i="66" s="1"/>
  <c r="H254" i="66" s="1"/>
  <c r="H83" i="66"/>
  <c r="H144" i="66" s="1"/>
  <c r="E86" i="66"/>
  <c r="H315" i="66" l="1"/>
  <c r="J14" i="69"/>
  <c r="Q72" i="68" l="1"/>
  <c r="Q70" i="68"/>
  <c r="R77" i="83" s="1"/>
  <c r="S77" i="83" s="1"/>
  <c r="R74" i="77"/>
  <c r="S74" i="77" s="1"/>
  <c r="R73" i="77"/>
  <c r="S73" i="77" s="1"/>
  <c r="R71" i="77"/>
  <c r="S71" i="77" s="1"/>
  <c r="Q60" i="68"/>
  <c r="H100" i="66"/>
  <c r="Q53" i="68"/>
  <c r="P52" i="68"/>
  <c r="O52" i="68"/>
  <c r="J52" i="68"/>
  <c r="I52" i="68"/>
  <c r="H52" i="68"/>
  <c r="G52" i="68"/>
  <c r="F52" i="68"/>
  <c r="E52" i="68"/>
  <c r="Q50" i="68"/>
  <c r="Q45" i="68"/>
  <c r="Q41" i="68"/>
  <c r="R40" i="77" s="1"/>
  <c r="Q30" i="68"/>
  <c r="Q93" i="67"/>
  <c r="R122" i="82" s="1"/>
  <c r="S122" i="82" s="1"/>
  <c r="Q36" i="67"/>
  <c r="Q35" i="67"/>
  <c r="Q13" i="67"/>
  <c r="Q12" i="67"/>
  <c r="Q11" i="67"/>
  <c r="S13" i="78" l="1"/>
  <c r="T13" i="78" s="1"/>
  <c r="R78" i="77"/>
  <c r="S78" i="77" s="1"/>
  <c r="R63" i="77"/>
  <c r="S63" i="77" s="1"/>
  <c r="S59" i="79"/>
  <c r="T59" i="79" s="1"/>
  <c r="R80" i="77"/>
  <c r="S80" i="77" s="1"/>
  <c r="S77" i="79"/>
  <c r="T77" i="79" s="1"/>
  <c r="R85" i="76"/>
  <c r="S85" i="76" s="1"/>
  <c r="S87" i="78"/>
  <c r="T87" i="78" s="1"/>
  <c r="H161" i="66"/>
  <c r="H216" i="66" s="1"/>
  <c r="H272" i="66" s="1"/>
  <c r="H333" i="66" l="1"/>
  <c r="H394" i="66" s="1"/>
  <c r="H456" i="66" s="1"/>
  <c r="H15" i="66"/>
  <c r="E24" i="66"/>
  <c r="H23" i="66"/>
  <c r="H519" i="66" l="1"/>
  <c r="H580" i="66" s="1"/>
  <c r="H635" i="66" s="1"/>
  <c r="H696" i="66" s="1"/>
  <c r="O456" i="66"/>
  <c r="H24" i="66"/>
  <c r="H35" i="66" s="1"/>
  <c r="H41" i="66" s="1"/>
  <c r="H46" i="66" s="1"/>
  <c r="H49" i="66" s="1"/>
  <c r="L923" i="58" l="1"/>
  <c r="L448" i="58" l="1"/>
  <c r="L447" i="58"/>
  <c r="L446" i="58"/>
  <c r="L445" i="58"/>
  <c r="L432" i="58"/>
  <c r="I162" i="60" l="1"/>
  <c r="I165" i="60"/>
  <c r="L30" i="58" l="1"/>
  <c r="L32" i="58"/>
  <c r="L26" i="58" l="1"/>
  <c r="L27" i="58" l="1"/>
  <c r="I113" i="60" l="1"/>
  <c r="I184" i="60" s="1"/>
  <c r="E24" i="57" l="1"/>
  <c r="H44" i="57" l="1"/>
  <c r="H52" i="57" s="1"/>
  <c r="H55" i="57" s="1"/>
  <c r="L58" i="58" l="1"/>
  <c r="E14" i="65"/>
  <c r="G10" i="65" l="1"/>
  <c r="E18" i="65"/>
  <c r="F14" i="65" l="1"/>
  <c r="G14" i="65" s="1"/>
  <c r="L955" i="58"/>
  <c r="L947" i="58"/>
  <c r="L946" i="58"/>
  <c r="L942" i="58"/>
  <c r="L940" i="58"/>
  <c r="L936" i="58"/>
  <c r="L932" i="58"/>
  <c r="L931" i="58"/>
  <c r="A812" i="58" l="1"/>
  <c r="A811" i="58"/>
  <c r="A810" i="58"/>
  <c r="A809" i="58"/>
  <c r="A808" i="58"/>
  <c r="A807" i="58"/>
  <c r="A806" i="58"/>
  <c r="A805" i="58"/>
  <c r="A561" i="58" l="1"/>
  <c r="A560" i="58"/>
  <c r="A559" i="58"/>
  <c r="G137" i="63" l="1"/>
  <c r="G136" i="63"/>
  <c r="G131" i="63"/>
  <c r="G130" i="63"/>
  <c r="F129" i="63"/>
  <c r="F128" i="63"/>
  <c r="G104" i="63"/>
  <c r="F99" i="63"/>
  <c r="F92" i="63"/>
  <c r="E79" i="63"/>
  <c r="E78" i="63"/>
  <c r="E77" i="63"/>
  <c r="E76" i="63"/>
  <c r="E75" i="63"/>
  <c r="E74" i="63"/>
  <c r="F73" i="63"/>
  <c r="E72" i="63"/>
  <c r="E71" i="63"/>
  <c r="E70" i="63"/>
  <c r="E69" i="63"/>
  <c r="E68" i="63"/>
  <c r="E67" i="63"/>
  <c r="E66" i="63"/>
  <c r="E65" i="63"/>
  <c r="F64" i="63"/>
  <c r="E63" i="63"/>
  <c r="E62" i="63"/>
  <c r="E61" i="63"/>
  <c r="E60" i="63"/>
  <c r="E59" i="63"/>
  <c r="E58" i="63"/>
  <c r="E57" i="63"/>
  <c r="E56" i="63"/>
  <c r="F55" i="63"/>
  <c r="F54" i="63"/>
  <c r="F53" i="63"/>
  <c r="E52" i="63"/>
  <c r="E51" i="63"/>
  <c r="E50" i="63"/>
  <c r="E49" i="63"/>
  <c r="E48" i="63"/>
  <c r="E47" i="63"/>
  <c r="E46" i="63"/>
  <c r="E45" i="63"/>
  <c r="E43" i="63"/>
  <c r="E42" i="63"/>
  <c r="E41" i="63"/>
  <c r="E40" i="63"/>
  <c r="E39" i="63"/>
  <c r="E38" i="63"/>
  <c r="E37" i="63"/>
  <c r="E36" i="63"/>
  <c r="E35" i="63"/>
  <c r="E32" i="63"/>
  <c r="E31" i="63"/>
  <c r="E30" i="63"/>
  <c r="E29" i="63"/>
  <c r="E27" i="63"/>
  <c r="F26" i="63"/>
  <c r="E25" i="63"/>
  <c r="E24" i="63"/>
  <c r="E23" i="63"/>
  <c r="E21" i="63"/>
  <c r="E20" i="63"/>
  <c r="F18" i="63"/>
  <c r="E17" i="63"/>
  <c r="E16" i="63"/>
  <c r="F15" i="63" s="1"/>
  <c r="E14" i="63"/>
  <c r="E13" i="63"/>
  <c r="F12" i="63"/>
  <c r="E11" i="63"/>
  <c r="F9" i="63" s="1"/>
  <c r="G127" i="63" l="1"/>
  <c r="G138" i="63" s="1"/>
  <c r="F19" i="63"/>
  <c r="F22" i="63"/>
  <c r="F44" i="63"/>
  <c r="F34" i="63"/>
  <c r="G91" i="63"/>
  <c r="G118" i="63" s="1"/>
  <c r="G140" i="63" l="1"/>
  <c r="G33" i="63"/>
  <c r="G8" i="63"/>
  <c r="G80" i="63" l="1"/>
  <c r="I256" i="60"/>
  <c r="I236" i="60"/>
  <c r="I233" i="60"/>
  <c r="I327" i="60" l="1"/>
  <c r="I398" i="60" s="1"/>
  <c r="I307" i="60"/>
  <c r="I304" i="60"/>
  <c r="I469" i="60" l="1"/>
  <c r="I375" i="60"/>
  <c r="I378" i="60"/>
  <c r="L150" i="58"/>
  <c r="L149" i="58"/>
  <c r="L148" i="58"/>
  <c r="L147" i="58"/>
  <c r="L146" i="58"/>
  <c r="L145" i="58"/>
  <c r="L144" i="58"/>
  <c r="L143" i="58"/>
  <c r="L142" i="58"/>
  <c r="L141" i="58"/>
  <c r="L138" i="58"/>
  <c r="I538" i="60" l="1"/>
  <c r="I449" i="60"/>
  <c r="I446" i="60"/>
  <c r="A893" i="58"/>
  <c r="A731" i="58"/>
  <c r="A730" i="58"/>
  <c r="A729" i="58"/>
  <c r="A728" i="58"/>
  <c r="A480" i="58"/>
  <c r="A479" i="58"/>
  <c r="A318" i="58"/>
  <c r="A317" i="58"/>
  <c r="A316" i="58"/>
  <c r="A158" i="58"/>
  <c r="A157" i="58"/>
  <c r="A156" i="58"/>
  <c r="L74" i="58"/>
  <c r="L73" i="58"/>
  <c r="L72" i="58"/>
  <c r="L71" i="58"/>
  <c r="L70" i="58"/>
  <c r="L69" i="58"/>
  <c r="L68" i="58"/>
  <c r="L67" i="58"/>
  <c r="L66" i="58"/>
  <c r="L65" i="58"/>
  <c r="L63" i="58"/>
  <c r="L62" i="58"/>
  <c r="L61" i="58"/>
  <c r="L60" i="58"/>
  <c r="L57" i="58"/>
  <c r="L56" i="58"/>
  <c r="L55" i="58"/>
  <c r="L53" i="58"/>
  <c r="L44" i="58"/>
  <c r="L38" i="58"/>
  <c r="L37" i="58"/>
  <c r="L36" i="58"/>
  <c r="L34" i="58"/>
  <c r="L22" i="58"/>
  <c r="L21" i="58"/>
  <c r="I609" i="60" l="1"/>
  <c r="I515" i="60"/>
  <c r="I518" i="60"/>
  <c r="I456" i="60"/>
  <c r="I525" i="60" s="1"/>
  <c r="L75" i="58"/>
  <c r="I681" i="60" l="1"/>
  <c r="I589" i="60"/>
  <c r="I586" i="60"/>
  <c r="L944" i="58"/>
  <c r="I753" i="60" l="1"/>
  <c r="I661" i="60"/>
  <c r="I658" i="60"/>
  <c r="I596" i="60"/>
  <c r="I668" i="60" s="1"/>
  <c r="I112" i="60"/>
  <c r="I114" i="60"/>
  <c r="G43" i="60" s="1"/>
  <c r="I183" i="60" l="1"/>
  <c r="G41" i="60"/>
  <c r="I824" i="60"/>
  <c r="I730" i="60"/>
  <c r="I733" i="60"/>
  <c r="I115" i="60"/>
  <c r="G115" i="60"/>
  <c r="I895" i="60" l="1"/>
  <c r="I804" i="60"/>
  <c r="I801" i="60"/>
  <c r="I255" i="60"/>
  <c r="I872" i="60" l="1"/>
  <c r="I875" i="60"/>
  <c r="I326" i="60"/>
  <c r="L945" i="58"/>
  <c r="I397" i="60" l="1"/>
  <c r="L948" i="58"/>
  <c r="I468" i="60" l="1"/>
  <c r="L929" i="58"/>
  <c r="I537" i="60" l="1"/>
  <c r="E39" i="62"/>
  <c r="I608" i="60" l="1"/>
  <c r="L17" i="58"/>
  <c r="E17" i="62" s="1"/>
  <c r="I680" i="60" l="1"/>
  <c r="L949" i="58"/>
  <c r="I752" i="60" l="1"/>
  <c r="C18" i="65"/>
  <c r="I823" i="60" l="1"/>
  <c r="L950" i="58"/>
  <c r="I894" i="60" l="1"/>
  <c r="L46" i="58" l="1"/>
  <c r="L47" i="58" l="1"/>
  <c r="L19" i="58" l="1"/>
  <c r="E47" i="64" l="1"/>
  <c r="D18" i="65" l="1"/>
  <c r="D54" i="64" l="1"/>
  <c r="L15" i="58" l="1"/>
  <c r="L31" i="58" l="1"/>
  <c r="E33" i="62" s="1"/>
  <c r="D39" i="64" l="1"/>
  <c r="D32" i="64" l="1"/>
  <c r="D33" i="64" l="1"/>
  <c r="E31" i="64" s="1"/>
  <c r="D40" i="64"/>
  <c r="E38" i="64" s="1"/>
  <c r="E29" i="64"/>
  <c r="E55" i="64" l="1"/>
  <c r="E56" i="64" l="1"/>
  <c r="D44" i="64" l="1"/>
  <c r="D43" i="64" l="1"/>
  <c r="D28" i="64" l="1"/>
  <c r="D46" i="64" l="1"/>
  <c r="D17" i="64" l="1"/>
  <c r="D45" i="64" l="1"/>
  <c r="E42" i="64" s="1"/>
  <c r="D16" i="64" l="1"/>
  <c r="D14" i="64" l="1"/>
  <c r="D15" i="64" l="1"/>
  <c r="D11" i="64" l="1"/>
  <c r="D21" i="64" l="1"/>
  <c r="D20" i="64" l="1"/>
  <c r="E19" i="64" s="1"/>
  <c r="D13" i="64" l="1"/>
  <c r="D9" i="64" l="1"/>
  <c r="E8" i="64" s="1"/>
  <c r="D12" i="64" l="1"/>
  <c r="E10" i="64" s="1"/>
  <c r="F23" i="64" s="1"/>
  <c r="L424" i="58" l="1"/>
  <c r="L426" i="58"/>
  <c r="E41" i="64" l="1"/>
  <c r="D51" i="64" l="1"/>
  <c r="D49" i="64" l="1"/>
  <c r="D50" i="64" l="1"/>
  <c r="D52" i="64" l="1"/>
  <c r="D53" i="64" l="1"/>
  <c r="E48" i="64" s="1"/>
  <c r="D27" i="64" l="1"/>
  <c r="E26" i="64" s="1"/>
  <c r="F58" i="64" s="1"/>
  <c r="F60" i="64" s="1"/>
  <c r="F62" i="64" s="1"/>
  <c r="F64" i="64" s="1"/>
  <c r="E30" i="64" l="1"/>
  <c r="D36" i="64" l="1"/>
  <c r="D35" i="64" l="1"/>
  <c r="D37" i="64" l="1"/>
  <c r="E34" i="64" s="1"/>
  <c r="L428" i="58" l="1"/>
  <c r="E324" i="62" l="1"/>
  <c r="L430" i="58"/>
  <c r="L443" i="58"/>
  <c r="G520" i="60" l="1"/>
  <c r="G451" i="60" l="1"/>
  <c r="L682" i="58" l="1"/>
  <c r="L513" i="58" l="1"/>
  <c r="L598" i="58" l="1"/>
  <c r="L766" i="58" l="1"/>
  <c r="L698" i="58" l="1"/>
  <c r="L699" i="58" l="1"/>
  <c r="Q20" i="67" l="1"/>
  <c r="R34" i="82" s="1"/>
  <c r="S34" i="82" s="1"/>
  <c r="S23" i="78" l="1"/>
  <c r="T23" i="78" s="1"/>
  <c r="R23" i="76"/>
  <c r="S23" i="76" s="1"/>
  <c r="L366" i="58" l="1"/>
  <c r="L354" i="58" l="1"/>
  <c r="L276" i="58"/>
  <c r="L191" i="58"/>
  <c r="L437" i="58"/>
  <c r="L528" i="58" l="1"/>
  <c r="L355" i="58" l="1"/>
  <c r="L438" i="58" l="1"/>
  <c r="L358" i="58" l="1"/>
  <c r="L441" i="58" l="1"/>
  <c r="L521" i="58" l="1"/>
  <c r="L606" i="58" l="1"/>
  <c r="L350" i="58" l="1"/>
  <c r="L433" i="58" l="1"/>
  <c r="L535" i="58" l="1"/>
  <c r="L621" i="58" l="1"/>
  <c r="L456" i="58"/>
  <c r="L789" i="58"/>
  <c r="L536" i="58"/>
  <c r="L705" i="58" l="1"/>
  <c r="L373" i="58"/>
  <c r="L870" i="58"/>
  <c r="L449" i="58" l="1"/>
  <c r="L529" i="58" l="1"/>
  <c r="L614" i="58" l="1"/>
  <c r="L782" i="58" l="1"/>
  <c r="I91" i="60" l="1"/>
  <c r="I94" i="60"/>
  <c r="I163" i="60" l="1"/>
  <c r="I89" i="60"/>
  <c r="G18" i="60" s="1"/>
  <c r="I234" i="60" l="1"/>
  <c r="I305" i="60" l="1"/>
  <c r="G380" i="60"/>
  <c r="I376" i="60" l="1"/>
  <c r="L937" i="58"/>
  <c r="I447" i="60" l="1"/>
  <c r="L941" i="58"/>
  <c r="I516" i="60" l="1"/>
  <c r="F735" i="66"/>
  <c r="I587" i="60" l="1"/>
  <c r="Q35" i="68"/>
  <c r="R34" i="77" s="1"/>
  <c r="S34" i="77" s="1"/>
  <c r="L869" i="58" l="1"/>
  <c r="L788" i="58"/>
  <c r="L704" i="58"/>
  <c r="L620" i="58"/>
  <c r="L455" i="58"/>
  <c r="L372" i="58"/>
  <c r="L293" i="58"/>
  <c r="L210" i="58"/>
  <c r="L954" i="58" l="1"/>
  <c r="L960" i="58"/>
  <c r="L959" i="58"/>
  <c r="L280" i="58" l="1"/>
  <c r="H758" i="66" l="1"/>
  <c r="Q25" i="67"/>
  <c r="R39" i="82" s="1"/>
  <c r="S39" i="82" s="1"/>
  <c r="R62" i="77" l="1"/>
  <c r="S62" i="77" s="1"/>
  <c r="S58" i="79"/>
  <c r="R28" i="76"/>
  <c r="S28" i="76" s="1"/>
  <c r="S28" i="78"/>
  <c r="T28" i="78" s="1"/>
  <c r="R64" i="77" l="1"/>
  <c r="S64" i="77" s="1"/>
  <c r="S60" i="79"/>
  <c r="T58" i="79"/>
  <c r="T60" i="79" s="1"/>
  <c r="M34" i="57"/>
  <c r="L205" i="58" l="1"/>
  <c r="L359" i="58" l="1"/>
  <c r="L442" i="58" l="1"/>
  <c r="L522" i="58" l="1"/>
  <c r="L691" i="58" l="1"/>
  <c r="L856" i="58"/>
  <c r="L775" i="58"/>
  <c r="L607" i="58"/>
  <c r="I740" i="60" l="1"/>
  <c r="I157" i="60"/>
  <c r="I811" i="60" l="1"/>
  <c r="I228" i="60"/>
  <c r="I299" i="60" s="1"/>
  <c r="I370" i="60" s="1"/>
  <c r="I882" i="60" l="1"/>
  <c r="I441" i="60"/>
  <c r="R84" i="77"/>
  <c r="S84" i="77" s="1"/>
  <c r="I510" i="60" l="1"/>
  <c r="P66" i="67"/>
  <c r="I581" i="60" l="1"/>
  <c r="F743" i="66"/>
  <c r="F744" i="66" s="1"/>
  <c r="I653" i="60" l="1"/>
  <c r="I724" i="60" l="1"/>
  <c r="N52" i="68"/>
  <c r="R83" i="77" l="1"/>
  <c r="S83" i="77" s="1"/>
  <c r="R23" i="77" l="1"/>
  <c r="S23" i="77" s="1"/>
  <c r="R82" i="77" l="1"/>
  <c r="S82" i="77" s="1"/>
  <c r="R42" i="77" l="1"/>
  <c r="S42" i="77" s="1"/>
  <c r="R81" i="77"/>
  <c r="S81" i="77" s="1"/>
  <c r="I161" i="60" l="1"/>
  <c r="I232" i="60" l="1"/>
  <c r="I303" i="60" l="1"/>
  <c r="I374" i="60" l="1"/>
  <c r="I445" i="60" l="1"/>
  <c r="R41" i="77"/>
  <c r="S41" i="77" s="1"/>
  <c r="I514" i="60" l="1"/>
  <c r="I585" i="60" l="1"/>
  <c r="R22" i="77" l="1"/>
  <c r="S22" i="77" s="1"/>
  <c r="L52" i="68" l="1"/>
  <c r="L864" i="58" l="1"/>
  <c r="L701" i="58" l="1"/>
  <c r="E512" i="62" s="1"/>
  <c r="L129" i="58" l="1"/>
  <c r="L457" i="58"/>
  <c r="L212" i="58"/>
  <c r="L622" i="58"/>
  <c r="L706" i="58"/>
  <c r="L537" i="58"/>
  <c r="L871" i="58"/>
  <c r="L295" i="58"/>
  <c r="L790" i="58"/>
  <c r="L956" i="58"/>
  <c r="L130" i="58" l="1"/>
  <c r="L213" i="58" l="1"/>
  <c r="L296" i="58" l="1"/>
  <c r="L375" i="58" l="1"/>
  <c r="L458" i="58" l="1"/>
  <c r="L538" i="58" l="1"/>
  <c r="L623" i="58" l="1"/>
  <c r="L707" i="58" l="1"/>
  <c r="L791" i="58" l="1"/>
  <c r="L872" i="58" l="1"/>
  <c r="I659" i="60" l="1"/>
  <c r="I731" i="60" l="1"/>
  <c r="G663" i="60"/>
  <c r="I657" i="60"/>
  <c r="I802" i="60" l="1"/>
  <c r="I729" i="60"/>
  <c r="I873" i="60" l="1"/>
  <c r="I800" i="60"/>
  <c r="I871" i="60" l="1"/>
  <c r="I166" i="60" l="1"/>
  <c r="I237" i="60" l="1"/>
  <c r="G167" i="60"/>
  <c r="I308" i="60" l="1"/>
  <c r="I379" i="60" l="1"/>
  <c r="H80" i="66"/>
  <c r="I450" i="60" l="1"/>
  <c r="F673" i="66"/>
  <c r="I519" i="60" l="1"/>
  <c r="I590" i="60" l="1"/>
  <c r="G12" i="65"/>
  <c r="I662" i="60" l="1"/>
  <c r="P49" i="68"/>
  <c r="I734" i="60" l="1"/>
  <c r="P30" i="67"/>
  <c r="I805" i="60" l="1"/>
  <c r="L873" i="58"/>
  <c r="E628" i="62" s="1"/>
  <c r="L459" i="58"/>
  <c r="E321" i="62" s="1"/>
  <c r="L297" i="58"/>
  <c r="E200" i="62" s="1"/>
  <c r="L539" i="58"/>
  <c r="E382" i="62" s="1"/>
  <c r="L131" i="58"/>
  <c r="E75" i="62" s="1"/>
  <c r="L624" i="58"/>
  <c r="E443" i="62" s="1"/>
  <c r="L708" i="58"/>
  <c r="E504" i="62" s="1"/>
  <c r="L376" i="58"/>
  <c r="E260" i="62" s="1"/>
  <c r="L214" i="58"/>
  <c r="L792" i="58"/>
  <c r="E566" i="62" s="1"/>
  <c r="I876" i="60" l="1"/>
  <c r="P22" i="67"/>
  <c r="L124" i="58" l="1"/>
  <c r="E83" i="62" s="1"/>
  <c r="L39" i="58" l="1"/>
  <c r="I86" i="60" l="1"/>
  <c r="G172" i="60" l="1"/>
  <c r="I172" i="60" s="1"/>
  <c r="I158" i="60"/>
  <c r="G15" i="60" s="1"/>
  <c r="L122" i="58"/>
  <c r="I244" i="60" l="1"/>
  <c r="I315" i="60" s="1"/>
  <c r="I386" i="60" s="1"/>
  <c r="G30" i="60"/>
  <c r="I654" i="60"/>
  <c r="P75" i="68" l="1"/>
  <c r="F620" i="66" l="1"/>
  <c r="F612" i="66"/>
  <c r="F621" i="66" l="1"/>
  <c r="F441" i="66" l="1"/>
  <c r="H376" i="66" l="1"/>
  <c r="H438" i="66" s="1"/>
  <c r="H501" i="66" l="1"/>
  <c r="H562" i="66" s="1"/>
  <c r="H617" i="66" s="1"/>
  <c r="H678" i="66" s="1"/>
  <c r="H740" i="66" s="1"/>
  <c r="O438" i="66"/>
  <c r="F379" i="66"/>
  <c r="F318" i="66" l="1"/>
  <c r="F257" i="66" l="1"/>
  <c r="H199" i="66" l="1"/>
  <c r="H255" i="66" s="1"/>
  <c r="H316" i="66" l="1"/>
  <c r="H377" i="66" s="1"/>
  <c r="H439" i="66" s="1"/>
  <c r="H502" i="66" l="1"/>
  <c r="H563" i="66" s="1"/>
  <c r="H618" i="66" s="1"/>
  <c r="H679" i="66" s="1"/>
  <c r="H741" i="66" s="1"/>
  <c r="O439" i="66"/>
  <c r="H141" i="66"/>
  <c r="H196" i="66" s="1"/>
  <c r="H252" i="66" s="1"/>
  <c r="H313" i="66" l="1"/>
  <c r="H374" i="66" s="1"/>
  <c r="H436" i="66" s="1"/>
  <c r="H499" i="66" l="1"/>
  <c r="H560" i="66" s="1"/>
  <c r="H615" i="66" s="1"/>
  <c r="H676" i="66" s="1"/>
  <c r="H738" i="66" s="1"/>
  <c r="O436" i="66"/>
  <c r="H84" i="66" l="1"/>
  <c r="H145" i="66" s="1"/>
  <c r="H200" i="66" s="1"/>
  <c r="H256" i="66" s="1"/>
  <c r="H317" i="66" l="1"/>
  <c r="H378" i="66" s="1"/>
  <c r="H440" i="66" s="1"/>
  <c r="H503" i="66" l="1"/>
  <c r="H564" i="66" s="1"/>
  <c r="H619" i="66" s="1"/>
  <c r="H680" i="66" s="1"/>
  <c r="H742" i="66" s="1"/>
  <c r="O440" i="66"/>
  <c r="L852" i="58" l="1"/>
  <c r="S64" i="79" l="1"/>
  <c r="T64" i="79" s="1"/>
  <c r="R68" i="77"/>
  <c r="S68" i="77" s="1"/>
  <c r="S73" i="79"/>
  <c r="T73" i="79" s="1"/>
  <c r="R77" i="77"/>
  <c r="S77" i="77" s="1"/>
  <c r="R76" i="77" l="1"/>
  <c r="S76" i="77" s="1"/>
  <c r="S72" i="79"/>
  <c r="T72" i="79" s="1"/>
  <c r="R67" i="77" l="1"/>
  <c r="S63" i="79"/>
  <c r="S67" i="77" l="1"/>
  <c r="T63" i="79"/>
  <c r="S80" i="79" l="1"/>
  <c r="U80" i="79" s="1"/>
  <c r="Q58" i="67" l="1"/>
  <c r="R88" i="82" s="1"/>
  <c r="S88" i="82" s="1"/>
  <c r="S62" i="78" l="1"/>
  <c r="T62" i="78" s="1"/>
  <c r="R62" i="76"/>
  <c r="S62" i="76" s="1"/>
  <c r="P59" i="68" l="1"/>
  <c r="R20" i="77" l="1"/>
  <c r="S20" i="77" s="1"/>
  <c r="S22" i="79"/>
  <c r="T22" i="79" s="1"/>
  <c r="S21" i="79" l="1"/>
  <c r="T21" i="79" s="1"/>
  <c r="R18" i="77"/>
  <c r="S18" i="77" s="1"/>
  <c r="R19" i="77" l="1"/>
  <c r="S19" i="77" s="1"/>
  <c r="S16" i="79"/>
  <c r="T16" i="79" s="1"/>
  <c r="S15" i="79" l="1"/>
  <c r="R17" i="77"/>
  <c r="S17" i="77" l="1"/>
  <c r="R28" i="77"/>
  <c r="T15" i="79"/>
  <c r="S28" i="77" l="1"/>
  <c r="S17" i="79" l="1"/>
  <c r="T17" i="79" l="1"/>
  <c r="Q25" i="68" l="1"/>
  <c r="R26" i="83" s="1"/>
  <c r="S26" i="83" s="1"/>
  <c r="S25" i="79" l="1"/>
  <c r="R25" i="77"/>
  <c r="S25" i="77" s="1"/>
  <c r="T25" i="79" l="1"/>
  <c r="T28" i="79" s="1"/>
  <c r="S28" i="79"/>
  <c r="G884" i="60" l="1"/>
  <c r="F641" i="66" l="1"/>
  <c r="L14" i="69"/>
  <c r="F278" i="66" l="1"/>
  <c r="F14" i="69" l="1"/>
  <c r="G328" i="60"/>
  <c r="G329" i="60" l="1"/>
  <c r="L934" i="58" l="1"/>
  <c r="L927" i="58" l="1"/>
  <c r="E693" i="62" s="1"/>
  <c r="L208" i="58" l="1"/>
  <c r="E144" i="62" s="1"/>
  <c r="L867" i="58"/>
  <c r="E634" i="62" s="1"/>
  <c r="L533" i="58"/>
  <c r="E523" i="62" s="1"/>
  <c r="L453" i="58"/>
  <c r="L951" i="58"/>
  <c r="E698" i="62" s="1"/>
  <c r="L939" i="58" l="1"/>
  <c r="L938" i="58"/>
  <c r="E689" i="62" s="1"/>
  <c r="F565" i="66" l="1"/>
  <c r="L40" i="58" l="1"/>
  <c r="F504" i="66" l="1"/>
  <c r="L123" i="58" l="1"/>
  <c r="E84" i="62" s="1"/>
  <c r="L126" i="58" l="1"/>
  <c r="L289" i="58"/>
  <c r="E209" i="62" s="1"/>
  <c r="L368" i="58" l="1"/>
  <c r="L531" i="58" l="1"/>
  <c r="E391" i="62" s="1"/>
  <c r="L616" i="58" l="1"/>
  <c r="E452" i="62" s="1"/>
  <c r="L700" i="58" l="1"/>
  <c r="E513" i="62" s="1"/>
  <c r="L866" i="58" l="1"/>
  <c r="E636" i="62" s="1"/>
  <c r="L703" i="58"/>
  <c r="L868" i="58" l="1"/>
  <c r="F72" i="57" l="1"/>
  <c r="F74" i="57" s="1"/>
  <c r="L924" i="58" l="1"/>
  <c r="G905" i="60" l="1"/>
  <c r="L922" i="58"/>
  <c r="G869" i="60" l="1"/>
  <c r="G879" i="60" s="1"/>
  <c r="G886" i="60" s="1"/>
  <c r="L450" i="58" l="1"/>
  <c r="E328" i="62" s="1"/>
  <c r="L530" i="58" l="1"/>
  <c r="E389" i="62" s="1"/>
  <c r="L615" i="58" l="1"/>
  <c r="E450" i="62" s="1"/>
  <c r="L619" i="58" l="1"/>
  <c r="I119" i="60" l="1"/>
  <c r="I190" i="60" s="1"/>
  <c r="I262" i="60" s="1"/>
  <c r="I333" i="60" s="1"/>
  <c r="I404" i="60" s="1"/>
  <c r="I475" i="60" s="1"/>
  <c r="I544" i="60" s="1"/>
  <c r="I615" i="60" s="1"/>
  <c r="I687" i="60" s="1"/>
  <c r="I759" i="60" s="1"/>
  <c r="I830" i="60" s="1"/>
  <c r="I901" i="60" s="1"/>
  <c r="I29" i="80" l="1"/>
  <c r="I31" i="80" s="1"/>
  <c r="I44" i="80" s="1"/>
  <c r="I48" i="80" s="1"/>
  <c r="I457" i="60" l="1"/>
  <c r="I526" i="60" s="1"/>
  <c r="I597" i="60" l="1"/>
  <c r="I669" i="60" s="1"/>
  <c r="I741" i="60" s="1"/>
  <c r="I812" i="60" l="1"/>
  <c r="I883" i="60" l="1"/>
  <c r="F557" i="66" l="1"/>
  <c r="F566" i="66" s="1"/>
  <c r="F496" i="66" l="1"/>
  <c r="F505" i="66" s="1"/>
  <c r="F433" i="66" l="1"/>
  <c r="F442" i="66" s="1"/>
  <c r="F371" i="66" l="1"/>
  <c r="F380" i="66" s="1"/>
  <c r="F310" i="66" l="1"/>
  <c r="F319" i="66" s="1"/>
  <c r="F249" i="66" l="1"/>
  <c r="F258" i="66" s="1"/>
  <c r="O73" i="67" l="1"/>
  <c r="O30" i="67" l="1"/>
  <c r="O77" i="67"/>
  <c r="O37" i="67"/>
  <c r="O44" i="67"/>
  <c r="O49" i="68"/>
  <c r="O89" i="67" l="1"/>
  <c r="Q88" i="67" l="1"/>
  <c r="N73" i="67"/>
  <c r="N30" i="67"/>
  <c r="N77" i="67" l="1"/>
  <c r="N37" i="67"/>
  <c r="R117" i="82"/>
  <c r="S117" i="82" s="1"/>
  <c r="R80" i="76"/>
  <c r="S80" i="76" s="1"/>
  <c r="S82" i="78"/>
  <c r="T82" i="78" s="1"/>
  <c r="N49" i="68"/>
  <c r="N44" i="67" l="1"/>
  <c r="N89" i="67"/>
  <c r="M77" i="67" l="1"/>
  <c r="M52" i="68"/>
  <c r="M73" i="67" l="1"/>
  <c r="M49" i="68"/>
  <c r="M37" i="67"/>
  <c r="M30" i="67"/>
  <c r="M89" i="67"/>
  <c r="M44" i="67" l="1"/>
  <c r="L73" i="67" l="1"/>
  <c r="Q50" i="67"/>
  <c r="R63" i="82" s="1"/>
  <c r="S63" i="82" s="1"/>
  <c r="Q73" i="68" l="1"/>
  <c r="L77" i="67"/>
  <c r="L37" i="67"/>
  <c r="L49" i="68"/>
  <c r="L30" i="67"/>
  <c r="Q83" i="67"/>
  <c r="R112" i="82" s="1"/>
  <c r="S112" i="82" s="1"/>
  <c r="L44" i="67"/>
  <c r="R85" i="77" l="1"/>
  <c r="S85" i="77" s="1"/>
  <c r="S78" i="79"/>
  <c r="T78" i="79" s="1"/>
  <c r="Q71" i="68" l="1"/>
  <c r="K73" i="67" l="1"/>
  <c r="K37" i="67"/>
  <c r="S74" i="79"/>
  <c r="T74" i="79" s="1"/>
  <c r="R79" i="77"/>
  <c r="S79" i="77" s="1"/>
  <c r="Q51" i="68"/>
  <c r="K52" i="68"/>
  <c r="Q52" i="68" s="1"/>
  <c r="M38" i="57" l="1"/>
  <c r="R55" i="83"/>
  <c r="S55" i="83" s="1"/>
  <c r="R52" i="77"/>
  <c r="S48" i="79"/>
  <c r="K77" i="67"/>
  <c r="K89" i="67" s="1"/>
  <c r="K44" i="67"/>
  <c r="K49" i="68"/>
  <c r="T48" i="79" l="1"/>
  <c r="T49" i="79" s="1"/>
  <c r="S49" i="79"/>
  <c r="R53" i="77"/>
  <c r="S53" i="77" s="1"/>
  <c r="S52" i="77"/>
  <c r="Q75" i="67" l="1"/>
  <c r="Q42" i="67"/>
  <c r="J77" i="67" l="1"/>
  <c r="J44" i="67"/>
  <c r="J73" i="67"/>
  <c r="J37" i="67"/>
  <c r="J49" i="68"/>
  <c r="I49" i="68" l="1"/>
  <c r="I73" i="67"/>
  <c r="I77" i="67" l="1"/>
  <c r="I44" i="67"/>
  <c r="H73" i="67" l="1"/>
  <c r="H49" i="68" l="1"/>
  <c r="H77" i="67"/>
  <c r="H37" i="67"/>
  <c r="H44" i="67"/>
  <c r="H89" i="67" l="1"/>
  <c r="Q56" i="68" l="1"/>
  <c r="S53" i="79" l="1"/>
  <c r="T53" i="79" s="1"/>
  <c r="R59" i="83"/>
  <c r="S59" i="83" s="1"/>
  <c r="R57" i="77"/>
  <c r="S57" i="77" s="1"/>
  <c r="Q51" i="67" l="1"/>
  <c r="R64" i="82" l="1"/>
  <c r="S64" i="82" s="1"/>
  <c r="N66" i="67" l="1"/>
  <c r="O66" i="67" l="1"/>
  <c r="L66" i="67" l="1"/>
  <c r="O75" i="68"/>
  <c r="N75" i="68"/>
  <c r="M75" i="68"/>
  <c r="L75" i="68" l="1"/>
  <c r="L89" i="67" l="1"/>
  <c r="K66" i="67" l="1"/>
  <c r="K75" i="68"/>
  <c r="J66" i="67" l="1"/>
  <c r="I66" i="67" l="1"/>
  <c r="H66" i="67" l="1"/>
  <c r="I22" i="67"/>
  <c r="J22" i="67"/>
  <c r="O22" i="67"/>
  <c r="O32" i="67" s="1"/>
  <c r="M22" i="67" l="1"/>
  <c r="M32" i="67" s="1"/>
  <c r="L22" i="67"/>
  <c r="L32" i="67" s="1"/>
  <c r="F685" i="66"/>
  <c r="K22" i="67"/>
  <c r="F508" i="66" l="1"/>
  <c r="F569" i="66"/>
  <c r="N22" i="67" l="1"/>
  <c r="N32" i="67" s="1"/>
  <c r="F624" i="66" l="1"/>
  <c r="M59" i="68" l="1"/>
  <c r="J89" i="67" l="1"/>
  <c r="I89" i="67" l="1"/>
  <c r="J30" i="67"/>
  <c r="J32" i="67" s="1"/>
  <c r="F383" i="66" s="1"/>
  <c r="I30" i="67" l="1"/>
  <c r="I32" i="67" s="1"/>
  <c r="F322" i="66" s="1"/>
  <c r="H30" i="67" l="1"/>
  <c r="L59" i="68" l="1"/>
  <c r="O59" i="68" l="1"/>
  <c r="N59" i="68" l="1"/>
  <c r="K59" i="68" l="1"/>
  <c r="J59" i="68" l="1"/>
  <c r="J75" i="68" l="1"/>
  <c r="H59" i="68" l="1"/>
  <c r="H75" i="68" l="1"/>
  <c r="L272" i="58" l="1"/>
  <c r="E217" i="62" s="1"/>
  <c r="Q91" i="67" l="1"/>
  <c r="K30" i="67" l="1"/>
  <c r="K32" i="67" s="1"/>
  <c r="Q26" i="67"/>
  <c r="R83" i="76"/>
  <c r="S83" i="76" s="1"/>
  <c r="R120" i="82"/>
  <c r="S120" i="82" s="1"/>
  <c r="S85" i="78"/>
  <c r="T85" i="78" s="1"/>
  <c r="R40" i="82" l="1"/>
  <c r="S29" i="78"/>
  <c r="R29" i="76"/>
  <c r="F445" i="66"/>
  <c r="S29" i="76" l="1"/>
  <c r="T29" i="78"/>
  <c r="S40" i="82"/>
  <c r="H22" i="67" l="1"/>
  <c r="H32" i="67" s="1"/>
  <c r="F261" i="66" s="1"/>
  <c r="I59" i="68"/>
  <c r="I75" i="68"/>
  <c r="L351" i="58" l="1"/>
  <c r="E277" i="62" s="1"/>
  <c r="E280" i="62" s="1"/>
  <c r="M66" i="67" l="1"/>
  <c r="Q63" i="67"/>
  <c r="R93" i="82" l="1"/>
  <c r="R67" i="76"/>
  <c r="S67" i="78"/>
  <c r="T67" i="78" l="1"/>
  <c r="S67" i="76"/>
  <c r="S93" i="82"/>
  <c r="L434" i="58" l="1"/>
  <c r="E338" i="62" s="1"/>
  <c r="E341" i="62" s="1"/>
  <c r="L370" i="58" l="1"/>
  <c r="L291" i="58"/>
  <c r="I229" i="60" l="1"/>
  <c r="I300" i="60" l="1"/>
  <c r="I371" i="60" s="1"/>
  <c r="I442" i="60" s="1"/>
  <c r="I511" i="60" s="1"/>
  <c r="I582" i="60" l="1"/>
  <c r="G443" i="60" l="1"/>
  <c r="G453" i="60" s="1"/>
  <c r="G583" i="60" l="1"/>
  <c r="G593" i="60" s="1"/>
  <c r="G813" i="60" l="1"/>
  <c r="G798" i="60" l="1"/>
  <c r="G808" i="60" s="1"/>
  <c r="G815" i="60" s="1"/>
  <c r="G742" i="60" l="1"/>
  <c r="G670" i="60" l="1"/>
  <c r="G727" i="60" l="1"/>
  <c r="G737" i="60" s="1"/>
  <c r="G744" i="60" s="1"/>
  <c r="G655" i="60" l="1"/>
  <c r="G665" i="60" s="1"/>
  <c r="G672" i="60" s="1"/>
  <c r="G512" i="60" l="1"/>
  <c r="G522" i="60" s="1"/>
  <c r="G372" i="60" l="1"/>
  <c r="G382" i="60" s="1"/>
  <c r="G301" i="60" l="1"/>
  <c r="G311" i="60" s="1"/>
  <c r="G230" i="60" l="1"/>
  <c r="G316" i="60" l="1"/>
  <c r="G318" i="60" s="1"/>
  <c r="P32" i="67" l="1"/>
  <c r="F747" i="66" l="1"/>
  <c r="F752" i="66" l="1"/>
  <c r="P103" i="67"/>
  <c r="F759" i="66"/>
  <c r="F750" i="66"/>
  <c r="P34" i="67"/>
  <c r="F751" i="66"/>
  <c r="P12" i="68" l="1"/>
  <c r="P17" i="68" l="1"/>
  <c r="F764" i="66"/>
  <c r="N14" i="69"/>
  <c r="P29" i="68" l="1"/>
  <c r="G890" i="60" s="1"/>
  <c r="F689" i="66" l="1"/>
  <c r="O103" i="67" l="1"/>
  <c r="F690" i="66"/>
  <c r="F688" i="66"/>
  <c r="O34" i="67"/>
  <c r="F697" i="66"/>
  <c r="O12" i="68" l="1"/>
  <c r="O17" i="68" l="1"/>
  <c r="O29" i="68" s="1"/>
  <c r="G819" i="60" s="1"/>
  <c r="M14" i="69"/>
  <c r="G825" i="60" s="1"/>
  <c r="F702" i="66"/>
  <c r="G826" i="60" l="1"/>
  <c r="F703" i="66" l="1"/>
  <c r="F681" i="66" l="1"/>
  <c r="F682" i="66" s="1"/>
  <c r="F628" i="66" l="1"/>
  <c r="N12" i="68"/>
  <c r="N17" i="68" l="1"/>
  <c r="N29" i="68" s="1"/>
  <c r="G748" i="60" s="1"/>
  <c r="N103" i="67"/>
  <c r="F629" i="66"/>
  <c r="F636" i="66"/>
  <c r="F627" i="66"/>
  <c r="N34" i="67"/>
  <c r="F642" i="66" l="1"/>
  <c r="F573" i="66" l="1"/>
  <c r="M12" i="68" l="1"/>
  <c r="M17" i="68"/>
  <c r="M103" i="67"/>
  <c r="F574" i="66"/>
  <c r="F581" i="66"/>
  <c r="K14" i="69"/>
  <c r="F586" i="66" s="1"/>
  <c r="F587" i="66" s="1"/>
  <c r="G682" i="60"/>
  <c r="M34" i="67"/>
  <c r="F572" i="66"/>
  <c r="M29" i="68" l="1"/>
  <c r="G676" i="60" s="1"/>
  <c r="G683" i="60"/>
  <c r="F512" i="66"/>
  <c r="L103" i="67" l="1"/>
  <c r="F513" i="66"/>
  <c r="L34" i="67"/>
  <c r="F511" i="66"/>
  <c r="F520" i="66"/>
  <c r="L17" i="68" l="1"/>
  <c r="L12" i="68"/>
  <c r="F526" i="66" l="1"/>
  <c r="G598" i="60"/>
  <c r="G600" i="60" s="1"/>
  <c r="F449" i="66" l="1"/>
  <c r="K12" i="68" l="1"/>
  <c r="K103" i="67"/>
  <c r="F450" i="66"/>
  <c r="F457" i="66"/>
  <c r="F448" i="66"/>
  <c r="K34" i="67"/>
  <c r="K17" i="68" l="1"/>
  <c r="K29" i="68" s="1"/>
  <c r="G533" i="60" s="1"/>
  <c r="I14" i="69"/>
  <c r="F462" i="66" l="1"/>
  <c r="F463" i="66" s="1"/>
  <c r="G539" i="60"/>
  <c r="G540" i="60" l="1"/>
  <c r="G527" i="60"/>
  <c r="G529" i="60" s="1"/>
  <c r="Q15" i="68" l="1"/>
  <c r="J12" i="68" l="1"/>
  <c r="J17" i="68"/>
  <c r="J29" i="68" s="1"/>
  <c r="G464" i="60" s="1"/>
  <c r="I12" i="68" l="1"/>
  <c r="G14" i="69" l="1"/>
  <c r="I17" i="68" l="1"/>
  <c r="I29" i="68" s="1"/>
  <c r="G393" i="60" s="1"/>
  <c r="H12" i="68" l="1"/>
  <c r="H17" i="68" l="1"/>
  <c r="H29" i="68" s="1"/>
  <c r="G322" i="60" s="1"/>
  <c r="P44" i="68" l="1"/>
  <c r="G892" i="60" l="1"/>
  <c r="G899" i="60" s="1"/>
  <c r="G900" i="60" s="1"/>
  <c r="O44" i="68" l="1"/>
  <c r="O77" i="68"/>
  <c r="F695" i="66" l="1"/>
  <c r="F698" i="66" s="1"/>
  <c r="O80" i="68"/>
  <c r="G821" i="60"/>
  <c r="G828" i="60" s="1"/>
  <c r="G829" i="60" s="1"/>
  <c r="L44" i="68" l="1"/>
  <c r="G603" i="60" l="1"/>
  <c r="K44" i="68" l="1"/>
  <c r="K77" i="68" l="1"/>
  <c r="F455" i="66" l="1"/>
  <c r="F458" i="66" s="1"/>
  <c r="K80" i="68"/>
  <c r="G535" i="60"/>
  <c r="G542" i="60" s="1"/>
  <c r="G543" i="60" s="1"/>
  <c r="J44" i="68" l="1"/>
  <c r="J77" i="68" l="1"/>
  <c r="F393" i="66" s="1"/>
  <c r="N44" i="68" l="1"/>
  <c r="G747" i="60" l="1"/>
  <c r="G750" i="60" s="1"/>
  <c r="G757" i="60" s="1"/>
  <c r="G758" i="60" s="1"/>
  <c r="N77" i="68"/>
  <c r="M44" i="68"/>
  <c r="M77" i="68" l="1"/>
  <c r="G675" i="60"/>
  <c r="F634" i="66"/>
  <c r="F637" i="66" s="1"/>
  <c r="N80" i="68"/>
  <c r="G678" i="60" l="1"/>
  <c r="G685" i="60" s="1"/>
  <c r="G686" i="60" s="1"/>
  <c r="F579" i="66"/>
  <c r="F582" i="66" s="1"/>
  <c r="M80" i="68"/>
  <c r="I44" i="68" l="1"/>
  <c r="I77" i="68" l="1"/>
  <c r="F332" i="66" s="1"/>
  <c r="G395" i="60" l="1"/>
  <c r="G402" i="60" s="1"/>
  <c r="H44" i="68"/>
  <c r="H77" i="68" l="1"/>
  <c r="F271" i="66" s="1"/>
  <c r="G321" i="60"/>
  <c r="G324" i="60" l="1"/>
  <c r="G331" i="60" s="1"/>
  <c r="G332" i="60" s="1"/>
  <c r="L29" i="68" l="1"/>
  <c r="Q23" i="68"/>
  <c r="S23" i="79" l="1"/>
  <c r="T23" i="79" s="1"/>
  <c r="R24" i="83"/>
  <c r="G604" i="60"/>
  <c r="L77" i="68"/>
  <c r="G606" i="60" l="1"/>
  <c r="G613" i="60" s="1"/>
  <c r="G614" i="60" s="1"/>
  <c r="F518" i="66"/>
  <c r="L80" i="68"/>
  <c r="S24" i="83"/>
  <c r="F521" i="66" l="1"/>
  <c r="L278" i="58" l="1"/>
  <c r="L277" i="58"/>
  <c r="L356" i="58" l="1"/>
  <c r="L357" i="58"/>
  <c r="L440" i="58" l="1"/>
  <c r="L439" i="58"/>
  <c r="L520" i="58" l="1"/>
  <c r="L519" i="58"/>
  <c r="L604" i="58" l="1"/>
  <c r="L605" i="58"/>
  <c r="L689" i="58" l="1"/>
  <c r="L688" i="58"/>
  <c r="L274" i="58" l="1"/>
  <c r="L273" i="58"/>
  <c r="E199" i="62" s="1"/>
  <c r="L353" i="58" l="1"/>
  <c r="L352" i="58"/>
  <c r="E259" i="62" s="1"/>
  <c r="L435" i="58" l="1"/>
  <c r="E320" i="62" s="1"/>
  <c r="L436" i="58"/>
  <c r="L515" i="58"/>
  <c r="E381" i="62" s="1"/>
  <c r="L600" i="58" l="1"/>
  <c r="E442" i="62" s="1"/>
  <c r="L684" i="58" l="1"/>
  <c r="E503" i="62" s="1"/>
  <c r="L768" i="58" l="1"/>
  <c r="L849" i="58" l="1"/>
  <c r="L773" i="58" l="1"/>
  <c r="L772" i="58"/>
  <c r="E565" i="62" s="1"/>
  <c r="L853" i="58" l="1"/>
  <c r="E627" i="62" s="1"/>
  <c r="L854" i="58"/>
  <c r="H14" i="69" l="1"/>
  <c r="F400" i="66" l="1"/>
  <c r="G470" i="60"/>
  <c r="G471" i="60" l="1"/>
  <c r="G466" i="60" l="1"/>
  <c r="G473" i="60" s="1"/>
  <c r="L451" i="58" l="1"/>
  <c r="E330" i="62" s="1"/>
  <c r="L784" i="58"/>
  <c r="E575" i="62" s="1"/>
  <c r="L290" i="58" l="1"/>
  <c r="E208" i="62" s="1"/>
  <c r="L369" i="58"/>
  <c r="E268" i="62" s="1"/>
  <c r="L288" i="58"/>
  <c r="E207" i="62" s="1"/>
  <c r="L785" i="58"/>
  <c r="E574" i="62" s="1"/>
  <c r="L452" i="58" l="1"/>
  <c r="E329" i="62" s="1"/>
  <c r="L454" i="58"/>
  <c r="L367" i="58"/>
  <c r="E267" i="62" s="1"/>
  <c r="L292" i="58"/>
  <c r="L534" i="58"/>
  <c r="L532" i="58"/>
  <c r="E390" i="62" s="1"/>
  <c r="L783" i="58" l="1"/>
  <c r="E573" i="62" s="1"/>
  <c r="L787" i="58"/>
  <c r="L371" i="58"/>
  <c r="F279" i="66" l="1"/>
  <c r="F388" i="66" l="1"/>
  <c r="F387" i="66"/>
  <c r="F327" i="66" l="1"/>
  <c r="G458" i="60"/>
  <c r="G460" i="60" s="1"/>
  <c r="G474" i="60" s="1"/>
  <c r="F326" i="66"/>
  <c r="F401" i="66"/>
  <c r="G387" i="60" l="1"/>
  <c r="G389" i="60" s="1"/>
  <c r="G403" i="60" s="1"/>
  <c r="F340" i="66"/>
  <c r="F265" i="66" l="1"/>
  <c r="F266" i="66"/>
  <c r="L263" i="58" l="1"/>
  <c r="L265" i="58"/>
  <c r="E202" i="62" s="1"/>
  <c r="L344" i="58" l="1"/>
  <c r="E262" i="62" s="1"/>
  <c r="L342" i="58"/>
  <c r="L425" i="58" l="1"/>
  <c r="L427" i="58"/>
  <c r="E323" i="62" s="1"/>
  <c r="L505" i="58" l="1"/>
  <c r="L507" i="58"/>
  <c r="E384" i="62" s="1"/>
  <c r="L592" i="58" l="1"/>
  <c r="E445" i="62" s="1"/>
  <c r="L590" i="58"/>
  <c r="L674" i="58" l="1"/>
  <c r="L676" i="58"/>
  <c r="E506" i="62" s="1"/>
  <c r="L758" i="58" l="1"/>
  <c r="L760" i="58"/>
  <c r="E568" i="62" s="1"/>
  <c r="L841" i="58" l="1"/>
  <c r="E630" i="62" s="1"/>
  <c r="L839" i="58"/>
  <c r="G336" i="60" l="1"/>
  <c r="L340" i="58" l="1"/>
  <c r="E290" i="62"/>
  <c r="L261" i="58"/>
  <c r="E230" i="62"/>
  <c r="E351" i="62" l="1"/>
  <c r="G478" i="60" s="1"/>
  <c r="L423" i="58"/>
  <c r="E412" i="62" l="1"/>
  <c r="L503" i="58"/>
  <c r="H80" i="68" l="1"/>
  <c r="F273" i="66"/>
  <c r="J80" i="68"/>
  <c r="F395" i="66"/>
  <c r="F274" i="66" l="1"/>
  <c r="F396" i="66"/>
  <c r="I80" i="68" l="1"/>
  <c r="F334" i="66"/>
  <c r="H34" i="67" l="1"/>
  <c r="F264" i="66"/>
  <c r="H103" i="67"/>
  <c r="F335" i="66"/>
  <c r="J34" i="67" l="1"/>
  <c r="F386" i="66"/>
  <c r="J103" i="67"/>
  <c r="F325" i="66"/>
  <c r="I34" i="67"/>
  <c r="I103" i="67"/>
  <c r="I619" i="60" l="1"/>
  <c r="L588" i="58"/>
  <c r="E473" i="62"/>
  <c r="E534" i="62" l="1"/>
  <c r="I700" i="60"/>
  <c r="L672" i="58"/>
  <c r="E596" i="62" l="1"/>
  <c r="G762" i="60" s="1"/>
  <c r="L756" i="58"/>
  <c r="I772" i="60"/>
  <c r="G834" i="60" l="1"/>
  <c r="E658" i="62"/>
  <c r="L837" i="58"/>
  <c r="I834" i="60" l="1"/>
  <c r="P77" i="68" l="1"/>
  <c r="Q76" i="68" l="1"/>
  <c r="F757" i="66" l="1"/>
  <c r="P80" i="68"/>
  <c r="F73" i="57"/>
  <c r="M31" i="57"/>
  <c r="F760" i="66" l="1"/>
  <c r="L952" i="58" l="1"/>
  <c r="E696" i="62" s="1"/>
  <c r="L953" i="58"/>
  <c r="F765" i="66" l="1"/>
  <c r="L925" i="58" l="1"/>
  <c r="L926" i="58"/>
  <c r="E692" i="62" s="1"/>
  <c r="P53" i="67" l="1"/>
  <c r="P60" i="67" s="1"/>
  <c r="P67" i="67" s="1"/>
  <c r="F748" i="66" l="1"/>
  <c r="P69" i="67"/>
  <c r="F691" i="66" l="1"/>
  <c r="O53" i="67" l="1"/>
  <c r="O60" i="67" s="1"/>
  <c r="O67" i="67" s="1"/>
  <c r="O69" i="67" l="1"/>
  <c r="F686" i="66"/>
  <c r="N53" i="67" l="1"/>
  <c r="N60" i="67" s="1"/>
  <c r="N67" i="67" s="1"/>
  <c r="N69" i="67" l="1"/>
  <c r="F625" i="66"/>
  <c r="F575" i="66" l="1"/>
  <c r="M53" i="67" l="1"/>
  <c r="M60" i="67" s="1"/>
  <c r="M67" i="67" s="1"/>
  <c r="F570" i="66" l="1"/>
  <c r="M69" i="67"/>
  <c r="L53" i="67" l="1"/>
  <c r="L60" i="67" s="1"/>
  <c r="L67" i="67" s="1"/>
  <c r="L69" i="67" l="1"/>
  <c r="F509" i="66"/>
  <c r="K53" i="67" l="1"/>
  <c r="K60" i="67" s="1"/>
  <c r="K67" i="67" s="1"/>
  <c r="K69" i="67" l="1"/>
  <c r="F446" i="66"/>
  <c r="F753" i="66" l="1"/>
  <c r="F630" i="66"/>
  <c r="F514" i="66"/>
  <c r="F451" i="66"/>
  <c r="P97" i="67" l="1"/>
  <c r="P98" i="67" s="1"/>
  <c r="P102" i="67" l="1"/>
  <c r="P104" i="67" s="1"/>
  <c r="P100" i="67"/>
  <c r="F749" i="66"/>
  <c r="F754" i="66" l="1"/>
  <c r="F755" i="66" s="1"/>
  <c r="F761" i="66" s="1"/>
  <c r="F766" i="66" s="1"/>
  <c r="F768" i="66" s="1"/>
  <c r="O97" i="67" l="1"/>
  <c r="O98" i="67" s="1"/>
  <c r="O102" i="67" s="1"/>
  <c r="O104" i="67" s="1"/>
  <c r="O100" i="67" l="1"/>
  <c r="F687" i="66"/>
  <c r="F692" i="66" s="1"/>
  <c r="F693" i="66" s="1"/>
  <c r="F699" i="66" s="1"/>
  <c r="F704" i="66" s="1"/>
  <c r="F706" i="66" s="1"/>
  <c r="N97" i="67" l="1"/>
  <c r="N98" i="67" s="1"/>
  <c r="N100" i="67" l="1"/>
  <c r="F626" i="66"/>
  <c r="N102" i="67"/>
  <c r="N104" i="67" s="1"/>
  <c r="F631" i="66" l="1"/>
  <c r="F632" i="66" s="1"/>
  <c r="F638" i="66" s="1"/>
  <c r="F643" i="66" s="1"/>
  <c r="F645" i="66" s="1"/>
  <c r="M97" i="67"/>
  <c r="M98" i="67" s="1"/>
  <c r="M100" i="67" l="1"/>
  <c r="M102" i="67"/>
  <c r="M104" i="67" s="1"/>
  <c r="F571" i="66"/>
  <c r="F576" i="66" l="1"/>
  <c r="F577" i="66" s="1"/>
  <c r="F583" i="66" s="1"/>
  <c r="F588" i="66" s="1"/>
  <c r="F590" i="66" s="1"/>
  <c r="L97" i="67" l="1"/>
  <c r="L98" i="67" s="1"/>
  <c r="L100" i="67" l="1"/>
  <c r="F510" i="66"/>
  <c r="L102" i="67"/>
  <c r="L104" i="67" s="1"/>
  <c r="F515" i="66" l="1"/>
  <c r="F516" i="66" s="1"/>
  <c r="F522" i="66" s="1"/>
  <c r="F527" i="66" s="1"/>
  <c r="F529" i="66" s="1"/>
  <c r="K97" i="67" l="1"/>
  <c r="K98" i="67" s="1"/>
  <c r="F447" i="66" l="1"/>
  <c r="K100" i="67"/>
  <c r="K102" i="67"/>
  <c r="K104" i="67" s="1"/>
  <c r="F452" i="66" l="1"/>
  <c r="F453" i="66" s="1"/>
  <c r="F459" i="66" s="1"/>
  <c r="F464" i="66" s="1"/>
  <c r="F466" i="66" s="1"/>
  <c r="L848" i="58" l="1"/>
  <c r="E645" i="62" s="1"/>
  <c r="E648" i="62" s="1"/>
  <c r="L850" i="58"/>
  <c r="L769" i="58" l="1"/>
  <c r="L767" i="58"/>
  <c r="E583" i="62" s="1"/>
  <c r="L685" i="58"/>
  <c r="L683" i="58"/>
  <c r="E521" i="62" s="1"/>
  <c r="E524" i="62" s="1"/>
  <c r="L599" i="58"/>
  <c r="E460" i="62" s="1"/>
  <c r="E463" i="62" s="1"/>
  <c r="L601" i="58"/>
  <c r="L514" i="58"/>
  <c r="E399" i="62" s="1"/>
  <c r="E402" i="62" s="1"/>
  <c r="L516" i="58"/>
  <c r="L933" i="58" l="1"/>
  <c r="E707" i="62" s="1"/>
  <c r="L935" i="58"/>
  <c r="J53" i="67" l="1"/>
  <c r="J60" i="67" s="1"/>
  <c r="J67" i="67" s="1"/>
  <c r="F384" i="66" s="1"/>
  <c r="F389" i="66"/>
  <c r="J69" i="67" l="1"/>
  <c r="F328" i="66"/>
  <c r="J97" i="67" l="1"/>
  <c r="J98" i="67" s="1"/>
  <c r="J100" i="67" s="1"/>
  <c r="I60" i="67"/>
  <c r="I67" i="67" s="1"/>
  <c r="I69" i="67" s="1"/>
  <c r="J102" i="67" l="1"/>
  <c r="J104" i="67" s="1"/>
  <c r="F385" i="66"/>
  <c r="F323" i="66"/>
  <c r="F390" i="66"/>
  <c r="F391" i="66" s="1"/>
  <c r="F397" i="66" s="1"/>
  <c r="F402" i="66" s="1"/>
  <c r="F404" i="66" s="1"/>
  <c r="I97" i="67"/>
  <c r="I98" i="67" s="1"/>
  <c r="I102" i="67" l="1"/>
  <c r="I104" i="67" s="1"/>
  <c r="I100" i="67"/>
  <c r="F324" i="66"/>
  <c r="F267" i="66"/>
  <c r="H53" i="67" l="1"/>
  <c r="H60" i="67" s="1"/>
  <c r="H67" i="67" s="1"/>
  <c r="F329" i="66"/>
  <c r="F330" i="66" s="1"/>
  <c r="F336" i="66" s="1"/>
  <c r="F341" i="66" s="1"/>
  <c r="F343" i="66" s="1"/>
  <c r="H97" i="67"/>
  <c r="H98" i="67" s="1"/>
  <c r="F262" i="66" l="1"/>
  <c r="H69" i="67"/>
  <c r="H102" i="67"/>
  <c r="H104" i="67" s="1"/>
  <c r="H100" i="67"/>
  <c r="F263" i="66"/>
  <c r="F268" i="66" l="1"/>
  <c r="F269" i="66" s="1"/>
  <c r="F275" i="66" s="1"/>
  <c r="F280" i="66" s="1"/>
  <c r="F282" i="66" s="1"/>
  <c r="L267" i="58" l="1"/>
  <c r="E204" i="62" l="1"/>
  <c r="L346" i="58"/>
  <c r="L269" i="58"/>
  <c r="E264" i="62" l="1"/>
  <c r="L348" i="58"/>
  <c r="L282" i="58"/>
  <c r="L429" i="58"/>
  <c r="E325" i="62" l="1"/>
  <c r="L509" i="58"/>
  <c r="L444" i="58"/>
  <c r="L431" i="58"/>
  <c r="L361" i="58"/>
  <c r="E386" i="62" l="1"/>
  <c r="L511" i="58"/>
  <c r="L524" i="58"/>
  <c r="L594" i="58"/>
  <c r="E447" i="62" l="1"/>
  <c r="L678" i="58"/>
  <c r="L596" i="58"/>
  <c r="E586" i="62" s="1"/>
  <c r="E508" i="62" l="1"/>
  <c r="L609" i="58"/>
  <c r="L693" i="58"/>
  <c r="L680" i="58"/>
  <c r="L762" i="58"/>
  <c r="E570" i="62" l="1"/>
  <c r="L843" i="58"/>
  <c r="L928" i="58"/>
  <c r="L764" i="58"/>
  <c r="E694" i="62" l="1"/>
  <c r="E632" i="62"/>
  <c r="L930" i="58"/>
  <c r="L858" i="58"/>
  <c r="L845" i="58"/>
  <c r="L777" i="58"/>
  <c r="L943" i="58" l="1"/>
  <c r="E197" i="62" l="1"/>
  <c r="E201" i="62" s="1"/>
  <c r="E215" i="62" s="1"/>
  <c r="L298" i="58"/>
  <c r="L299" i="58" l="1"/>
  <c r="L301" i="58" l="1"/>
  <c r="A256" i="58" s="1" a="1"/>
  <c r="A256" i="58" s="1"/>
  <c r="L305" i="58"/>
  <c r="I84" i="60" l="1"/>
  <c r="I156" i="60" l="1"/>
  <c r="I227" i="60" s="1"/>
  <c r="I298" i="60" s="1"/>
  <c r="I369" i="60" s="1"/>
  <c r="I440" i="60" s="1"/>
  <c r="I509" i="60" s="1"/>
  <c r="I580" i="60" s="1"/>
  <c r="I652" i="60" s="1"/>
  <c r="I723" i="60" s="1"/>
  <c r="I794" i="60" s="1"/>
  <c r="I865" i="60" s="1"/>
  <c r="G13" i="60"/>
  <c r="L23" i="58"/>
  <c r="E31" i="62" s="1"/>
  <c r="E34" i="62" l="1"/>
  <c r="L49" i="58" l="1"/>
  <c r="I92" i="60" l="1"/>
  <c r="G21" i="60" s="1"/>
  <c r="G95" i="60"/>
  <c r="G85" i="80" l="1"/>
  <c r="I85" i="80" s="1"/>
  <c r="I156" i="80" s="1"/>
  <c r="I228" i="80" s="1"/>
  <c r="I300" i="80" s="1"/>
  <c r="I372" i="80" s="1"/>
  <c r="I444" i="80" s="1"/>
  <c r="I516" i="80" s="1"/>
  <c r="I588" i="80" s="1"/>
  <c r="I660" i="80" s="1"/>
  <c r="I732" i="80" s="1"/>
  <c r="I804" i="80" s="1"/>
  <c r="I876" i="80" s="1"/>
  <c r="G13" i="80" s="1"/>
  <c r="G85" i="81"/>
  <c r="I85" i="81" s="1"/>
  <c r="I156" i="81" s="1"/>
  <c r="I228" i="81" s="1"/>
  <c r="I300" i="81" s="1"/>
  <c r="I372" i="81" s="1"/>
  <c r="I444" i="81" s="1"/>
  <c r="I516" i="81" s="1"/>
  <c r="I588" i="81" s="1"/>
  <c r="I660" i="81" s="1"/>
  <c r="I732" i="81" s="1"/>
  <c r="I804" i="81" s="1"/>
  <c r="I876" i="81" s="1"/>
  <c r="G13" i="81" s="1"/>
  <c r="I95" i="60"/>
  <c r="I164" i="60"/>
  <c r="I167" i="60" l="1"/>
  <c r="L50" i="58" l="1"/>
  <c r="E14" i="62" s="1"/>
  <c r="G159" i="60" l="1"/>
  <c r="G168" i="60" s="1"/>
  <c r="I83" i="60" l="1"/>
  <c r="G12" i="60" s="1"/>
  <c r="G87" i="60"/>
  <c r="G97" i="60" l="1"/>
  <c r="G84" i="80"/>
  <c r="G84" i="81"/>
  <c r="I155" i="60"/>
  <c r="I87" i="60"/>
  <c r="I97" i="60" s="1"/>
  <c r="I159" i="60" l="1"/>
  <c r="I168" i="60" s="1"/>
  <c r="I226" i="60"/>
  <c r="I84" i="81"/>
  <c r="I84" i="80"/>
  <c r="I155" i="80" l="1"/>
  <c r="I155" i="81"/>
  <c r="I297" i="60"/>
  <c r="I230" i="60"/>
  <c r="I227" i="81" l="1"/>
  <c r="I368" i="60"/>
  <c r="I301" i="60"/>
  <c r="I227" i="80"/>
  <c r="I372" i="60" l="1"/>
  <c r="I439" i="60"/>
  <c r="I299" i="81"/>
  <c r="I299" i="80"/>
  <c r="I371" i="81" l="1"/>
  <c r="I508" i="60"/>
  <c r="I443" i="60"/>
  <c r="I371" i="80"/>
  <c r="I443" i="80" l="1"/>
  <c r="I579" i="60"/>
  <c r="I512" i="60"/>
  <c r="I443" i="81"/>
  <c r="I651" i="60" l="1"/>
  <c r="I583" i="60"/>
  <c r="I515" i="80"/>
  <c r="I515" i="81"/>
  <c r="I587" i="81" l="1"/>
  <c r="I587" i="80"/>
  <c r="I722" i="60"/>
  <c r="I655" i="60"/>
  <c r="I727" i="60" l="1"/>
  <c r="I659" i="80"/>
  <c r="I659" i="81"/>
  <c r="I731" i="80" l="1"/>
  <c r="I731" i="81"/>
  <c r="I864" i="60"/>
  <c r="I798" i="60"/>
  <c r="G16" i="60" l="1"/>
  <c r="I869" i="60"/>
  <c r="I803" i="81"/>
  <c r="I803" i="80"/>
  <c r="I875" i="81" l="1"/>
  <c r="I875" i="80"/>
  <c r="G12" i="81" l="1"/>
  <c r="G12" i="80"/>
  <c r="E11" i="62" l="1"/>
  <c r="L51" i="58"/>
  <c r="H52" i="58"/>
  <c r="L59" i="58" l="1"/>
  <c r="L52" i="58"/>
  <c r="J50" i="65" l="1"/>
  <c r="E72" i="62" l="1"/>
  <c r="L132" i="58"/>
  <c r="L133" i="58" l="1"/>
  <c r="L135" i="58" l="1"/>
  <c r="G24" i="60" l="1"/>
  <c r="G26" i="60" s="1"/>
  <c r="E710" i="62" l="1"/>
  <c r="G238" i="60" l="1"/>
  <c r="G240" i="60" s="1"/>
  <c r="I235" i="60"/>
  <c r="I306" i="60" l="1"/>
  <c r="I238" i="60"/>
  <c r="I240" i="60" s="1"/>
  <c r="I377" i="60" l="1"/>
  <c r="I309" i="60"/>
  <c r="I311" i="60" s="1"/>
  <c r="I448" i="60" l="1"/>
  <c r="I380" i="60"/>
  <c r="I382" i="60" s="1"/>
  <c r="I517" i="60" l="1"/>
  <c r="I451" i="60"/>
  <c r="I453" i="60" s="1"/>
  <c r="I588" i="60" l="1"/>
  <c r="I520" i="60"/>
  <c r="I522" i="60" s="1"/>
  <c r="I660" i="60" l="1"/>
  <c r="I591" i="60"/>
  <c r="I593" i="60" s="1"/>
  <c r="I732" i="60" l="1"/>
  <c r="I663" i="60"/>
  <c r="I665" i="60" s="1"/>
  <c r="I735" i="60" l="1"/>
  <c r="I737" i="60" s="1"/>
  <c r="I874" i="60" l="1"/>
  <c r="I877" i="60" s="1"/>
  <c r="I879" i="60" s="1"/>
  <c r="I806" i="60"/>
  <c r="I808" i="60" s="1"/>
  <c r="G44" i="60" l="1"/>
  <c r="J95" i="65" l="1"/>
  <c r="L216" i="58"/>
  <c r="E135" i="62"/>
  <c r="L215" i="58"/>
  <c r="S61" i="82" l="1"/>
  <c r="S110" i="82"/>
  <c r="G44" i="67" l="1"/>
  <c r="G17" i="68"/>
  <c r="F17" i="68"/>
  <c r="Q22" i="68"/>
  <c r="R23" i="83" s="1"/>
  <c r="S23" i="83" s="1"/>
  <c r="Q49" i="67" l="1"/>
  <c r="R62" i="82" s="1"/>
  <c r="S62" i="82" s="1"/>
  <c r="F44" i="67"/>
  <c r="Q47" i="67" l="1"/>
  <c r="R60" i="82" s="1"/>
  <c r="S60" i="82" s="1"/>
  <c r="Q45" i="67"/>
  <c r="R58" i="82" s="1"/>
  <c r="S58" i="82" s="1"/>
  <c r="Q20" i="68"/>
  <c r="R21" i="83" s="1"/>
  <c r="S21" i="83" s="1"/>
  <c r="Q18" i="68" l="1"/>
  <c r="R19" i="83" s="1"/>
  <c r="S19" i="83" s="1"/>
  <c r="F209" i="66" l="1"/>
  <c r="F154" i="66"/>
  <c r="F208" i="66"/>
  <c r="F155" i="66" l="1"/>
  <c r="G103" i="67"/>
  <c r="F210" i="66"/>
  <c r="L206" i="58" l="1"/>
  <c r="E147" i="62" s="1"/>
  <c r="E14" i="69" l="1"/>
  <c r="F222" i="66"/>
  <c r="G258" i="60" l="1"/>
  <c r="F223" i="66"/>
  <c r="G245" i="60"/>
  <c r="G247" i="60" s="1"/>
  <c r="L187" i="58" l="1"/>
  <c r="E155" i="62" s="1"/>
  <c r="E158" i="62" s="1"/>
  <c r="F193" i="66" l="1"/>
  <c r="D14" i="69" l="1"/>
  <c r="F167" i="66"/>
  <c r="G177" i="81" l="1"/>
  <c r="G186" i="60"/>
  <c r="G177" i="80"/>
  <c r="I185" i="60"/>
  <c r="I186" i="60" l="1"/>
  <c r="I257" i="60"/>
  <c r="I177" i="80"/>
  <c r="G178" i="80"/>
  <c r="G187" i="80" s="1"/>
  <c r="I177" i="81"/>
  <c r="G178" i="81"/>
  <c r="G187" i="81" s="1"/>
  <c r="I249" i="80" l="1"/>
  <c r="I178" i="80"/>
  <c r="I249" i="81"/>
  <c r="I178" i="81"/>
  <c r="I258" i="60"/>
  <c r="I328" i="60"/>
  <c r="Q18" i="67" l="1"/>
  <c r="Q21" i="67"/>
  <c r="I329" i="60"/>
  <c r="I399" i="60"/>
  <c r="Q94" i="67"/>
  <c r="I321" i="81"/>
  <c r="I250" i="81"/>
  <c r="Q24" i="67"/>
  <c r="Q64" i="67"/>
  <c r="I250" i="80"/>
  <c r="I321" i="80"/>
  <c r="R94" i="82" l="1"/>
  <c r="R68" i="76"/>
  <c r="S68" i="78"/>
  <c r="I393" i="80"/>
  <c r="I322" i="80"/>
  <c r="R28" i="82"/>
  <c r="R17" i="76"/>
  <c r="S17" i="78"/>
  <c r="I393" i="81"/>
  <c r="I322" i="81"/>
  <c r="R123" i="82"/>
  <c r="S123" i="82" s="1"/>
  <c r="S88" i="78"/>
  <c r="T88" i="78" s="1"/>
  <c r="R86" i="76"/>
  <c r="S86" i="76" s="1"/>
  <c r="S24" i="78"/>
  <c r="T24" i="78" s="1"/>
  <c r="R35" i="82"/>
  <c r="S35" i="82" s="1"/>
  <c r="R24" i="76"/>
  <c r="S24" i="76" s="1"/>
  <c r="I400" i="60"/>
  <c r="I470" i="60"/>
  <c r="R27" i="76"/>
  <c r="R38" i="82"/>
  <c r="S27" i="78"/>
  <c r="S28" i="82" l="1"/>
  <c r="I539" i="60"/>
  <c r="I471" i="60"/>
  <c r="I394" i="80"/>
  <c r="I465" i="80"/>
  <c r="T27" i="78"/>
  <c r="S27" i="76"/>
  <c r="T68" i="78"/>
  <c r="S38" i="82"/>
  <c r="T17" i="78"/>
  <c r="S68" i="76"/>
  <c r="I394" i="81"/>
  <c r="I465" i="81"/>
  <c r="S17" i="76"/>
  <c r="S94" i="82"/>
  <c r="I610" i="60" l="1"/>
  <c r="I540" i="60"/>
  <c r="I466" i="81"/>
  <c r="I537" i="81"/>
  <c r="I537" i="80"/>
  <c r="I466" i="80"/>
  <c r="I609" i="81" l="1"/>
  <c r="I538" i="81"/>
  <c r="I538" i="80"/>
  <c r="I609" i="80"/>
  <c r="I682" i="60"/>
  <c r="I611" i="60"/>
  <c r="I681" i="80" l="1"/>
  <c r="I610" i="80"/>
  <c r="Q27" i="67"/>
  <c r="G30" i="67"/>
  <c r="I683" i="60"/>
  <c r="I754" i="60"/>
  <c r="I610" i="81"/>
  <c r="I681" i="81"/>
  <c r="R30" i="76" l="1"/>
  <c r="R41" i="82"/>
  <c r="S30" i="78"/>
  <c r="I753" i="81"/>
  <c r="I682" i="81"/>
  <c r="I755" i="60"/>
  <c r="I825" i="60"/>
  <c r="I753" i="80"/>
  <c r="I682" i="80"/>
  <c r="G37" i="67"/>
  <c r="G12" i="68"/>
  <c r="Q32" i="68"/>
  <c r="I754" i="80" l="1"/>
  <c r="I825" i="80"/>
  <c r="I754" i="81"/>
  <c r="I825" i="81"/>
  <c r="I896" i="60"/>
  <c r="I897" i="60" s="1"/>
  <c r="I826" i="60"/>
  <c r="T30" i="78"/>
  <c r="G77" i="67"/>
  <c r="S41" i="82"/>
  <c r="G73" i="67"/>
  <c r="S31" i="79"/>
  <c r="T31" i="79" s="1"/>
  <c r="R33" i="83"/>
  <c r="S33" i="83" s="1"/>
  <c r="R31" i="77"/>
  <c r="S31" i="77" s="1"/>
  <c r="S30" i="76"/>
  <c r="G49" i="68"/>
  <c r="G66" i="67"/>
  <c r="G75" i="68"/>
  <c r="G44" i="68"/>
  <c r="G29" i="68" l="1"/>
  <c r="I826" i="81"/>
  <c r="I897" i="81"/>
  <c r="I826" i="80"/>
  <c r="I897" i="80"/>
  <c r="G89" i="67"/>
  <c r="G34" i="80" l="1"/>
  <c r="G35" i="80" s="1"/>
  <c r="I898" i="80"/>
  <c r="G59" i="68"/>
  <c r="G77" i="68" s="1"/>
  <c r="I898" i="81"/>
  <c r="G34" i="81"/>
  <c r="G35" i="81" s="1"/>
  <c r="F215" i="66" l="1"/>
  <c r="H74" i="66" l="1"/>
  <c r="H135" i="66" l="1"/>
  <c r="F12" i="66" s="1"/>
  <c r="H190" i="66" l="1"/>
  <c r="H246" i="66" l="1"/>
  <c r="H307" i="66" l="1"/>
  <c r="F138" i="66" l="1"/>
  <c r="F200" i="57"/>
  <c r="H81" i="66"/>
  <c r="H142" i="66" s="1"/>
  <c r="F19" i="66" s="1"/>
  <c r="F146" i="66"/>
  <c r="H76" i="66"/>
  <c r="H137" i="66" s="1"/>
  <c r="F14" i="66" s="1"/>
  <c r="H368" i="66"/>
  <c r="F37" i="67"/>
  <c r="F73" i="67"/>
  <c r="F12" i="68"/>
  <c r="H192" i="66" l="1"/>
  <c r="H248" i="66" s="1"/>
  <c r="H309" i="66" s="1"/>
  <c r="H370" i="66" s="1"/>
  <c r="H432" i="66" s="1"/>
  <c r="F147" i="66"/>
  <c r="F85" i="66"/>
  <c r="H79" i="66"/>
  <c r="H75" i="66"/>
  <c r="F77" i="66"/>
  <c r="F319" i="57"/>
  <c r="F192" i="57"/>
  <c r="F201" i="57" s="1"/>
  <c r="H430" i="66"/>
  <c r="F257" i="57"/>
  <c r="F49" i="68"/>
  <c r="Q66" i="68"/>
  <c r="Q24" i="68"/>
  <c r="Q96" i="67" l="1"/>
  <c r="Q59" i="67"/>
  <c r="H77" i="66"/>
  <c r="H136" i="66"/>
  <c r="F13" i="66" s="1"/>
  <c r="F216" i="57"/>
  <c r="F281" i="57"/>
  <c r="Q31" i="67"/>
  <c r="S24" i="79"/>
  <c r="T24" i="79" s="1"/>
  <c r="R24" i="77"/>
  <c r="S24" i="77" s="1"/>
  <c r="R25" i="83"/>
  <c r="S25" i="83" s="1"/>
  <c r="F77" i="67"/>
  <c r="H85" i="66"/>
  <c r="H86" i="66" s="1"/>
  <c r="H140" i="66"/>
  <c r="F17" i="66" s="1"/>
  <c r="F29" i="68"/>
  <c r="F86" i="66"/>
  <c r="R71" i="83"/>
  <c r="S71" i="83" s="1"/>
  <c r="S68" i="79"/>
  <c r="T68" i="79" s="1"/>
  <c r="R72" i="77"/>
  <c r="S72" i="77" s="1"/>
  <c r="Q84" i="67"/>
  <c r="R113" i="82" s="1"/>
  <c r="S113" i="82" s="1"/>
  <c r="O432" i="66"/>
  <c r="H495" i="66"/>
  <c r="H556" i="66" s="1"/>
  <c r="H611" i="66" s="1"/>
  <c r="H672" i="66" s="1"/>
  <c r="H734" i="66" s="1"/>
  <c r="H493" i="66"/>
  <c r="O430" i="66"/>
  <c r="S5" i="82" l="1"/>
  <c r="R45" i="82"/>
  <c r="S45" i="82" s="1"/>
  <c r="F39" i="57"/>
  <c r="M39" i="57" s="1"/>
  <c r="S34" i="78"/>
  <c r="T34" i="78" s="1"/>
  <c r="R34" i="76"/>
  <c r="R63" i="76"/>
  <c r="S63" i="76" s="1"/>
  <c r="S63" i="78"/>
  <c r="T63" i="78" s="1"/>
  <c r="R89" i="82"/>
  <c r="S89" i="82" s="1"/>
  <c r="H554" i="66"/>
  <c r="F15" i="66"/>
  <c r="H191" i="66"/>
  <c r="H138" i="66"/>
  <c r="H146" i="66"/>
  <c r="F23" i="66"/>
  <c r="H195" i="66"/>
  <c r="Q54" i="68"/>
  <c r="R88" i="76"/>
  <c r="S88" i="76" s="1"/>
  <c r="S90" i="78"/>
  <c r="T90" i="78" s="1"/>
  <c r="R125" i="82"/>
  <c r="S125" i="82" s="1"/>
  <c r="H147" i="66" l="1"/>
  <c r="H251" i="66"/>
  <c r="F24" i="66"/>
  <c r="S51" i="79"/>
  <c r="R57" i="83"/>
  <c r="R55" i="77"/>
  <c r="H247" i="66"/>
  <c r="H193" i="66"/>
  <c r="H609" i="66"/>
  <c r="Q28" i="68" l="1"/>
  <c r="F282" i="57"/>
  <c r="F217" i="57"/>
  <c r="S57" i="83"/>
  <c r="H670" i="66"/>
  <c r="H308" i="66"/>
  <c r="H249" i="66"/>
  <c r="S55" i="77"/>
  <c r="T51" i="79"/>
  <c r="H312" i="66"/>
  <c r="H732" i="66" l="1"/>
  <c r="H373" i="66"/>
  <c r="H369" i="66"/>
  <c r="H310" i="66"/>
  <c r="S27" i="79"/>
  <c r="T27" i="79" s="1"/>
  <c r="F40" i="57"/>
  <c r="M40" i="57" s="1"/>
  <c r="R29" i="83"/>
  <c r="S29" i="83" s="1"/>
  <c r="R27" i="77"/>
  <c r="S27" i="77" s="1"/>
  <c r="H435" i="66" l="1"/>
  <c r="H431" i="66"/>
  <c r="H371" i="66"/>
  <c r="O431" i="66" l="1"/>
  <c r="H494" i="66"/>
  <c r="H433" i="66"/>
  <c r="O433" i="66" s="1"/>
  <c r="H498" i="66"/>
  <c r="O435" i="66"/>
  <c r="H559" i="66" l="1"/>
  <c r="H555" i="66"/>
  <c r="H496" i="66"/>
  <c r="H610" i="66" l="1"/>
  <c r="H557" i="66"/>
  <c r="H614" i="66"/>
  <c r="H675" i="66" l="1"/>
  <c r="H671" i="66"/>
  <c r="H612" i="66"/>
  <c r="Q33" i="68"/>
  <c r="Q69" i="68"/>
  <c r="Q41" i="67" l="1"/>
  <c r="R34" i="83"/>
  <c r="S34" i="83" s="1"/>
  <c r="S32" i="79"/>
  <c r="T32" i="79" s="1"/>
  <c r="R32" i="77"/>
  <c r="S32" i="77" s="1"/>
  <c r="Q43" i="67"/>
  <c r="R56" i="82" s="1"/>
  <c r="S56" i="82" s="1"/>
  <c r="H733" i="66"/>
  <c r="H735" i="66" s="1"/>
  <c r="H673" i="66"/>
  <c r="Q31" i="68"/>
  <c r="E37" i="67"/>
  <c r="Q39" i="67"/>
  <c r="Q46" i="68"/>
  <c r="Q40" i="67"/>
  <c r="R75" i="83"/>
  <c r="S75" i="83" s="1"/>
  <c r="R75" i="77"/>
  <c r="S75" i="77" s="1"/>
  <c r="H737" i="66"/>
  <c r="Q37" i="68"/>
  <c r="Q36" i="68"/>
  <c r="Q63" i="68"/>
  <c r="Q16" i="68"/>
  <c r="S65" i="79" l="1"/>
  <c r="T65" i="79" s="1"/>
  <c r="R68" i="83"/>
  <c r="S68" i="83" s="1"/>
  <c r="R69" i="77"/>
  <c r="S69" i="77" s="1"/>
  <c r="Q37" i="67"/>
  <c r="S34" i="79"/>
  <c r="T34" i="79" s="1"/>
  <c r="R36" i="77"/>
  <c r="R45" i="83"/>
  <c r="S43" i="79"/>
  <c r="R47" i="77"/>
  <c r="S30" i="79"/>
  <c r="R30" i="77"/>
  <c r="R32" i="83"/>
  <c r="Q14" i="68"/>
  <c r="E12" i="68"/>
  <c r="Q12" i="68" s="1"/>
  <c r="R13" i="83" s="1"/>
  <c r="E73" i="67"/>
  <c r="Q74" i="67"/>
  <c r="R36" i="83"/>
  <c r="S36" i="83" s="1"/>
  <c r="R35" i="77"/>
  <c r="Q76" i="67"/>
  <c r="R105" i="82" s="1"/>
  <c r="S105" i="82" s="1"/>
  <c r="R44" i="76" l="1"/>
  <c r="S44" i="76" s="1"/>
  <c r="S44" i="78"/>
  <c r="T44" i="78" s="1"/>
  <c r="S47" i="77"/>
  <c r="T43" i="79"/>
  <c r="F212" i="57"/>
  <c r="F277" i="57"/>
  <c r="Q86" i="67"/>
  <c r="S45" i="83"/>
  <c r="S32" i="83"/>
  <c r="S30" i="77"/>
  <c r="Q73" i="67"/>
  <c r="T30" i="79"/>
  <c r="R78" i="76" l="1"/>
  <c r="S78" i="76" s="1"/>
  <c r="F35" i="57"/>
  <c r="M35" i="57" s="1"/>
  <c r="S80" i="78"/>
  <c r="T80" i="78" s="1"/>
  <c r="R115" i="82"/>
  <c r="S115" i="82" s="1"/>
  <c r="S79" i="78"/>
  <c r="R77" i="76"/>
  <c r="Q21" i="68"/>
  <c r="R22" i="83" s="1"/>
  <c r="S22" i="83" s="1"/>
  <c r="Q48" i="67" l="1"/>
  <c r="R51" i="82" s="1"/>
  <c r="T79" i="78"/>
  <c r="Q19" i="68"/>
  <c r="R20" i="83" s="1"/>
  <c r="E17" i="68"/>
  <c r="Q79" i="67"/>
  <c r="R108" i="82" s="1"/>
  <c r="Q81" i="67"/>
  <c r="R103" i="82" s="1"/>
  <c r="F331" i="57"/>
  <c r="Q46" i="67"/>
  <c r="R59" i="82" s="1"/>
  <c r="S59" i="82" s="1"/>
  <c r="E44" i="67"/>
  <c r="E77" i="67"/>
  <c r="Q78" i="67"/>
  <c r="R107" i="82" s="1"/>
  <c r="S107" i="82" s="1"/>
  <c r="S77" i="76"/>
  <c r="F340" i="57"/>
  <c r="Q80" i="67"/>
  <c r="R109" i="82" s="1"/>
  <c r="S109" i="82" s="1"/>
  <c r="Q38" i="68"/>
  <c r="Q48" i="68"/>
  <c r="Q43" i="68"/>
  <c r="Q42" i="68"/>
  <c r="S103" i="82" l="1"/>
  <c r="Q47" i="68"/>
  <c r="E49" i="68"/>
  <c r="Q44" i="67"/>
  <c r="S51" i="82"/>
  <c r="Q77" i="67"/>
  <c r="R37" i="83"/>
  <c r="S37" i="83" s="1"/>
  <c r="S35" i="79"/>
  <c r="T35" i="79" s="1"/>
  <c r="R37" i="77"/>
  <c r="S37" i="77" s="1"/>
  <c r="E29" i="68"/>
  <c r="Q29" i="68" s="1"/>
  <c r="T30" i="83" s="1"/>
  <c r="Q17" i="68"/>
  <c r="R43" i="77"/>
  <c r="S43" i="77" s="1"/>
  <c r="R41" i="83"/>
  <c r="S41" i="83" s="1"/>
  <c r="S39" i="79"/>
  <c r="T39" i="79" s="1"/>
  <c r="S20" i="83"/>
  <c r="S30" i="83" s="1"/>
  <c r="R30" i="83"/>
  <c r="Q34" i="68"/>
  <c r="S40" i="79"/>
  <c r="T40" i="79" s="1"/>
  <c r="R42" i="83"/>
  <c r="S42" i="83" s="1"/>
  <c r="R44" i="77"/>
  <c r="S44" i="77" s="1"/>
  <c r="S45" i="79"/>
  <c r="T45" i="79" s="1"/>
  <c r="R47" i="83"/>
  <c r="S47" i="83" s="1"/>
  <c r="R49" i="77"/>
  <c r="S49" i="77" s="1"/>
  <c r="F330" i="57" l="1"/>
  <c r="F203" i="57"/>
  <c r="I108" i="60"/>
  <c r="S33" i="79"/>
  <c r="R33" i="77"/>
  <c r="R35" i="83"/>
  <c r="F26" i="57"/>
  <c r="F271" i="57"/>
  <c r="Q49" i="68"/>
  <c r="F206" i="57"/>
  <c r="R48" i="77"/>
  <c r="R46" i="83"/>
  <c r="S44" i="79"/>
  <c r="F268" i="57"/>
  <c r="S33" i="77" l="1"/>
  <c r="T33" i="79"/>
  <c r="S35" i="83"/>
  <c r="T44" i="79"/>
  <c r="T46" i="79" s="1"/>
  <c r="S46" i="79"/>
  <c r="G37" i="60"/>
  <c r="I179" i="60"/>
  <c r="I251" i="60" s="1"/>
  <c r="I322" i="60" s="1"/>
  <c r="I393" i="60" s="1"/>
  <c r="I464" i="60" s="1"/>
  <c r="I533" i="60" s="1"/>
  <c r="I604" i="60" s="1"/>
  <c r="I676" i="60" s="1"/>
  <c r="I748" i="60" s="1"/>
  <c r="I819" i="60" s="1"/>
  <c r="I890" i="60" s="1"/>
  <c r="M26" i="57"/>
  <c r="S46" i="83"/>
  <c r="S48" i="83" s="1"/>
  <c r="R48" i="83"/>
  <c r="T48" i="83"/>
  <c r="F29" i="57"/>
  <c r="M29" i="57" s="1"/>
  <c r="S48" i="77"/>
  <c r="R50" i="77"/>
  <c r="S50" i="77" s="1"/>
  <c r="F89" i="67" l="1"/>
  <c r="F66" i="67" l="1"/>
  <c r="F30" i="67" l="1"/>
  <c r="Q29" i="67"/>
  <c r="R32" i="76" l="1"/>
  <c r="S32" i="76" s="1"/>
  <c r="S32" i="78"/>
  <c r="T32" i="78" s="1"/>
  <c r="R43" i="82"/>
  <c r="S43" i="82" s="1"/>
  <c r="Q57" i="68" l="1"/>
  <c r="S54" i="79" l="1"/>
  <c r="T54" i="79" s="1"/>
  <c r="R58" i="77"/>
  <c r="S58" i="77" s="1"/>
  <c r="R60" i="83"/>
  <c r="S60" i="83" s="1"/>
  <c r="F213" i="57" l="1"/>
  <c r="Q87" i="67"/>
  <c r="F278" i="57"/>
  <c r="E89" i="67"/>
  <c r="S81" i="78" l="1"/>
  <c r="R116" i="82"/>
  <c r="R79" i="76"/>
  <c r="F36" i="57"/>
  <c r="M36" i="57" s="1"/>
  <c r="Q89" i="67"/>
  <c r="T118" i="82" s="1"/>
  <c r="S79" i="76" l="1"/>
  <c r="S81" i="76" s="1"/>
  <c r="R81" i="76"/>
  <c r="S116" i="82"/>
  <c r="S118" i="82" s="1"/>
  <c r="R118" i="82"/>
  <c r="T81" i="78"/>
  <c r="T83" i="78" s="1"/>
  <c r="S83" i="78"/>
  <c r="L104" i="58" l="1"/>
  <c r="E92" i="62" s="1"/>
  <c r="E95" i="62" s="1"/>
  <c r="E22" i="67" l="1"/>
  <c r="Q28" i="67"/>
  <c r="E30" i="67"/>
  <c r="H106" i="67"/>
  <c r="E59" i="68"/>
  <c r="F204" i="57"/>
  <c r="F44" i="68"/>
  <c r="Q64" i="68"/>
  <c r="Q40" i="68" l="1"/>
  <c r="Q30" i="67"/>
  <c r="E32" i="67"/>
  <c r="R70" i="77"/>
  <c r="S70" i="77" s="1"/>
  <c r="R69" i="83"/>
  <c r="S69" i="83" s="1"/>
  <c r="S66" i="79"/>
  <c r="T66" i="79" s="1"/>
  <c r="T80" i="79" s="1"/>
  <c r="R31" i="76"/>
  <c r="S31" i="78"/>
  <c r="R42" i="82"/>
  <c r="Q106" i="67"/>
  <c r="Q55" i="68"/>
  <c r="Q61" i="68"/>
  <c r="E75" i="68"/>
  <c r="F22" i="67"/>
  <c r="F32" i="67" s="1"/>
  <c r="D108" i="67"/>
  <c r="Q65" i="67"/>
  <c r="E66" i="67"/>
  <c r="D106" i="67"/>
  <c r="Q74" i="68"/>
  <c r="F75" i="68"/>
  <c r="Q39" i="68"/>
  <c r="E44" i="68"/>
  <c r="Q58" i="68"/>
  <c r="Q75" i="68" l="1"/>
  <c r="F41" i="57" s="1"/>
  <c r="M41" i="57" s="1"/>
  <c r="F283" i="57"/>
  <c r="F218" i="57"/>
  <c r="E77" i="68"/>
  <c r="G22" i="67"/>
  <c r="Q19" i="67"/>
  <c r="F269" i="57"/>
  <c r="S69" i="78"/>
  <c r="R69" i="76"/>
  <c r="R95" i="82"/>
  <c r="Q66" i="67"/>
  <c r="T96" i="82" s="1"/>
  <c r="G93" i="80"/>
  <c r="F89" i="66"/>
  <c r="G93" i="81"/>
  <c r="R66" i="77"/>
  <c r="R65" i="83"/>
  <c r="F150" i="66"/>
  <c r="R56" i="77"/>
  <c r="R58" i="83"/>
  <c r="S52" i="79"/>
  <c r="F59" i="68"/>
  <c r="S79" i="79"/>
  <c r="T79" i="79" s="1"/>
  <c r="R78" i="83"/>
  <c r="S78" i="83" s="1"/>
  <c r="R86" i="77"/>
  <c r="S86" i="77" s="1"/>
  <c r="R59" i="77"/>
  <c r="S59" i="77" s="1"/>
  <c r="R61" i="83"/>
  <c r="S61" i="83" s="1"/>
  <c r="S55" i="79"/>
  <c r="T55" i="79" s="1"/>
  <c r="R38" i="77"/>
  <c r="R38" i="83"/>
  <c r="S36" i="79"/>
  <c r="S42" i="82"/>
  <c r="S44" i="82" s="1"/>
  <c r="R44" i="82"/>
  <c r="R39" i="83"/>
  <c r="S39" i="83" s="1"/>
  <c r="R39" i="77"/>
  <c r="S39" i="77" s="1"/>
  <c r="S37" i="79"/>
  <c r="T37" i="79" s="1"/>
  <c r="S31" i="76"/>
  <c r="S33" i="76" s="1"/>
  <c r="R33" i="76"/>
  <c r="F279" i="57"/>
  <c r="F214" i="57"/>
  <c r="Q44" i="68"/>
  <c r="T31" i="78"/>
  <c r="T33" i="78" s="1"/>
  <c r="S33" i="78"/>
  <c r="T36" i="79" l="1"/>
  <c r="T41" i="79" s="1"/>
  <c r="S41" i="79"/>
  <c r="S38" i="83"/>
  <c r="S43" i="83" s="1"/>
  <c r="R43" i="83"/>
  <c r="S38" i="77"/>
  <c r="R45" i="77"/>
  <c r="Q22" i="67"/>
  <c r="T36" i="82" s="1"/>
  <c r="I93" i="80"/>
  <c r="S95" i="82"/>
  <c r="S96" i="82" s="1"/>
  <c r="R96" i="82"/>
  <c r="G96" i="81"/>
  <c r="I96" i="81" s="1"/>
  <c r="I167" i="81" s="1"/>
  <c r="I239" i="81" s="1"/>
  <c r="I311" i="81" s="1"/>
  <c r="I383" i="81" s="1"/>
  <c r="I455" i="81" s="1"/>
  <c r="I527" i="81" s="1"/>
  <c r="I599" i="81" s="1"/>
  <c r="I671" i="81" s="1"/>
  <c r="I743" i="81" s="1"/>
  <c r="I815" i="81" s="1"/>
  <c r="I887" i="81" s="1"/>
  <c r="G24" i="81" s="1"/>
  <c r="G96" i="80"/>
  <c r="I96" i="80" s="1"/>
  <c r="I167" i="80" s="1"/>
  <c r="I239" i="80" s="1"/>
  <c r="I311" i="80" s="1"/>
  <c r="I383" i="80" s="1"/>
  <c r="I455" i="80" s="1"/>
  <c r="I527" i="80" s="1"/>
  <c r="I599" i="80" s="1"/>
  <c r="I671" i="80" s="1"/>
  <c r="I743" i="80" s="1"/>
  <c r="I815" i="80" s="1"/>
  <c r="I887" i="80" s="1"/>
  <c r="G24" i="80" s="1"/>
  <c r="F99" i="66"/>
  <c r="S69" i="76"/>
  <c r="S70" i="76" s="1"/>
  <c r="R70" i="76"/>
  <c r="T69" i="78"/>
  <c r="T70" i="78" s="1"/>
  <c r="S70" i="78"/>
  <c r="Q59" i="68"/>
  <c r="S65" i="83"/>
  <c r="S82" i="83" s="1"/>
  <c r="R82" i="83"/>
  <c r="F77" i="68"/>
  <c r="Q77" i="68" s="1"/>
  <c r="S56" i="77"/>
  <c r="R60" i="77"/>
  <c r="S60" i="77" s="1"/>
  <c r="I107" i="60"/>
  <c r="I109" i="60"/>
  <c r="G38" i="60" s="1"/>
  <c r="S66" i="77"/>
  <c r="R87" i="77"/>
  <c r="S87" i="77" s="1"/>
  <c r="T52" i="79"/>
  <c r="T56" i="79" s="1"/>
  <c r="T81" i="79" s="1"/>
  <c r="T83" i="79" s="1"/>
  <c r="S56" i="79"/>
  <c r="I93" i="81"/>
  <c r="R33" i="82"/>
  <c r="F27" i="57"/>
  <c r="S22" i="78"/>
  <c r="R22" i="76"/>
  <c r="T43" i="83"/>
  <c r="F37" i="57"/>
  <c r="M37" i="57" s="1"/>
  <c r="S58" i="83"/>
  <c r="S62" i="83" s="1"/>
  <c r="R62" i="83"/>
  <c r="H89" i="66"/>
  <c r="S83" i="83" l="1"/>
  <c r="I180" i="60"/>
  <c r="I252" i="60" s="1"/>
  <c r="I323" i="60" s="1"/>
  <c r="I394" i="60" s="1"/>
  <c r="I465" i="60" s="1"/>
  <c r="I534" i="60" s="1"/>
  <c r="I605" i="60" s="1"/>
  <c r="I677" i="60" s="1"/>
  <c r="I749" i="60" s="1"/>
  <c r="I820" i="60" s="1"/>
  <c r="I891" i="60" s="1"/>
  <c r="I178" i="60"/>
  <c r="G253" i="60"/>
  <c r="G260" i="60" s="1"/>
  <c r="G261" i="60" s="1"/>
  <c r="H99" i="66"/>
  <c r="S22" i="76"/>
  <c r="S25" i="76" s="1"/>
  <c r="S35" i="76" s="1"/>
  <c r="S37" i="76" s="1"/>
  <c r="R25" i="76"/>
  <c r="R35" i="76" s="1"/>
  <c r="G110" i="60"/>
  <c r="G117" i="60" s="1"/>
  <c r="I110" i="60"/>
  <c r="I117" i="60" s="1"/>
  <c r="G36" i="60"/>
  <c r="G39" i="60" s="1"/>
  <c r="G46" i="60" s="1"/>
  <c r="G34" i="67"/>
  <c r="F205" i="66"/>
  <c r="Q32" i="67"/>
  <c r="R46" i="82" s="1"/>
  <c r="M27" i="57"/>
  <c r="I164" i="80"/>
  <c r="T22" i="78"/>
  <c r="T25" i="78" s="1"/>
  <c r="S25" i="78"/>
  <c r="S35" i="78" s="1"/>
  <c r="S33" i="82"/>
  <c r="S36" i="82" s="1"/>
  <c r="R36" i="82"/>
  <c r="H150" i="66"/>
  <c r="U56" i="79"/>
  <c r="S81" i="79"/>
  <c r="F160" i="66"/>
  <c r="I164" i="81"/>
  <c r="R83" i="83"/>
  <c r="R88" i="77"/>
  <c r="S45" i="77"/>
  <c r="H160" i="66" l="1"/>
  <c r="G181" i="60"/>
  <c r="G188" i="60" s="1"/>
  <c r="F37" i="66"/>
  <c r="H215" i="66"/>
  <c r="F27" i="66"/>
  <c r="T35" i="78"/>
  <c r="I236" i="81"/>
  <c r="R90" i="77"/>
  <c r="S90" i="77" s="1"/>
  <c r="S88" i="77"/>
  <c r="I236" i="80"/>
  <c r="H205" i="66"/>
  <c r="I181" i="60"/>
  <c r="I188" i="60" s="1"/>
  <c r="I250" i="60"/>
  <c r="S83" i="79"/>
  <c r="U83" i="79" s="1"/>
  <c r="U81" i="79"/>
  <c r="S46" i="82"/>
  <c r="I308" i="81" l="1"/>
  <c r="H261" i="66"/>
  <c r="H271" i="66"/>
  <c r="I253" i="60"/>
  <c r="I260" i="60" s="1"/>
  <c r="I321" i="60"/>
  <c r="I308" i="80"/>
  <c r="I380" i="80" l="1"/>
  <c r="H322" i="66"/>
  <c r="I392" i="60"/>
  <c r="I324" i="60"/>
  <c r="I331" i="60" s="1"/>
  <c r="H332" i="66"/>
  <c r="I380" i="81"/>
  <c r="I463" i="60" l="1"/>
  <c r="I395" i="60"/>
  <c r="I402" i="60" s="1"/>
  <c r="H393" i="66"/>
  <c r="I452" i="81"/>
  <c r="H383" i="66"/>
  <c r="I452" i="80"/>
  <c r="I524" i="80" l="1"/>
  <c r="H445" i="66"/>
  <c r="I524" i="81"/>
  <c r="H455" i="66"/>
  <c r="I532" i="60"/>
  <c r="I466" i="60"/>
  <c r="I473" i="60" s="1"/>
  <c r="I596" i="81" l="1"/>
  <c r="I603" i="60"/>
  <c r="I535" i="60"/>
  <c r="I542" i="60" s="1"/>
  <c r="O455" i="66"/>
  <c r="H518" i="66"/>
  <c r="H508" i="66"/>
  <c r="O445" i="66"/>
  <c r="I596" i="80"/>
  <c r="I668" i="80" l="1"/>
  <c r="H569" i="66"/>
  <c r="H579" i="66"/>
  <c r="I675" i="60"/>
  <c r="I606" i="60"/>
  <c r="I613" i="60" s="1"/>
  <c r="I668" i="81"/>
  <c r="I740" i="81" l="1"/>
  <c r="I678" i="60"/>
  <c r="I685" i="60" s="1"/>
  <c r="I747" i="60"/>
  <c r="H634" i="66"/>
  <c r="H624" i="66"/>
  <c r="I740" i="80"/>
  <c r="I812" i="80" l="1"/>
  <c r="H695" i="66"/>
  <c r="H685" i="66"/>
  <c r="I750" i="60"/>
  <c r="I757" i="60" s="1"/>
  <c r="I818" i="60"/>
  <c r="I812" i="81"/>
  <c r="I889" i="60" l="1"/>
  <c r="I892" i="60" s="1"/>
  <c r="I899" i="60" s="1"/>
  <c r="I821" i="60"/>
  <c r="I828" i="60" s="1"/>
  <c r="I884" i="81"/>
  <c r="H747" i="66"/>
  <c r="H757" i="66"/>
  <c r="I884" i="80"/>
  <c r="G21" i="80" l="1"/>
  <c r="G21" i="81"/>
  <c r="H29" i="58" l="1"/>
  <c r="L29" i="58" s="1"/>
  <c r="L28" i="58"/>
  <c r="L109" i="58" l="1"/>
  <c r="L110" i="58"/>
  <c r="L192" i="58" l="1"/>
  <c r="L193" i="58"/>
  <c r="H25" i="58" l="1"/>
  <c r="L25" i="58" s="1"/>
  <c r="L24" i="58"/>
  <c r="E13" i="62" s="1"/>
  <c r="E15" i="62" s="1"/>
  <c r="L105" i="58" l="1"/>
  <c r="E74" i="62" s="1"/>
  <c r="E76" i="62" s="1"/>
  <c r="L106" i="58"/>
  <c r="L188" i="58" l="1"/>
  <c r="E137" i="62" s="1"/>
  <c r="E139" i="62" s="1"/>
  <c r="L189" i="58"/>
  <c r="F15" i="57" l="1"/>
  <c r="O15" i="57" s="1"/>
  <c r="F292" i="57" l="1"/>
  <c r="F106" i="66"/>
  <c r="H106" i="66" s="1"/>
  <c r="H167" i="66" s="1"/>
  <c r="O12" i="69"/>
  <c r="C14" i="69"/>
  <c r="F227" i="57"/>
  <c r="F50" i="57" l="1"/>
  <c r="O14" i="69"/>
  <c r="F44" i="66"/>
  <c r="H222" i="66"/>
  <c r="H278" i="66" s="1"/>
  <c r="H339" i="66" s="1"/>
  <c r="H400" i="66" s="1"/>
  <c r="H462" i="66" s="1"/>
  <c r="H525" i="66" l="1"/>
  <c r="H586" i="66" s="1"/>
  <c r="H641" i="66" s="1"/>
  <c r="H702" i="66" s="1"/>
  <c r="H764" i="66" s="1"/>
  <c r="O462" i="66"/>
  <c r="F168" i="66" l="1"/>
  <c r="G173" i="60"/>
  <c r="G175" i="60" s="1"/>
  <c r="F293" i="57" l="1"/>
  <c r="F355" i="57"/>
  <c r="F228" i="57"/>
  <c r="H105" i="66" l="1"/>
  <c r="F107" i="66"/>
  <c r="I99" i="60"/>
  <c r="G102" i="60"/>
  <c r="G86" i="81" l="1"/>
  <c r="G86" i="80"/>
  <c r="G104" i="60"/>
  <c r="G118" i="60" s="1"/>
  <c r="G28" i="60"/>
  <c r="G31" i="60" s="1"/>
  <c r="G33" i="60" s="1"/>
  <c r="G47" i="60" s="1"/>
  <c r="G49" i="60" s="1"/>
  <c r="I102" i="60"/>
  <c r="I104" i="60" s="1"/>
  <c r="I170" i="60"/>
  <c r="H107" i="66"/>
  <c r="H166" i="66"/>
  <c r="F43" i="66" l="1"/>
  <c r="F45" i="66" s="1"/>
  <c r="H168" i="66"/>
  <c r="H221" i="66"/>
  <c r="I173" i="60"/>
  <c r="I175" i="60" s="1"/>
  <c r="I189" i="60" s="1"/>
  <c r="I191" i="60" s="1"/>
  <c r="I242" i="60"/>
  <c r="I86" i="80"/>
  <c r="G90" i="80"/>
  <c r="I118" i="60"/>
  <c r="I120" i="60" s="1"/>
  <c r="G120" i="60"/>
  <c r="G190" i="60" s="1"/>
  <c r="G191" i="60" s="1"/>
  <c r="G262" i="60" s="1"/>
  <c r="G263" i="60" s="1"/>
  <c r="G333" i="60" s="1"/>
  <c r="G334" i="60" s="1"/>
  <c r="I86" i="81"/>
  <c r="G90" i="81"/>
  <c r="I157" i="80" l="1"/>
  <c r="I90" i="80"/>
  <c r="Q68" i="67"/>
  <c r="F93" i="66"/>
  <c r="H93" i="66" s="1"/>
  <c r="H154" i="66" s="1"/>
  <c r="I245" i="60"/>
  <c r="I247" i="60" s="1"/>
  <c r="I261" i="60" s="1"/>
  <c r="I263" i="60" s="1"/>
  <c r="I313" i="60"/>
  <c r="G404" i="60"/>
  <c r="G405" i="60" s="1"/>
  <c r="G475" i="60" s="1"/>
  <c r="G476" i="60" s="1"/>
  <c r="M336" i="60"/>
  <c r="F92" i="66"/>
  <c r="H92" i="66" s="1"/>
  <c r="E34" i="67"/>
  <c r="E80" i="68"/>
  <c r="H223" i="66"/>
  <c r="H277" i="66"/>
  <c r="I90" i="81"/>
  <c r="I157" i="81"/>
  <c r="L14" i="58"/>
  <c r="H16" i="58"/>
  <c r="L16" i="58" s="1"/>
  <c r="E16" i="62" s="1"/>
  <c r="G122" i="80"/>
  <c r="G122" i="81"/>
  <c r="F94" i="66"/>
  <c r="H94" i="66" s="1"/>
  <c r="H155" i="66" s="1"/>
  <c r="E103" i="67"/>
  <c r="Q99" i="67"/>
  <c r="I229" i="81" l="1"/>
  <c r="I161" i="81"/>
  <c r="L97" i="58"/>
  <c r="L95" i="58"/>
  <c r="E77" i="62" s="1"/>
  <c r="G544" i="60"/>
  <c r="G545" i="60" s="1"/>
  <c r="L478" i="60"/>
  <c r="H279" i="66"/>
  <c r="H338" i="66"/>
  <c r="I316" i="60"/>
  <c r="I318" i="60" s="1"/>
  <c r="I332" i="60" s="1"/>
  <c r="I334" i="60" s="1"/>
  <c r="I384" i="60"/>
  <c r="F31" i="66"/>
  <c r="H209" i="66"/>
  <c r="H265" i="66" s="1"/>
  <c r="H326" i="66" s="1"/>
  <c r="H387" i="66" s="1"/>
  <c r="H449" i="66" s="1"/>
  <c r="F101" i="66"/>
  <c r="R98" i="82"/>
  <c r="S98" i="82" s="1"/>
  <c r="S72" i="78"/>
  <c r="T72" i="78" s="1"/>
  <c r="R72" i="76"/>
  <c r="S72" i="76" s="1"/>
  <c r="F32" i="66"/>
  <c r="H210" i="66"/>
  <c r="H266" i="66" s="1"/>
  <c r="H327" i="66" s="1"/>
  <c r="H388" i="66" s="1"/>
  <c r="H450" i="66" s="1"/>
  <c r="R91" i="76"/>
  <c r="S91" i="76" s="1"/>
  <c r="S93" i="78"/>
  <c r="R128" i="82"/>
  <c r="I161" i="80"/>
  <c r="I229" i="80"/>
  <c r="O450" i="66" l="1"/>
  <c r="H513" i="66"/>
  <c r="H574" i="66" s="1"/>
  <c r="H629" i="66" s="1"/>
  <c r="H690" i="66" s="1"/>
  <c r="H752" i="66" s="1"/>
  <c r="H340" i="66"/>
  <c r="H399" i="66"/>
  <c r="I387" i="60"/>
  <c r="I389" i="60" s="1"/>
  <c r="I403" i="60" s="1"/>
  <c r="I405" i="60" s="1"/>
  <c r="I407" i="60" s="1"/>
  <c r="I455" i="60"/>
  <c r="H101" i="66"/>
  <c r="H102" i="66" s="1"/>
  <c r="F102" i="66"/>
  <c r="I301" i="80"/>
  <c r="I233" i="80"/>
  <c r="S128" i="82"/>
  <c r="T93" i="78"/>
  <c r="H512" i="66"/>
  <c r="H573" i="66" s="1"/>
  <c r="H628" i="66" s="1"/>
  <c r="H689" i="66" s="1"/>
  <c r="H751" i="66" s="1"/>
  <c r="O449" i="66"/>
  <c r="I233" i="81"/>
  <c r="I301" i="81"/>
  <c r="I305" i="81" l="1"/>
  <c r="I373" i="81"/>
  <c r="H461" i="66"/>
  <c r="H401" i="66"/>
  <c r="L180" i="58"/>
  <c r="E140" i="62" s="1"/>
  <c r="L178" i="58"/>
  <c r="Q79" i="68"/>
  <c r="F33" i="57" s="1"/>
  <c r="M33" i="57" s="1"/>
  <c r="F210" i="57"/>
  <c r="F275" i="57"/>
  <c r="I458" i="60"/>
  <c r="I460" i="60" s="1"/>
  <c r="I474" i="60" s="1"/>
  <c r="I476" i="60" s="1"/>
  <c r="L479" i="60" s="1"/>
  <c r="I524" i="60"/>
  <c r="I305" i="80"/>
  <c r="I373" i="80"/>
  <c r="F217" i="66"/>
  <c r="G80" i="68"/>
  <c r="I595" i="60" l="1"/>
  <c r="I527" i="60"/>
  <c r="I529" i="60" s="1"/>
  <c r="I543" i="60" s="1"/>
  <c r="I545" i="60" s="1"/>
  <c r="G615" i="60" s="1"/>
  <c r="G616" i="60" s="1"/>
  <c r="F153" i="66"/>
  <c r="H153" i="66" s="1"/>
  <c r="F103" i="67"/>
  <c r="F34" i="67"/>
  <c r="Q33" i="67"/>
  <c r="I377" i="81"/>
  <c r="I445" i="81"/>
  <c r="I377" i="80"/>
  <c r="I445" i="80"/>
  <c r="H524" i="66"/>
  <c r="H463" i="66"/>
  <c r="O463" i="66" s="1"/>
  <c r="O461" i="66"/>
  <c r="F218" i="66"/>
  <c r="R47" i="82" l="1"/>
  <c r="S36" i="78"/>
  <c r="R36" i="76"/>
  <c r="Q34" i="67"/>
  <c r="T48" i="82" s="1"/>
  <c r="H526" i="66"/>
  <c r="H585" i="66"/>
  <c r="Q103" i="67"/>
  <c r="I449" i="80"/>
  <c r="I517" i="80"/>
  <c r="I449" i="81"/>
  <c r="I517" i="81"/>
  <c r="F30" i="66"/>
  <c r="H208" i="66"/>
  <c r="H264" i="66" s="1"/>
  <c r="H325" i="66" s="1"/>
  <c r="H386" i="66" s="1"/>
  <c r="H448" i="66" s="1"/>
  <c r="L619" i="60"/>
  <c r="G687" i="60"/>
  <c r="G688" i="60" s="1"/>
  <c r="I667" i="60"/>
  <c r="I598" i="60"/>
  <c r="I600" i="60" s="1"/>
  <c r="I614" i="60" s="1"/>
  <c r="I616" i="60" s="1"/>
  <c r="L618" i="60" s="1"/>
  <c r="H511" i="66" l="1"/>
  <c r="H572" i="66" s="1"/>
  <c r="H627" i="66" s="1"/>
  <c r="H688" i="66" s="1"/>
  <c r="H750" i="66" s="1"/>
  <c r="O448" i="66"/>
  <c r="H587" i="66"/>
  <c r="H640" i="66"/>
  <c r="I589" i="80"/>
  <c r="I521" i="80"/>
  <c r="I739" i="60"/>
  <c r="I670" i="60"/>
  <c r="I672" i="60" s="1"/>
  <c r="I686" i="60" s="1"/>
  <c r="I688" i="60" s="1"/>
  <c r="R94" i="76"/>
  <c r="S94" i="76" s="1"/>
  <c r="R37" i="76"/>
  <c r="G759" i="60"/>
  <c r="G760" i="60" s="1"/>
  <c r="I701" i="60"/>
  <c r="T36" i="78"/>
  <c r="S37" i="78"/>
  <c r="S96" i="78"/>
  <c r="I521" i="81"/>
  <c r="I589" i="81"/>
  <c r="S47" i="82"/>
  <c r="R48" i="82"/>
  <c r="R132" i="82"/>
  <c r="I661" i="80" l="1"/>
  <c r="I593" i="80"/>
  <c r="H701" i="66"/>
  <c r="H642" i="66"/>
  <c r="S48" i="82"/>
  <c r="S132" i="82"/>
  <c r="I773" i="60"/>
  <c r="G830" i="60"/>
  <c r="G831" i="60" s="1"/>
  <c r="I810" i="60"/>
  <c r="I742" i="60"/>
  <c r="I744" i="60" s="1"/>
  <c r="I758" i="60" s="1"/>
  <c r="I760" i="60" s="1"/>
  <c r="I661" i="81"/>
  <c r="I593" i="81"/>
  <c r="T37" i="78"/>
  <c r="T96" i="78"/>
  <c r="I881" i="60" l="1"/>
  <c r="I884" i="60" s="1"/>
  <c r="I886" i="60" s="1"/>
  <c r="I900" i="60" s="1"/>
  <c r="I902" i="60" s="1"/>
  <c r="I905" i="60" s="1"/>
  <c r="I813" i="60"/>
  <c r="I815" i="60" s="1"/>
  <c r="I829" i="60" s="1"/>
  <c r="I831" i="60" s="1"/>
  <c r="L835" i="60" s="1"/>
  <c r="I733" i="81"/>
  <c r="I665" i="81"/>
  <c r="H763" i="66"/>
  <c r="H765" i="66" s="1"/>
  <c r="H703" i="66"/>
  <c r="L834" i="60"/>
  <c r="G901" i="60"/>
  <c r="G902" i="60" s="1"/>
  <c r="L906" i="60" s="1"/>
  <c r="I665" i="80"/>
  <c r="I733" i="80"/>
  <c r="I805" i="81" l="1"/>
  <c r="I737" i="81"/>
  <c r="I737" i="80"/>
  <c r="I805" i="80"/>
  <c r="I877" i="80" l="1"/>
  <c r="I809" i="80"/>
  <c r="I877" i="81"/>
  <c r="I809" i="81"/>
  <c r="G14" i="81" l="1"/>
  <c r="G18" i="81" s="1"/>
  <c r="I881" i="81"/>
  <c r="G14" i="80"/>
  <c r="G18" i="80" s="1"/>
  <c r="I881" i="80"/>
  <c r="L207" i="58" l="1"/>
  <c r="E146" i="62" s="1"/>
  <c r="L209" i="58" l="1"/>
  <c r="L218" i="58"/>
  <c r="E220" i="62" s="1"/>
  <c r="E227" i="62" s="1"/>
  <c r="E229" i="62" s="1"/>
  <c r="I230" i="62" s="1"/>
  <c r="F51" i="57" l="1"/>
  <c r="F162" i="66" l="1"/>
  <c r="F80" i="68"/>
  <c r="Q78" i="68"/>
  <c r="F209" i="57"/>
  <c r="F274" i="57"/>
  <c r="R89" i="77" l="1"/>
  <c r="S89" i="77" s="1"/>
  <c r="R84" i="83"/>
  <c r="S82" i="79"/>
  <c r="T82" i="79" s="1"/>
  <c r="Q80" i="68"/>
  <c r="F32" i="57"/>
  <c r="M32" i="57" s="1"/>
  <c r="H162" i="66"/>
  <c r="F163" i="66"/>
  <c r="F39" i="66" l="1"/>
  <c r="F40" i="66" s="1"/>
  <c r="H163" i="66"/>
  <c r="H217" i="66"/>
  <c r="S84" i="79"/>
  <c r="R86" i="83"/>
  <c r="S84" i="83"/>
  <c r="S85" i="83" s="1"/>
  <c r="R85" i="83"/>
  <c r="S86" i="83" s="1"/>
  <c r="F211" i="66"/>
  <c r="S88" i="83" l="1"/>
  <c r="H273" i="66"/>
  <c r="H218" i="66"/>
  <c r="H334" i="66" l="1"/>
  <c r="H274" i="66"/>
  <c r="G97" i="67"/>
  <c r="G98" i="67" s="1"/>
  <c r="F207" i="66" l="1"/>
  <c r="G100" i="67"/>
  <c r="H395" i="66"/>
  <c r="H335" i="66"/>
  <c r="H457" i="66" l="1"/>
  <c r="H396" i="66"/>
  <c r="Q57" i="67" l="1"/>
  <c r="R86" i="82" s="1"/>
  <c r="S86" i="82" s="1"/>
  <c r="Q54" i="67"/>
  <c r="H520" i="66"/>
  <c r="O457" i="66"/>
  <c r="H458" i="66"/>
  <c r="O458" i="66" s="1"/>
  <c r="Q55" i="67"/>
  <c r="G53" i="67"/>
  <c r="G60" i="67" s="1"/>
  <c r="G67" i="67" s="1"/>
  <c r="F206" i="66" l="1"/>
  <c r="G69" i="67"/>
  <c r="G102" i="67"/>
  <c r="G104" i="67" s="1"/>
  <c r="R50" i="76"/>
  <c r="S50" i="78"/>
  <c r="R71" i="82"/>
  <c r="H581" i="66"/>
  <c r="H521" i="66"/>
  <c r="R55" i="76"/>
  <c r="S55" i="76" s="1"/>
  <c r="S55" i="78"/>
  <c r="T55" i="78" s="1"/>
  <c r="R76" i="82"/>
  <c r="S76" i="82" s="1"/>
  <c r="T50" i="78" l="1"/>
  <c r="H636" i="66"/>
  <c r="H582" i="66"/>
  <c r="S50" i="76"/>
  <c r="S71" i="82"/>
  <c r="F212" i="66"/>
  <c r="F156" i="66"/>
  <c r="F284" i="57" l="1"/>
  <c r="F95" i="66"/>
  <c r="H95" i="66" s="1"/>
  <c r="H156" i="66" s="1"/>
  <c r="Q101" i="67"/>
  <c r="F219" i="57"/>
  <c r="H697" i="66"/>
  <c r="H637" i="66"/>
  <c r="F42" i="57" l="1"/>
  <c r="R130" i="82"/>
  <c r="F33" i="66"/>
  <c r="H211" i="66"/>
  <c r="H267" i="66" s="1"/>
  <c r="H328" i="66" s="1"/>
  <c r="H389" i="66" s="1"/>
  <c r="H451" i="66" s="1"/>
  <c r="H759" i="66"/>
  <c r="H760" i="66" s="1"/>
  <c r="H698" i="66"/>
  <c r="F336" i="57"/>
  <c r="Q95" i="67"/>
  <c r="F97" i="67"/>
  <c r="F98" i="67" s="1"/>
  <c r="F100" i="67" l="1"/>
  <c r="F152" i="66"/>
  <c r="F334" i="57"/>
  <c r="F347" i="57" s="1"/>
  <c r="Q92" i="67"/>
  <c r="E97" i="67"/>
  <c r="R87" i="76"/>
  <c r="S87" i="76" s="1"/>
  <c r="S89" i="78"/>
  <c r="T89" i="78" s="1"/>
  <c r="R124" i="82"/>
  <c r="S124" i="82" s="1"/>
  <c r="O451" i="66"/>
  <c r="H514" i="66"/>
  <c r="H575" i="66" s="1"/>
  <c r="H630" i="66" s="1"/>
  <c r="H691" i="66" s="1"/>
  <c r="H753" i="66" s="1"/>
  <c r="S130" i="82"/>
  <c r="Q97" i="67" l="1"/>
  <c r="E98" i="67"/>
  <c r="F207" i="57"/>
  <c r="F272" i="57"/>
  <c r="S86" i="78"/>
  <c r="R121" i="82"/>
  <c r="R84" i="76"/>
  <c r="R126" i="82" l="1"/>
  <c r="R127" i="82" s="1"/>
  <c r="S121" i="82"/>
  <c r="S126" i="82" s="1"/>
  <c r="S127" i="82" s="1"/>
  <c r="G95" i="81"/>
  <c r="I95" i="81" s="1"/>
  <c r="I166" i="81" s="1"/>
  <c r="I238" i="81" s="1"/>
  <c r="I310" i="81" s="1"/>
  <c r="I382" i="81" s="1"/>
  <c r="I454" i="81" s="1"/>
  <c r="I526" i="81" s="1"/>
  <c r="I598" i="81" s="1"/>
  <c r="I670" i="81" s="1"/>
  <c r="I742" i="81" s="1"/>
  <c r="I814" i="81" s="1"/>
  <c r="I886" i="81" s="1"/>
  <c r="G23" i="81" s="1"/>
  <c r="F91" i="66"/>
  <c r="H91" i="66" s="1"/>
  <c r="H152" i="66" s="1"/>
  <c r="G95" i="80"/>
  <c r="I95" i="80" s="1"/>
  <c r="I166" i="80" s="1"/>
  <c r="I238" i="80" s="1"/>
  <c r="I310" i="80" s="1"/>
  <c r="I382" i="80" s="1"/>
  <c r="I454" i="80" s="1"/>
  <c r="I526" i="80" s="1"/>
  <c r="I598" i="80" s="1"/>
  <c r="I670" i="80" s="1"/>
  <c r="I742" i="80" s="1"/>
  <c r="I814" i="80" s="1"/>
  <c r="I886" i="80" s="1"/>
  <c r="G23" i="80" s="1"/>
  <c r="E100" i="67"/>
  <c r="Q98" i="67"/>
  <c r="Q100" i="67" s="1"/>
  <c r="T129" i="82" s="1"/>
  <c r="S84" i="76"/>
  <c r="S89" i="76" s="1"/>
  <c r="R89" i="76"/>
  <c r="R90" i="76" s="1"/>
  <c r="T126" i="82"/>
  <c r="F30" i="57"/>
  <c r="M30" i="57" s="1"/>
  <c r="T86" i="78"/>
  <c r="T91" i="78" s="1"/>
  <c r="T92" i="78" s="1"/>
  <c r="S91" i="78"/>
  <c r="S92" i="78" s="1"/>
  <c r="R92" i="76" l="1"/>
  <c r="S92" i="76" s="1"/>
  <c r="S90" i="76"/>
  <c r="F29" i="66"/>
  <c r="H207" i="66"/>
  <c r="H263" i="66" s="1"/>
  <c r="H324" i="66" s="1"/>
  <c r="H385" i="66" s="1"/>
  <c r="H447" i="66" s="1"/>
  <c r="S94" i="78"/>
  <c r="S129" i="82"/>
  <c r="T94" i="78"/>
  <c r="R129" i="82"/>
  <c r="H510" i="66" l="1"/>
  <c r="H571" i="66" s="1"/>
  <c r="H626" i="66" s="1"/>
  <c r="H687" i="66" s="1"/>
  <c r="H749" i="66" s="1"/>
  <c r="O447" i="66"/>
  <c r="F53" i="67"/>
  <c r="F60" i="67" s="1"/>
  <c r="F67" i="67" s="1"/>
  <c r="F69" i="67" l="1"/>
  <c r="F151" i="66"/>
  <c r="F102" i="67"/>
  <c r="F104" i="67" s="1"/>
  <c r="F157" i="66" l="1"/>
  <c r="F158" i="66" s="1"/>
  <c r="F164" i="66" s="1"/>
  <c r="F169" i="66" s="1"/>
  <c r="F171" i="66" s="1"/>
  <c r="F265" i="57" l="1"/>
  <c r="F266" i="57" s="1"/>
  <c r="F327" i="57"/>
  <c r="F328" i="57" s="1"/>
  <c r="F348" i="57" s="1"/>
  <c r="F356" i="57" s="1"/>
  <c r="F359" i="57" s="1"/>
  <c r="Q56" i="67"/>
  <c r="E53" i="67"/>
  <c r="F205" i="57" l="1"/>
  <c r="F220" i="57" s="1"/>
  <c r="F221" i="57" s="1"/>
  <c r="F229" i="57" s="1"/>
  <c r="F232" i="57" s="1"/>
  <c r="F270" i="57"/>
  <c r="F285" i="57" s="1"/>
  <c r="F286" i="57" s="1"/>
  <c r="F294" i="57" s="1"/>
  <c r="F297" i="57" s="1"/>
  <c r="Q53" i="67"/>
  <c r="F28" i="57" s="1"/>
  <c r="F16" i="65"/>
  <c r="E60" i="67"/>
  <c r="R81" i="82"/>
  <c r="S60" i="78"/>
  <c r="R60" i="76"/>
  <c r="H197" i="66"/>
  <c r="F201" i="66"/>
  <c r="F202" i="66" s="1"/>
  <c r="F213" i="66" s="1"/>
  <c r="F219" i="66" s="1"/>
  <c r="F224" i="66" s="1"/>
  <c r="F226" i="66" s="1"/>
  <c r="L18" i="58"/>
  <c r="E18" i="62" s="1"/>
  <c r="F23" i="57"/>
  <c r="F24" i="57" s="1"/>
  <c r="H253" i="66" l="1"/>
  <c r="H201" i="66"/>
  <c r="H202" i="66" s="1"/>
  <c r="S60" i="76"/>
  <c r="S61" i="76" s="1"/>
  <c r="S64" i="76" s="1"/>
  <c r="R61" i="76"/>
  <c r="R64" i="76" s="1"/>
  <c r="R71" i="76" s="1"/>
  <c r="Q60" i="67"/>
  <c r="T90" i="82" s="1"/>
  <c r="E67" i="67"/>
  <c r="F18" i="65"/>
  <c r="G16" i="65"/>
  <c r="G18" i="65" s="1"/>
  <c r="S81" i="82"/>
  <c r="S90" i="82" s="1"/>
  <c r="R90" i="82"/>
  <c r="T91" i="82" s="1"/>
  <c r="T60" i="78"/>
  <c r="T61" i="78" s="1"/>
  <c r="T64" i="78" s="1"/>
  <c r="T71" i="78" s="1"/>
  <c r="S61" i="78"/>
  <c r="S64" i="78" s="1"/>
  <c r="S71" i="78" s="1"/>
  <c r="M28" i="57"/>
  <c r="F43" i="57"/>
  <c r="F44" i="57" s="1"/>
  <c r="F52" i="57" s="1"/>
  <c r="F55" i="57" s="1"/>
  <c r="M17" i="57"/>
  <c r="O17" i="57" s="1"/>
  <c r="L99" i="58"/>
  <c r="E79" i="62" s="1"/>
  <c r="E90" i="62" s="1"/>
  <c r="E102" i="62" s="1"/>
  <c r="E104" i="62" s="1"/>
  <c r="T73" i="78" l="1"/>
  <c r="T95" i="78"/>
  <c r="T97" i="78" s="1"/>
  <c r="S73" i="78"/>
  <c r="S95" i="78"/>
  <c r="S97" i="78" s="1"/>
  <c r="R73" i="76"/>
  <c r="S71" i="76"/>
  <c r="S73" i="76" s="1"/>
  <c r="R93" i="76"/>
  <c r="F77" i="57"/>
  <c r="M21" i="57"/>
  <c r="O21" i="57" s="1"/>
  <c r="G94" i="81"/>
  <c r="E69" i="67"/>
  <c r="Q67" i="67"/>
  <c r="R97" i="82" s="1"/>
  <c r="G94" i="80"/>
  <c r="F90" i="66"/>
  <c r="E102" i="67"/>
  <c r="M44" i="57"/>
  <c r="M19" i="57"/>
  <c r="O19" i="57" s="1"/>
  <c r="Q83" i="68"/>
  <c r="H314" i="66"/>
  <c r="H257" i="66"/>
  <c r="H258" i="66" s="1"/>
  <c r="L182" i="58"/>
  <c r="E142" i="62" s="1"/>
  <c r="E153" i="62" s="1"/>
  <c r="E165" i="62" s="1"/>
  <c r="E167" i="62" s="1"/>
  <c r="E687" i="62" l="1"/>
  <c r="E691" i="62" s="1"/>
  <c r="E705" i="62" s="1"/>
  <c r="E717" i="62" s="1"/>
  <c r="E719" i="62" s="1"/>
  <c r="I720" i="62" s="1"/>
  <c r="S93" i="76"/>
  <c r="R95" i="76"/>
  <c r="S95" i="76" s="1"/>
  <c r="Q69" i="67"/>
  <c r="T99" i="82" s="1"/>
  <c r="H375" i="66"/>
  <c r="H318" i="66"/>
  <c r="H319" i="66" s="1"/>
  <c r="E104" i="67"/>
  <c r="Q102" i="67"/>
  <c r="Q104" i="67" s="1"/>
  <c r="I94" i="80"/>
  <c r="G101" i="80"/>
  <c r="G103" i="80" s="1"/>
  <c r="G116" i="80" s="1"/>
  <c r="G120" i="80" s="1"/>
  <c r="R99" i="82"/>
  <c r="S97" i="82"/>
  <c r="R131" i="82"/>
  <c r="R133" i="82" s="1"/>
  <c r="H90" i="66"/>
  <c r="F96" i="66"/>
  <c r="F97" i="66" s="1"/>
  <c r="F103" i="66" s="1"/>
  <c r="F108" i="66" s="1"/>
  <c r="F110" i="66" s="1"/>
  <c r="I94" i="81"/>
  <c r="G101" i="81"/>
  <c r="G103" i="81" s="1"/>
  <c r="G116" i="81" s="1"/>
  <c r="G120" i="81" s="1"/>
  <c r="H437" i="66" l="1"/>
  <c r="H379" i="66"/>
  <c r="H380" i="66" s="1"/>
  <c r="G189" i="80"/>
  <c r="G191" i="80" s="1"/>
  <c r="G261" i="80" s="1"/>
  <c r="G263" i="80" s="1"/>
  <c r="G333" i="80" s="1"/>
  <c r="G335" i="80" s="1"/>
  <c r="G405" i="80" s="1"/>
  <c r="G407" i="80" s="1"/>
  <c r="G477" i="80" s="1"/>
  <c r="G479" i="80" s="1"/>
  <c r="G549" i="80" s="1"/>
  <c r="G551" i="80" s="1"/>
  <c r="G621" i="80" s="1"/>
  <c r="G623" i="80" s="1"/>
  <c r="G693" i="80" s="1"/>
  <c r="G695" i="80" s="1"/>
  <c r="G765" i="80" s="1"/>
  <c r="G767" i="80" s="1"/>
  <c r="G837" i="80" s="1"/>
  <c r="G839" i="80" s="1"/>
  <c r="G909" i="80" s="1"/>
  <c r="G911" i="80" s="1"/>
  <c r="L122" i="80"/>
  <c r="I165" i="81"/>
  <c r="I101" i="81"/>
  <c r="I103" i="81" s="1"/>
  <c r="I116" i="81" s="1"/>
  <c r="I120" i="81" s="1"/>
  <c r="R134" i="82"/>
  <c r="S134" i="82" s="1"/>
  <c r="S98" i="78"/>
  <c r="Q82" i="68"/>
  <c r="I165" i="80"/>
  <c r="I101" i="80"/>
  <c r="I103" i="80" s="1"/>
  <c r="I116" i="80" s="1"/>
  <c r="I120" i="80" s="1"/>
  <c r="H96" i="66"/>
  <c r="H97" i="66" s="1"/>
  <c r="H103" i="66" s="1"/>
  <c r="H108" i="66" s="1"/>
  <c r="H110" i="66" s="1"/>
  <c r="H151" i="66"/>
  <c r="L963" i="58"/>
  <c r="A917" i="58" s="1" a="1"/>
  <c r="A917" i="58" s="1"/>
  <c r="G19" i="65"/>
  <c r="G27" i="65" s="1"/>
  <c r="L122" i="81"/>
  <c r="G189" i="81"/>
  <c r="G191" i="81" s="1"/>
  <c r="G261" i="81" s="1"/>
  <c r="G263" i="81" s="1"/>
  <c r="G333" i="81" s="1"/>
  <c r="G335" i="81" s="1"/>
  <c r="G405" i="81" s="1"/>
  <c r="G407" i="81" s="1"/>
  <c r="G477" i="81" s="1"/>
  <c r="G479" i="81" s="1"/>
  <c r="G549" i="81" s="1"/>
  <c r="G551" i="81" s="1"/>
  <c r="G621" i="81" s="1"/>
  <c r="G623" i="81" s="1"/>
  <c r="G693" i="81" s="1"/>
  <c r="G695" i="81" s="1"/>
  <c r="G765" i="81" s="1"/>
  <c r="G767" i="81" s="1"/>
  <c r="G837" i="81" s="1"/>
  <c r="G839" i="81" s="1"/>
  <c r="G909" i="81" s="1"/>
  <c r="G911" i="81" s="1"/>
  <c r="S99" i="82"/>
  <c r="S131" i="82"/>
  <c r="S133" i="82" s="1"/>
  <c r="T133" i="82" l="1"/>
  <c r="I237" i="80"/>
  <c r="I172" i="80"/>
  <c r="I174" i="80" s="1"/>
  <c r="I187" i="80" s="1"/>
  <c r="I191" i="80" s="1"/>
  <c r="I237" i="81"/>
  <c r="I172" i="81"/>
  <c r="I174" i="81" s="1"/>
  <c r="I187" i="81" s="1"/>
  <c r="I191" i="81" s="1"/>
  <c r="S135" i="82"/>
  <c r="F28" i="66"/>
  <c r="F34" i="66" s="1"/>
  <c r="F35" i="66" s="1"/>
  <c r="F41" i="66" s="1"/>
  <c r="F46" i="66" s="1"/>
  <c r="F49" i="66" s="1"/>
  <c r="H157" i="66"/>
  <c r="H158" i="66" s="1"/>
  <c r="H164" i="66" s="1"/>
  <c r="H169" i="66" s="1"/>
  <c r="H171" i="66" s="1"/>
  <c r="H206" i="66"/>
  <c r="H500" i="66"/>
  <c r="O437" i="66"/>
  <c r="H441" i="66"/>
  <c r="H442" i="66" l="1"/>
  <c r="O441" i="66"/>
  <c r="H561" i="66"/>
  <c r="H504" i="66"/>
  <c r="H505" i="66" s="1"/>
  <c r="H262" i="66"/>
  <c r="H212" i="66"/>
  <c r="H213" i="66" s="1"/>
  <c r="H219" i="66" s="1"/>
  <c r="H224" i="66" s="1"/>
  <c r="H226" i="66" s="1"/>
  <c r="I309" i="81"/>
  <c r="I244" i="81"/>
  <c r="I246" i="81" s="1"/>
  <c r="I259" i="81" s="1"/>
  <c r="I263" i="81" s="1"/>
  <c r="I309" i="80"/>
  <c r="I244" i="80"/>
  <c r="I246" i="80" s="1"/>
  <c r="I259" i="80" s="1"/>
  <c r="I263" i="80" s="1"/>
  <c r="I381" i="80" l="1"/>
  <c r="I316" i="80"/>
  <c r="I318" i="80" s="1"/>
  <c r="I331" i="80" s="1"/>
  <c r="I335" i="80" s="1"/>
  <c r="I381" i="81"/>
  <c r="I316" i="81"/>
  <c r="I318" i="81" s="1"/>
  <c r="I331" i="81" s="1"/>
  <c r="I335" i="81" s="1"/>
  <c r="H323" i="66"/>
  <c r="H268" i="66"/>
  <c r="H269" i="66" s="1"/>
  <c r="H275" i="66" s="1"/>
  <c r="H280" i="66" s="1"/>
  <c r="H282" i="66" s="1"/>
  <c r="H616" i="66"/>
  <c r="H565" i="66"/>
  <c r="H566" i="66" s="1"/>
  <c r="O442" i="66"/>
  <c r="H677" i="66" l="1"/>
  <c r="H620" i="66"/>
  <c r="H621" i="66" s="1"/>
  <c r="H384" i="66"/>
  <c r="H329" i="66"/>
  <c r="H330" i="66" s="1"/>
  <c r="H336" i="66" s="1"/>
  <c r="H341" i="66" s="1"/>
  <c r="H343" i="66" s="1"/>
  <c r="I453" i="81"/>
  <c r="I388" i="81"/>
  <c r="I390" i="81" s="1"/>
  <c r="I403" i="81" s="1"/>
  <c r="I407" i="81" s="1"/>
  <c r="I453" i="80"/>
  <c r="I388" i="80"/>
  <c r="I390" i="80" s="1"/>
  <c r="I403" i="80" s="1"/>
  <c r="I407" i="80" s="1"/>
  <c r="I525" i="80" l="1"/>
  <c r="I460" i="80"/>
  <c r="I462" i="80" s="1"/>
  <c r="I475" i="80" s="1"/>
  <c r="I479" i="80" s="1"/>
  <c r="I525" i="81"/>
  <c r="I460" i="81"/>
  <c r="I462" i="81" s="1"/>
  <c r="I475" i="81" s="1"/>
  <c r="I479" i="81" s="1"/>
  <c r="E257" i="62"/>
  <c r="E261" i="62" s="1"/>
  <c r="E275" i="62" s="1"/>
  <c r="E287" i="62" s="1"/>
  <c r="E289" i="62" s="1"/>
  <c r="H446" i="66"/>
  <c r="H390" i="66"/>
  <c r="H391" i="66" s="1"/>
  <c r="H397" i="66" s="1"/>
  <c r="H402" i="66" s="1"/>
  <c r="H404" i="66" s="1"/>
  <c r="H739" i="66"/>
  <c r="H743" i="66" s="1"/>
  <c r="H744" i="66" s="1"/>
  <c r="H681" i="66"/>
  <c r="H682" i="66" s="1"/>
  <c r="E318" i="62" l="1"/>
  <c r="E322" i="62" s="1"/>
  <c r="E336" i="62" s="1"/>
  <c r="E348" i="62" s="1"/>
  <c r="E350" i="62" s="1"/>
  <c r="I351" i="62" s="1"/>
  <c r="L464" i="58"/>
  <c r="A418" i="58" s="1" a="1"/>
  <c r="A418" i="58" s="1"/>
  <c r="L460" i="58"/>
  <c r="L377" i="58"/>
  <c r="L381" i="58"/>
  <c r="A335" i="58" s="1" a="1"/>
  <c r="A335" i="58" s="1"/>
  <c r="G407" i="60"/>
  <c r="L407" i="60" s="1"/>
  <c r="I292" i="62"/>
  <c r="H509" i="66"/>
  <c r="O446" i="66"/>
  <c r="H452" i="66"/>
  <c r="I597" i="81"/>
  <c r="I532" i="81"/>
  <c r="I534" i="81" s="1"/>
  <c r="I547" i="81" s="1"/>
  <c r="I551" i="81" s="1"/>
  <c r="I597" i="80"/>
  <c r="I532" i="80"/>
  <c r="I534" i="80" s="1"/>
  <c r="I547" i="80" s="1"/>
  <c r="I551" i="80" s="1"/>
  <c r="O452" i="66" l="1"/>
  <c r="H453" i="66"/>
  <c r="H570" i="66"/>
  <c r="H515" i="66"/>
  <c r="H516" i="66" s="1"/>
  <c r="H522" i="66" s="1"/>
  <c r="H527" i="66" s="1"/>
  <c r="H529" i="66" s="1"/>
  <c r="I669" i="81"/>
  <c r="I604" i="81"/>
  <c r="I606" i="81" s="1"/>
  <c r="I619" i="81" s="1"/>
  <c r="I623" i="81" s="1"/>
  <c r="I669" i="80"/>
  <c r="I604" i="80"/>
  <c r="I606" i="80" s="1"/>
  <c r="I619" i="80" s="1"/>
  <c r="I623" i="80" s="1"/>
  <c r="I741" i="80" l="1"/>
  <c r="I676" i="80"/>
  <c r="I678" i="80" s="1"/>
  <c r="I691" i="80" s="1"/>
  <c r="I695" i="80" s="1"/>
  <c r="E440" i="62"/>
  <c r="E444" i="62" s="1"/>
  <c r="E458" i="62" s="1"/>
  <c r="E470" i="62" s="1"/>
  <c r="E472" i="62" s="1"/>
  <c r="G619" i="60" s="1"/>
  <c r="L625" i="58"/>
  <c r="I741" i="81"/>
  <c r="I676" i="81"/>
  <c r="I678" i="81" s="1"/>
  <c r="I691" i="81" s="1"/>
  <c r="I695" i="81" s="1"/>
  <c r="H625" i="66"/>
  <c r="H576" i="66"/>
  <c r="H577" i="66" s="1"/>
  <c r="H583" i="66" s="1"/>
  <c r="H588" i="66" s="1"/>
  <c r="H590" i="66" s="1"/>
  <c r="O453" i="66"/>
  <c r="H459" i="66"/>
  <c r="H464" i="66" l="1"/>
  <c r="O459" i="66"/>
  <c r="I813" i="81"/>
  <c r="I748" i="81"/>
  <c r="I750" i="81" s="1"/>
  <c r="I763" i="81" s="1"/>
  <c r="I767" i="81" s="1"/>
  <c r="E505" i="62"/>
  <c r="E519" i="62" s="1"/>
  <c r="E531" i="62" s="1"/>
  <c r="E533" i="62" s="1"/>
  <c r="G690" i="60" s="1"/>
  <c r="L690" i="60" s="1"/>
  <c r="L626" i="58"/>
  <c r="H686" i="66"/>
  <c r="H631" i="66"/>
  <c r="H632" i="66" s="1"/>
  <c r="H638" i="66" s="1"/>
  <c r="H643" i="66" s="1"/>
  <c r="H645" i="66" s="1"/>
  <c r="I813" i="80"/>
  <c r="I748" i="80"/>
  <c r="I750" i="80" s="1"/>
  <c r="I763" i="80" s="1"/>
  <c r="I767" i="80" s="1"/>
  <c r="I885" i="80" l="1"/>
  <c r="I820" i="80"/>
  <c r="I822" i="80" s="1"/>
  <c r="I835" i="80" s="1"/>
  <c r="I839" i="80" s="1"/>
  <c r="H748" i="66"/>
  <c r="H754" i="66" s="1"/>
  <c r="H755" i="66" s="1"/>
  <c r="H761" i="66" s="1"/>
  <c r="H766" i="66" s="1"/>
  <c r="H768" i="66" s="1"/>
  <c r="M55" i="57" s="1"/>
  <c r="M57" i="57" s="1"/>
  <c r="H692" i="66"/>
  <c r="H693" i="66" s="1"/>
  <c r="H699" i="66" s="1"/>
  <c r="H704" i="66" s="1"/>
  <c r="H706" i="66" s="1"/>
  <c r="I885" i="81"/>
  <c r="I820" i="81"/>
  <c r="I822" i="81" s="1"/>
  <c r="I835" i="81" s="1"/>
  <c r="I839" i="81" s="1"/>
  <c r="L629" i="58"/>
  <c r="A583" i="58" s="1" a="1"/>
  <c r="A583" i="58" s="1"/>
  <c r="L635" i="58"/>
  <c r="L709" i="58"/>
  <c r="L793" i="58"/>
  <c r="E563" i="62"/>
  <c r="E567" i="62" s="1"/>
  <c r="E581" i="62" s="1"/>
  <c r="E593" i="62" s="1"/>
  <c r="E595" i="62" s="1"/>
  <c r="I599" i="62" s="1"/>
  <c r="O464" i="66"/>
  <c r="H466" i="66"/>
  <c r="A667" i="58" l="1" a="1"/>
  <c r="A667" i="58" s="1"/>
  <c r="G22" i="81"/>
  <c r="G29" i="81" s="1"/>
  <c r="G31" i="81" s="1"/>
  <c r="G44" i="81" s="1"/>
  <c r="G48" i="81" s="1"/>
  <c r="I892" i="81"/>
  <c r="I894" i="81" s="1"/>
  <c r="I907" i="81" s="1"/>
  <c r="I911" i="81" s="1"/>
  <c r="E625" i="62"/>
  <c r="E629" i="62" s="1"/>
  <c r="E643" i="62" s="1"/>
  <c r="E655" i="62" s="1"/>
  <c r="E657" i="62" s="1"/>
  <c r="L874" i="58"/>
  <c r="L795" i="58"/>
  <c r="A751" i="58" s="1" a="1"/>
  <c r="A751" i="58" s="1"/>
  <c r="L794" i="58"/>
  <c r="L799" i="58"/>
  <c r="O466" i="66"/>
  <c r="L710" i="58"/>
  <c r="L712" i="58"/>
  <c r="G22" i="80"/>
  <c r="G29" i="80" s="1"/>
  <c r="G31" i="80" s="1"/>
  <c r="G44" i="80" s="1"/>
  <c r="G48" i="80" s="1"/>
  <c r="I892" i="80"/>
  <c r="I894" i="80" s="1"/>
  <c r="I907" i="80" s="1"/>
  <c r="I911" i="80" s="1"/>
  <c r="L540" i="58" l="1"/>
  <c r="E379" i="62"/>
  <c r="E383" i="62" s="1"/>
  <c r="E397" i="62" s="1"/>
  <c r="E409" i="62" s="1"/>
  <c r="E411" i="62" s="1"/>
  <c r="I548" i="60" s="1"/>
  <c r="L548" i="60" s="1"/>
  <c r="L879" i="58"/>
  <c r="A832" i="58" s="1" a="1"/>
  <c r="A832" i="58" s="1"/>
  <c r="L875" i="58"/>
  <c r="H45" i="58" l="1"/>
  <c r="L41" i="58"/>
  <c r="E21" i="62" s="1"/>
  <c r="E29" i="62" s="1"/>
  <c r="E41" i="62" s="1"/>
  <c r="E43" i="62" s="1"/>
  <c r="L12" i="58"/>
  <c r="G50" i="81"/>
  <c r="E44" i="62"/>
  <c r="G122" i="60" s="1"/>
  <c r="L121" i="60" s="1"/>
  <c r="G50" i="80"/>
  <c r="H20" i="58"/>
  <c r="H35" i="58" s="1"/>
  <c r="L541" i="58"/>
  <c r="L551" i="58" l="1"/>
  <c r="L544" i="58"/>
  <c r="A498" i="58" s="1" a="1"/>
  <c r="A498" i="58" s="1"/>
  <c r="L35" i="58"/>
  <c r="H54" i="58"/>
  <c r="L45" i="58"/>
  <c r="G193" i="60" l="1"/>
  <c r="L193" i="60" s="1"/>
  <c r="E105" i="62"/>
  <c r="I107" i="62" s="1"/>
  <c r="L93" i="58"/>
  <c r="E168" i="62" l="1"/>
  <c r="I167" i="62" s="1"/>
  <c r="L222" i="58"/>
  <c r="I265" i="60"/>
  <c r="L176" i="58"/>
  <c r="A171" i="58" s="1" a="1"/>
  <c r="A171" i="58" s="1"/>
  <c r="G265" i="60"/>
  <c r="L265" i="60" s="1"/>
  <c r="L101" i="58"/>
  <c r="A88" i="58" l="1" a="1"/>
  <c r="A88" i="58" s="1"/>
  <c r="L116" i="58"/>
  <c r="L139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M27" authorId="0" shapeId="0" xr:uid="{19B8F2B9-2938-4CD6-972A-8B2F157288F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Pengecatan Bangunan &amp; Pipa Intake T.Paring</t>
        </r>
      </text>
    </comment>
    <comment ref="E31" authorId="0" shapeId="0" xr:uid="{407CD4CE-104F-44FD-81E8-C33CE5E3E08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Penggulungan Pompa Intake</t>
        </r>
      </text>
    </comment>
    <comment ref="E47" authorId="0" shapeId="0" xr:uid="{9173BB95-C79D-4339-9B34-D918803B8EF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Tawas Harga Lama 8000
proyeksi kenaikan 1500</t>
        </r>
      </text>
    </comment>
    <comment ref="E48" authorId="0" shapeId="0" xr:uid="{DBDEEE14-671C-4500-AB68-19BBA12C3DF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2" authorId="0" shapeId="0" xr:uid="{6DE9703F-B5A9-4215-8620-C65ACB1244A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Harga Lama Soda Ash 17.800 Rencana kenaikan 1.200</t>
        </r>
      </text>
    </comment>
    <comment ref="E57" authorId="0" shapeId="0" xr:uid="{5FA2F9AD-82BD-488E-B9AA-98D8D22F091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Kaporit Harga Lama 59,500 Rencana Kenaikan 1,500</t>
        </r>
      </text>
    </comment>
    <comment ref="E62" authorId="0" shapeId="0" xr:uid="{94535F71-E704-415F-B973-57745164FCF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+Tanah Kaolin bulan 1 dan bulan 7</t>
        </r>
      </text>
    </comment>
    <comment ref="E63" authorId="0" shapeId="0" xr:uid="{E420CA3C-ADC5-4F6E-9B04-F14656E94BF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700 rb utk ongos angkut Bahan Kimia dari gudang ke bagian Produksi + Pemeliharaan lain tak terduga
</t>
        </r>
      </text>
    </comment>
    <comment ref="F63" authorId="0" shapeId="0" xr:uid="{11C0B445-DF09-4D59-995C-9FAE192F74F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Bulan 3,7,12 Uji Kualitas Air
Bulan 2,5,8,11 Pengiriman Bahan Kimia ke IKK PH</t>
        </r>
      </text>
    </comment>
    <comment ref="J67" authorId="0" shapeId="0" xr:uid="{19D5C011-99C8-49D0-91A8-97BEBB003B8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Pengecatan IPA Pusat</t>
        </r>
      </text>
    </comment>
    <comment ref="K67" authorId="0" shapeId="0" xr:uid="{16610E4D-7934-434B-B134-7025547F297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Pengecatan IPA PH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  <author>User</author>
  </authors>
  <commentList>
    <comment ref="F19" authorId="0" shapeId="0" xr:uid="{BA392363-CADD-49EB-9436-B74762612B4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7"/>
            <color indexed="81"/>
            <rFont val="Tahoma"/>
            <family val="2"/>
          </rPr>
          <t>HONOR PENGADAAN + LAP KEU</t>
        </r>
      </text>
    </comment>
    <comment ref="H19" authorId="0" shapeId="0" xr:uid="{2BB759BA-5315-4CDF-9642-DF154CDA0B5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EVKIN</t>
        </r>
      </text>
    </comment>
    <comment ref="P19" authorId="0" shapeId="0" xr:uid="{C29716D7-60F0-4B36-97E3-3D13D353616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7"/>
            <color indexed="81"/>
            <rFont val="Tahoma"/>
            <family val="2"/>
          </rPr>
          <t>HONOR RKAP</t>
        </r>
      </text>
    </comment>
    <comment ref="E32" authorId="0" shapeId="0" xr:uid="{D5721FCC-A7EC-4D88-AE52-6AB96048D14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tinta printer
</t>
        </r>
      </text>
    </comment>
    <comment ref="E34" authorId="0" shapeId="0" xr:uid="{8ADBAB3D-A562-4C3A-862B-5B568CE6874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Rapat dewas per triwulan</t>
        </r>
      </text>
    </comment>
    <comment ref="G34" authorId="0" shapeId="0" xr:uid="{2ABCB58B-7BBC-4A08-A92D-C1C4289DFF2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Penyiapan Dana Prolegda Perbup karena Perbuahan PERDA</t>
        </r>
      </text>
    </comment>
    <comment ref="E52" authorId="0" shapeId="0" xr:uid="{F3945C20-B15B-45E4-964E-FB5ACD6474D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BBM Dirut
STNK KH8088 (Hanau)
Pemeliharaan Kendaraan
STNK 4 unit Motor</t>
        </r>
      </text>
    </comment>
    <comment ref="G52" authorId="0" shapeId="0" xr:uid="{C5FD94AE-4B47-4A86-B4F5-B5E6704B28D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BBM
Pemeliharaan
STNK KH1407 &amp; Pick Up 
Ktr
STNK Motor 7 Unit</t>
        </r>
      </text>
    </comment>
    <comment ref="K52" authorId="0" shapeId="0" xr:uid="{C0965FD2-CD7B-4FF4-B6D0-2773EAC9F65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+STNK 1 unit motor</t>
        </r>
      </text>
    </comment>
    <comment ref="N52" authorId="0" shapeId="0" xr:uid="{0C39F2B9-D7D1-40FC-A9EB-6FE08732654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8"/>
            <color indexed="81"/>
            <rFont val="Tahoma"/>
            <family val="2"/>
          </rPr>
          <t xml:space="preserve">
STNK Motor 12 unit</t>
        </r>
      </text>
    </comment>
    <comment ref="J53" authorId="0" shapeId="0" xr:uid="{93D53EA7-4F2B-42BE-AA0C-9A53AED8A17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Pengecatan Kantor-Pusat &amp; IKK P. Hulu</t>
        </r>
      </text>
    </comment>
    <comment ref="N53" authorId="1" shapeId="0" xr:uid="{6EAEABBC-EEB9-4028-8DEC-A11FAE0D70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Rehap Dapur</t>
        </r>
      </text>
    </comment>
    <comment ref="E79" authorId="0" shapeId="0" xr:uid="{85CAAEDC-EFCB-456D-AD3C-A4AA9026782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Dana Pengecekan Urine Pegawai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<sst xmlns="http://schemas.openxmlformats.org/spreadsheetml/2006/main" count="6305" uniqueCount="1094">
  <si>
    <t>(Dalam Rupiah)</t>
  </si>
  <si>
    <t>PENDAPATAN USAHA</t>
  </si>
  <si>
    <t>Pendapatan Penjualan Air</t>
  </si>
  <si>
    <t>Pendapatan Non Air</t>
  </si>
  <si>
    <t>Jumlah Pendapatan Usaha</t>
  </si>
  <si>
    <t>Pendapatan Lain-lain</t>
  </si>
  <si>
    <t>Kas dan Bank</t>
  </si>
  <si>
    <t>Piutang Usaha</t>
  </si>
  <si>
    <t>Piutang Usaha Bersih</t>
  </si>
  <si>
    <t>Persediaan</t>
  </si>
  <si>
    <t>Akumulasi Penyusutan</t>
  </si>
  <si>
    <t>Modal Hibah</t>
  </si>
  <si>
    <t>JUMLAH</t>
  </si>
  <si>
    <t>Catatan</t>
  </si>
  <si>
    <t>PDAM KABUPATEN SERUYAN</t>
  </si>
  <si>
    <t>Uraian</t>
  </si>
  <si>
    <t>●</t>
  </si>
  <si>
    <t>Arus Kas dari Aktivitas Operasi</t>
  </si>
  <si>
    <t>Arus Kas Bersih dari Aktivitas Operasi</t>
  </si>
  <si>
    <t>Arus Kas dari Aktivitas Investasi</t>
  </si>
  <si>
    <t>Arus Kas dari Aktivitas Pendanaan</t>
  </si>
  <si>
    <t>Arus Kas Bersih dari Aktivitas Pendanaan</t>
  </si>
  <si>
    <t>(Rp.)</t>
  </si>
  <si>
    <t>AKTIVA</t>
  </si>
  <si>
    <t xml:space="preserve">        Nilai Buku</t>
  </si>
  <si>
    <t>TOTAL AKTIVA</t>
  </si>
  <si>
    <t>KEWAJIBAN</t>
  </si>
  <si>
    <t>MODAL</t>
  </si>
  <si>
    <t>Laba Ditahan(Akumulasi Kerugian)</t>
  </si>
  <si>
    <t>Laba (Rugi) Tahun Berjalan</t>
  </si>
  <si>
    <t>URAIAN</t>
  </si>
  <si>
    <t>1.</t>
  </si>
  <si>
    <t>NERACA KOMPARATIF</t>
  </si>
  <si>
    <t>Laba (Rugi) Bersih Setelah Pajak</t>
  </si>
  <si>
    <t>PEMERINTAH KABUPATEN SERUYAN</t>
  </si>
  <si>
    <t>PERUSAHAAN DAERAH AIR MINUM</t>
  </si>
  <si>
    <t>Jl. Soekarno Hatta Kuala Pembuang  Telp. (0538) 2706777</t>
  </si>
  <si>
    <t>BULAN INI</t>
  </si>
  <si>
    <t>NAMA PERKIRAAN</t>
  </si>
  <si>
    <t>JUMLAH S/D BULAN INI</t>
  </si>
  <si>
    <t>Rp.</t>
  </si>
  <si>
    <t>LAPORAN PERPUTARAN UANG</t>
  </si>
  <si>
    <t>I. PENERIMAAN OPERASIONAL</t>
  </si>
  <si>
    <t>A. PENERIMAAN</t>
  </si>
  <si>
    <t>a. Penerimaan Tagihan Rek. Air</t>
  </si>
  <si>
    <t>- Penerimaan Meter Air Rusak</t>
  </si>
  <si>
    <t>- Penerimaan Sambungan Baru</t>
  </si>
  <si>
    <t>- Penerimaan Pendaftaran</t>
  </si>
  <si>
    <t>- Penerimaan Penyambunagn Kembali</t>
  </si>
  <si>
    <t>- Penerimaan Denda</t>
  </si>
  <si>
    <t>- Penerimaan Non Air Lain (Balik Nama)</t>
  </si>
  <si>
    <t>Jumlah Penerimaan Rekening Air</t>
  </si>
  <si>
    <t>Jumlah Penerimaan Non Air</t>
  </si>
  <si>
    <t>II. PENERIMAAN NON OPERASIONAL</t>
  </si>
  <si>
    <t>a. Jasa Giro &amp; Lain-lain</t>
  </si>
  <si>
    <t>JUMLAH PENERIMAAN</t>
  </si>
  <si>
    <t>B. PENGELUARAN</t>
  </si>
  <si>
    <t>I. PENGELUARAN OPERASIONAL</t>
  </si>
  <si>
    <t>a. Pengeluaran Pembelian Bahan</t>
  </si>
  <si>
    <t>b. Pengeluaran Tenaga Kerja</t>
  </si>
  <si>
    <t>c. Pengeluaran Operasi Lainnya</t>
  </si>
  <si>
    <t>II. PENGELUARAN NON OPERASIONAL</t>
  </si>
  <si>
    <t>c. Pengeluaran Non Air Lainnya</t>
  </si>
  <si>
    <t>Jumlah pengeluaran Operasional</t>
  </si>
  <si>
    <t>Jumlah Pengeluaran Non Operasional</t>
  </si>
  <si>
    <t>Jumlah Penerimaan Non Operasional</t>
  </si>
  <si>
    <t>Jumlah Penerimaan Operasional</t>
  </si>
  <si>
    <t>JUMLAH PENGELUARAN</t>
  </si>
  <si>
    <t>C. KENAIKAN (PENURUNAN) KAS</t>
  </si>
  <si>
    <t>D. SALDO KAS AWAL</t>
  </si>
  <si>
    <t>E. SALDO KAS AKHIR</t>
  </si>
  <si>
    <t>a. Pembayaran Utang Usaha</t>
  </si>
  <si>
    <t>TAHUN 2011</t>
  </si>
  <si>
    <t>BIAYA USAHA</t>
  </si>
  <si>
    <t>Beban Pegawai</t>
  </si>
  <si>
    <t>Beban Kantor</t>
  </si>
  <si>
    <t>Beban BBM</t>
  </si>
  <si>
    <t>Beban Listrik</t>
  </si>
  <si>
    <t>Beban Operasi Pengolahan Air</t>
  </si>
  <si>
    <t>Beban Pemakaian Bahan pembantu</t>
  </si>
  <si>
    <t>Beban Pemeliharan</t>
  </si>
  <si>
    <t>Beban Promosi</t>
  </si>
  <si>
    <t>Beban Operasional Lainnya</t>
  </si>
  <si>
    <t>Laba(Rugi) Sebelum Pajak</t>
  </si>
  <si>
    <t>Akum.Peny. Kerugian Piutang Usaha</t>
  </si>
  <si>
    <t>Piutang Non Air</t>
  </si>
  <si>
    <t>Kas dan Setara Kas Akhir Periode</t>
  </si>
  <si>
    <t>Kas dan Setara Kas Awal Periode</t>
  </si>
  <si>
    <t>Kenaikan (Penurunan) Bersih Kas dan Setara Kas</t>
  </si>
  <si>
    <t>Arus Kas Bersih yang Digunakan untuk Aktivitas Investasi</t>
  </si>
  <si>
    <t>Pengurangan (Penambahan) Bahan Instalasi</t>
  </si>
  <si>
    <t>Pengurangan (Penambahan) Aktiva Tetap</t>
  </si>
  <si>
    <t>Kenaikan (Penurunan) Kewajiban Lainnya</t>
  </si>
  <si>
    <t>Kenaikan (Penurunan) Hutang Jangka Panjang</t>
  </si>
  <si>
    <t>Kenaikan (Penurunan) Hutang Jangka Pendek Jatuh Tempo</t>
  </si>
  <si>
    <t>Kenaikan (Penurunan) Hutang Retribusi</t>
  </si>
  <si>
    <t>Kenaikan (Penurunan) Hutang Pajak</t>
  </si>
  <si>
    <t>Kenaikan (Penurunan) Hutang Usaha</t>
  </si>
  <si>
    <t>Penurunan (Kenaikan) Pembayaran Di Muka</t>
  </si>
  <si>
    <t xml:space="preserve">Penurunan (Kenaikan) Persediaan </t>
  </si>
  <si>
    <t>Penurunan (Kenaikan) Piutang Non Usaha</t>
  </si>
  <si>
    <t>Penurunan (Kenaikan) Piutang Usaha</t>
  </si>
  <si>
    <t>Laba (Rugi) Operasi Sebelum Perubahan Modal Kerja</t>
  </si>
  <si>
    <t>Laba di tahan</t>
  </si>
  <si>
    <t>Beban Penyusutan dan Amortisasi</t>
  </si>
  <si>
    <t>Penyesuaian untuk :</t>
  </si>
  <si>
    <t>Laba Rugi Bersih</t>
  </si>
  <si>
    <t>Laporan Arus Kas</t>
  </si>
  <si>
    <t>b. Penyertaan Modal</t>
  </si>
  <si>
    <t>- Penerimaan Non Air Lain (Balik Nama+ Mobil Tangki)</t>
  </si>
  <si>
    <t>Beban Bank</t>
  </si>
  <si>
    <t>PERUSAHAAN DAERAH AIR MINUM (PDAM)</t>
  </si>
  <si>
    <t>KABUPATEN SERUYAN</t>
  </si>
  <si>
    <t>AKTIVA LANCAR</t>
  </si>
  <si>
    <t>KAS DAN BANK</t>
  </si>
  <si>
    <t>Kas</t>
  </si>
  <si>
    <t>Bank</t>
  </si>
  <si>
    <t>INVESTASI JANGKA PENDEK</t>
  </si>
  <si>
    <t>Deposito</t>
  </si>
  <si>
    <t>Surat Berharga</t>
  </si>
  <si>
    <t>PIUTANG USAHA</t>
  </si>
  <si>
    <t>Piutang Rek Air</t>
  </si>
  <si>
    <t>Piutang Rekening Non Air</t>
  </si>
  <si>
    <t>PENYISIHAN PIUTANG USAHA</t>
  </si>
  <si>
    <t>PIUTANG NON USAHA</t>
  </si>
  <si>
    <t>Pinjaman Pegawai</t>
  </si>
  <si>
    <t>PERSEDIAAN</t>
  </si>
  <si>
    <t>Persediaan Bahan Kimia</t>
  </si>
  <si>
    <t>Persediaan BBM</t>
  </si>
  <si>
    <t>Persediaan Instalasi SR</t>
  </si>
  <si>
    <t>PEMBAYARAN DIMUKA</t>
  </si>
  <si>
    <t>Biaya di bayar dimuka</t>
  </si>
  <si>
    <t>INVESTASI JANGKA PANJANG</t>
  </si>
  <si>
    <t>Deposito Berjangka Lebih dari 1 tahun</t>
  </si>
  <si>
    <t>Penyertaan</t>
  </si>
  <si>
    <t>Penanaman dalam aktiva tak berwujud</t>
  </si>
  <si>
    <t>Investasi Jangka Panjang Lainnya</t>
  </si>
  <si>
    <t>AKTIVA TETAP</t>
  </si>
  <si>
    <t>AKTIVA TETAP PRODUKTIF</t>
  </si>
  <si>
    <t>Tanah dan Penyempurnaan Tanah</t>
  </si>
  <si>
    <t>Instalasi Sumber Iar</t>
  </si>
  <si>
    <t>Instalasi Pompa</t>
  </si>
  <si>
    <t>Instalasi Pengolahan Air</t>
  </si>
  <si>
    <t>Instalasi Tranmisi &amp; distribusi</t>
  </si>
  <si>
    <t>Bangunan/Gedung</t>
  </si>
  <si>
    <t>Peralatan &amp; Perlengkapan</t>
  </si>
  <si>
    <t>Kendaraan/Alat Pengangkutan</t>
  </si>
  <si>
    <t>Inventaris Perabot Kantor</t>
  </si>
  <si>
    <t>AKUMULASI PENYUSUTAN</t>
  </si>
  <si>
    <t>Akumulasi Penyusutan Inst. Sumber Air</t>
  </si>
  <si>
    <t>Akumulasi Penyusutan Inst. Pompa</t>
  </si>
  <si>
    <t>Akumulasi Penyusutan Ins. Pengolahan Air</t>
  </si>
  <si>
    <t>Akumulasi Penyusutan Inst. Trandist</t>
  </si>
  <si>
    <t>Akumulasi Penyusutan Bangunan/Gedung</t>
  </si>
  <si>
    <t>Akum. Peny. Peralatan &amp; Perlengkapan</t>
  </si>
  <si>
    <t>Akum. Peny. Kendaraan/Alat Pengangkutan</t>
  </si>
  <si>
    <t>Akumulasi Penyusutan Inv. / Perabot Kantor</t>
  </si>
  <si>
    <t>AKTIVA TETAP LEASING</t>
  </si>
  <si>
    <t>AKTIVA LAIN-LAIN</t>
  </si>
  <si>
    <t>AKTIVA LAIN-LAIN BERWUJUD</t>
  </si>
  <si>
    <t>Aktiva Tetap Dalam Penyelesaian</t>
  </si>
  <si>
    <t>Bahan Instalasi</t>
  </si>
  <si>
    <t>Uang Jaminan</t>
  </si>
  <si>
    <t>Pengeluaran Sementara</t>
  </si>
  <si>
    <t>Aktiva Tetap Yg Tidak Berfungsi</t>
  </si>
  <si>
    <t>Dana Pemby. Utang Jangka Panjang</t>
  </si>
  <si>
    <t>Sambungan Baru Yang akan diterima</t>
  </si>
  <si>
    <t>Pemby. Dimuka pembagian laba kpd Pemda</t>
  </si>
  <si>
    <t>AKTIVA TAK BERWUJUD</t>
  </si>
  <si>
    <t>Aktiva Tetap dalam penyelesaian</t>
  </si>
  <si>
    <t>Aktiva Tetap yang Tidak Berfungsi</t>
  </si>
  <si>
    <t>Dana Pemby. Hutang Jangka Panjang</t>
  </si>
  <si>
    <t>Sambungan baru yg akan diterima</t>
  </si>
  <si>
    <t>BEBAN DITANGGUHKAN</t>
  </si>
  <si>
    <t>AKUM. AMORTISASI BEBAN DITANGGUHKAN</t>
  </si>
  <si>
    <t>TRADE MARK</t>
  </si>
  <si>
    <t>AKUM. AMORTISASI TRADE MARK</t>
  </si>
  <si>
    <t>GOODWILL</t>
  </si>
  <si>
    <t>AKUM. AMORTISASI GOODWILL</t>
  </si>
  <si>
    <t>KEWAJIBAN &amp; MODAL</t>
  </si>
  <si>
    <t>KEWAJIBAN JANGKA PENDEK</t>
  </si>
  <si>
    <t>UTANG USAHA</t>
  </si>
  <si>
    <t>UTANG NON USAHA</t>
  </si>
  <si>
    <t>BIAYA YG MASIH HARUS DIBAYAR</t>
  </si>
  <si>
    <t>PENDAPATAN DITERIMA DIMUKA</t>
  </si>
  <si>
    <t>PINJAMAN JANGKA PENDEK</t>
  </si>
  <si>
    <t>Pinjaman/Kredit Bank Jangka Pendek</t>
  </si>
  <si>
    <t>Pinjaman Jangka Pendek Lainnya</t>
  </si>
  <si>
    <t>UTANG PAJAK</t>
  </si>
  <si>
    <t>KEWAJIBAN JANGKA PANJANG JATUH TEMPO</t>
  </si>
  <si>
    <t>UTANG BUNGA</t>
  </si>
  <si>
    <t>UTANG IURAN PENSIUN</t>
  </si>
  <si>
    <t>KEWAJIBAN JANGKA PENDEK LAINNYA</t>
  </si>
  <si>
    <t>KEWAJIBAN JANGKA PANJANG</t>
  </si>
  <si>
    <t>PINJAMAN DALAM NEGERI</t>
  </si>
  <si>
    <t>Pinjaman Pemerintah Pusat</t>
  </si>
  <si>
    <t>Bunga Pinjaman yg belum jatuh tempo</t>
  </si>
  <si>
    <t>Pinjaman dengan Pembiayaan Pendahuluan</t>
  </si>
  <si>
    <t>PINJAMAN LUAR NEGERI</t>
  </si>
  <si>
    <t>BUNGA MASA TENGGANG</t>
  </si>
  <si>
    <t>Bunga Masa Tenggang-Pinjaman Dalam Negeri</t>
  </si>
  <si>
    <t>Bunga Masa Tenggang-Pinjaman Luar Negeri</t>
  </si>
  <si>
    <t>UTANG LEASING</t>
  </si>
  <si>
    <t>KEWAJIBAN LAIN-LAIN</t>
  </si>
  <si>
    <t>PENDAPATAN YANG DITANGGUHKAN</t>
  </si>
  <si>
    <t>SAMBUNGAN BARU YANG AKAN DITAGIIH</t>
  </si>
  <si>
    <t>TOTAL KEWAJIBAN</t>
  </si>
  <si>
    <t>MODAL DAN CADANGAN</t>
  </si>
  <si>
    <t>KEKAYAAN PEMDA YG DIPISAHKAN</t>
  </si>
  <si>
    <t>Kekayaan Asal Anggaran Belanja Daerah</t>
  </si>
  <si>
    <t>Kekayaan Asal Dana Pembangunan Daerah</t>
  </si>
  <si>
    <t>PENYERTAAN PEMERINTAH PUSAT</t>
  </si>
  <si>
    <t>Penyertaan Yg Telah Ditetapkan Statusnya</t>
  </si>
  <si>
    <t>Penyertaan Yg Belum Ditetapkan Statusnya</t>
  </si>
  <si>
    <t>PENYERTAAN PEMERINTAH DAERAH</t>
  </si>
  <si>
    <t>Kekayaan Pemda Yg Dipisahkan</t>
  </si>
  <si>
    <t>MODAL HIBAH</t>
  </si>
  <si>
    <t>SELISIH PENILAIAN KEMBALI AKTIVA TETAP</t>
  </si>
  <si>
    <t>CADANGAN</t>
  </si>
  <si>
    <t>CADANGAN UMUM</t>
  </si>
  <si>
    <t>CADANGAN TUJUAN</t>
  </si>
  <si>
    <t>LABA DITAHAN/(AKUMULASI KERUGIAN)</t>
  </si>
  <si>
    <t>LABA(RUGI) RERIODE BERJALAN</t>
  </si>
  <si>
    <t>TOTAL MODAL DAN CADANGAN</t>
  </si>
  <si>
    <t>TOTAL KEWAJIBAN DAN MODAL</t>
  </si>
  <si>
    <t>PERUSAHAAN DAERAH AIR MINUM (PDAM) KABUPATEN SERUYAN</t>
  </si>
  <si>
    <t>LAPORAN LABA RUGI KOMPARATIF</t>
  </si>
  <si>
    <t>PENDAPATAN</t>
  </si>
  <si>
    <t>Penjualan Rekening Air</t>
  </si>
  <si>
    <t>Pendapatan Sambungan Baru</t>
  </si>
  <si>
    <t>Pendapatan Denda</t>
  </si>
  <si>
    <t>Pendapatan Administrasi</t>
  </si>
  <si>
    <t>Pendapatan Penyambungan Kembali</t>
  </si>
  <si>
    <t>Pendapatan Balik Nama</t>
  </si>
  <si>
    <t>Pendapatan Jasa Giro</t>
  </si>
  <si>
    <t xml:space="preserve">Gaji dan Tunjangan </t>
  </si>
  <si>
    <t>Beban Pegawai Linnya</t>
  </si>
  <si>
    <t>Beban Listrik Kantor</t>
  </si>
  <si>
    <t>Beban Listrik Ins Pengolahan Air</t>
  </si>
  <si>
    <t>Tawas</t>
  </si>
  <si>
    <t>Kaporit</t>
  </si>
  <si>
    <t>Soda Ash</t>
  </si>
  <si>
    <t>Beban Pemakaian Bahan Pembantu</t>
  </si>
  <si>
    <t>Oli</t>
  </si>
  <si>
    <t>Perlengkapan Komputer</t>
  </si>
  <si>
    <t>Beban ATK &amp; Barang Cetakan</t>
  </si>
  <si>
    <t>Beban Pemeliharaan</t>
  </si>
  <si>
    <t>Biaya Pemeliharaan Sumber Air</t>
  </si>
  <si>
    <t>Biaya Pemeliharaan Pengolahan</t>
  </si>
  <si>
    <t>Biaya Pemeliharaan Tran &amp; Dist</t>
  </si>
  <si>
    <t>Biaya Pemeliharaan Hublang</t>
  </si>
  <si>
    <t>Beban Penyisihan/Penyusutan</t>
  </si>
  <si>
    <t>Beban Penyusutan Sumber Air</t>
  </si>
  <si>
    <t>Beban Penyusutan Pompa</t>
  </si>
  <si>
    <t>Beban Penyusutan Ins. Pengolahan Air</t>
  </si>
  <si>
    <t>Beban Penyusutan Tanmisi &amp; Distribusi</t>
  </si>
  <si>
    <t>Beban Penyusutan Non Pabrik Air</t>
  </si>
  <si>
    <t>Beban Penyisihan Piutang Usaha</t>
  </si>
  <si>
    <t>Jumlah Beban Usaha</t>
  </si>
  <si>
    <t>Laba/Rugi Usaha Sebelum Kerugian Luar Biasa</t>
  </si>
  <si>
    <t>Kerugian / Keuntungan Luar Biasa</t>
  </si>
  <si>
    <t>Laba/Rugi Sebelum Pajak Penghasilan</t>
  </si>
  <si>
    <t>Pajak Penghasilan</t>
  </si>
  <si>
    <t>LABA/RUGI BERSIH</t>
  </si>
  <si>
    <t>- Penerimaan Penyambungan Kembali</t>
  </si>
  <si>
    <t>LAPORAN PERUBAHAN EKUITAS</t>
  </si>
  <si>
    <t>Penyertaan Pemerintah</t>
  </si>
  <si>
    <t>Hibah</t>
  </si>
  <si>
    <t>Laba (Rugi)</t>
  </si>
  <si>
    <t>Tahun Berjalan</t>
  </si>
  <si>
    <t>Penambahan/Koreksi</t>
  </si>
  <si>
    <t>Pengalihan Kerugian ke Akumulasi Rugi</t>
  </si>
  <si>
    <t>Laba (Rugi) bersih selama tahun berjalan</t>
  </si>
  <si>
    <t xml:space="preserve">                                                  </t>
  </si>
  <si>
    <t>Pendapatan Mobil Tangki</t>
  </si>
  <si>
    <t>Pendapatan Subsidi</t>
  </si>
  <si>
    <t>Pendapatan Lainnya</t>
  </si>
  <si>
    <t>TAHUN 2012</t>
  </si>
  <si>
    <t>NERACA KOMPORATIF TAHUN 2012</t>
  </si>
  <si>
    <t>Jumlah Pendapatan Non Air</t>
  </si>
  <si>
    <t>Beban Sewa Dibayar Dimuka</t>
  </si>
  <si>
    <t>a. Pembayaran Utang Usaha &amp; Non Usaha</t>
  </si>
  <si>
    <t>Penyertaan Pemerintah Pusat</t>
  </si>
  <si>
    <t>TAKSIRAN PAJAK PENGHASILAN</t>
  </si>
  <si>
    <t>LABA SEBELUM PAJAK</t>
  </si>
  <si>
    <t>Jumlah Pendapatan (Beban) Non Usaha</t>
  </si>
  <si>
    <t>Beban Non Usaha</t>
  </si>
  <si>
    <t>PENDAPATAN (BEBAN) NON USAHA</t>
  </si>
  <si>
    <t>Jumlah BebanUsaha</t>
  </si>
  <si>
    <t>BEBAN USAHA</t>
  </si>
  <si>
    <t>Kenaikan (Penurunan) Pendapatan Diterima Dimuka</t>
  </si>
  <si>
    <t>Bulan Ini</t>
  </si>
  <si>
    <t>Penyertaan Pemda</t>
  </si>
  <si>
    <t>Piutang Lain-Lain</t>
  </si>
  <si>
    <t>b. Pengeluaran Investasi,Aktiva Tetap &amp; Inventaris</t>
  </si>
  <si>
    <t>Penyertaan Pemerintah Seruyan</t>
  </si>
  <si>
    <t>Laba (rugi)</t>
  </si>
  <si>
    <t>Tahun - Tahun Lalu</t>
  </si>
  <si>
    <t>Total Ekuitas</t>
  </si>
  <si>
    <t>- Penerimaan Sambungan Rumah</t>
  </si>
  <si>
    <t>Akumulasi Amortisasi Aktiva Tidak Berwujud</t>
  </si>
  <si>
    <t>Pengurangan (Penambahan)Aktiva Tetap Dalam Penyelesaian</t>
  </si>
  <si>
    <t xml:space="preserve">a. Pengeluaran Pembelian Bahan </t>
  </si>
  <si>
    <t>Pendapatan Harga Air</t>
  </si>
  <si>
    <t>Pendapatan Administrasi &amp; Dana Meter</t>
  </si>
  <si>
    <t>Jumlah Pendapatan Penjualan  Air</t>
  </si>
  <si>
    <t>Beban Hubungan Langganan</t>
  </si>
  <si>
    <t>DEPOSITO</t>
  </si>
  <si>
    <t xml:space="preserve">Pendapatan Jasa Giro </t>
  </si>
  <si>
    <t>Pendapatan Bunga Deposito</t>
  </si>
  <si>
    <t>Pendapatan Subsidi Selisih Tarif</t>
  </si>
  <si>
    <t>I</t>
  </si>
  <si>
    <t>81.01.10</t>
  </si>
  <si>
    <t>81.01.20</t>
  </si>
  <si>
    <t>81.01.30</t>
  </si>
  <si>
    <t>Pendapatan Rekening Air Tangki</t>
  </si>
  <si>
    <t>81.02.10</t>
  </si>
  <si>
    <t>81.02.40</t>
  </si>
  <si>
    <t>81.02.50</t>
  </si>
  <si>
    <t>81.02.70</t>
  </si>
  <si>
    <t>81.02.80</t>
  </si>
  <si>
    <t>81.02.90</t>
  </si>
  <si>
    <t>Pendapatan Penggantian Meter Rusak</t>
  </si>
  <si>
    <t>Pendapatan Penggantian Pipa Persil</t>
  </si>
  <si>
    <t>Pendapatan Non Air Lainnya</t>
  </si>
  <si>
    <t>91.00.00</t>
  </si>
  <si>
    <t>92.00.00</t>
  </si>
  <si>
    <t>93.00.00</t>
  </si>
  <si>
    <t>Beban Sumber Air</t>
  </si>
  <si>
    <t>Beban Pengolahan Air</t>
  </si>
  <si>
    <t>Beban Transmisi dan Distribusi</t>
  </si>
  <si>
    <t>91.09.00</t>
  </si>
  <si>
    <t>92.09.00</t>
  </si>
  <si>
    <t>93.09.00</t>
  </si>
  <si>
    <t>Beban Penyusutan Trandist</t>
  </si>
  <si>
    <t>Beban Penyusutan Pengolahan Air</t>
  </si>
  <si>
    <t>II</t>
  </si>
  <si>
    <t>96.00.00</t>
  </si>
  <si>
    <t>Beban Umum Administrasi</t>
  </si>
  <si>
    <t>96.07.00</t>
  </si>
  <si>
    <t>Beban Penyisihan dan Penghapusan Piutang</t>
  </si>
  <si>
    <t>96.09.00</t>
  </si>
  <si>
    <t>Beban Penys. Dan Amortisasi Non Pabrik Air</t>
  </si>
  <si>
    <t>Laba (Rugi) Kotor Usaha</t>
  </si>
  <si>
    <t>III</t>
  </si>
  <si>
    <t>88.00.00</t>
  </si>
  <si>
    <t>98.00.00</t>
  </si>
  <si>
    <t>Laba(Rugi) Sebelum Pajak Penghasilan</t>
  </si>
  <si>
    <t>Pajak Penghasilan Tahun Berjalan</t>
  </si>
  <si>
    <t>LAPORAN LABA RUGI BERDASARKAN KEPMEN OTDA NO 08 TAHUN 2000</t>
  </si>
  <si>
    <t>NO</t>
  </si>
  <si>
    <t>BULAN</t>
  </si>
  <si>
    <t>MAPPING BEBAN                                   SAK - ETAP</t>
  </si>
  <si>
    <t>PERK.</t>
  </si>
  <si>
    <t>BIAYA SUMBER AIR</t>
  </si>
  <si>
    <t>91.01.00</t>
  </si>
  <si>
    <t>BIAYA OPERASIONAL SUMBER AIR</t>
  </si>
  <si>
    <t>91.01.10</t>
  </si>
  <si>
    <t>Biaya Pegawai</t>
  </si>
  <si>
    <t>B. PEGAWAI</t>
  </si>
  <si>
    <t>91.01.20</t>
  </si>
  <si>
    <t>Pemakaian Bahan bakar (SOLAR)</t>
  </si>
  <si>
    <t>B. PEMAKAIAN BAHAN BAKAR</t>
  </si>
  <si>
    <t>91.01.30</t>
  </si>
  <si>
    <t>Biaya Listrik PLN</t>
  </si>
  <si>
    <t>B. LISTRIK</t>
  </si>
  <si>
    <t>91.01.40</t>
  </si>
  <si>
    <t>Pemakaian Bahan Pembantu (oli)</t>
  </si>
  <si>
    <t>B. PEMAKAIAN BAHAN PEMBANTU</t>
  </si>
  <si>
    <t>91.01.90</t>
  </si>
  <si>
    <t>Rupa-Rupa Biaya Operasi</t>
  </si>
  <si>
    <t>B. OPERASI LAINNYA</t>
  </si>
  <si>
    <t>B. Operasi  Sumber Air</t>
  </si>
  <si>
    <t>91.02.00</t>
  </si>
  <si>
    <t>BIAYA PEMELIHARAAN SUMBER AIR</t>
  </si>
  <si>
    <t>91.02.10</t>
  </si>
  <si>
    <t>Pemeliharaan bangunan dan penyempurnaan tanah</t>
  </si>
  <si>
    <t>B. PEMELIHARAAN</t>
  </si>
  <si>
    <t>91.02.40</t>
  </si>
  <si>
    <t>Pemeliharaan Mata air dan Saluran</t>
  </si>
  <si>
    <t>91.02.60</t>
  </si>
  <si>
    <t>Pemeliharaan Pipa Induk</t>
  </si>
  <si>
    <t>91.02.70</t>
  </si>
  <si>
    <t>Pemeliharaan Alat Pembangkit Tenaga</t>
  </si>
  <si>
    <t>91.02.80</t>
  </si>
  <si>
    <t>Pemeliharaan Alat Perpompaan</t>
  </si>
  <si>
    <t>91.02.90</t>
  </si>
  <si>
    <t>Pemeliharaan Instalasi Sumber Air Lainnya</t>
  </si>
  <si>
    <t>Jumlah Biaya Pemeliharaan Sumber Air</t>
  </si>
  <si>
    <t>91.03.00</t>
  </si>
  <si>
    <t>BIAYA AIR BAKU (PAJAK AIR PERMUKAAN)</t>
  </si>
  <si>
    <t>JUMLAH SEBELUM PENYUSUTAN</t>
  </si>
  <si>
    <t>BIAYA PENYUSUTAN SUMBER AIR</t>
  </si>
  <si>
    <t>B. PENYUSUTAN</t>
  </si>
  <si>
    <t>JUMLAH BIAYA SUMBER AIR</t>
  </si>
  <si>
    <t>BIAYA PENGOLAHAN AIR</t>
  </si>
  <si>
    <t>92.01.10</t>
  </si>
  <si>
    <t>Lembur</t>
  </si>
  <si>
    <t>92.01.20</t>
  </si>
  <si>
    <t>Pemakaian Bahan Kimia</t>
  </si>
  <si>
    <t>B. PEMAKAIAN BAHAN KIMIA</t>
  </si>
  <si>
    <t>Jumlah Bahan Kimia</t>
  </si>
  <si>
    <t>Jumlah Biaya Operasi Pengolahan Air</t>
  </si>
  <si>
    <t>92.02.00</t>
  </si>
  <si>
    <t>BIAYA PEMELIHARAAN PENGOLAHAN</t>
  </si>
  <si>
    <t>92.02.10</t>
  </si>
  <si>
    <t>Pemeliharaan Bangunan dan penyemp. Tanah</t>
  </si>
  <si>
    <t>92.02.20</t>
  </si>
  <si>
    <t>Pemeliharaan Instalasi Pengolahan Air</t>
  </si>
  <si>
    <t>92.02.30</t>
  </si>
  <si>
    <t>Pemeliharaan Instalasi Pompa</t>
  </si>
  <si>
    <t>92.02.90</t>
  </si>
  <si>
    <t>Pemeliharaan Instalasi Pengolahan Lainnya</t>
  </si>
  <si>
    <t>Jumlah Biaya Pemeliharaan</t>
  </si>
  <si>
    <t>BIAYA PENYUSUTAN PENGOLAHAN</t>
  </si>
  <si>
    <t>JUMLAH BIAYA PENGOLAHAN AIR</t>
  </si>
  <si>
    <t>BIAYA TRANSMISI DAN DISTRIBUSI</t>
  </si>
  <si>
    <t>93.01.00</t>
  </si>
  <si>
    <t>BIAYA OPERASI TRANSMISI DAN DISTRIBUSI</t>
  </si>
  <si>
    <t>93.01.10</t>
  </si>
  <si>
    <t>93.01.20</t>
  </si>
  <si>
    <t>Biaya Pemakaian Bahan/Perlengkapan</t>
  </si>
  <si>
    <t>93.01.90</t>
  </si>
  <si>
    <t>Jumlah Biaya Operasi Trand &amp; Dist</t>
  </si>
  <si>
    <t>93.02.00</t>
  </si>
  <si>
    <t>BIAYA PEMELIHARAAN TRAN &amp; DIST</t>
  </si>
  <si>
    <t>93.02.20</t>
  </si>
  <si>
    <t>Pemeliharaan Reservoir dan tangki</t>
  </si>
  <si>
    <t>93.02.30</t>
  </si>
  <si>
    <t xml:space="preserve">Pemeliharaan Pipa Transmisi &amp; Distribusi </t>
  </si>
  <si>
    <t>93.02.40</t>
  </si>
  <si>
    <t>Pemeliharaan Pipa Dinas</t>
  </si>
  <si>
    <t>93.02.50</t>
  </si>
  <si>
    <t>93.02.60</t>
  </si>
  <si>
    <t>Pemeliharaan Water Meter</t>
  </si>
  <si>
    <t>93.02.90</t>
  </si>
  <si>
    <t>Pemeliharaan Trandist Lainnya</t>
  </si>
  <si>
    <t>BIAYA PENYUSUTAN TRANS &amp; DIST</t>
  </si>
  <si>
    <t>JUMLAH BIAYA TRAND &amp; DIST</t>
  </si>
  <si>
    <t>BIAYA LANGSUNG SEBELUM PENYUSUTAN</t>
  </si>
  <si>
    <t xml:space="preserve">TOTAL BIAYA PENYUSUTAN </t>
  </si>
  <si>
    <t>JUMLAH BIAYA OPERASI</t>
  </si>
  <si>
    <t>P-11</t>
  </si>
  <si>
    <t>MAPPING BEBAN</t>
  </si>
  <si>
    <t>SAK - ETAP</t>
  </si>
  <si>
    <t>96.01.00</t>
  </si>
  <si>
    <t>BIAYA PEGAWAI</t>
  </si>
  <si>
    <t>96.01.10</t>
  </si>
  <si>
    <t>Gaji dan Tunjangan Pegawai</t>
  </si>
  <si>
    <t>96.01.20</t>
  </si>
  <si>
    <t>Gaji ke 13 (Tunjangan Hari Raya)</t>
  </si>
  <si>
    <t>96.01.30</t>
  </si>
  <si>
    <t>Iuran Pensiun</t>
  </si>
  <si>
    <t>Gaji ke 14 (Uang Cuti)</t>
  </si>
  <si>
    <t>96.01.70</t>
  </si>
  <si>
    <t>Bantuan dan Sumbangan Uang Duka</t>
  </si>
  <si>
    <t>96.01.80</t>
  </si>
  <si>
    <t>Pendidikan dan latihan</t>
  </si>
  <si>
    <t>96.01.90</t>
  </si>
  <si>
    <t>Rupa-Rupa Biaya Pegawai</t>
  </si>
  <si>
    <t>Pjak Pegawai</t>
  </si>
  <si>
    <t>Jumlah Biaya Pegawai</t>
  </si>
  <si>
    <t>96.02.00</t>
  </si>
  <si>
    <t>BIAYA KANTOR</t>
  </si>
  <si>
    <t>96.02.10</t>
  </si>
  <si>
    <t>Biaya Alat Tulis Kantor dan Fotocopy</t>
  </si>
  <si>
    <t>96.02.20</t>
  </si>
  <si>
    <t>Barang-barang Cetakkan</t>
  </si>
  <si>
    <t>96.02.30</t>
  </si>
  <si>
    <t>96.02.40</t>
  </si>
  <si>
    <t>Biaya Telepon, Telek dan Telegram</t>
  </si>
  <si>
    <t>B. KANTOR</t>
  </si>
  <si>
    <t>96.02.50</t>
  </si>
  <si>
    <t>Biaya Rapat dan Tamu</t>
  </si>
  <si>
    <t>96.02.60</t>
  </si>
  <si>
    <t>Benda Pos dan materai</t>
  </si>
  <si>
    <t>96.02.70</t>
  </si>
  <si>
    <t>Biaya Listrik/Penerangan</t>
  </si>
  <si>
    <t>96.02.80</t>
  </si>
  <si>
    <t>Biaya cleaning Service</t>
  </si>
  <si>
    <t>96.02.90</t>
  </si>
  <si>
    <t>Rupa-rupa Biaya Kantor</t>
  </si>
  <si>
    <t>Perpanjangan STNK</t>
  </si>
  <si>
    <t>Paket Internet (Wifi)</t>
  </si>
  <si>
    <t>Rupa-rupa biaya kantor lainnya</t>
  </si>
  <si>
    <t>Jumlah Biaya Kantor</t>
  </si>
  <si>
    <t>96.03.00</t>
  </si>
  <si>
    <t>BIAYA HUBUNGAN PELANGGAN</t>
  </si>
  <si>
    <t>B. HUBUNGAN LANGGANAN</t>
  </si>
  <si>
    <t>96.03.70</t>
  </si>
  <si>
    <t>Biaya Promosi</t>
  </si>
  <si>
    <t>96.03.90</t>
  </si>
  <si>
    <t>Rupa-rupa Biaya Langganan</t>
  </si>
  <si>
    <t>Jumlah Biaya Hubungan Langganan</t>
  </si>
  <si>
    <t>96.04.00</t>
  </si>
  <si>
    <t>BIAYA PENELITIAN DAN PENGEMBANGAN</t>
  </si>
  <si>
    <t>B. PENELITIAN DAN PENGEMBANGAN</t>
  </si>
  <si>
    <t>Jumlah Biaya penelitian dan Pengembangan</t>
  </si>
  <si>
    <t>96.06.00</t>
  </si>
  <si>
    <t>BIAYA PEMELIHARAAN</t>
  </si>
  <si>
    <t>96.06.10</t>
  </si>
  <si>
    <t>Pemeliharaan Inventaris Kantor</t>
  </si>
  <si>
    <t>96.06.20</t>
  </si>
  <si>
    <t>Pemeliharaan Kendaraan</t>
  </si>
  <si>
    <t>96.06.30</t>
  </si>
  <si>
    <t>Pemeliharaan Bangunan</t>
  </si>
  <si>
    <t>96.06.50</t>
  </si>
  <si>
    <t>Pemeliharaan Taman dan Lapangan</t>
  </si>
  <si>
    <t>BIAYA PENYIS. DAN PENGHAPUSAN PIUTANG</t>
  </si>
  <si>
    <t>96.07.10</t>
  </si>
  <si>
    <t>Biaya Penyisihan Piutang</t>
  </si>
  <si>
    <t>96.07.20</t>
  </si>
  <si>
    <t>Biaya Penghapusan Piutang</t>
  </si>
  <si>
    <t>Jumlah Biaya Penyish &amp; Penghapusan Piutang</t>
  </si>
  <si>
    <t>96.08.00</t>
  </si>
  <si>
    <t>RUPA-RUPA BIAYA UMUM</t>
  </si>
  <si>
    <t>96.08.10</t>
  </si>
  <si>
    <t>Biaya Iuran/Berlangganan</t>
  </si>
  <si>
    <t>Biaya Iuran Keanggotaan</t>
  </si>
  <si>
    <t>Biaya Langganan Media Cetak</t>
  </si>
  <si>
    <t>96.08.20</t>
  </si>
  <si>
    <t>Biaya Badan Pengawas</t>
  </si>
  <si>
    <t>96.08.30</t>
  </si>
  <si>
    <t>Biaya Perjalanan Dinas</t>
  </si>
  <si>
    <t>96.08.40</t>
  </si>
  <si>
    <t xml:space="preserve">Biaya Jasa Profesional </t>
  </si>
  <si>
    <t>Biaya Audit</t>
  </si>
  <si>
    <t>Biaya Jasa Manajemen</t>
  </si>
  <si>
    <t>96.08.50</t>
  </si>
  <si>
    <t>Biaya Sewa</t>
  </si>
  <si>
    <t>96.08.60</t>
  </si>
  <si>
    <t>Biaya Asuransi / Keamanan</t>
  </si>
  <si>
    <t xml:space="preserve">Biaya Asuransi </t>
  </si>
  <si>
    <t>Biaya Keamanan</t>
  </si>
  <si>
    <t>96.08.70</t>
  </si>
  <si>
    <t>Biaya Pajak Pemda/Perijinan</t>
  </si>
  <si>
    <t>Pajak Bumi dan Bangunan</t>
  </si>
  <si>
    <t>96.08.90</t>
  </si>
  <si>
    <t>Rupa-rupa Biaya Umum Lainnya</t>
  </si>
  <si>
    <t>Dana Representatif Direktur</t>
  </si>
  <si>
    <t>Honor Panitia Pengadaan Barang dan Jasa</t>
  </si>
  <si>
    <t>Honor Tim Pelaksana kegiatan</t>
  </si>
  <si>
    <t>Penghargaan Masa Kerja Pegawai</t>
  </si>
  <si>
    <t>Pesangon Direktur</t>
  </si>
  <si>
    <t xml:space="preserve">Uang Makan dan Minum </t>
  </si>
  <si>
    <t>Biaya Umum Lainnya</t>
  </si>
  <si>
    <t>Jumlah Rupa-rupa biaya umum lainnya</t>
  </si>
  <si>
    <t>Jumlah Biaya Umum dan Adm sebelum penyust</t>
  </si>
  <si>
    <t>BIAYA PENYST. DAN AMORTISASI NON PABRIK AIR</t>
  </si>
  <si>
    <t>B. PENYUSUTAN &amp; AMORTISASI</t>
  </si>
  <si>
    <t>JUMLAH BIAYA UMUM &amp; ADM</t>
  </si>
  <si>
    <t>RINCIAN BIAYA UMUM DAN ADMINISTRASI</t>
  </si>
  <si>
    <t>RINCIAN BIAYA LANGSUNG USAHA</t>
  </si>
  <si>
    <t>P-12</t>
  </si>
  <si>
    <t>RENCANA BIAYA DILUAR USAHA / LAIN-LAIN</t>
  </si>
  <si>
    <t>SAK ETAP</t>
  </si>
  <si>
    <t>B. BANK</t>
  </si>
  <si>
    <t>BEBAN NON OPERASIONAL</t>
  </si>
  <si>
    <t>Sampai Dengan Bulan ini</t>
  </si>
  <si>
    <t>92.01.90</t>
  </si>
  <si>
    <t>Rupa-rupa Beban Pengolahan Air</t>
  </si>
  <si>
    <t>c. Penerimaan Non Air</t>
  </si>
  <si>
    <t>Pendapatan Air Mobil Tangki</t>
  </si>
  <si>
    <t>Beban Pemakaian Bahan Kimia</t>
  </si>
  <si>
    <t>Beban Pemakaian Bahan Bakar</t>
  </si>
  <si>
    <t>Beban Penelitian dan Pengembangan</t>
  </si>
  <si>
    <t>Dibuat Oleh,</t>
  </si>
  <si>
    <t>TRI MURTIANI, S.E</t>
  </si>
  <si>
    <t>Pj. Direktur</t>
  </si>
  <si>
    <t>Ir. ILIAS</t>
  </si>
  <si>
    <t>LAPORAN LABA RUGI  BERDASARKAN SAK - ETAP</t>
  </si>
  <si>
    <t>Plt. Kasubag. Adm. &amp; Keuangan</t>
  </si>
  <si>
    <t>d. Penerimaan Non Air</t>
  </si>
  <si>
    <t>b. Penerimaan Air Mobil Tangki</t>
  </si>
  <si>
    <t>a. Jasa Giro &amp; Bunga Deposito</t>
  </si>
  <si>
    <t>e. Penerimaan Non Air</t>
  </si>
  <si>
    <t>c. Penerimaan Lain-Lain</t>
  </si>
  <si>
    <t>96.01.60</t>
  </si>
  <si>
    <t xml:space="preserve">                 Diketahui/Disetujui Oleh,</t>
  </si>
  <si>
    <t>Diketahui / Disetujui Oleh,</t>
  </si>
  <si>
    <t>Diketahui/Disetujui Oleh,</t>
  </si>
  <si>
    <t>2. 1. LAPORAN LABA / (RUGI)</t>
  </si>
  <si>
    <t>PERUSAHAAN DAERAH AIR MINUM KABUPATEN SERUYAN</t>
  </si>
  <si>
    <t>3. 2. Laporan Perputaran Uang</t>
  </si>
  <si>
    <t>93.01.30</t>
  </si>
  <si>
    <t>Beban Bahan Bakar</t>
  </si>
  <si>
    <t>96.06.40</t>
  </si>
  <si>
    <t>Pemeliharaan Instalasi</t>
  </si>
  <si>
    <t>92.01.30</t>
  </si>
  <si>
    <t>Pemakaian Bahan Pembantu</t>
  </si>
  <si>
    <t>b. Subsidi Selisih Tarif</t>
  </si>
  <si>
    <t>c. Penerimaan Piutang Rek. Air dari MITRA</t>
  </si>
  <si>
    <t>d. Penerimaan Dimuka Rek. Air</t>
  </si>
  <si>
    <t>d. Penerimaan Dimuka Rek. Air Bulan Ini</t>
  </si>
  <si>
    <t>P-10</t>
  </si>
  <si>
    <t>RENCANA BIAYA OPERASI</t>
  </si>
  <si>
    <t>Intake Sei. Mitak</t>
  </si>
  <si>
    <t>Intake Tanjung Paring</t>
  </si>
  <si>
    <t xml:space="preserve">Pemakaian Bahan Pembantu </t>
  </si>
  <si>
    <t>Rupa-Rupa Beban Pengolahan Air</t>
  </si>
  <si>
    <t>RENCANA BIAYA UMUM DAN ADMINISTRASI</t>
  </si>
  <si>
    <t>Direktur</t>
  </si>
  <si>
    <t>Jumlah Gaji dan Honor Pegawai</t>
  </si>
  <si>
    <t>96.01.50</t>
  </si>
  <si>
    <t>Pembinaan Karyawan &amp; Pakaian Dinas</t>
  </si>
  <si>
    <t>96.03.30</t>
  </si>
  <si>
    <t>Biaya Penagihan Rekening Air</t>
  </si>
  <si>
    <t>Pembuatan Corporate Plan</t>
  </si>
  <si>
    <t>REALISASI</t>
  </si>
  <si>
    <t>f. Penerimaan Non Air</t>
  </si>
  <si>
    <t xml:space="preserve">d. Penerimaan Dimuka Rek. Air bln Lalu </t>
  </si>
  <si>
    <t>Jumlah Bahan Bakar</t>
  </si>
  <si>
    <t>Induk PDAM</t>
  </si>
  <si>
    <t>IKK Kartika Bhakti</t>
  </si>
  <si>
    <t>IKK Pembuang Hulu</t>
  </si>
  <si>
    <t>Jumlah Biaya Listrik PLN</t>
  </si>
  <si>
    <t>Jumlah Tawas</t>
  </si>
  <si>
    <t>Jumlah Soda Ash</t>
  </si>
  <si>
    <t>Jumlah Kaporit</t>
  </si>
  <si>
    <t>Pegawai Induk PDAM</t>
  </si>
  <si>
    <t>Pegawai IKK Kartika Bhakti</t>
  </si>
  <si>
    <t>Pegawai IKK Pembuang Hulu</t>
  </si>
  <si>
    <t>Bahan Bakar Kendaraan Dinas</t>
  </si>
  <si>
    <t>SISA ANGGARAN</t>
  </si>
  <si>
    <t>Beban Amortisasi Aset Tidak Berwujud</t>
  </si>
  <si>
    <t>Beban Penyisihan Kerugian Piutang</t>
  </si>
  <si>
    <t>Beban Air Baku</t>
  </si>
  <si>
    <t>Beban Penyusutan Aset Tetap</t>
  </si>
  <si>
    <t>BEBAN PEGAWAI</t>
  </si>
  <si>
    <t>BEBAN KANTOR</t>
  </si>
  <si>
    <t>BEBAN HUBUNGAN LANGGANAN</t>
  </si>
  <si>
    <t>B. PENELITIAN &amp; PENGEMBANGAN</t>
  </si>
  <si>
    <t>BEBAN PEMELIHARAAN</t>
  </si>
  <si>
    <t>B. PENYISIHAN PIUTANG</t>
  </si>
  <si>
    <t>TAHUN ANGGARAN 2022</t>
  </si>
  <si>
    <t>B. AIR BAKU</t>
  </si>
  <si>
    <t>B. AMORTISASI ASET TIDAK BERWUJUD</t>
  </si>
  <si>
    <t>B. PENYUSUTAN NON PABRIK AIR</t>
  </si>
  <si>
    <t>Pakaian Dinas</t>
  </si>
  <si>
    <t>Biaya Rapat</t>
  </si>
  <si>
    <t>Pawai &amp; EXPO Seruyan</t>
  </si>
  <si>
    <t>B. Pegawai</t>
  </si>
  <si>
    <t>Beban Imbalan Kerja</t>
  </si>
  <si>
    <t>- Pendapatan Diterima Dimuka</t>
  </si>
  <si>
    <t>- Beban Yang Masih Harus Dibayar</t>
  </si>
  <si>
    <t>- Imbalan Pasca Kerja</t>
  </si>
  <si>
    <t>Beban PPh 21</t>
  </si>
  <si>
    <t>Kenaikan (Penurunan) Beban Yang Masih Harus Dibayar</t>
  </si>
  <si>
    <t>Kenaikan (Penurunan) Imbalan Pasca Kerja</t>
  </si>
  <si>
    <t>Pj. Kabag. Adm &amp; Keuangan</t>
  </si>
  <si>
    <t>PERUMDAM TIRTA SERUYAN</t>
  </si>
  <si>
    <t>LAPORAN KEUANGAN PERUMDAM TIRTA SERUYAN</t>
  </si>
  <si>
    <t>3. Laporan Arus Kas</t>
  </si>
  <si>
    <t>2. 2. LAPORAN LABA / (RUGI)</t>
  </si>
  <si>
    <t xml:space="preserve">- Penerimaan Meter Air Rusak &amp; Pipa </t>
  </si>
  <si>
    <t>RADIUN, SE</t>
  </si>
  <si>
    <t xml:space="preserve">                                   RADIUN, SE</t>
  </si>
  <si>
    <t xml:space="preserve">                                   Pj. Direktur</t>
  </si>
  <si>
    <t xml:space="preserve">                        Diketahui/Disetujui Oleh,</t>
  </si>
  <si>
    <t>Pj. Kabag. Adm. &amp; Keuangan</t>
  </si>
  <si>
    <t>TAHUN ANGGARAN 2023</t>
  </si>
  <si>
    <t>B. BAHAN BAKU</t>
  </si>
  <si>
    <t>Insentife/Kesejahteraan Karyawan</t>
  </si>
  <si>
    <t>Uang Makan/Minum Pegawai</t>
  </si>
  <si>
    <t>Honor Tim Pengadaan dan Tim Kegiatan</t>
  </si>
  <si>
    <t>Pesangon dan Jasa Pengabdian</t>
  </si>
  <si>
    <t>Gaji Ke 13 (Tunjangan Hari Raya)</t>
  </si>
  <si>
    <t>Gaji ke 14 (Tunjangan Cuti)</t>
  </si>
  <si>
    <t>Pajak Pegawai</t>
  </si>
  <si>
    <t>Pembuatan UKL UPL</t>
  </si>
  <si>
    <t>B. PENYISIHAN &amp; PENGHAPUSAN PIUTANG</t>
  </si>
  <si>
    <t>B. SEWA</t>
  </si>
  <si>
    <t>Assesement dan Pelantikan Direktur</t>
  </si>
  <si>
    <t>Pengembalian kelebihan setoran</t>
  </si>
  <si>
    <t>97.00.00</t>
  </si>
  <si>
    <t>Beban Imbalan Pasca Kerja</t>
  </si>
  <si>
    <t>Penurunan /Kenaikan Biaya</t>
  </si>
  <si>
    <t>Magnoflog</t>
  </si>
  <si>
    <t>Pjs. Direktur</t>
  </si>
  <si>
    <t>Kabag Adm. &amp; Keuangan</t>
  </si>
  <si>
    <t>Kabag. Adm &amp; Keuangan</t>
  </si>
  <si>
    <t>Kabag. Adm. &amp; Keuangan</t>
  </si>
  <si>
    <t>- Penerimaan Meter Air &amp; Pipa Assesories</t>
  </si>
  <si>
    <t xml:space="preserve">                             Pjs. Direktur</t>
  </si>
  <si>
    <t>RADIUN</t>
  </si>
  <si>
    <t xml:space="preserve">                                     Pjs. Direktur</t>
  </si>
  <si>
    <t xml:space="preserve">                                   Pjs. Direktur</t>
  </si>
  <si>
    <t>Untuk bulan yang berakhir pada tanggal 30 SEPTEMBER 2024</t>
  </si>
  <si>
    <t>Kenaikan Bahan Kimia</t>
  </si>
  <si>
    <t>Penyusutan (Habis Umur ekonomis)</t>
  </si>
  <si>
    <t>Defisit Imbalan Kerja Dapenma</t>
  </si>
  <si>
    <t>Kenaikan Beban Pegawi</t>
  </si>
  <si>
    <t>- Kenaikan Status Pegawai</t>
  </si>
  <si>
    <t>- Dapenma</t>
  </si>
  <si>
    <t>- Diklat</t>
  </si>
  <si>
    <t>- Seragam</t>
  </si>
  <si>
    <t>- Purna Tugas/Pisah Pegawai</t>
  </si>
  <si>
    <t>Kenaikan Operasional lainnya :</t>
  </si>
  <si>
    <t>- Biaya Keamanan</t>
  </si>
  <si>
    <t>- SPPD</t>
  </si>
  <si>
    <t>- Audit Oleh BPKP</t>
  </si>
  <si>
    <t xml:space="preserve">- BPJS </t>
  </si>
  <si>
    <t>Kerugian :</t>
  </si>
  <si>
    <t>Untuk bulan yang berakhir pada tanggal 31 DESEMBER 2024</t>
  </si>
  <si>
    <t>Per 31-12-2024</t>
  </si>
  <si>
    <t>%</t>
  </si>
  <si>
    <t>Kenaikan Pend. Usaha 1 th</t>
  </si>
  <si>
    <t>Kenaikan Pend. air 1 th</t>
  </si>
  <si>
    <t>Kanaikan Biaya 1 TH</t>
  </si>
  <si>
    <t xml:space="preserve">Penurunan kerugian usaha </t>
  </si>
  <si>
    <t>TAHUN ANGGARAN 2025</t>
  </si>
  <si>
    <t>2025</t>
  </si>
  <si>
    <t>Beban Kesejahteraan Karyawan Sumber Air</t>
  </si>
  <si>
    <t>Beban Pakaian Dinas &amp; Olahraga</t>
  </si>
  <si>
    <t>Beban Pendidikan &amp; Latihan</t>
  </si>
  <si>
    <t>Beban Pembinaan Pegawai Sumber</t>
  </si>
  <si>
    <t>91.01.50</t>
  </si>
  <si>
    <t>91.02.20</t>
  </si>
  <si>
    <t>91.02.30</t>
  </si>
  <si>
    <t>BEBAN SUMBER AIR</t>
  </si>
  <si>
    <t>BEBAN OPERASIONAL SUMBER AIR</t>
  </si>
  <si>
    <t>Rupa-Rupa Beban Operasi</t>
  </si>
  <si>
    <t>Beban Listrik PLN</t>
  </si>
  <si>
    <t>BEBAN PEMELIHARAAN SUMBER AIR</t>
  </si>
  <si>
    <t>91.03.10</t>
  </si>
  <si>
    <t>91.03.40</t>
  </si>
  <si>
    <t>91.03.60</t>
  </si>
  <si>
    <t>91.03.70</t>
  </si>
  <si>
    <t>91.03.80</t>
  </si>
  <si>
    <t>91.03.90</t>
  </si>
  <si>
    <t>Jumlah Beban Pemeliharaan Sumber Air</t>
  </si>
  <si>
    <t>BEBAN AIR BAKU (PAJAK AIR PERMUKAAN)</t>
  </si>
  <si>
    <t>BEBAN PENYUSUTAN SUMBER AIR</t>
  </si>
  <si>
    <t>JUMLAH BEBAN SUMBER AIR</t>
  </si>
  <si>
    <t>BEBAN PENGOLAHAN AIR</t>
  </si>
  <si>
    <t>Gaji &amp; honor Pengolahan Air</t>
  </si>
  <si>
    <t>PUSAT - INDUK</t>
  </si>
  <si>
    <t>IKK KARTIKA BHAKTI</t>
  </si>
  <si>
    <t>IKK PEMBUANG HULU</t>
  </si>
  <si>
    <t>Insentif / THR / Bonus</t>
  </si>
  <si>
    <t>Beban Kesejahteraan Karyawan Pengolahan Air</t>
  </si>
  <si>
    <t>Iuran Dana Pensiun</t>
  </si>
  <si>
    <t>Beban BPJS Kesehatan</t>
  </si>
  <si>
    <t>Beban BPJS Ketenagakerjaan</t>
  </si>
  <si>
    <t>Uang Makan &amp; Minum</t>
  </si>
  <si>
    <t>Uang Pisah / Purna Tugas</t>
  </si>
  <si>
    <t>92.01.40</t>
  </si>
  <si>
    <t>92.01.50</t>
  </si>
  <si>
    <t>Beban Pembinaan Pegawai Pengolahan</t>
  </si>
  <si>
    <t>92.02.50</t>
  </si>
  <si>
    <t>Jumlah Beban Operasi Pengolahan Air</t>
  </si>
  <si>
    <t>92.03.00</t>
  </si>
  <si>
    <t>BEBAN PEMELIHARAAN PENGOLAHAN</t>
  </si>
  <si>
    <t>92.03.10</t>
  </si>
  <si>
    <t>92.03.20</t>
  </si>
  <si>
    <t>92.03.30</t>
  </si>
  <si>
    <t>92.03.90</t>
  </si>
  <si>
    <t>Jumlah Beban Pemeliharaan</t>
  </si>
  <si>
    <t>92.05.00</t>
  </si>
  <si>
    <t>91.05.00</t>
  </si>
  <si>
    <t>BEBAN PENYUSUTAN PENGOLAHAN</t>
  </si>
  <si>
    <t>JUMLAH BEBAN PENGOLAHAN AIR</t>
  </si>
  <si>
    <t>BEBAN TRANSMISI DAN DISTRIBUSI</t>
  </si>
  <si>
    <t>BEBAN OPERASI TRANSMISI DAN DISTRIBUSI</t>
  </si>
  <si>
    <t>93.01.40</t>
  </si>
  <si>
    <t>93.01.50</t>
  </si>
  <si>
    <t>Gaji &amp; honor Trandist</t>
  </si>
  <si>
    <t>Beban Pembinaan Pegawai Trandist</t>
  </si>
  <si>
    <t>93.01.60</t>
  </si>
  <si>
    <t>93.01.70</t>
  </si>
  <si>
    <t>Beban Pemakaian Bahan/Perlengkapan</t>
  </si>
  <si>
    <t>Jumlah Beban Operasi Trand &amp; Dist</t>
  </si>
  <si>
    <t>BEBAN PEMELIHARAAN TRAN &amp; DIST</t>
  </si>
  <si>
    <t>93.03.00</t>
  </si>
  <si>
    <t>BEBAN PENYUSUTAN TRANS &amp; DIST</t>
  </si>
  <si>
    <t xml:space="preserve">TOTAL BEBAN PENYUSUTAN </t>
  </si>
  <si>
    <t>JUMLAH BEBAN OPERASI</t>
  </si>
  <si>
    <t>BEBAN UMUM &amp; ADMINISTRASI</t>
  </si>
  <si>
    <t>97.01.10</t>
  </si>
  <si>
    <t>Beban Pegawai Umum &amp; Adm</t>
  </si>
  <si>
    <t xml:space="preserve">Pegawai Adm &amp;Umum </t>
  </si>
  <si>
    <t xml:space="preserve">Lembur </t>
  </si>
  <si>
    <t>Insentife/THR/Dana Kesejahteraan/Bonus</t>
  </si>
  <si>
    <t>Beban Kesejahteraan Karyawan Adm Umum</t>
  </si>
  <si>
    <t>97.01.20</t>
  </si>
  <si>
    <t>97.01.30</t>
  </si>
  <si>
    <t>Beban Pembinaan Pegawai Umum</t>
  </si>
  <si>
    <t>Beban Bantuan &amp; sumbangan</t>
  </si>
  <si>
    <t>Rupa-Rupa Beban Pegawai</t>
  </si>
  <si>
    <t>97.01.40</t>
  </si>
  <si>
    <t>97.01.50</t>
  </si>
  <si>
    <t>97.01.60</t>
  </si>
  <si>
    <t>97.01.90</t>
  </si>
  <si>
    <t>97.02.00</t>
  </si>
  <si>
    <t>Jumlah Beban Pegawai</t>
  </si>
  <si>
    <t>Beban Alat Tulis Kantor dan Fotocopy</t>
  </si>
  <si>
    <t>Beban Telepon, Telek dan Telegram</t>
  </si>
  <si>
    <t>Beban Rapat dan Tamu</t>
  </si>
  <si>
    <t>Beban Listrik/Penerangan</t>
  </si>
  <si>
    <t>Beban cleaning Service</t>
  </si>
  <si>
    <t>Rupa-rupa Beban Kantor</t>
  </si>
  <si>
    <t>Rupa-rupa beban kantor lainnya</t>
  </si>
  <si>
    <t>97.02.10</t>
  </si>
  <si>
    <t>97.02.20</t>
  </si>
  <si>
    <t>97.02.30</t>
  </si>
  <si>
    <t>97.02.40</t>
  </si>
  <si>
    <t>97.02.50</t>
  </si>
  <si>
    <t>97.02.60</t>
  </si>
  <si>
    <t>97.02.70</t>
  </si>
  <si>
    <t>97.02.80</t>
  </si>
  <si>
    <t>97.02.90</t>
  </si>
  <si>
    <t>Jumlah Beban Kantor</t>
  </si>
  <si>
    <t>BEBAN HUBUNGAN PELANGGAN</t>
  </si>
  <si>
    <t>Beban Penagihan Rekening</t>
  </si>
  <si>
    <t>Rupa-rupa Beban Langganan</t>
  </si>
  <si>
    <t>97.03.00</t>
  </si>
  <si>
    <t>97.03.30</t>
  </si>
  <si>
    <t>97.03.70</t>
  </si>
  <si>
    <t>97.03.80</t>
  </si>
  <si>
    <t>Jumlah Beban Hubungan Langganan</t>
  </si>
  <si>
    <t>BEBAN PENELITIAN DAN PENGEMBANGAN</t>
  </si>
  <si>
    <t>97.04.00</t>
  </si>
  <si>
    <t>97.06.00</t>
  </si>
  <si>
    <t>Jumlah Beban penelitian dan Pengembangan</t>
  </si>
  <si>
    <t>97.06.10</t>
  </si>
  <si>
    <t>97.06.20</t>
  </si>
  <si>
    <t>97.06.30</t>
  </si>
  <si>
    <t>97.06.40</t>
  </si>
  <si>
    <t>97.06.50</t>
  </si>
  <si>
    <t>97.07.00</t>
  </si>
  <si>
    <t>97.07.10</t>
  </si>
  <si>
    <t>Beban Iuran/Berlangganan</t>
  </si>
  <si>
    <t>97.07.20</t>
  </si>
  <si>
    <t>Beban Badan Pengawas</t>
  </si>
  <si>
    <t>97.07.30</t>
  </si>
  <si>
    <t>97.07.40</t>
  </si>
  <si>
    <t>97.07.50</t>
  </si>
  <si>
    <t>Beban Perjalanan Dinas</t>
  </si>
  <si>
    <t xml:space="preserve">Beban Jasa Profesional </t>
  </si>
  <si>
    <t>Beban Audit</t>
  </si>
  <si>
    <t>Beban Jasa Manajemen</t>
  </si>
  <si>
    <t>Beban Sewa</t>
  </si>
  <si>
    <t>Beban Asuransi / Keamanan</t>
  </si>
  <si>
    <t>Beban Pajak Pemda/Perijinan</t>
  </si>
  <si>
    <t>Rupa-rupa Beban Umum Lainnya</t>
  </si>
  <si>
    <t>Beban Umum Lainnya</t>
  </si>
  <si>
    <t>97.07.60</t>
  </si>
  <si>
    <t>97.07.70</t>
  </si>
  <si>
    <t>97.07.80</t>
  </si>
  <si>
    <t>97.07.90</t>
  </si>
  <si>
    <t>97.08.00</t>
  </si>
  <si>
    <t>97.09.00</t>
  </si>
  <si>
    <t>Jumlah Rupa-rupa beban umum lainnya</t>
  </si>
  <si>
    <t>Jumlah Beban Umum dan Adm sebelum penyust</t>
  </si>
  <si>
    <t>BEBAN PENYST. NON PABRIK AIR</t>
  </si>
  <si>
    <t>BEBAN AMORTISASI ASET TIDAK BERWUJUD</t>
  </si>
  <si>
    <t>JUMLAH BEBAN UMUM &amp; ADM</t>
  </si>
  <si>
    <t>Beban Penyisihan / Penghapusan Piutang</t>
  </si>
  <si>
    <t>PjS. Direktur</t>
  </si>
  <si>
    <t>BEBAN HARGA POKOK SAMBUNGAN BARU</t>
  </si>
  <si>
    <t>Beban Harga Pokok Sambungan Baru</t>
  </si>
  <si>
    <t>Tahun 2025</t>
  </si>
  <si>
    <t>LAPORAN POSISI KEUANGAN</t>
  </si>
  <si>
    <t>ASET</t>
  </si>
  <si>
    <t>►ASET LANCAR</t>
  </si>
  <si>
    <t>► ASET TETAP</t>
  </si>
  <si>
    <t>► Aset Tetap Tidak Berwujud</t>
  </si>
  <si>
    <t>► Aset Tetap Lainnya</t>
  </si>
  <si>
    <t>TOTAL ASET</t>
  </si>
  <si>
    <t>LIABILITAS</t>
  </si>
  <si>
    <t>► LIABILITAS &amp; EKUITAS</t>
  </si>
  <si>
    <t>- Liabilitas Jangka Pendek</t>
  </si>
  <si>
    <t>EKUITAS</t>
  </si>
  <si>
    <t>TOTAL LIABILITAS &amp; EKUITAS</t>
  </si>
  <si>
    <t>PER 31 DESEMBER 2025 DAN 31 DESEMBER 2024</t>
  </si>
  <si>
    <t>PER 31 OKTOBER 2025 DAN 31 DESEMBER 2024</t>
  </si>
  <si>
    <t>PER 31 AGUSTUS 2025 DAN 31 DESEMBER 2024</t>
  </si>
  <si>
    <t>PER 30 NOVEMBER 2025 DAN 31 DESEMBER 2024</t>
  </si>
  <si>
    <t>PER 31 JULI 2025 DAN 31 DESEMBER 2024</t>
  </si>
  <si>
    <t>PER 30 JUNI 2025 DAN 31 DESEMBER 2024</t>
  </si>
  <si>
    <t>PER 31 MEI 2025 DAN 31 DESEMBER 2024</t>
  </si>
  <si>
    <t>LAPORAN LABA RUGI</t>
  </si>
  <si>
    <t>BEBAN UMUM DAN ADMINISTRASI</t>
  </si>
  <si>
    <t>Jumlah Beban Umum Dan Administrasi</t>
  </si>
  <si>
    <t>Laba(Rugi) Operasional</t>
  </si>
  <si>
    <t>PENDAPATAN - BEBAN LAIN-LAIN</t>
  </si>
  <si>
    <t>Jumlah Pendapatan - Beban Lain-lain</t>
  </si>
  <si>
    <t>Beban Lain-lain</t>
  </si>
  <si>
    <t>Jumlah Beban usaha</t>
  </si>
  <si>
    <t>LAPORAN LABA - RUGI</t>
  </si>
  <si>
    <t>3.</t>
  </si>
  <si>
    <t>LAPORAN ARUS KAS</t>
  </si>
  <si>
    <t>UNTUK TAHUN YANG BERAKHIR 31 JANUARI 2025 DAN TAHUN 2024</t>
  </si>
  <si>
    <t>A. ARUS KAS OPERASI</t>
  </si>
  <si>
    <t>I. PENERIMAAN</t>
  </si>
  <si>
    <t>Penerimaan dari Pendapatan Air</t>
  </si>
  <si>
    <t>Penerimaan dari Pendapatan Non Air</t>
  </si>
  <si>
    <t>Penerimaan dari Pendapatan Lain-lain</t>
  </si>
  <si>
    <t>Penambahan Liabilitas Lancar</t>
  </si>
  <si>
    <t>II. PENGELUARAN</t>
  </si>
  <si>
    <t>Beban Transmisi &amp; Distribusi</t>
  </si>
  <si>
    <t>Beban Umum &amp; Administrasi</t>
  </si>
  <si>
    <t>Penerimaan dari Aset Lancar Lain-lain</t>
  </si>
  <si>
    <t>Pembayaran Aset Lancar Lain - lain</t>
  </si>
  <si>
    <t>Pembayaran Liabilitas Lancar Lain - lain</t>
  </si>
  <si>
    <t>ARUS KAS BERSIH DARI AKTIVITAS OPERASI</t>
  </si>
  <si>
    <t>ARUS KAS OPERASI</t>
  </si>
  <si>
    <t>B.</t>
  </si>
  <si>
    <t>ARUS KAS DARI AKTIVITAS INVESTASI</t>
  </si>
  <si>
    <t xml:space="preserve">Penambahan Aset Tetap </t>
  </si>
  <si>
    <t>ARUS KAS BERSIH DIGUNAKAN AKTIVITAS INVESTASI</t>
  </si>
  <si>
    <t>C.</t>
  </si>
  <si>
    <t>ARUS KAS DARI AKTIVITAS PENDANAAN</t>
  </si>
  <si>
    <t>Penambahan PMP</t>
  </si>
  <si>
    <t>Pembayaran Deviden kepada KPM</t>
  </si>
  <si>
    <t>Pembayaran Jasa Produksi dan Tantiem</t>
  </si>
  <si>
    <t>Penambahan Cadangan Dana/Koreksi Tahu Lalu</t>
  </si>
  <si>
    <t>ARUS KAS BERSIH UNTUK AKTIVITAS PENDANAAN</t>
  </si>
  <si>
    <t>D.</t>
  </si>
  <si>
    <t>KENAIKAN/BERKURANG BERSIH KAS DAN SETARA KAS</t>
  </si>
  <si>
    <t>E.</t>
  </si>
  <si>
    <t>SALDO KAS SETARA KAS AWAL TAHUN</t>
  </si>
  <si>
    <t>F.</t>
  </si>
  <si>
    <t>UNTUK TAHUN YANG BERAKHIR 28 FEBRUARI 2025 DAN TAHUN 2024</t>
  </si>
  <si>
    <t>UNTUK TAHUN YANG BERAKHIR 31 MARET 2025 DAN TAHUN 2024</t>
  </si>
  <si>
    <t>UNTUK TAHUN YANG BERAKHIR 30 APRIL 2025 DAN TAHUN 2024</t>
  </si>
  <si>
    <t>UNTUK TAHUN YANG BERAKHIR 31 MEI 2025 DAN TAHUN 2024</t>
  </si>
  <si>
    <t>UNTUK TAHUN YANG BERAKHIR 30 JUNI 2025 DAN TAHUN 2024</t>
  </si>
  <si>
    <t>UNTUK TAHUN YANG BERAKHIR 31 JULI 2025 DAN TAHUN 2024</t>
  </si>
  <si>
    <t>UNTUK TAHUN YANG BERAKHIR 31 AGUSTUS 2025 DAN TAHUN 2024</t>
  </si>
  <si>
    <t>UNTUK TAHUN YANG BERAKHIR 30 SEPTEMBER 2025 DAN TAHUN 2024</t>
  </si>
  <si>
    <t>UNTUK TAHUN YANG BERAKHIR 31 OKTOBER 2025 DAN TAHUN 2024</t>
  </si>
  <si>
    <t>UNTUK TAHUN YANG BERAKHIR 30 NOVEMBER 2025 DAN TAHUN 2024</t>
  </si>
  <si>
    <t>UNTUK TAHUN YANG BERAKHIR 31 DESEMBER 2025 DAN TAHUN 2024</t>
  </si>
  <si>
    <t xml:space="preserve">TAHUN </t>
  </si>
  <si>
    <t>UNTUK TAHUN YANG BERAKHIR 31 JANUARI 2025</t>
  </si>
  <si>
    <t>Total pengeluaran kas dlm 1 tahun dikurang (1+2+3+5+6+pengeluaran aset)</t>
  </si>
  <si>
    <t>Reklas pembelian bahan karena sdh dipakai assesories &amp; bahan kimia</t>
  </si>
  <si>
    <t>Pemeliharaan trandist</t>
  </si>
  <si>
    <t>DM</t>
  </si>
  <si>
    <t>Bahan kimia</t>
  </si>
  <si>
    <t>Pemasangan SR &amp;Jaringan</t>
  </si>
  <si>
    <t>(pengeluaran kas 1 th)</t>
  </si>
  <si>
    <t>pembayaran utang sesuai neraca 2023</t>
  </si>
  <si>
    <t xml:space="preserve">(-) hutang pap desember </t>
  </si>
  <si>
    <t>Beban ADM -B.Imbalan kerja-B.penysihan</t>
  </si>
  <si>
    <t xml:space="preserve">         Total Aset Lancar</t>
  </si>
  <si>
    <t>Nilai Perolehan Aset Tetap</t>
  </si>
  <si>
    <t>Nilai Perolehan Aset Tetap Tdk Berwujud</t>
  </si>
  <si>
    <t>Nilai Perolehan Aset Tetap Dalam Penyelesaian</t>
  </si>
  <si>
    <t xml:space="preserve">               Total Liabilitas Jangka Pendek</t>
  </si>
  <si>
    <t>BULAN : FEBRUARI 2025</t>
  </si>
  <si>
    <t>PERUSAHAAN UMUM DAERAH AIR MINUM (PERUMDAM)</t>
  </si>
  <si>
    <t>LAMPIRAN 9</t>
  </si>
  <si>
    <t>TIRTA SERUYAN</t>
  </si>
  <si>
    <t>Gaji dan Honor Sumber Air</t>
  </si>
  <si>
    <t xml:space="preserve">Insentif / THR dan Bonus </t>
  </si>
  <si>
    <t>Beban Kesejahteraan Karyawan Sumber  Air</t>
  </si>
  <si>
    <t>Beban Iuran Dana Pensiun Sumber Air</t>
  </si>
  <si>
    <t>Beban BPJS Kesehatan Sumber Air</t>
  </si>
  <si>
    <t>Beban BPJS Ketenagkerjaan Sumber Air</t>
  </si>
  <si>
    <t>Uang Makan dan minum Sumber Air</t>
  </si>
  <si>
    <t>Uang Pisah/Purna Tugas</t>
  </si>
  <si>
    <t>Beban Pendidikan &amp; latihan Sumber air</t>
  </si>
  <si>
    <t>Beban Pembinaan Pegawai Sumber Air</t>
  </si>
  <si>
    <t>Rupa-Rupa Biaya Operasi Sumber Air</t>
  </si>
  <si>
    <t>Beban Operasi  Sumber Air</t>
  </si>
  <si>
    <t>91.04.00</t>
  </si>
  <si>
    <t>Beban Pegawai Pengolahan Air</t>
  </si>
  <si>
    <t>Gaji &amp; Honor Pengolahan Air</t>
  </si>
  <si>
    <t>Lembur Pegawai Pengolahan Air</t>
  </si>
  <si>
    <t>Beban Iuran Dana Pensiun Pengolahan Air</t>
  </si>
  <si>
    <t>Beban BPJS Kesehatan Pengolahan Air</t>
  </si>
  <si>
    <t>Beban BPJS Ketenagkerjaan Pengolahan Air</t>
  </si>
  <si>
    <t>Uang Makan dan minum Pengolahan Air</t>
  </si>
  <si>
    <t>Beban Pendidikan &amp; latihan Pengolahan Air</t>
  </si>
  <si>
    <t>Beban Pembinaan Pegawai Pengoahan Air</t>
  </si>
  <si>
    <t>Jumlah MAGNOFLOG</t>
  </si>
  <si>
    <t xml:space="preserve">Beban Pemakaian Bahan Pembantu </t>
  </si>
  <si>
    <t>BEBAN PEMELIHARAAN PENGOLAHAN AIR</t>
  </si>
  <si>
    <t>Jumlah Beban Pemeliharaan Pengolahan Air</t>
  </si>
  <si>
    <t>BEBAN PENYUSUTAN PENGOLAHAN AIR</t>
  </si>
  <si>
    <t>BEBAN OPERASIONAL TRANDIST</t>
  </si>
  <si>
    <t>Gaji dan Honor Trandist</t>
  </si>
  <si>
    <t>Lembur Pegawai Trandist</t>
  </si>
  <si>
    <t>Beban Kesejahteraan Karyawan Trandist</t>
  </si>
  <si>
    <t>Beban Iuran Dana Pensiun Trandist</t>
  </si>
  <si>
    <t>Beban BPJS Kesehatan Trandist</t>
  </si>
  <si>
    <t>Beban BPJS Ketenagkerjaan Trandist</t>
  </si>
  <si>
    <t>Uang Makan dan minum Trandist</t>
  </si>
  <si>
    <t>Beban Pendidikan &amp; latihan Trandist</t>
  </si>
  <si>
    <t>Jumlah Biaya Pemeliharaan Trandist</t>
  </si>
  <si>
    <t>JUMLAH BEBAN TRAND &amp; DIST</t>
  </si>
  <si>
    <t>BEBAN HPP SAMBUNGAN BARU</t>
  </si>
  <si>
    <t>BEBAN OPERASIONAL SEBELUM PENYUSUTAN</t>
  </si>
  <si>
    <t>JUMLAH BEBAN OPERASIONAL</t>
  </si>
  <si>
    <t>LAMPIRAN 10</t>
  </si>
  <si>
    <t>Beban Pegawai Umum &amp; Administrasi</t>
  </si>
  <si>
    <t>Pegawai Induk PERUMDAM</t>
  </si>
  <si>
    <t>Lembur pegawai Adm &amp; Umum</t>
  </si>
  <si>
    <t xml:space="preserve">Insentif / THR , dana kesejahteraan pegawai dan Bonus / Uang Cuti </t>
  </si>
  <si>
    <t>Beban Kesejahteraan Karyawan Umum &amp; Adm</t>
  </si>
  <si>
    <t>Beban Iuran Dana Pensiun Umum &amp; Adm</t>
  </si>
  <si>
    <t>Beban BPJS Kesehatan Umum &amp; Adm</t>
  </si>
  <si>
    <t>Beban BPJS Ketenagkerjaan Umum &amp; Adm</t>
  </si>
  <si>
    <t>Beban Pendidikan &amp; latihan Umum &amp; Adm</t>
  </si>
  <si>
    <t>Beban Pembinaan Pegawai Umum &amp; Adm</t>
  </si>
  <si>
    <t>Beban Bantuan &amp; Sumbangan</t>
  </si>
  <si>
    <t>Beban Penagihan Rekening Air</t>
  </si>
  <si>
    <t>RUPA-RUPA BEBAN UMUM</t>
  </si>
  <si>
    <t>Beban Iuran Keanggotaan</t>
  </si>
  <si>
    <t>Beban Langganan Media Cetak</t>
  </si>
  <si>
    <t>Beban Penghapusan Piutang</t>
  </si>
  <si>
    <t>Beban Keamanan</t>
  </si>
  <si>
    <t>Beban Depresiasi &amp; Amortisasi Umum</t>
  </si>
  <si>
    <t>SISA</t>
  </si>
  <si>
    <t>Untuk bulan yang berakhir pada tanggal 31 MARET 2025</t>
  </si>
  <si>
    <t>Untuk bulan yang berakhir pada tanggal 30 APRIL 2025</t>
  </si>
  <si>
    <t>BULAN :APRIL 2025</t>
  </si>
  <si>
    <t>PER 30 APRIL 2025 DAN 31 DESEMBER 2024</t>
  </si>
  <si>
    <t>Untuk bulan yang berakhir pada tanggal 31 MEI 2025</t>
  </si>
  <si>
    <t>BULAN : MEI 2025</t>
  </si>
  <si>
    <t>Untuk bulan yang berakhir pada tanggal 30 JUNI 2025</t>
  </si>
  <si>
    <t>Per 30-06-2025</t>
  </si>
  <si>
    <t>BULAN : JUNI 2025</t>
  </si>
  <si>
    <t>Untuk bulan yang berakhir pada tanggal 31 Juli 2025</t>
  </si>
  <si>
    <t>Per 31-07-2025</t>
  </si>
  <si>
    <t>BULAN : JULI 2025</t>
  </si>
  <si>
    <t>Untuk bulan yang berakhir pada tanggal 31 Agustus 2025</t>
  </si>
  <si>
    <t>Per 31-08-2025</t>
  </si>
  <si>
    <t>BULAN : AGUSTUS 2025</t>
  </si>
  <si>
    <t>PER 30 SEPTEMBER 2025 DAN 31 DESEMBER 2025</t>
  </si>
  <si>
    <t>Per 31-09-2025</t>
  </si>
  <si>
    <t>BULAN : SEPTEMBER 2025</t>
  </si>
  <si>
    <t>Untuk bulan yang berakhir pada tanggal 31 OKTOBER 2025</t>
  </si>
  <si>
    <t>Per 31-10-2025</t>
  </si>
  <si>
    <t>BULAN : OKTOBER 2025</t>
  </si>
  <si>
    <t>Untuk bulan yang berakhir pada tanggal 30 NOVEMBER 2025</t>
  </si>
  <si>
    <t>AFIRUS FEBIAN</t>
  </si>
  <si>
    <t>TRI MURTIANI</t>
  </si>
  <si>
    <t>Per 30-11-2025</t>
  </si>
  <si>
    <t>BULAN : NOVEMBER 2025</t>
  </si>
  <si>
    <t>Per 31-12-2025</t>
  </si>
  <si>
    <t>4.</t>
  </si>
  <si>
    <t>BULAN : DESEMBER 2025</t>
  </si>
  <si>
    <t>4. Laporan Perputaran Uang</t>
  </si>
  <si>
    <t>Saldo 31 Desember 2025</t>
  </si>
  <si>
    <t>c. Penerimaan Lain-lain</t>
  </si>
  <si>
    <t>Untuk bulan yang berakhir pada tanggal 31 Januari 2026</t>
  </si>
  <si>
    <t>98.01.00</t>
  </si>
  <si>
    <t>PER 31 JANUARI 2026 DAN 31 DESEMBER 2025</t>
  </si>
  <si>
    <t>Tahun 2026</t>
  </si>
  <si>
    <t>Nilai Buku</t>
  </si>
  <si>
    <t>► Aset Tidak Lancar</t>
  </si>
  <si>
    <t>Aset Pajak Tangguhan</t>
  </si>
  <si>
    <t xml:space="preserve">- Utang </t>
  </si>
  <si>
    <t>UNTUK TAHUN YANG BERAKHIR 31 JANUARI 2026 DAN TAHUN 2025</t>
  </si>
  <si>
    <t>PER 28 FEBRUARI 2026 DAN 31 DESEMBER 2025</t>
  </si>
  <si>
    <t>Untuk bulan yang berakhir pada tanggal 28 Februari 2026</t>
  </si>
  <si>
    <t>Per 31-01-2026</t>
  </si>
  <si>
    <t>BEBAN PAJAK TANGGUHAN</t>
  </si>
  <si>
    <t>Dr. AFIRUS FEBIAN, S.Si., M.Pd</t>
  </si>
  <si>
    <t>Mengetahui,</t>
  </si>
  <si>
    <t>PER 31 MARET 2026 DAN 31 DESEMBER 2024</t>
  </si>
  <si>
    <t xml:space="preserve">           Dr. AFIRUS FEBIAN, S.Si., M.Pd</t>
  </si>
  <si>
    <t>Untuk bulan yang berakhir pada tanggal 31 Januari 2026 dan 31 Desember 2025</t>
  </si>
  <si>
    <t>Untuk bulan yang berakhir pada tanggal 28 Februari 2026 dan 31 Desember 2025</t>
  </si>
  <si>
    <t>Per 30-04-2026</t>
  </si>
  <si>
    <t>Per 31-05-2026</t>
  </si>
  <si>
    <t>Per 31-03-2026</t>
  </si>
  <si>
    <t>Untuk bulan yang berakhir pada tanggal 31 Maret 2026 dan 31 Desember 2025</t>
  </si>
  <si>
    <t xml:space="preserve">3. </t>
  </si>
  <si>
    <t>Untuk Tahun Yang Berakhir Tanggal 28 Februari 2026 dan 31 Desember 2025</t>
  </si>
  <si>
    <t>Untuk Tahun Yang Berakhir Tanggal 31 Maret 2026 dan 31 Desember 2025</t>
  </si>
  <si>
    <t>BULAN :MARET 2026</t>
  </si>
  <si>
    <t>TAHUN ANGGARAN 2026</t>
  </si>
  <si>
    <t xml:space="preserve"> </t>
  </si>
  <si>
    <t>Untuk Tahun Yang Berakhir Tanggal 31 Januari 2026 dan 31 Desember 2025</t>
  </si>
  <si>
    <t xml:space="preserve">                        AFIRUS FEBIAN</t>
  </si>
  <si>
    <t>Saldo 31 Januari 2026</t>
  </si>
  <si>
    <t>Saldo 31 Maret 2026</t>
  </si>
  <si>
    <t>Saldo 28 Februari 2026</t>
  </si>
  <si>
    <t>5. LAPORAN PERUBAHAN EKUITAS</t>
  </si>
  <si>
    <t xml:space="preserve">                            Pjs. Direktur</t>
  </si>
  <si>
    <t xml:space="preserve">                       AFIRUS FEBIAN</t>
  </si>
  <si>
    <t>Manfaat (Beban) Pajak Tangguhan</t>
  </si>
  <si>
    <t>MANFAAT (BEBAN) PAJAK TANGGUHAN</t>
  </si>
  <si>
    <t>Per 28-02-2026</t>
  </si>
  <si>
    <t>Untuk bulan yang berakhir pada tanggal 30 April 2026 dan 31 Desember 2025</t>
  </si>
  <si>
    <t xml:space="preserve">Pembuatan Dokumen Renbis </t>
  </si>
  <si>
    <t xml:space="preserve">Pembuatan Website </t>
  </si>
  <si>
    <t>Penyusunan POS</t>
  </si>
  <si>
    <t>Penyusunan Kebijakan Akuntansi &amp; Aset</t>
  </si>
  <si>
    <t>Penyusunan RPAM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</si>
</sst>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Bodoni MT"/>
      <family val="1"/>
    </font>
    <font>
      <b/>
      <sz val="8"/>
      <name val="Book Antiqua"/>
      <family val="1"/>
    </font>
    <font>
      <sz val="10"/>
      <name val="Arial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9"/>
      <color indexed="8"/>
      <name val="Arial"/>
      <family val="2"/>
    </font>
    <font>
      <sz val="9"/>
      <color theme="1"/>
      <name val="Book Antiqua"/>
      <family val="1"/>
    </font>
    <font>
      <sz val="9"/>
      <color theme="1"/>
      <name val="Arial"/>
      <family val="2"/>
    </font>
    <font>
      <sz val="8"/>
      <name val="Book Antiqua"/>
      <family val="1"/>
    </font>
    <font>
      <sz val="8"/>
      <color theme="1"/>
      <name val="Book Antiqua"/>
      <family val="1"/>
    </font>
    <font>
      <b/>
      <sz val="9"/>
      <name val="Book Antiqua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Bodoni MT"/>
      <family val="1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rgb="FFFF0000"/>
      <name val="Book Antiqua"/>
      <family val="1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Book Antiqua"/>
      <family val="1"/>
    </font>
    <font>
      <sz val="9"/>
      <name val="Book Antiqua"/>
      <family val="1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1"/>
      <name val="Book Antiqua"/>
      <family val="1"/>
    </font>
    <font>
      <b/>
      <sz val="8"/>
      <name val="Arial"/>
      <family val="2"/>
    </font>
    <font>
      <sz val="8"/>
      <name val="Arial"/>
      <family val="2"/>
    </font>
    <font>
      <u val="singleAccounting"/>
      <sz val="9"/>
      <color theme="1"/>
      <name val="Arial"/>
      <family val="2"/>
    </font>
    <font>
      <u/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0000"/>
      <name val="Bodoni MT"/>
      <family val="1"/>
    </font>
    <font>
      <sz val="12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6"/>
      <color theme="1" tint="4.9989318521683403E-2"/>
      <name val="Arial"/>
      <family val="2"/>
    </font>
    <font>
      <sz val="7"/>
      <color indexed="81"/>
      <name val="Tahoma"/>
      <family val="2"/>
    </font>
    <font>
      <b/>
      <sz val="11"/>
      <color theme="1"/>
      <name val="Bodoni MT"/>
      <family val="1"/>
    </font>
    <font>
      <b/>
      <sz val="11"/>
      <color rgb="FFFF0000"/>
      <name val="Bodoni MT"/>
      <family val="1"/>
    </font>
    <font>
      <sz val="10"/>
      <color theme="1"/>
      <name val="Bodoni MT"/>
      <family val="1"/>
    </font>
    <font>
      <sz val="7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7"/>
      <name val="Calibri"/>
      <family val="2"/>
      <scheme val="minor"/>
    </font>
    <font>
      <sz val="6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sz val="7"/>
      <color rgb="FFFF0000"/>
      <name val="Arial"/>
      <family val="2"/>
    </font>
    <font>
      <b/>
      <sz val="7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Book Antiqua"/>
      <family val="1"/>
    </font>
    <font>
      <b/>
      <sz val="9"/>
      <color theme="0"/>
      <name val="Book Antiqua"/>
      <family val="1"/>
    </font>
    <font>
      <sz val="9"/>
      <color theme="0"/>
      <name val="Book Antiqua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auto="1"/>
      </bottom>
      <diagonal/>
    </border>
    <border>
      <left/>
      <right style="thin">
        <color indexed="64"/>
      </right>
      <top style="dashed">
        <color indexed="64"/>
      </top>
      <bottom style="thin">
        <color auto="1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/>
    <xf numFmtId="0" fontId="6" fillId="0" borderId="0">
      <alignment horizontal="lef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8" fillId="0" borderId="0">
      <alignment horizontal="center" vertical="top"/>
    </xf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907">
    <xf numFmtId="0" fontId="0" fillId="0" borderId="0" xfId="0"/>
    <xf numFmtId="0" fontId="3" fillId="0" borderId="0" xfId="0" applyFont="1"/>
    <xf numFmtId="0" fontId="11" fillId="0" borderId="0" xfId="4" applyFont="1"/>
    <xf numFmtId="0" fontId="4" fillId="0" borderId="0" xfId="4" applyFont="1"/>
    <xf numFmtId="165" fontId="11" fillId="0" borderId="0" xfId="3" applyNumberFormat="1" applyFont="1" applyFill="1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4" fillId="0" borderId="0" xfId="0" applyFont="1"/>
    <xf numFmtId="43" fontId="14" fillId="0" borderId="0" xfId="0" applyNumberFormat="1" applyFont="1"/>
    <xf numFmtId="0" fontId="0" fillId="0" borderId="13" xfId="0" applyBorder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45" xfId="0" applyBorder="1"/>
    <xf numFmtId="0" fontId="17" fillId="0" borderId="0" xfId="0" applyFont="1"/>
    <xf numFmtId="43" fontId="11" fillId="0" borderId="0" xfId="4" applyNumberFormat="1" applyFont="1"/>
    <xf numFmtId="43" fontId="19" fillId="0" borderId="42" xfId="2" applyFont="1" applyFill="1" applyBorder="1"/>
    <xf numFmtId="0" fontId="20" fillId="0" borderId="49" xfId="0" applyFont="1" applyBorder="1"/>
    <xf numFmtId="43" fontId="19" fillId="0" borderId="22" xfId="2" applyFont="1" applyFill="1" applyBorder="1"/>
    <xf numFmtId="0" fontId="20" fillId="0" borderId="13" xfId="0" applyFont="1" applyBorder="1"/>
    <xf numFmtId="0" fontId="20" fillId="0" borderId="22" xfId="0" applyFont="1" applyBorder="1"/>
    <xf numFmtId="0" fontId="20" fillId="0" borderId="0" xfId="0" applyFont="1"/>
    <xf numFmtId="43" fontId="20" fillId="0" borderId="22" xfId="0" applyNumberFormat="1" applyFont="1" applyBorder="1"/>
    <xf numFmtId="0" fontId="19" fillId="0" borderId="12" xfId="0" applyFont="1" applyBorder="1" applyAlignment="1">
      <alignment vertical="center"/>
    </xf>
    <xf numFmtId="0" fontId="12" fillId="0" borderId="24" xfId="0" applyFont="1" applyBorder="1"/>
    <xf numFmtId="0" fontId="12" fillId="0" borderId="14" xfId="0" applyFont="1" applyBorder="1"/>
    <xf numFmtId="0" fontId="12" fillId="0" borderId="23" xfId="0" applyFont="1" applyBorder="1"/>
    <xf numFmtId="0" fontId="22" fillId="0" borderId="0" xfId="0" applyFont="1"/>
    <xf numFmtId="0" fontId="23" fillId="0" borderId="26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1" fillId="0" borderId="0" xfId="0" applyFont="1"/>
    <xf numFmtId="43" fontId="22" fillId="0" borderId="0" xfId="2" applyFont="1" applyFill="1" applyBorder="1"/>
    <xf numFmtId="0" fontId="22" fillId="0" borderId="0" xfId="0" applyFont="1" applyAlignment="1">
      <alignment vertical="center"/>
    </xf>
    <xf numFmtId="39" fontId="14" fillId="0" borderId="9" xfId="0" applyNumberFormat="1" applyFont="1" applyBorder="1" applyAlignment="1">
      <alignment vertical="center"/>
    </xf>
    <xf numFmtId="43" fontId="22" fillId="0" borderId="0" xfId="2" applyFont="1" applyFill="1" applyBorder="1" applyAlignment="1">
      <alignment vertical="center"/>
    </xf>
    <xf numFmtId="39" fontId="15" fillId="0" borderId="9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43" fontId="21" fillId="0" borderId="0" xfId="2" applyFont="1" applyFill="1" applyBorder="1" applyAlignment="1">
      <alignment vertical="center"/>
    </xf>
    <xf numFmtId="43" fontId="15" fillId="0" borderId="9" xfId="0" applyNumberFormat="1" applyFont="1" applyBorder="1" applyAlignment="1">
      <alignment vertical="center"/>
    </xf>
    <xf numFmtId="43" fontId="21" fillId="0" borderId="0" xfId="2" applyFont="1" applyFill="1" applyBorder="1"/>
    <xf numFmtId="0" fontId="21" fillId="0" borderId="25" xfId="0" applyFont="1" applyBorder="1"/>
    <xf numFmtId="0" fontId="22" fillId="0" borderId="25" xfId="0" applyFont="1" applyBorder="1"/>
    <xf numFmtId="43" fontId="21" fillId="0" borderId="25" xfId="2" applyFont="1" applyFill="1" applyBorder="1"/>
    <xf numFmtId="43" fontId="14" fillId="0" borderId="9" xfId="0" applyNumberFormat="1" applyFont="1" applyBorder="1" applyAlignment="1">
      <alignment vertical="center"/>
    </xf>
    <xf numFmtId="43" fontId="0" fillId="0" borderId="0" xfId="0" applyNumberFormat="1"/>
    <xf numFmtId="39" fontId="14" fillId="0" borderId="0" xfId="0" applyNumberFormat="1" applyFont="1"/>
    <xf numFmtId="0" fontId="18" fillId="0" borderId="0" xfId="0" applyFont="1"/>
    <xf numFmtId="43" fontId="18" fillId="0" borderId="0" xfId="2" applyFont="1" applyBorder="1"/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/>
    </xf>
    <xf numFmtId="0" fontId="26" fillId="0" borderId="41" xfId="0" applyFont="1" applyBorder="1"/>
    <xf numFmtId="0" fontId="18" fillId="0" borderId="54" xfId="0" applyFont="1" applyBorder="1"/>
    <xf numFmtId="0" fontId="18" fillId="0" borderId="55" xfId="0" applyFont="1" applyBorder="1"/>
    <xf numFmtId="43" fontId="18" fillId="0" borderId="33" xfId="2" applyFont="1" applyBorder="1"/>
    <xf numFmtId="43" fontId="26" fillId="0" borderId="33" xfId="2" applyFont="1" applyBorder="1"/>
    <xf numFmtId="0" fontId="18" fillId="0" borderId="41" xfId="0" applyFont="1" applyBorder="1"/>
    <xf numFmtId="0" fontId="26" fillId="0" borderId="54" xfId="0" applyFont="1" applyBorder="1"/>
    <xf numFmtId="0" fontId="26" fillId="0" borderId="55" xfId="0" applyFont="1" applyBorder="1"/>
    <xf numFmtId="0" fontId="18" fillId="0" borderId="33" xfId="0" applyFont="1" applyBorder="1"/>
    <xf numFmtId="43" fontId="18" fillId="0" borderId="33" xfId="2" applyFont="1" applyFill="1" applyBorder="1"/>
    <xf numFmtId="0" fontId="18" fillId="0" borderId="46" xfId="0" applyFont="1" applyBorder="1"/>
    <xf numFmtId="0" fontId="18" fillId="0" borderId="56" xfId="0" applyFont="1" applyBorder="1"/>
    <xf numFmtId="0" fontId="18" fillId="0" borderId="57" xfId="0" applyFont="1" applyBorder="1"/>
    <xf numFmtId="43" fontId="18" fillId="0" borderId="34" xfId="2" applyFont="1" applyBorder="1"/>
    <xf numFmtId="43" fontId="26" fillId="0" borderId="9" xfId="2" applyFont="1" applyBorder="1" applyAlignment="1">
      <alignment vertical="center"/>
    </xf>
    <xf numFmtId="43" fontId="18" fillId="0" borderId="0" xfId="2" applyFont="1"/>
    <xf numFmtId="43" fontId="26" fillId="0" borderId="33" xfId="2" applyFont="1" applyBorder="1" applyAlignment="1">
      <alignment vertical="center"/>
    </xf>
    <xf numFmtId="0" fontId="27" fillId="0" borderId="0" xfId="0" applyFont="1"/>
    <xf numFmtId="0" fontId="27" fillId="0" borderId="0" xfId="0" applyFont="1" applyAlignment="1">
      <alignment horizontal="centerContinuous"/>
    </xf>
    <xf numFmtId="0" fontId="12" fillId="0" borderId="0" xfId="0" applyFont="1"/>
    <xf numFmtId="0" fontId="27" fillId="0" borderId="6" xfId="0" applyFont="1" applyBorder="1"/>
    <xf numFmtId="0" fontId="12" fillId="0" borderId="58" xfId="0" applyFont="1" applyBorder="1"/>
    <xf numFmtId="0" fontId="12" fillId="0" borderId="59" xfId="0" applyFont="1" applyBorder="1"/>
    <xf numFmtId="43" fontId="12" fillId="0" borderId="2" xfId="2" applyFont="1" applyBorder="1"/>
    <xf numFmtId="43" fontId="12" fillId="0" borderId="2" xfId="2" applyFont="1" applyFill="1" applyBorder="1"/>
    <xf numFmtId="0" fontId="12" fillId="0" borderId="7" xfId="0" applyFont="1" applyBorder="1"/>
    <xf numFmtId="0" fontId="12" fillId="0" borderId="60" xfId="0" applyFont="1" applyBorder="1"/>
    <xf numFmtId="0" fontId="12" fillId="0" borderId="61" xfId="0" applyFont="1" applyBorder="1"/>
    <xf numFmtId="43" fontId="12" fillId="0" borderId="1" xfId="2" applyFont="1" applyBorder="1"/>
    <xf numFmtId="43" fontId="12" fillId="0" borderId="1" xfId="2" applyFont="1" applyFill="1" applyBorder="1"/>
    <xf numFmtId="0" fontId="12" fillId="0" borderId="1" xfId="0" applyFont="1" applyBorder="1"/>
    <xf numFmtId="0" fontId="27" fillId="0" borderId="61" xfId="0" applyFont="1" applyBorder="1" applyAlignment="1">
      <alignment horizontal="right"/>
    </xf>
    <xf numFmtId="43" fontId="27" fillId="0" borderId="1" xfId="2" applyFont="1" applyBorder="1" applyAlignment="1">
      <alignment horizontal="right"/>
    </xf>
    <xf numFmtId="43" fontId="27" fillId="0" borderId="1" xfId="2" applyFont="1" applyFill="1" applyBorder="1"/>
    <xf numFmtId="43" fontId="27" fillId="0" borderId="1" xfId="2" applyFont="1" applyBorder="1"/>
    <xf numFmtId="0" fontId="27" fillId="0" borderId="7" xfId="0" applyFont="1" applyBorder="1"/>
    <xf numFmtId="0" fontId="12" fillId="0" borderId="61" xfId="1" applyFont="1" applyBorder="1" applyAlignment="1">
      <alignment vertical="center"/>
    </xf>
    <xf numFmtId="0" fontId="12" fillId="0" borderId="61" xfId="1" applyFont="1" applyBorder="1" applyAlignment="1">
      <alignment horizontal="left" vertical="center"/>
    </xf>
    <xf numFmtId="43" fontId="27" fillId="0" borderId="1" xfId="0" applyNumberFormat="1" applyFont="1" applyBorder="1"/>
    <xf numFmtId="43" fontId="12" fillId="0" borderId="1" xfId="0" applyNumberFormat="1" applyFont="1" applyBorder="1"/>
    <xf numFmtId="0" fontId="12" fillId="0" borderId="4" xfId="0" applyFont="1" applyBorder="1"/>
    <xf numFmtId="43" fontId="12" fillId="0" borderId="4" xfId="2" applyFont="1" applyBorder="1"/>
    <xf numFmtId="43" fontId="12" fillId="0" borderId="4" xfId="2" applyFont="1" applyFill="1" applyBorder="1"/>
    <xf numFmtId="0" fontId="27" fillId="0" borderId="9" xfId="0" applyFont="1" applyBorder="1"/>
    <xf numFmtId="43" fontId="27" fillId="0" borderId="9" xfId="0" applyNumberFormat="1" applyFont="1" applyBorder="1" applyAlignment="1">
      <alignment vertical="center"/>
    </xf>
    <xf numFmtId="41" fontId="14" fillId="0" borderId="0" xfId="3" applyFont="1"/>
    <xf numFmtId="2" fontId="14" fillId="0" borderId="0" xfId="0" applyNumberFormat="1" applyFont="1"/>
    <xf numFmtId="0" fontId="14" fillId="0" borderId="12" xfId="0" applyFont="1" applyBorder="1"/>
    <xf numFmtId="0" fontId="25" fillId="0" borderId="0" xfId="0" applyFont="1"/>
    <xf numFmtId="39" fontId="9" fillId="0" borderId="0" xfId="0" applyNumberFormat="1" applyFont="1"/>
    <xf numFmtId="0" fontId="9" fillId="0" borderId="14" xfId="0" applyFont="1" applyBorder="1"/>
    <xf numFmtId="39" fontId="13" fillId="0" borderId="0" xfId="4" applyNumberFormat="1" applyFont="1"/>
    <xf numFmtId="0" fontId="28" fillId="0" borderId="0" xfId="4" quotePrefix="1" applyFont="1"/>
    <xf numFmtId="39" fontId="17" fillId="0" borderId="0" xfId="0" applyNumberFormat="1" applyFont="1"/>
    <xf numFmtId="164" fontId="17" fillId="0" borderId="0" xfId="2" applyNumberFormat="1" applyFont="1" applyFill="1" applyBorder="1"/>
    <xf numFmtId="0" fontId="28" fillId="0" borderId="0" xfId="4" applyFont="1"/>
    <xf numFmtId="0" fontId="13" fillId="0" borderId="0" xfId="4" applyFont="1"/>
    <xf numFmtId="43" fontId="17" fillId="0" borderId="0" xfId="0" applyNumberFormat="1" applyFont="1"/>
    <xf numFmtId="43" fontId="24" fillId="0" borderId="0" xfId="4" applyNumberFormat="1" applyFont="1"/>
    <xf numFmtId="39" fontId="24" fillId="0" borderId="0" xfId="4" applyNumberFormat="1" applyFont="1"/>
    <xf numFmtId="41" fontId="14" fillId="0" borderId="0" xfId="0" applyNumberFormat="1" applyFont="1"/>
    <xf numFmtId="0" fontId="29" fillId="0" borderId="0" xfId="0" applyFont="1"/>
    <xf numFmtId="41" fontId="29" fillId="0" borderId="0" xfId="0" applyNumberFormat="1" applyFont="1"/>
    <xf numFmtId="41" fontId="29" fillId="0" borderId="0" xfId="2" applyNumberFormat="1" applyFont="1"/>
    <xf numFmtId="164" fontId="29" fillId="0" borderId="0" xfId="2" applyNumberFormat="1" applyFont="1"/>
    <xf numFmtId="164" fontId="10" fillId="0" borderId="28" xfId="2" applyNumberFormat="1" applyFont="1" applyBorder="1"/>
    <xf numFmtId="41" fontId="10" fillId="0" borderId="15" xfId="2" applyNumberFormat="1" applyFont="1" applyBorder="1"/>
    <xf numFmtId="41" fontId="10" fillId="0" borderId="15" xfId="0" applyNumberFormat="1" applyFont="1" applyBorder="1"/>
    <xf numFmtId="0" fontId="10" fillId="0" borderId="15" xfId="0" applyFont="1" applyBorder="1"/>
    <xf numFmtId="0" fontId="29" fillId="0" borderId="27" xfId="0" applyFont="1" applyBorder="1"/>
    <xf numFmtId="164" fontId="10" fillId="0" borderId="22" xfId="2" applyNumberFormat="1" applyFont="1" applyBorder="1"/>
    <xf numFmtId="41" fontId="10" fillId="0" borderId="0" xfId="2" applyNumberFormat="1" applyFont="1" applyBorder="1"/>
    <xf numFmtId="41" fontId="10" fillId="0" borderId="0" xfId="0" applyNumberFormat="1" applyFont="1"/>
    <xf numFmtId="0" fontId="10" fillId="0" borderId="0" xfId="0" applyFont="1"/>
    <xf numFmtId="0" fontId="29" fillId="0" borderId="13" xfId="0" applyFont="1" applyBorder="1"/>
    <xf numFmtId="41" fontId="30" fillId="0" borderId="12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41" fontId="30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41" fontId="30" fillId="0" borderId="16" xfId="2" applyNumberFormat="1" applyFont="1" applyBorder="1"/>
    <xf numFmtId="41" fontId="30" fillId="0" borderId="0" xfId="0" applyNumberFormat="1" applyFont="1"/>
    <xf numFmtId="41" fontId="30" fillId="0" borderId="0" xfId="2" applyNumberFormat="1" applyFont="1" applyBorder="1"/>
    <xf numFmtId="0" fontId="30" fillId="0" borderId="0" xfId="0" applyFont="1" applyAlignment="1">
      <alignment horizontal="center"/>
    </xf>
    <xf numFmtId="0" fontId="10" fillId="0" borderId="22" xfId="0" applyFont="1" applyBorder="1"/>
    <xf numFmtId="0" fontId="29" fillId="0" borderId="22" xfId="0" applyFont="1" applyBorder="1"/>
    <xf numFmtId="41" fontId="32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3" fillId="0" borderId="22" xfId="0" applyFont="1" applyBorder="1"/>
    <xf numFmtId="0" fontId="34" fillId="0" borderId="24" xfId="0" applyFont="1" applyBorder="1"/>
    <xf numFmtId="0" fontId="29" fillId="0" borderId="23" xfId="0" applyFont="1" applyBorder="1"/>
    <xf numFmtId="0" fontId="10" fillId="0" borderId="0" xfId="0" applyFont="1" applyAlignment="1">
      <alignment vertical="center"/>
    </xf>
    <xf numFmtId="41" fontId="10" fillId="0" borderId="0" xfId="0" applyNumberFormat="1" applyFont="1" applyAlignment="1">
      <alignment vertical="center"/>
    </xf>
    <xf numFmtId="43" fontId="25" fillId="0" borderId="0" xfId="0" applyNumberFormat="1" applyFont="1"/>
    <xf numFmtId="164" fontId="25" fillId="0" borderId="0" xfId="0" applyNumberFormat="1" applyFont="1"/>
    <xf numFmtId="39" fontId="28" fillId="0" borderId="0" xfId="4" quotePrefix="1" applyNumberFormat="1" applyFont="1"/>
    <xf numFmtId="41" fontId="3" fillId="0" borderId="0" xfId="0" applyNumberFormat="1" applyFont="1"/>
    <xf numFmtId="39" fontId="0" fillId="0" borderId="0" xfId="0" applyNumberFormat="1"/>
    <xf numFmtId="43" fontId="30" fillId="0" borderId="0" xfId="2" applyFont="1" applyBorder="1"/>
    <xf numFmtId="41" fontId="3" fillId="0" borderId="0" xfId="3" applyFont="1"/>
    <xf numFmtId="0" fontId="10" fillId="0" borderId="0" xfId="0" applyFont="1" applyAlignment="1">
      <alignment horizontal="left"/>
    </xf>
    <xf numFmtId="41" fontId="10" fillId="0" borderId="14" xfId="0" applyNumberFormat="1" applyFont="1" applyBorder="1"/>
    <xf numFmtId="41" fontId="10" fillId="0" borderId="14" xfId="2" applyNumberFormat="1" applyFont="1" applyBorder="1"/>
    <xf numFmtId="41" fontId="10" fillId="0" borderId="9" xfId="0" applyNumberFormat="1" applyFont="1" applyBorder="1"/>
    <xf numFmtId="41" fontId="30" fillId="0" borderId="14" xfId="0" applyNumberFormat="1" applyFont="1" applyBorder="1"/>
    <xf numFmtId="41" fontId="30" fillId="0" borderId="14" xfId="2" applyNumberFormat="1" applyFont="1" applyBorder="1"/>
    <xf numFmtId="41" fontId="30" fillId="0" borderId="30" xfId="0" applyNumberFormat="1" applyFont="1" applyBorder="1"/>
    <xf numFmtId="41" fontId="30" fillId="0" borderId="30" xfId="2" applyNumberFormat="1" applyFont="1" applyBorder="1"/>
    <xf numFmtId="41" fontId="31" fillId="5" borderId="9" xfId="0" applyNumberFormat="1" applyFont="1" applyFill="1" applyBorder="1" applyAlignment="1">
      <alignment horizontal="center" vertical="center"/>
    </xf>
    <xf numFmtId="41" fontId="10" fillId="5" borderId="9" xfId="0" applyNumberFormat="1" applyFont="1" applyFill="1" applyBorder="1" applyAlignment="1">
      <alignment vertical="center"/>
    </xf>
    <xf numFmtId="41" fontId="10" fillId="5" borderId="9" xfId="2" applyNumberFormat="1" applyFont="1" applyFill="1" applyBorder="1" applyAlignment="1">
      <alignment vertical="center"/>
    </xf>
    <xf numFmtId="0" fontId="14" fillId="0" borderId="12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4" fillId="0" borderId="9" xfId="0" applyFont="1" applyBorder="1"/>
    <xf numFmtId="41" fontId="31" fillId="5" borderId="9" xfId="0" applyNumberFormat="1" applyFont="1" applyFill="1" applyBorder="1" applyAlignment="1">
      <alignment horizontal="center" vertical="center" wrapText="1"/>
    </xf>
    <xf numFmtId="41" fontId="14" fillId="0" borderId="12" xfId="3" applyFont="1" applyBorder="1"/>
    <xf numFmtId="41" fontId="14" fillId="0" borderId="9" xfId="3" applyFont="1" applyBorder="1" applyAlignment="1">
      <alignment vertical="center"/>
    </xf>
    <xf numFmtId="0" fontId="21" fillId="0" borderId="0" xfId="4" applyFont="1"/>
    <xf numFmtId="0" fontId="39" fillId="0" borderId="0" xfId="4" applyFont="1"/>
    <xf numFmtId="43" fontId="39" fillId="0" borderId="0" xfId="4" applyNumberFormat="1" applyFont="1"/>
    <xf numFmtId="0" fontId="22" fillId="0" borderId="0" xfId="4" applyFont="1"/>
    <xf numFmtId="0" fontId="40" fillId="0" borderId="0" xfId="4" applyFont="1" applyAlignment="1">
      <alignment horizontal="center"/>
    </xf>
    <xf numFmtId="0" fontId="29" fillId="0" borderId="0" xfId="0" applyFont="1" applyAlignment="1">
      <alignment horizontal="center"/>
    </xf>
    <xf numFmtId="0" fontId="41" fillId="0" borderId="0" xfId="4" applyFont="1" applyAlignment="1">
      <alignment horizontal="center"/>
    </xf>
    <xf numFmtId="0" fontId="31" fillId="0" borderId="0" xfId="0" applyFont="1"/>
    <xf numFmtId="39" fontId="10" fillId="0" borderId="0" xfId="0" applyNumberFormat="1" applyFont="1"/>
    <xf numFmtId="39" fontId="10" fillId="0" borderId="0" xfId="2" applyNumberFormat="1" applyFont="1"/>
    <xf numFmtId="0" fontId="10" fillId="0" borderId="23" xfId="0" applyFont="1" applyBorder="1"/>
    <xf numFmtId="39" fontId="30" fillId="0" borderId="24" xfId="2" applyNumberFormat="1" applyFont="1" applyBorder="1" applyAlignment="1">
      <alignment horizontal="centerContinuous"/>
    </xf>
    <xf numFmtId="0" fontId="10" fillId="0" borderId="13" xfId="0" applyFont="1" applyBorder="1"/>
    <xf numFmtId="0" fontId="10" fillId="0" borderId="0" xfId="0" applyFont="1" applyAlignment="1">
      <alignment horizontal="centerContinuous"/>
    </xf>
    <xf numFmtId="39" fontId="10" fillId="0" borderId="22" xfId="2" applyNumberFormat="1" applyFont="1" applyBorder="1" applyAlignment="1">
      <alignment horizontal="centerContinuous"/>
    </xf>
    <xf numFmtId="39" fontId="10" fillId="0" borderId="22" xfId="2" applyNumberFormat="1" applyFont="1" applyBorder="1"/>
    <xf numFmtId="0" fontId="31" fillId="0" borderId="0" xfId="0" applyFont="1" applyAlignment="1">
      <alignment horizontal="center"/>
    </xf>
    <xf numFmtId="39" fontId="31" fillId="0" borderId="22" xfId="2" applyNumberFormat="1" applyFont="1" applyFill="1" applyBorder="1" applyAlignment="1">
      <alignment horizontal="center" vertical="center"/>
    </xf>
    <xf numFmtId="39" fontId="30" fillId="0" borderId="22" xfId="2" applyNumberFormat="1" applyFont="1" applyFill="1" applyBorder="1" applyAlignment="1">
      <alignment horizontal="center"/>
    </xf>
    <xf numFmtId="39" fontId="30" fillId="0" borderId="22" xfId="2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39" fontId="36" fillId="0" borderId="22" xfId="2" applyNumberFormat="1" applyFont="1" applyFill="1" applyBorder="1" applyAlignment="1">
      <alignment vertical="center"/>
    </xf>
    <xf numFmtId="0" fontId="43" fillId="0" borderId="0" xfId="0" applyFont="1"/>
    <xf numFmtId="0" fontId="44" fillId="0" borderId="0" xfId="0" quotePrefix="1" applyFont="1"/>
    <xf numFmtId="0" fontId="45" fillId="0" borderId="0" xfId="0" quotePrefix="1" applyFont="1"/>
    <xf numFmtId="0" fontId="44" fillId="0" borderId="0" xfId="0" applyFont="1"/>
    <xf numFmtId="0" fontId="31" fillId="0" borderId="0" xfId="0" applyFont="1" applyAlignment="1">
      <alignment vertical="center"/>
    </xf>
    <xf numFmtId="0" fontId="31" fillId="2" borderId="19" xfId="0" applyFont="1" applyFill="1" applyBorder="1" applyAlignment="1">
      <alignment horizontal="center" vertical="center"/>
    </xf>
    <xf numFmtId="39" fontId="31" fillId="0" borderId="22" xfId="2" applyNumberFormat="1" applyFont="1" applyFill="1" applyBorder="1" applyAlignment="1">
      <alignment vertical="center"/>
    </xf>
    <xf numFmtId="0" fontId="10" fillId="0" borderId="27" xfId="0" applyFont="1" applyBorder="1"/>
    <xf numFmtId="39" fontId="10" fillId="0" borderId="28" xfId="2" applyNumberFormat="1" applyFont="1" applyBorder="1"/>
    <xf numFmtId="43" fontId="10" fillId="0" borderId="0" xfId="0" applyNumberFormat="1" applyFont="1"/>
    <xf numFmtId="0" fontId="30" fillId="3" borderId="26" xfId="0" applyFont="1" applyFill="1" applyBorder="1" applyAlignment="1">
      <alignment horizontal="center" vertical="center"/>
    </xf>
    <xf numFmtId="0" fontId="30" fillId="3" borderId="29" xfId="0" applyFont="1" applyFill="1" applyBorder="1" applyAlignment="1">
      <alignment horizontal="center" vertical="center"/>
    </xf>
    <xf numFmtId="0" fontId="30" fillId="0" borderId="0" xfId="0" applyFont="1" applyAlignment="1">
      <alignment horizontal="left"/>
    </xf>
    <xf numFmtId="43" fontId="10" fillId="0" borderId="0" xfId="2" applyFont="1" applyBorder="1"/>
    <xf numFmtId="43" fontId="30" fillId="0" borderId="14" xfId="2" applyFont="1" applyBorder="1"/>
    <xf numFmtId="0" fontId="10" fillId="0" borderId="0" xfId="0" quotePrefix="1" applyFont="1"/>
    <xf numFmtId="0" fontId="10" fillId="0" borderId="0" xfId="0" quotePrefix="1" applyFont="1" applyAlignment="1">
      <alignment horizontal="left"/>
    </xf>
    <xf numFmtId="0" fontId="10" fillId="0" borderId="0" xfId="0" applyFont="1" applyAlignment="1">
      <alignment horizontal="left" vertical="center"/>
    </xf>
    <xf numFmtId="43" fontId="30" fillId="0" borderId="16" xfId="2" applyFont="1" applyFill="1" applyBorder="1"/>
    <xf numFmtId="43" fontId="10" fillId="0" borderId="0" xfId="2" applyFont="1" applyFill="1" applyBorder="1"/>
    <xf numFmtId="43" fontId="30" fillId="3" borderId="9" xfId="2" applyFont="1" applyFill="1" applyBorder="1"/>
    <xf numFmtId="41" fontId="10" fillId="0" borderId="0" xfId="3" applyFont="1"/>
    <xf numFmtId="43" fontId="30" fillId="0" borderId="16" xfId="2" applyFont="1" applyBorder="1"/>
    <xf numFmtId="43" fontId="10" fillId="0" borderId="16" xfId="2" quotePrefix="1" applyFont="1" applyBorder="1" applyAlignment="1">
      <alignment horizontal="center"/>
    </xf>
    <xf numFmtId="43" fontId="10" fillId="0" borderId="16" xfId="2" applyFont="1" applyBorder="1"/>
    <xf numFmtId="43" fontId="10" fillId="0" borderId="0" xfId="2" applyFont="1" applyBorder="1" applyAlignment="1">
      <alignment vertical="center"/>
    </xf>
    <xf numFmtId="43" fontId="30" fillId="3" borderId="19" xfId="2" applyFont="1" applyFill="1" applyBorder="1" applyAlignment="1">
      <alignment vertical="center"/>
    </xf>
    <xf numFmtId="43" fontId="10" fillId="0" borderId="15" xfId="2" applyFont="1" applyBorder="1"/>
    <xf numFmtId="43" fontId="10" fillId="0" borderId="0" xfId="2" applyFont="1"/>
    <xf numFmtId="0" fontId="10" fillId="0" borderId="24" xfId="0" applyFont="1" applyBorder="1"/>
    <xf numFmtId="0" fontId="10" fillId="0" borderId="28" xfId="0" applyFont="1" applyBorder="1"/>
    <xf numFmtId="0" fontId="30" fillId="0" borderId="26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10" fillId="0" borderId="26" xfId="0" applyFont="1" applyBorder="1"/>
    <xf numFmtId="0" fontId="30" fillId="0" borderId="12" xfId="0" applyFont="1" applyBorder="1"/>
    <xf numFmtId="43" fontId="30" fillId="0" borderId="12" xfId="3" applyNumberFormat="1" applyFont="1" applyBorder="1"/>
    <xf numFmtId="43" fontId="10" fillId="0" borderId="12" xfId="3" applyNumberFormat="1" applyFont="1" applyBorder="1"/>
    <xf numFmtId="0" fontId="10" fillId="0" borderId="12" xfId="0" applyFont="1" applyBorder="1"/>
    <xf numFmtId="2" fontId="10" fillId="0" borderId="12" xfId="3" applyNumberFormat="1" applyFont="1" applyBorder="1"/>
    <xf numFmtId="0" fontId="30" fillId="0" borderId="9" xfId="0" applyFont="1" applyBorder="1" applyAlignment="1">
      <alignment horizontal="center" vertical="center"/>
    </xf>
    <xf numFmtId="43" fontId="30" fillId="0" borderId="9" xfId="3" applyNumberFormat="1" applyFont="1" applyBorder="1" applyAlignment="1">
      <alignment horizontal="center" vertical="center"/>
    </xf>
    <xf numFmtId="41" fontId="25" fillId="0" borderId="0" xfId="0" applyNumberFormat="1" applyFont="1"/>
    <xf numFmtId="0" fontId="10" fillId="0" borderId="15" xfId="0" applyFont="1" applyBorder="1" applyAlignment="1">
      <alignment horizontal="center"/>
    </xf>
    <xf numFmtId="4" fontId="10" fillId="0" borderId="0" xfId="0" applyNumberFormat="1" applyFont="1"/>
    <xf numFmtId="39" fontId="10" fillId="4" borderId="0" xfId="0" applyNumberFormat="1" applyFont="1" applyFill="1"/>
    <xf numFmtId="39" fontId="29" fillId="0" borderId="0" xfId="0" applyNumberFormat="1" applyFont="1"/>
    <xf numFmtId="0" fontId="46" fillId="0" borderId="0" xfId="0" applyFont="1"/>
    <xf numFmtId="0" fontId="46" fillId="0" borderId="0" xfId="0" applyFont="1" applyAlignment="1">
      <alignment horizontal="left"/>
    </xf>
    <xf numFmtId="0" fontId="26" fillId="0" borderId="72" xfId="0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41" fontId="46" fillId="0" borderId="0" xfId="3" applyFont="1" applyAlignment="1">
      <alignment horizontal="center"/>
    </xf>
    <xf numFmtId="41" fontId="46" fillId="0" borderId="0" xfId="0" applyNumberFormat="1" applyFont="1"/>
    <xf numFmtId="0" fontId="47" fillId="0" borderId="63" xfId="0" applyFont="1" applyBorder="1" applyAlignment="1">
      <alignment horizontal="center" vertical="center"/>
    </xf>
    <xf numFmtId="0" fontId="47" fillId="0" borderId="64" xfId="0" applyFont="1" applyBorder="1" applyAlignment="1">
      <alignment horizontal="center" vertical="center"/>
    </xf>
    <xf numFmtId="0" fontId="47" fillId="0" borderId="62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7" fillId="0" borderId="12" xfId="0" quotePrefix="1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0" borderId="47" xfId="0" applyFont="1" applyBorder="1" applyAlignment="1">
      <alignment horizontal="center" vertical="center"/>
    </xf>
    <xf numFmtId="0" fontId="47" fillId="0" borderId="23" xfId="0" applyFont="1" applyBorder="1" applyAlignment="1">
      <alignment horizontal="left" vertical="center"/>
    </xf>
    <xf numFmtId="0" fontId="46" fillId="0" borderId="14" xfId="0" applyFont="1" applyBorder="1" applyAlignment="1">
      <alignment vertical="center"/>
    </xf>
    <xf numFmtId="0" fontId="46" fillId="0" borderId="24" xfId="0" applyFont="1" applyBorder="1" applyAlignment="1">
      <alignment vertical="center"/>
    </xf>
    <xf numFmtId="41" fontId="46" fillId="0" borderId="26" xfId="3" applyFont="1" applyFill="1" applyBorder="1" applyAlignment="1">
      <alignment vertical="center"/>
    </xf>
    <xf numFmtId="41" fontId="46" fillId="0" borderId="12" xfId="3" applyFont="1" applyFill="1" applyBorder="1" applyAlignment="1">
      <alignment vertical="center"/>
    </xf>
    <xf numFmtId="0" fontId="46" fillId="0" borderId="43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13" xfId="0" applyFont="1" applyBorder="1" applyAlignment="1">
      <alignment horizontal="left" vertical="center"/>
    </xf>
    <xf numFmtId="0" fontId="46" fillId="0" borderId="0" xfId="0" applyFont="1" applyAlignment="1">
      <alignment vertical="center"/>
    </xf>
    <xf numFmtId="0" fontId="46" fillId="0" borderId="22" xfId="0" applyFont="1" applyBorder="1" applyAlignment="1">
      <alignment vertical="center"/>
    </xf>
    <xf numFmtId="41" fontId="46" fillId="0" borderId="43" xfId="0" applyNumberFormat="1" applyFont="1" applyBorder="1" applyAlignment="1">
      <alignment horizontal="center" vertical="center"/>
    </xf>
    <xf numFmtId="41" fontId="46" fillId="0" borderId="43" xfId="0" applyNumberFormat="1" applyFont="1" applyBorder="1" applyAlignment="1">
      <alignment horizontal="center" vertical="center" wrapText="1"/>
    </xf>
    <xf numFmtId="0" fontId="46" fillId="0" borderId="13" xfId="0" applyFont="1" applyBorder="1" applyAlignment="1">
      <alignment vertical="center"/>
    </xf>
    <xf numFmtId="41" fontId="47" fillId="0" borderId="12" xfId="3" applyFont="1" applyFill="1" applyBorder="1" applyAlignment="1">
      <alignment vertical="center"/>
    </xf>
    <xf numFmtId="0" fontId="46" fillId="0" borderId="8" xfId="0" applyFont="1" applyBorder="1" applyAlignment="1">
      <alignment horizontal="center" vertical="center"/>
    </xf>
    <xf numFmtId="41" fontId="46" fillId="0" borderId="9" xfId="3" applyFont="1" applyFill="1" applyBorder="1" applyAlignment="1">
      <alignment vertical="center"/>
    </xf>
    <xf numFmtId="0" fontId="46" fillId="0" borderId="44" xfId="0" applyFont="1" applyBorder="1" applyAlignment="1">
      <alignment horizontal="center" vertical="center"/>
    </xf>
    <xf numFmtId="0" fontId="46" fillId="0" borderId="12" xfId="0" applyFont="1" applyBorder="1" applyAlignment="1">
      <alignment vertical="center"/>
    </xf>
    <xf numFmtId="41" fontId="46" fillId="0" borderId="44" xfId="0" applyNumberFormat="1" applyFont="1" applyBorder="1" applyAlignment="1">
      <alignment horizontal="center" vertical="center"/>
    </xf>
    <xf numFmtId="43" fontId="46" fillId="0" borderId="43" xfId="0" applyNumberFormat="1" applyFont="1" applyBorder="1" applyAlignment="1">
      <alignment horizontal="center" vertical="center" wrapText="1"/>
    </xf>
    <xf numFmtId="41" fontId="46" fillId="0" borderId="44" xfId="0" applyNumberFormat="1" applyFont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/>
    </xf>
    <xf numFmtId="0" fontId="46" fillId="0" borderId="30" xfId="0" applyFont="1" applyBorder="1" applyAlignment="1">
      <alignment vertical="center"/>
    </xf>
    <xf numFmtId="0" fontId="46" fillId="0" borderId="31" xfId="0" applyFont="1" applyBorder="1" applyAlignment="1">
      <alignment vertical="center"/>
    </xf>
    <xf numFmtId="0" fontId="46" fillId="0" borderId="44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43" xfId="0" applyFont="1" applyBorder="1" applyAlignment="1">
      <alignment horizontal="center" vertical="center" wrapText="1"/>
    </xf>
    <xf numFmtId="0" fontId="47" fillId="0" borderId="0" xfId="0" applyFont="1" applyAlignment="1">
      <alignment vertical="center"/>
    </xf>
    <xf numFmtId="0" fontId="47" fillId="0" borderId="22" xfId="0" applyFont="1" applyBorder="1" applyAlignment="1">
      <alignment vertical="center"/>
    </xf>
    <xf numFmtId="0" fontId="47" fillId="0" borderId="11" xfId="0" applyFont="1" applyBorder="1" applyAlignment="1">
      <alignment horizontal="center" vertical="center"/>
    </xf>
    <xf numFmtId="0" fontId="47" fillId="0" borderId="30" xfId="0" applyFont="1" applyBorder="1" applyAlignment="1">
      <alignment horizontal="left" vertical="center"/>
    </xf>
    <xf numFmtId="0" fontId="47" fillId="0" borderId="31" xfId="0" applyFont="1" applyBorder="1" applyAlignment="1">
      <alignment horizontal="left" vertical="center"/>
    </xf>
    <xf numFmtId="0" fontId="47" fillId="0" borderId="13" xfId="0" applyFont="1" applyBorder="1" applyAlignment="1">
      <alignment horizontal="left" vertical="center"/>
    </xf>
    <xf numFmtId="0" fontId="47" fillId="0" borderId="67" xfId="0" applyFont="1" applyBorder="1" applyAlignment="1">
      <alignment horizontal="center" vertical="center"/>
    </xf>
    <xf numFmtId="41" fontId="47" fillId="0" borderId="70" xfId="3" applyFont="1" applyFill="1" applyBorder="1" applyAlignment="1">
      <alignment vertical="center"/>
    </xf>
    <xf numFmtId="0" fontId="46" fillId="0" borderId="71" xfId="0" applyFont="1" applyBorder="1" applyAlignment="1">
      <alignment horizontal="center" vertical="center"/>
    </xf>
    <xf numFmtId="43" fontId="18" fillId="0" borderId="0" xfId="0" applyNumberFormat="1" applyFont="1"/>
    <xf numFmtId="164" fontId="18" fillId="0" borderId="0" xfId="0" applyNumberFormat="1" applyFont="1"/>
    <xf numFmtId="41" fontId="18" fillId="0" borderId="0" xfId="0" applyNumberFormat="1" applyFont="1"/>
    <xf numFmtId="41" fontId="10" fillId="0" borderId="0" xfId="0" applyNumberFormat="1" applyFont="1" applyAlignment="1">
      <alignment horizontal="centerContinuous"/>
    </xf>
    <xf numFmtId="41" fontId="10" fillId="0" borderId="0" xfId="2" applyNumberFormat="1" applyFont="1" applyFill="1" applyBorder="1"/>
    <xf numFmtId="41" fontId="31" fillId="2" borderId="35" xfId="0" applyNumberFormat="1" applyFont="1" applyFill="1" applyBorder="1" applyAlignment="1">
      <alignment horizontal="center" vertical="center"/>
    </xf>
    <xf numFmtId="41" fontId="31" fillId="0" borderId="48" xfId="0" applyNumberFormat="1" applyFont="1" applyBorder="1" applyAlignment="1">
      <alignment horizontal="center" vertical="center"/>
    </xf>
    <xf numFmtId="41" fontId="30" fillId="2" borderId="36" xfId="0" applyNumberFormat="1" applyFont="1" applyFill="1" applyBorder="1" applyAlignment="1">
      <alignment horizontal="center"/>
    </xf>
    <xf numFmtId="41" fontId="30" fillId="0" borderId="48" xfId="0" applyNumberFormat="1" applyFont="1" applyBorder="1" applyAlignment="1">
      <alignment horizontal="center"/>
    </xf>
    <xf numFmtId="41" fontId="30" fillId="0" borderId="0" xfId="0" applyNumberFormat="1" applyFont="1" applyAlignment="1">
      <alignment horizontal="center"/>
    </xf>
    <xf numFmtId="41" fontId="42" fillId="0" borderId="15" xfId="2" applyNumberFormat="1" applyFont="1" applyBorder="1"/>
    <xf numFmtId="41" fontId="42" fillId="0" borderId="0" xfId="2" applyNumberFormat="1" applyFont="1" applyBorder="1"/>
    <xf numFmtId="41" fontId="10" fillId="0" borderId="30" xfId="2" applyNumberFormat="1" applyFont="1" applyBorder="1"/>
    <xf numFmtId="41" fontId="21" fillId="2" borderId="19" xfId="2" applyNumberFormat="1" applyFont="1" applyFill="1" applyBorder="1" applyAlignment="1">
      <alignment vertical="center"/>
    </xf>
    <xf numFmtId="41" fontId="21" fillId="0" borderId="48" xfId="2" applyNumberFormat="1" applyFont="1" applyFill="1" applyBorder="1" applyAlignment="1">
      <alignment vertical="center"/>
    </xf>
    <xf numFmtId="41" fontId="10" fillId="0" borderId="32" xfId="2" applyNumberFormat="1" applyFont="1" applyBorder="1"/>
    <xf numFmtId="41" fontId="30" fillId="2" borderId="19" xfId="2" applyNumberFormat="1" applyFont="1" applyFill="1" applyBorder="1" applyAlignment="1">
      <alignment vertical="center"/>
    </xf>
    <xf numFmtId="41" fontId="30" fillId="0" borderId="48" xfId="2" applyNumberFormat="1" applyFont="1" applyFill="1" applyBorder="1" applyAlignment="1">
      <alignment vertical="center"/>
    </xf>
    <xf numFmtId="41" fontId="10" fillId="0" borderId="0" xfId="2" applyNumberFormat="1" applyFont="1"/>
    <xf numFmtId="39" fontId="10" fillId="0" borderId="0" xfId="2" applyNumberFormat="1" applyFont="1" applyBorder="1"/>
    <xf numFmtId="41" fontId="17" fillId="0" borderId="0" xfId="0" applyNumberFormat="1" applyFont="1"/>
    <xf numFmtId="41" fontId="10" fillId="4" borderId="0" xfId="0" applyNumberFormat="1" applyFont="1" applyFill="1"/>
    <xf numFmtId="165" fontId="10" fillId="0" borderId="0" xfId="3" applyNumberFormat="1" applyFont="1"/>
    <xf numFmtId="41" fontId="3" fillId="0" borderId="0" xfId="3" applyFont="1" applyFill="1"/>
    <xf numFmtId="41" fontId="48" fillId="0" borderId="0" xfId="3" applyFont="1" applyFill="1"/>
    <xf numFmtId="0" fontId="5" fillId="0" borderId="0" xfId="1" applyFont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49" fillId="0" borderId="0" xfId="1" applyFont="1"/>
    <xf numFmtId="0" fontId="33" fillId="0" borderId="72" xfId="1" applyFont="1" applyBorder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29" fillId="0" borderId="0" xfId="1" applyFont="1"/>
    <xf numFmtId="0" fontId="50" fillId="0" borderId="63" xfId="1" applyFont="1" applyBorder="1" applyAlignment="1">
      <alignment horizontal="center" vertical="center"/>
    </xf>
    <xf numFmtId="0" fontId="38" fillId="0" borderId="0" xfId="1" applyFont="1"/>
    <xf numFmtId="0" fontId="50" fillId="0" borderId="62" xfId="1" applyFont="1" applyBorder="1" applyAlignment="1">
      <alignment horizontal="center" vertical="center"/>
    </xf>
    <xf numFmtId="0" fontId="50" fillId="0" borderId="12" xfId="1" quotePrefix="1" applyFont="1" applyBorder="1" applyAlignment="1">
      <alignment horizontal="center" vertical="center"/>
    </xf>
    <xf numFmtId="0" fontId="50" fillId="0" borderId="8" xfId="1" applyFont="1" applyBorder="1" applyAlignment="1">
      <alignment horizontal="center" vertical="center"/>
    </xf>
    <xf numFmtId="0" fontId="50" fillId="0" borderId="44" xfId="1" applyFont="1" applyBorder="1" applyAlignment="1">
      <alignment horizontal="center" vertical="center"/>
    </xf>
    <xf numFmtId="0" fontId="50" fillId="0" borderId="47" xfId="1" applyFont="1" applyBorder="1" applyAlignment="1">
      <alignment horizontal="center" vertical="center"/>
    </xf>
    <xf numFmtId="0" fontId="50" fillId="0" borderId="23" xfId="1" applyFont="1" applyBorder="1" applyAlignment="1">
      <alignment horizontal="left" vertical="center"/>
    </xf>
    <xf numFmtId="0" fontId="51" fillId="0" borderId="14" xfId="1" applyFont="1" applyBorder="1" applyAlignment="1">
      <alignment vertical="center"/>
    </xf>
    <xf numFmtId="0" fontId="51" fillId="0" borderId="24" xfId="1" applyFont="1" applyBorder="1" applyAlignment="1">
      <alignment vertical="center"/>
    </xf>
    <xf numFmtId="41" fontId="51" fillId="0" borderId="26" xfId="10" applyFont="1" applyFill="1" applyBorder="1" applyAlignment="1">
      <alignment vertical="center"/>
    </xf>
    <xf numFmtId="41" fontId="51" fillId="0" borderId="12" xfId="10" applyFont="1" applyFill="1" applyBorder="1" applyAlignment="1">
      <alignment vertical="center"/>
    </xf>
    <xf numFmtId="0" fontId="51" fillId="0" borderId="43" xfId="1" applyFont="1" applyBorder="1" applyAlignment="1">
      <alignment horizontal="center" vertical="center"/>
    </xf>
    <xf numFmtId="0" fontId="51" fillId="0" borderId="11" xfId="1" applyFont="1" applyBorder="1" applyAlignment="1">
      <alignment horizontal="center" vertical="center"/>
    </xf>
    <xf numFmtId="0" fontId="51" fillId="0" borderId="0" xfId="1" applyFont="1" applyAlignment="1">
      <alignment vertical="center"/>
    </xf>
    <xf numFmtId="0" fontId="51" fillId="0" borderId="22" xfId="1" applyFont="1" applyBorder="1" applyAlignment="1">
      <alignment vertical="center"/>
    </xf>
    <xf numFmtId="41" fontId="51" fillId="0" borderId="43" xfId="1" applyNumberFormat="1" applyFont="1" applyBorder="1" applyAlignment="1">
      <alignment horizontal="center" vertical="center"/>
    </xf>
    <xf numFmtId="0" fontId="51" fillId="0" borderId="43" xfId="1" applyFont="1" applyBorder="1" applyAlignment="1">
      <alignment horizontal="center" vertical="center" wrapText="1"/>
    </xf>
    <xf numFmtId="41" fontId="51" fillId="0" borderId="43" xfId="1" applyNumberFormat="1" applyFont="1" applyBorder="1" applyAlignment="1">
      <alignment horizontal="center" vertical="center" wrapText="1"/>
    </xf>
    <xf numFmtId="0" fontId="51" fillId="0" borderId="13" xfId="1" applyFont="1" applyBorder="1" applyAlignment="1">
      <alignment vertical="center"/>
    </xf>
    <xf numFmtId="41" fontId="50" fillId="0" borderId="12" xfId="10" applyFont="1" applyFill="1" applyBorder="1" applyAlignment="1">
      <alignment vertical="center"/>
    </xf>
    <xf numFmtId="41" fontId="38" fillId="0" borderId="0" xfId="1" applyNumberFormat="1" applyFont="1"/>
    <xf numFmtId="0" fontId="51" fillId="0" borderId="8" xfId="1" applyFont="1" applyBorder="1" applyAlignment="1">
      <alignment horizontal="center" vertical="center"/>
    </xf>
    <xf numFmtId="41" fontId="51" fillId="0" borderId="9" xfId="10" applyFont="1" applyFill="1" applyBorder="1" applyAlignment="1">
      <alignment vertical="center"/>
    </xf>
    <xf numFmtId="0" fontId="51" fillId="0" borderId="44" xfId="1" applyFont="1" applyBorder="1" applyAlignment="1">
      <alignment horizontal="center" vertical="center"/>
    </xf>
    <xf numFmtId="43" fontId="51" fillId="0" borderId="43" xfId="1" applyNumberFormat="1" applyFont="1" applyBorder="1" applyAlignment="1">
      <alignment horizontal="center" vertical="center" wrapText="1"/>
    </xf>
    <xf numFmtId="41" fontId="51" fillId="0" borderId="44" xfId="1" applyNumberFormat="1" applyFont="1" applyBorder="1" applyAlignment="1">
      <alignment horizontal="center" vertical="center" wrapText="1"/>
    </xf>
    <xf numFmtId="0" fontId="51" fillId="0" borderId="30" xfId="1" applyFont="1" applyBorder="1" applyAlignment="1">
      <alignment vertical="center"/>
    </xf>
    <xf numFmtId="0" fontId="51" fillId="0" borderId="31" xfId="1" applyFont="1" applyBorder="1" applyAlignment="1">
      <alignment vertical="center"/>
    </xf>
    <xf numFmtId="0" fontId="51" fillId="0" borderId="44" xfId="1" applyFont="1" applyBorder="1" applyAlignment="1">
      <alignment horizontal="center" vertical="center" wrapText="1"/>
    </xf>
    <xf numFmtId="0" fontId="51" fillId="0" borderId="13" xfId="1" applyFont="1" applyBorder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1" fillId="0" borderId="22" xfId="1" applyFont="1" applyBorder="1" applyAlignment="1">
      <alignment horizontal="center" vertical="center"/>
    </xf>
    <xf numFmtId="0" fontId="51" fillId="0" borderId="47" xfId="1" applyFont="1" applyBorder="1" applyAlignment="1">
      <alignment horizontal="center" vertical="center"/>
    </xf>
    <xf numFmtId="0" fontId="51" fillId="0" borderId="50" xfId="1" applyFont="1" applyBorder="1" applyAlignment="1">
      <alignment horizontal="center" vertical="center" wrapText="1"/>
    </xf>
    <xf numFmtId="0" fontId="50" fillId="0" borderId="0" xfId="1" applyFont="1" applyAlignment="1">
      <alignment vertical="center"/>
    </xf>
    <xf numFmtId="0" fontId="50" fillId="0" borderId="22" xfId="1" applyFont="1" applyBorder="1" applyAlignment="1">
      <alignment vertical="center"/>
    </xf>
    <xf numFmtId="41" fontId="52" fillId="0" borderId="12" xfId="10" applyFont="1" applyFill="1" applyBorder="1" applyAlignment="1">
      <alignment vertical="center"/>
    </xf>
    <xf numFmtId="0" fontId="50" fillId="0" borderId="30" xfId="1" applyFont="1" applyBorder="1" applyAlignment="1">
      <alignment horizontal="left" vertical="center"/>
    </xf>
    <xf numFmtId="0" fontId="50" fillId="0" borderId="31" xfId="1" applyFont="1" applyBorder="1" applyAlignment="1">
      <alignment horizontal="left" vertical="center"/>
    </xf>
    <xf numFmtId="0" fontId="50" fillId="0" borderId="11" xfId="1" applyFont="1" applyBorder="1" applyAlignment="1">
      <alignment horizontal="center" vertical="center"/>
    </xf>
    <xf numFmtId="0" fontId="50" fillId="0" borderId="13" xfId="1" applyFont="1" applyBorder="1" applyAlignment="1">
      <alignment horizontal="left" vertical="center"/>
    </xf>
    <xf numFmtId="0" fontId="50" fillId="0" borderId="67" xfId="1" applyFont="1" applyBorder="1" applyAlignment="1">
      <alignment horizontal="center" vertical="center"/>
    </xf>
    <xf numFmtId="41" fontId="50" fillId="0" borderId="70" xfId="10" applyFont="1" applyFill="1" applyBorder="1" applyAlignment="1">
      <alignment vertical="center"/>
    </xf>
    <xf numFmtId="0" fontId="51" fillId="0" borderId="71" xfId="1" applyFont="1" applyBorder="1" applyAlignment="1">
      <alignment horizontal="center" vertical="center"/>
    </xf>
    <xf numFmtId="0" fontId="38" fillId="0" borderId="0" xfId="1" applyFont="1" applyAlignment="1">
      <alignment horizontal="center"/>
    </xf>
    <xf numFmtId="0" fontId="38" fillId="0" borderId="0" xfId="1" applyFont="1" applyAlignment="1">
      <alignment horizontal="left"/>
    </xf>
    <xf numFmtId="41" fontId="38" fillId="0" borderId="0" xfId="10" applyFont="1" applyFill="1"/>
    <xf numFmtId="0" fontId="51" fillId="0" borderId="0" xfId="1" applyFont="1" applyAlignment="1">
      <alignment horizontal="center"/>
    </xf>
    <xf numFmtId="41" fontId="51" fillId="0" borderId="0" xfId="1" applyNumberFormat="1" applyFont="1"/>
    <xf numFmtId="41" fontId="5" fillId="0" borderId="0" xfId="10" applyFont="1" applyFill="1" applyAlignment="1">
      <alignment horizontal="center"/>
    </xf>
    <xf numFmtId="41" fontId="5" fillId="0" borderId="0" xfId="1" applyNumberFormat="1" applyFont="1"/>
    <xf numFmtId="0" fontId="50" fillId="0" borderId="65" xfId="1" applyFont="1" applyBorder="1" applyAlignment="1">
      <alignment horizontal="center" vertical="center"/>
    </xf>
    <xf numFmtId="0" fontId="50" fillId="0" borderId="43" xfId="1" applyFont="1" applyBorder="1" applyAlignment="1">
      <alignment horizontal="center" vertical="center"/>
    </xf>
    <xf numFmtId="0" fontId="51" fillId="0" borderId="43" xfId="1" applyFont="1" applyBorder="1" applyAlignment="1">
      <alignment vertical="center"/>
    </xf>
    <xf numFmtId="41" fontId="50" fillId="0" borderId="9" xfId="10" applyFont="1" applyFill="1" applyBorder="1" applyAlignment="1">
      <alignment vertical="center"/>
    </xf>
    <xf numFmtId="41" fontId="51" fillId="0" borderId="12" xfId="10" applyFont="1" applyBorder="1" applyAlignment="1">
      <alignment vertical="center"/>
    </xf>
    <xf numFmtId="41" fontId="50" fillId="0" borderId="9" xfId="10" applyFont="1" applyBorder="1" applyAlignment="1">
      <alignment vertical="center"/>
    </xf>
    <xf numFmtId="0" fontId="50" fillId="0" borderId="0" xfId="1" applyFont="1" applyAlignment="1">
      <alignment horizontal="center" vertical="center"/>
    </xf>
    <xf numFmtId="0" fontId="50" fillId="0" borderId="22" xfId="1" applyFont="1" applyBorder="1" applyAlignment="1">
      <alignment horizontal="center" vertical="center"/>
    </xf>
    <xf numFmtId="0" fontId="51" fillId="0" borderId="62" xfId="1" applyFont="1" applyBorder="1" applyAlignment="1">
      <alignment horizontal="center" vertical="center"/>
    </xf>
    <xf numFmtId="0" fontId="51" fillId="0" borderId="27" xfId="1" applyFont="1" applyBorder="1" applyAlignment="1">
      <alignment horizontal="left" vertical="center"/>
    </xf>
    <xf numFmtId="0" fontId="51" fillId="0" borderId="15" xfId="1" applyFont="1" applyBorder="1" applyAlignment="1">
      <alignment horizontal="left" vertical="center"/>
    </xf>
    <xf numFmtId="0" fontId="51" fillId="0" borderId="28" xfId="1" applyFont="1" applyBorder="1" applyAlignment="1">
      <alignment horizontal="left" vertical="center"/>
    </xf>
    <xf numFmtId="41" fontId="51" fillId="0" borderId="29" xfId="10" applyFont="1" applyFill="1" applyBorder="1" applyAlignment="1">
      <alignment vertical="center"/>
    </xf>
    <xf numFmtId="0" fontId="51" fillId="0" borderId="66" xfId="1" applyFont="1" applyBorder="1" applyAlignment="1">
      <alignment horizontal="center" vertical="center"/>
    </xf>
    <xf numFmtId="0" fontId="51" fillId="0" borderId="50" xfId="1" applyFont="1" applyBorder="1" applyAlignment="1">
      <alignment horizontal="center" vertical="center"/>
    </xf>
    <xf numFmtId="41" fontId="51" fillId="0" borderId="26" xfId="10" applyFont="1" applyBorder="1" applyAlignment="1">
      <alignment vertical="center"/>
    </xf>
    <xf numFmtId="41" fontId="50" fillId="0" borderId="70" xfId="1" applyNumberFormat="1" applyFont="1" applyBorder="1" applyAlignment="1">
      <alignment vertical="center"/>
    </xf>
    <xf numFmtId="0" fontId="51" fillId="0" borderId="73" xfId="1" applyFont="1" applyBorder="1" applyAlignment="1">
      <alignment horizontal="center" vertical="center"/>
    </xf>
    <xf numFmtId="41" fontId="38" fillId="0" borderId="0" xfId="10" applyFont="1"/>
    <xf numFmtId="41" fontId="38" fillId="4" borderId="0" xfId="10" applyFont="1" applyFill="1"/>
    <xf numFmtId="0" fontId="51" fillId="4" borderId="0" xfId="1" applyFont="1" applyFill="1"/>
    <xf numFmtId="41" fontId="51" fillId="4" borderId="0" xfId="10" applyFont="1" applyFill="1"/>
    <xf numFmtId="41" fontId="38" fillId="4" borderId="0" xfId="1" applyNumberFormat="1" applyFont="1" applyFill="1"/>
    <xf numFmtId="0" fontId="38" fillId="4" borderId="0" xfId="1" applyFont="1" applyFill="1"/>
    <xf numFmtId="0" fontId="38" fillId="4" borderId="0" xfId="1" applyFont="1" applyFill="1" applyAlignment="1">
      <alignment horizontal="center" vertical="center" wrapText="1"/>
    </xf>
    <xf numFmtId="41" fontId="51" fillId="4" borderId="0" xfId="1" applyNumberFormat="1" applyFont="1" applyFill="1"/>
    <xf numFmtId="0" fontId="50" fillId="0" borderId="74" xfId="1" applyFont="1" applyBorder="1" applyAlignment="1">
      <alignment horizontal="center" vertical="center"/>
    </xf>
    <xf numFmtId="0" fontId="50" fillId="0" borderId="13" xfId="1" quotePrefix="1" applyFont="1" applyBorder="1" applyAlignment="1">
      <alignment horizontal="center" vertical="center"/>
    </xf>
    <xf numFmtId="41" fontId="51" fillId="0" borderId="13" xfId="10" applyFont="1" applyFill="1" applyBorder="1" applyAlignment="1">
      <alignment vertical="center"/>
    </xf>
    <xf numFmtId="41" fontId="51" fillId="0" borderId="10" xfId="10" applyFont="1" applyFill="1" applyBorder="1" applyAlignment="1">
      <alignment vertical="center"/>
    </xf>
    <xf numFmtId="41" fontId="51" fillId="0" borderId="23" xfId="10" applyFont="1" applyFill="1" applyBorder="1" applyAlignment="1">
      <alignment vertical="center"/>
    </xf>
    <xf numFmtId="41" fontId="50" fillId="0" borderId="75" xfId="10" applyFont="1" applyFill="1" applyBorder="1" applyAlignment="1">
      <alignment vertical="center"/>
    </xf>
    <xf numFmtId="0" fontId="50" fillId="0" borderId="10" xfId="1" applyFont="1" applyBorder="1" applyAlignment="1">
      <alignment horizontal="center" vertical="center"/>
    </xf>
    <xf numFmtId="0" fontId="51" fillId="0" borderId="13" xfId="1" applyFont="1" applyBorder="1" applyAlignment="1">
      <alignment horizontal="left" vertical="center"/>
    </xf>
    <xf numFmtId="0" fontId="51" fillId="0" borderId="0" xfId="1" applyFont="1" applyAlignment="1">
      <alignment horizontal="left" vertical="center"/>
    </xf>
    <xf numFmtId="0" fontId="51" fillId="0" borderId="22" xfId="1" applyFont="1" applyBorder="1" applyAlignment="1">
      <alignment horizontal="left" vertical="center"/>
    </xf>
    <xf numFmtId="0" fontId="51" fillId="0" borderId="23" xfId="1" applyFont="1" applyBorder="1" applyAlignment="1">
      <alignment horizontal="left" vertical="center"/>
    </xf>
    <xf numFmtId="0" fontId="51" fillId="0" borderId="14" xfId="1" applyFont="1" applyBorder="1" applyAlignment="1">
      <alignment horizontal="left" vertical="center"/>
    </xf>
    <xf numFmtId="0" fontId="51" fillId="0" borderId="24" xfId="1" applyFont="1" applyBorder="1" applyAlignment="1">
      <alignment horizontal="left" vertical="center"/>
    </xf>
    <xf numFmtId="0" fontId="36" fillId="0" borderId="0" xfId="1" applyFont="1" applyAlignment="1">
      <alignment horizontal="center"/>
    </xf>
    <xf numFmtId="0" fontId="50" fillId="0" borderId="64" xfId="1" applyFont="1" applyBorder="1" applyAlignment="1">
      <alignment horizontal="center" vertical="center"/>
    </xf>
    <xf numFmtId="0" fontId="50" fillId="0" borderId="12" xfId="1" applyFont="1" applyBorder="1" applyAlignment="1">
      <alignment horizontal="center" vertical="center"/>
    </xf>
    <xf numFmtId="0" fontId="50" fillId="0" borderId="9" xfId="1" applyFont="1" applyBorder="1" applyAlignment="1">
      <alignment horizontal="center" vertical="center"/>
    </xf>
    <xf numFmtId="0" fontId="51" fillId="0" borderId="10" xfId="1" applyFont="1" applyBorder="1" applyAlignment="1">
      <alignment horizontal="left" vertical="center"/>
    </xf>
    <xf numFmtId="0" fontId="37" fillId="0" borderId="0" xfId="1" applyFont="1"/>
    <xf numFmtId="41" fontId="50" fillId="0" borderId="13" xfId="10" applyFont="1" applyFill="1" applyBorder="1" applyAlignment="1">
      <alignment vertical="center"/>
    </xf>
    <xf numFmtId="41" fontId="50" fillId="0" borderId="10" xfId="10" applyFont="1" applyFill="1" applyBorder="1" applyAlignment="1">
      <alignment vertical="center"/>
    </xf>
    <xf numFmtId="41" fontId="50" fillId="0" borderId="68" xfId="1" applyNumberFormat="1" applyFont="1" applyBorder="1" applyAlignment="1">
      <alignment vertical="center"/>
    </xf>
    <xf numFmtId="0" fontId="51" fillId="0" borderId="12" xfId="0" applyFont="1" applyBorder="1" applyAlignment="1">
      <alignment vertical="center"/>
    </xf>
    <xf numFmtId="0" fontId="51" fillId="0" borderId="13" xfId="0" applyFont="1" applyBorder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22" xfId="0" applyFont="1" applyBorder="1" applyAlignment="1">
      <alignment vertical="center"/>
    </xf>
    <xf numFmtId="0" fontId="51" fillId="0" borderId="0" xfId="0" applyFont="1" applyAlignment="1">
      <alignment horizontal="left" vertical="center"/>
    </xf>
    <xf numFmtId="0" fontId="51" fillId="0" borderId="22" xfId="0" applyFont="1" applyBorder="1" applyAlignment="1">
      <alignment horizontal="left" vertical="center"/>
    </xf>
    <xf numFmtId="43" fontId="46" fillId="0" borderId="12" xfId="3" applyNumberFormat="1" applyFont="1" applyFill="1" applyBorder="1" applyAlignment="1">
      <alignment vertical="center"/>
    </xf>
    <xf numFmtId="41" fontId="30" fillId="0" borderId="0" xfId="3" applyFont="1"/>
    <xf numFmtId="41" fontId="3" fillId="4" borderId="0" xfId="3" applyFont="1" applyFill="1"/>
    <xf numFmtId="43" fontId="29" fillId="0" borderId="0" xfId="0" applyNumberFormat="1" applyFont="1"/>
    <xf numFmtId="43" fontId="31" fillId="2" borderId="9" xfId="0" applyNumberFormat="1" applyFont="1" applyFill="1" applyBorder="1" applyAlignment="1">
      <alignment horizontal="center" vertical="center"/>
    </xf>
    <xf numFmtId="43" fontId="30" fillId="0" borderId="0" xfId="2" applyFont="1" applyFill="1" applyBorder="1"/>
    <xf numFmtId="43" fontId="30" fillId="0" borderId="0" xfId="0" applyNumberFormat="1" applyFont="1"/>
    <xf numFmtId="43" fontId="30" fillId="0" borderId="0" xfId="0" applyNumberFormat="1" applyFont="1" applyAlignment="1">
      <alignment vertical="center"/>
    </xf>
    <xf numFmtId="43" fontId="30" fillId="0" borderId="0" xfId="2" applyFont="1" applyFill="1" applyBorder="1" applyAlignment="1">
      <alignment vertical="center"/>
    </xf>
    <xf numFmtId="43" fontId="10" fillId="0" borderId="0" xfId="2" applyFont="1" applyFill="1" applyBorder="1" applyAlignment="1">
      <alignment vertical="center"/>
    </xf>
    <xf numFmtId="43" fontId="30" fillId="0" borderId="14" xfId="0" applyNumberFormat="1" applyFont="1" applyBorder="1" applyAlignment="1">
      <alignment vertical="center"/>
    </xf>
    <xf numFmtId="43" fontId="30" fillId="2" borderId="9" xfId="0" applyNumberFormat="1" applyFont="1" applyFill="1" applyBorder="1" applyAlignment="1">
      <alignment horizontal="center" vertical="center"/>
    </xf>
    <xf numFmtId="43" fontId="3" fillId="0" borderId="0" xfId="0" applyNumberFormat="1" applyFont="1"/>
    <xf numFmtId="41" fontId="10" fillId="4" borderId="0" xfId="3" applyFont="1" applyFill="1"/>
    <xf numFmtId="43" fontId="10" fillId="4" borderId="0" xfId="0" applyNumberFormat="1" applyFont="1" applyFill="1"/>
    <xf numFmtId="1" fontId="10" fillId="4" borderId="0" xfId="0" applyNumberFormat="1" applyFont="1" applyFill="1"/>
    <xf numFmtId="2" fontId="10" fillId="4" borderId="0" xfId="0" applyNumberFormat="1" applyFont="1" applyFill="1"/>
    <xf numFmtId="43" fontId="19" fillId="0" borderId="0" xfId="2" applyFont="1" applyFill="1" applyBorder="1"/>
    <xf numFmtId="0" fontId="51" fillId="0" borderId="10" xfId="1" applyFont="1" applyBorder="1" applyAlignment="1">
      <alignment horizontal="center" vertical="center"/>
    </xf>
    <xf numFmtId="0" fontId="51" fillId="0" borderId="10" xfId="1" applyFont="1" applyBorder="1" applyAlignment="1">
      <alignment horizontal="center" vertical="center" wrapText="1"/>
    </xf>
    <xf numFmtId="39" fontId="10" fillId="4" borderId="0" xfId="3" applyNumberFormat="1" applyFont="1" applyFill="1"/>
    <xf numFmtId="0" fontId="36" fillId="0" borderId="0" xfId="1" applyFont="1"/>
    <xf numFmtId="0" fontId="36" fillId="0" borderId="0" xfId="1" applyFont="1" applyAlignment="1">
      <alignment horizontal="left"/>
    </xf>
    <xf numFmtId="0" fontId="33" fillId="0" borderId="0" xfId="1" applyFont="1"/>
    <xf numFmtId="0" fontId="51" fillId="0" borderId="12" xfId="1" applyFont="1" applyBorder="1" applyAlignment="1">
      <alignment vertical="center"/>
    </xf>
    <xf numFmtId="0" fontId="51" fillId="0" borderId="14" xfId="1" applyFont="1" applyBorder="1" applyAlignment="1">
      <alignment horizontal="center" vertical="center"/>
    </xf>
    <xf numFmtId="41" fontId="51" fillId="0" borderId="14" xfId="10" applyFont="1" applyFill="1" applyBorder="1" applyAlignment="1">
      <alignment vertical="center"/>
    </xf>
    <xf numFmtId="0" fontId="51" fillId="0" borderId="14" xfId="1" applyFont="1" applyBorder="1" applyAlignment="1">
      <alignment horizontal="center" vertical="center" wrapText="1"/>
    </xf>
    <xf numFmtId="41" fontId="51" fillId="0" borderId="0" xfId="10" applyFont="1" applyFill="1" applyBorder="1" applyAlignment="1">
      <alignment vertical="center"/>
    </xf>
    <xf numFmtId="0" fontId="51" fillId="0" borderId="0" xfId="1" applyFont="1" applyAlignment="1">
      <alignment horizontal="center" vertical="center" wrapText="1"/>
    </xf>
    <xf numFmtId="0" fontId="50" fillId="0" borderId="0" xfId="1" applyFont="1" applyAlignment="1">
      <alignment horizontal="left" vertical="center"/>
    </xf>
    <xf numFmtId="41" fontId="36" fillId="0" borderId="0" xfId="10" applyFont="1" applyFill="1" applyAlignment="1">
      <alignment horizontal="center"/>
    </xf>
    <xf numFmtId="41" fontId="36" fillId="0" borderId="0" xfId="1" applyNumberFormat="1" applyFont="1"/>
    <xf numFmtId="41" fontId="56" fillId="0" borderId="12" xfId="10" applyFont="1" applyFill="1" applyBorder="1" applyAlignment="1">
      <alignment vertical="center"/>
    </xf>
    <xf numFmtId="41" fontId="51" fillId="0" borderId="50" xfId="1" applyNumberFormat="1" applyFont="1" applyBorder="1" applyAlignment="1">
      <alignment horizontal="center" vertical="center"/>
    </xf>
    <xf numFmtId="41" fontId="51" fillId="0" borderId="13" xfId="1" applyNumberFormat="1" applyFont="1" applyBorder="1" applyAlignment="1">
      <alignment horizontal="center" vertical="center"/>
    </xf>
    <xf numFmtId="0" fontId="51" fillId="0" borderId="13" xfId="1" applyFont="1" applyBorder="1" applyAlignment="1">
      <alignment horizontal="center" vertical="center" wrapText="1"/>
    </xf>
    <xf numFmtId="41" fontId="51" fillId="0" borderId="13" xfId="1" applyNumberFormat="1" applyFont="1" applyBorder="1" applyAlignment="1">
      <alignment horizontal="center" vertical="center" wrapText="1"/>
    </xf>
    <xf numFmtId="43" fontId="51" fillId="0" borderId="13" xfId="1" applyNumberFormat="1" applyFont="1" applyBorder="1" applyAlignment="1">
      <alignment horizontal="center" vertical="center" wrapText="1"/>
    </xf>
    <xf numFmtId="41" fontId="51" fillId="0" borderId="10" xfId="1" applyNumberFormat="1" applyFont="1" applyBorder="1" applyAlignment="1">
      <alignment horizontal="center" vertical="center" wrapText="1"/>
    </xf>
    <xf numFmtId="0" fontId="51" fillId="0" borderId="23" xfId="1" applyFont="1" applyBorder="1" applyAlignment="1">
      <alignment horizontal="center" vertical="center" wrapText="1"/>
    </xf>
    <xf numFmtId="0" fontId="51" fillId="0" borderId="23" xfId="1" applyFont="1" applyBorder="1" applyAlignment="1">
      <alignment horizontal="center" vertical="center"/>
    </xf>
    <xf numFmtId="0" fontId="51" fillId="0" borderId="75" xfId="1" applyFont="1" applyBorder="1" applyAlignment="1">
      <alignment horizontal="center" vertical="center"/>
    </xf>
    <xf numFmtId="0" fontId="38" fillId="0" borderId="26" xfId="1" applyFont="1" applyBorder="1"/>
    <xf numFmtId="0" fontId="38" fillId="0" borderId="12" xfId="1" applyFont="1" applyBorder="1"/>
    <xf numFmtId="41" fontId="38" fillId="0" borderId="12" xfId="1" applyNumberFormat="1" applyFont="1" applyBorder="1"/>
    <xf numFmtId="0" fontId="50" fillId="4" borderId="74" xfId="1" applyFont="1" applyFill="1" applyBorder="1" applyAlignment="1">
      <alignment horizontal="center" vertical="center"/>
    </xf>
    <xf numFmtId="0" fontId="50" fillId="4" borderId="13" xfId="1" quotePrefix="1" applyFont="1" applyFill="1" applyBorder="1" applyAlignment="1">
      <alignment horizontal="center" vertical="center"/>
    </xf>
    <xf numFmtId="0" fontId="50" fillId="4" borderId="10" xfId="1" applyFont="1" applyFill="1" applyBorder="1" applyAlignment="1">
      <alignment horizontal="center" vertical="center"/>
    </xf>
    <xf numFmtId="0" fontId="38" fillId="0" borderId="47" xfId="1" applyFont="1" applyBorder="1"/>
    <xf numFmtId="0" fontId="38" fillId="0" borderId="11" xfId="1" applyFont="1" applyBorder="1"/>
    <xf numFmtId="41" fontId="38" fillId="0" borderId="11" xfId="1" applyNumberFormat="1" applyFont="1" applyBorder="1"/>
    <xf numFmtId="41" fontId="38" fillId="0" borderId="9" xfId="1" applyNumberFormat="1" applyFont="1" applyBorder="1"/>
    <xf numFmtId="41" fontId="38" fillId="0" borderId="9" xfId="1" applyNumberFormat="1" applyFont="1" applyBorder="1" applyAlignment="1">
      <alignment vertical="center"/>
    </xf>
    <xf numFmtId="41" fontId="38" fillId="0" borderId="9" xfId="3" applyFont="1" applyBorder="1"/>
    <xf numFmtId="41" fontId="38" fillId="0" borderId="13" xfId="1" applyNumberFormat="1" applyFont="1" applyBorder="1"/>
    <xf numFmtId="41" fontId="51" fillId="4" borderId="12" xfId="10" applyFont="1" applyFill="1" applyBorder="1" applyAlignment="1">
      <alignment vertical="center"/>
    </xf>
    <xf numFmtId="41" fontId="38" fillId="0" borderId="8" xfId="1" applyNumberFormat="1" applyFont="1" applyBorder="1"/>
    <xf numFmtId="0" fontId="30" fillId="0" borderId="26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43" fontId="30" fillId="0" borderId="14" xfId="2" applyFont="1" applyFill="1" applyBorder="1"/>
    <xf numFmtId="43" fontId="30" fillId="0" borderId="9" xfId="2" applyFont="1" applyFill="1" applyBorder="1"/>
    <xf numFmtId="43" fontId="10" fillId="0" borderId="16" xfId="2" quotePrefix="1" applyFont="1" applyFill="1" applyBorder="1" applyAlignment="1">
      <alignment horizontal="center"/>
    </xf>
    <xf numFmtId="43" fontId="10" fillId="0" borderId="16" xfId="2" applyFont="1" applyFill="1" applyBorder="1"/>
    <xf numFmtId="43" fontId="30" fillId="0" borderId="19" xfId="2" applyFont="1" applyFill="1" applyBorder="1" applyAlignment="1">
      <alignment vertical="center"/>
    </xf>
    <xf numFmtId="43" fontId="10" fillId="0" borderId="15" xfId="2" applyFont="1" applyFill="1" applyBorder="1"/>
    <xf numFmtId="43" fontId="10" fillId="0" borderId="0" xfId="0" applyNumberFormat="1" applyFont="1" applyAlignment="1">
      <alignment vertical="center"/>
    </xf>
    <xf numFmtId="43" fontId="10" fillId="0" borderId="15" xfId="0" applyNumberFormat="1" applyFont="1" applyBorder="1"/>
    <xf numFmtId="43" fontId="29" fillId="0" borderId="0" xfId="2" applyFont="1"/>
    <xf numFmtId="165" fontId="30" fillId="0" borderId="0" xfId="3" applyNumberFormat="1" applyFont="1"/>
    <xf numFmtId="41" fontId="25" fillId="0" borderId="0" xfId="3" applyFont="1"/>
    <xf numFmtId="165" fontId="3" fillId="4" borderId="0" xfId="3" applyNumberFormat="1" applyFont="1" applyFill="1"/>
    <xf numFmtId="43" fontId="21" fillId="2" borderId="19" xfId="2" applyFont="1" applyFill="1" applyBorder="1" applyAlignment="1">
      <alignment vertical="center"/>
    </xf>
    <xf numFmtId="43" fontId="10" fillId="0" borderId="0" xfId="2" applyFont="1" applyFill="1"/>
    <xf numFmtId="43" fontId="31" fillId="2" borderId="35" xfId="0" applyNumberFormat="1" applyFont="1" applyFill="1" applyBorder="1" applyAlignment="1">
      <alignment horizontal="center" vertical="center"/>
    </xf>
    <xf numFmtId="43" fontId="30" fillId="2" borderId="36" xfId="0" applyNumberFormat="1" applyFont="1" applyFill="1" applyBorder="1" applyAlignment="1">
      <alignment horizontal="center"/>
    </xf>
    <xf numFmtId="43" fontId="30" fillId="0" borderId="0" xfId="2" applyFont="1" applyFill="1" applyBorder="1" applyAlignment="1">
      <alignment horizontal="center"/>
    </xf>
    <xf numFmtId="43" fontId="42" fillId="0" borderId="15" xfId="2" applyFont="1" applyFill="1" applyBorder="1"/>
    <xf numFmtId="43" fontId="10" fillId="0" borderId="30" xfId="2" applyFont="1" applyFill="1" applyBorder="1"/>
    <xf numFmtId="43" fontId="10" fillId="0" borderId="32" xfId="2" applyFont="1" applyFill="1" applyBorder="1"/>
    <xf numFmtId="43" fontId="30" fillId="2" borderId="19" xfId="2" applyFont="1" applyFill="1" applyBorder="1" applyAlignment="1">
      <alignment vertical="center"/>
    </xf>
    <xf numFmtId="2" fontId="10" fillId="4" borderId="0" xfId="3" applyNumberFormat="1" applyFont="1" applyFill="1"/>
    <xf numFmtId="0" fontId="3" fillId="0" borderId="0" xfId="0" quotePrefix="1" applyFont="1"/>
    <xf numFmtId="43" fontId="58" fillId="0" borderId="14" xfId="0" applyNumberFormat="1" applyFont="1" applyBorder="1"/>
    <xf numFmtId="0" fontId="58" fillId="0" borderId="0" xfId="0" applyFont="1"/>
    <xf numFmtId="0" fontId="48" fillId="0" borderId="0" xfId="0" applyFont="1"/>
    <xf numFmtId="0" fontId="59" fillId="0" borderId="0" xfId="0" applyFont="1"/>
    <xf numFmtId="43" fontId="3" fillId="4" borderId="0" xfId="0" applyNumberFormat="1" applyFont="1" applyFill="1"/>
    <xf numFmtId="0" fontId="3" fillId="4" borderId="0" xfId="0" applyFont="1" applyFill="1"/>
    <xf numFmtId="0" fontId="60" fillId="4" borderId="0" xfId="0" applyFont="1" applyFill="1"/>
    <xf numFmtId="0" fontId="46" fillId="0" borderId="0" xfId="0" applyFont="1" applyAlignment="1">
      <alignment horizontal="left" vertical="center"/>
    </xf>
    <xf numFmtId="0" fontId="61" fillId="0" borderId="0" xfId="0" applyFont="1"/>
    <xf numFmtId="0" fontId="61" fillId="0" borderId="0" xfId="0" applyFont="1" applyAlignment="1">
      <alignment horizontal="left"/>
    </xf>
    <xf numFmtId="41" fontId="61" fillId="0" borderId="0" xfId="0" applyNumberFormat="1" applyFont="1"/>
    <xf numFmtId="41" fontId="62" fillId="0" borderId="0" xfId="0" applyNumberFormat="1" applyFont="1"/>
    <xf numFmtId="0" fontId="63" fillId="0" borderId="72" xfId="0" applyFont="1" applyBorder="1" applyAlignment="1">
      <alignment horizontal="center" vertical="center"/>
    </xf>
    <xf numFmtId="41" fontId="61" fillId="0" borderId="0" xfId="3" applyFont="1"/>
    <xf numFmtId="41" fontId="61" fillId="0" borderId="0" xfId="3" applyFont="1" applyFill="1"/>
    <xf numFmtId="41" fontId="62" fillId="0" borderId="0" xfId="3" applyFont="1"/>
    <xf numFmtId="0" fontId="61" fillId="0" borderId="0" xfId="0" applyFont="1" applyAlignment="1">
      <alignment horizontal="center"/>
    </xf>
    <xf numFmtId="41" fontId="61" fillId="0" borderId="0" xfId="3" applyFont="1" applyAlignment="1">
      <alignment horizontal="center"/>
    </xf>
    <xf numFmtId="0" fontId="65" fillId="0" borderId="63" xfId="0" applyFont="1" applyBorder="1" applyAlignment="1">
      <alignment horizontal="center" vertical="center"/>
    </xf>
    <xf numFmtId="0" fontId="65" fillId="0" borderId="64" xfId="0" applyFont="1" applyBorder="1" applyAlignment="1">
      <alignment horizontal="center" vertical="center"/>
    </xf>
    <xf numFmtId="0" fontId="65" fillId="0" borderId="65" xfId="0" applyFont="1" applyBorder="1" applyAlignment="1">
      <alignment horizontal="center" vertical="center"/>
    </xf>
    <xf numFmtId="0" fontId="65" fillId="0" borderId="62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12" xfId="0" quotePrefix="1" applyFont="1" applyBorder="1" applyAlignment="1">
      <alignment horizontal="center" vertical="center"/>
    </xf>
    <xf numFmtId="0" fontId="65" fillId="0" borderId="43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44" xfId="0" applyFont="1" applyBorder="1" applyAlignment="1">
      <alignment horizontal="center" vertical="center"/>
    </xf>
    <xf numFmtId="0" fontId="65" fillId="0" borderId="47" xfId="0" applyFont="1" applyBorder="1" applyAlignment="1">
      <alignment horizontal="center" vertical="center"/>
    </xf>
    <xf numFmtId="0" fontId="65" fillId="0" borderId="23" xfId="0" applyFont="1" applyBorder="1" applyAlignment="1">
      <alignment horizontal="left" vertical="center"/>
    </xf>
    <xf numFmtId="0" fontId="61" fillId="0" borderId="14" xfId="0" applyFont="1" applyBorder="1" applyAlignment="1">
      <alignment vertical="center"/>
    </xf>
    <xf numFmtId="0" fontId="61" fillId="0" borderId="24" xfId="0" applyFont="1" applyBorder="1" applyAlignment="1">
      <alignment vertical="center"/>
    </xf>
    <xf numFmtId="41" fontId="61" fillId="0" borderId="26" xfId="3" applyFont="1" applyBorder="1" applyAlignment="1">
      <alignment vertical="center"/>
    </xf>
    <xf numFmtId="0" fontId="61" fillId="0" borderId="43" xfId="0" applyFont="1" applyBorder="1" applyAlignment="1">
      <alignment vertical="center"/>
    </xf>
    <xf numFmtId="0" fontId="61" fillId="0" borderId="11" xfId="0" applyFont="1" applyBorder="1" applyAlignment="1">
      <alignment horizontal="center" vertical="center"/>
    </xf>
    <xf numFmtId="0" fontId="61" fillId="0" borderId="13" xfId="0" applyFont="1" applyBorder="1" applyAlignment="1">
      <alignment horizontal="left" vertical="center"/>
    </xf>
    <xf numFmtId="0" fontId="61" fillId="0" borderId="0" xfId="0" applyFont="1" applyAlignment="1">
      <alignment vertical="center"/>
    </xf>
    <xf numFmtId="0" fontId="61" fillId="0" borderId="22" xfId="0" applyFont="1" applyBorder="1" applyAlignment="1">
      <alignment vertical="center"/>
    </xf>
    <xf numFmtId="41" fontId="61" fillId="0" borderId="12" xfId="3" applyFont="1" applyBorder="1" applyAlignment="1">
      <alignment vertical="center"/>
    </xf>
    <xf numFmtId="0" fontId="61" fillId="0" borderId="43" xfId="0" applyFont="1" applyBorder="1" applyAlignment="1">
      <alignment horizontal="center" vertical="center"/>
    </xf>
    <xf numFmtId="41" fontId="61" fillId="0" borderId="43" xfId="0" applyNumberFormat="1" applyFont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22" xfId="0" applyFont="1" applyBorder="1" applyAlignment="1">
      <alignment vertical="center"/>
    </xf>
    <xf numFmtId="0" fontId="61" fillId="0" borderId="8" xfId="0" applyFont="1" applyBorder="1" applyAlignment="1">
      <alignment horizontal="center" vertical="center"/>
    </xf>
    <xf numFmtId="0" fontId="61" fillId="0" borderId="30" xfId="0" applyFont="1" applyBorder="1" applyAlignment="1">
      <alignment horizontal="center" vertical="center"/>
    </xf>
    <xf numFmtId="0" fontId="61" fillId="0" borderId="31" xfId="0" applyFont="1" applyBorder="1" applyAlignment="1">
      <alignment horizontal="center" vertical="center"/>
    </xf>
    <xf numFmtId="41" fontId="65" fillId="0" borderId="9" xfId="3" applyFont="1" applyFill="1" applyBorder="1" applyAlignment="1">
      <alignment vertical="center"/>
    </xf>
    <xf numFmtId="41" fontId="61" fillId="0" borderId="9" xfId="3" applyFont="1" applyBorder="1" applyAlignment="1">
      <alignment vertical="center"/>
    </xf>
    <xf numFmtId="0" fontId="61" fillId="0" borderId="44" xfId="0" applyFont="1" applyBorder="1" applyAlignment="1">
      <alignment horizontal="center" vertical="center"/>
    </xf>
    <xf numFmtId="0" fontId="65" fillId="0" borderId="13" xfId="0" applyFont="1" applyBorder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1" fillId="0" borderId="22" xfId="0" applyFont="1" applyBorder="1" applyAlignment="1">
      <alignment horizontal="left" vertical="center"/>
    </xf>
    <xf numFmtId="41" fontId="61" fillId="0" borderId="12" xfId="3" applyFont="1" applyFill="1" applyBorder="1" applyAlignment="1">
      <alignment vertical="center"/>
    </xf>
    <xf numFmtId="0" fontId="65" fillId="0" borderId="11" xfId="0" applyFont="1" applyBorder="1" applyAlignment="1">
      <alignment horizontal="center" vertical="center"/>
    </xf>
    <xf numFmtId="41" fontId="65" fillId="0" borderId="9" xfId="3" applyFont="1" applyBorder="1" applyAlignment="1">
      <alignment vertical="center"/>
    </xf>
    <xf numFmtId="0" fontId="61" fillId="0" borderId="43" xfId="0" applyFont="1" applyBorder="1" applyAlignment="1">
      <alignment horizontal="center" vertical="center" wrapText="1"/>
    </xf>
    <xf numFmtId="41" fontId="61" fillId="0" borderId="9" xfId="3" applyFont="1" applyFill="1" applyBorder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41" fontId="61" fillId="0" borderId="29" xfId="3" applyFont="1" applyFill="1" applyBorder="1" applyAlignment="1">
      <alignment vertical="center"/>
    </xf>
    <xf numFmtId="0" fontId="61" fillId="0" borderId="50" xfId="0" applyFont="1" applyBorder="1" applyAlignment="1">
      <alignment horizontal="center" vertical="center"/>
    </xf>
    <xf numFmtId="0" fontId="66" fillId="0" borderId="13" xfId="0" applyFont="1" applyBorder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6" fillId="0" borderId="22" xfId="0" applyFont="1" applyBorder="1" applyAlignment="1">
      <alignment horizontal="left" vertical="center"/>
    </xf>
    <xf numFmtId="0" fontId="61" fillId="0" borderId="10" xfId="0" applyFont="1" applyBorder="1" applyAlignment="1">
      <alignment horizontal="left" vertical="center"/>
    </xf>
    <xf numFmtId="0" fontId="65" fillId="0" borderId="67" xfId="0" applyFont="1" applyBorder="1" applyAlignment="1">
      <alignment horizontal="center" vertical="center"/>
    </xf>
    <xf numFmtId="41" fontId="65" fillId="0" borderId="70" xfId="0" applyNumberFormat="1" applyFont="1" applyBorder="1" applyAlignment="1">
      <alignment vertical="center"/>
    </xf>
    <xf numFmtId="0" fontId="61" fillId="0" borderId="73" xfId="0" applyFont="1" applyBorder="1" applyAlignment="1">
      <alignment horizontal="center" vertical="center"/>
    </xf>
    <xf numFmtId="41" fontId="65" fillId="0" borderId="12" xfId="3" applyFont="1" applyBorder="1" applyAlignment="1">
      <alignment vertical="center"/>
    </xf>
    <xf numFmtId="0" fontId="47" fillId="0" borderId="30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41" fontId="46" fillId="0" borderId="29" xfId="3" applyFont="1" applyFill="1" applyBorder="1" applyAlignment="1">
      <alignment vertical="center"/>
    </xf>
    <xf numFmtId="0" fontId="46" fillId="0" borderId="9" xfId="0" applyFont="1" applyBorder="1" applyAlignment="1">
      <alignment horizontal="center" vertical="center"/>
    </xf>
    <xf numFmtId="0" fontId="47" fillId="0" borderId="10" xfId="0" applyFont="1" applyBorder="1" applyAlignment="1">
      <alignment horizontal="left" vertical="center"/>
    </xf>
    <xf numFmtId="0" fontId="67" fillId="0" borderId="0" xfId="0" applyFont="1" applyAlignment="1">
      <alignment horizontal="centerContinuous"/>
    </xf>
    <xf numFmtId="0" fontId="68" fillId="0" borderId="0" xfId="0" applyFont="1" applyAlignment="1">
      <alignment horizontal="centerContinuous"/>
    </xf>
    <xf numFmtId="41" fontId="68" fillId="0" borderId="0" xfId="0" applyNumberFormat="1" applyFont="1" applyAlignment="1">
      <alignment horizontal="centerContinuous"/>
    </xf>
    <xf numFmtId="43" fontId="68" fillId="0" borderId="0" xfId="2" applyFont="1" applyFill="1" applyBorder="1" applyAlignment="1">
      <alignment horizontal="centerContinuous"/>
    </xf>
    <xf numFmtId="0" fontId="32" fillId="0" borderId="0" xfId="0" applyFont="1" applyAlignment="1">
      <alignment horizontal="center"/>
    </xf>
    <xf numFmtId="0" fontId="32" fillId="0" borderId="0" xfId="0" applyFont="1"/>
    <xf numFmtId="0" fontId="29" fillId="0" borderId="24" xfId="0" applyFont="1" applyBorder="1"/>
    <xf numFmtId="41" fontId="29" fillId="0" borderId="0" xfId="3" applyFont="1"/>
    <xf numFmtId="41" fontId="10" fillId="0" borderId="0" xfId="3" applyFont="1" applyBorder="1"/>
    <xf numFmtId="0" fontId="29" fillId="0" borderId="28" xfId="0" applyFont="1" applyBorder="1"/>
    <xf numFmtId="41" fontId="29" fillId="0" borderId="0" xfId="3" applyFont="1" applyFill="1"/>
    <xf numFmtId="41" fontId="10" fillId="0" borderId="14" xfId="3" applyFont="1" applyBorder="1"/>
    <xf numFmtId="43" fontId="10" fillId="4" borderId="0" xfId="2" applyFont="1" applyFill="1" applyBorder="1"/>
    <xf numFmtId="41" fontId="10" fillId="0" borderId="14" xfId="3" applyFont="1" applyFill="1" applyBorder="1"/>
    <xf numFmtId="41" fontId="29" fillId="0" borderId="0" xfId="3" applyFont="1" applyBorder="1"/>
    <xf numFmtId="41" fontId="29" fillId="0" borderId="14" xfId="3" applyFont="1" applyBorder="1"/>
    <xf numFmtId="41" fontId="69" fillId="0" borderId="0" xfId="3" applyFont="1" applyBorder="1"/>
    <xf numFmtId="0" fontId="69" fillId="0" borderId="0" xfId="0" applyFont="1"/>
    <xf numFmtId="41" fontId="14" fillId="0" borderId="9" xfId="3" applyFont="1" applyBorder="1"/>
    <xf numFmtId="165" fontId="30" fillId="0" borderId="16" xfId="2" applyNumberFormat="1" applyFont="1" applyBorder="1"/>
    <xf numFmtId="165" fontId="10" fillId="0" borderId="0" xfId="2" applyNumberFormat="1" applyFont="1" applyBorder="1"/>
    <xf numFmtId="165" fontId="10" fillId="0" borderId="16" xfId="2" quotePrefix="1" applyNumberFormat="1" applyFont="1" applyBorder="1" applyAlignment="1">
      <alignment horizontal="center"/>
    </xf>
    <xf numFmtId="0" fontId="50" fillId="0" borderId="30" xfId="1" applyFont="1" applyBorder="1" applyAlignment="1">
      <alignment horizontal="center" vertical="center"/>
    </xf>
    <xf numFmtId="0" fontId="50" fillId="0" borderId="31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41" fontId="36" fillId="0" borderId="0" xfId="1" applyNumberFormat="1" applyFont="1" applyAlignment="1">
      <alignment horizontal="center"/>
    </xf>
    <xf numFmtId="41" fontId="70" fillId="0" borderId="0" xfId="10" applyFont="1"/>
    <xf numFmtId="41" fontId="71" fillId="0" borderId="0" xfId="10" applyFont="1"/>
    <xf numFmtId="41" fontId="72" fillId="0" borderId="0" xfId="10" applyFont="1"/>
    <xf numFmtId="41" fontId="51" fillId="0" borderId="12" xfId="11" applyFont="1" applyFill="1" applyBorder="1" applyAlignment="1">
      <alignment vertical="center"/>
    </xf>
    <xf numFmtId="0" fontId="50" fillId="0" borderId="14" xfId="1" applyFont="1" applyBorder="1" applyAlignment="1">
      <alignment vertical="center"/>
    </xf>
    <xf numFmtId="0" fontId="71" fillId="0" borderId="0" xfId="1" applyFont="1"/>
    <xf numFmtId="0" fontId="51" fillId="0" borderId="13" xfId="12" applyFont="1" applyBorder="1" applyAlignment="1">
      <alignment horizontal="left" vertical="center"/>
    </xf>
    <xf numFmtId="0" fontId="50" fillId="0" borderId="0" xfId="12" applyFont="1" applyAlignment="1">
      <alignment vertical="center"/>
    </xf>
    <xf numFmtId="0" fontId="50" fillId="0" borderId="22" xfId="12" applyFont="1" applyBorder="1" applyAlignment="1">
      <alignment vertical="center"/>
    </xf>
    <xf numFmtId="0" fontId="51" fillId="0" borderId="0" xfId="12" applyFont="1" applyAlignment="1">
      <alignment vertical="center"/>
    </xf>
    <xf numFmtId="0" fontId="51" fillId="0" borderId="22" xfId="12" applyFont="1" applyBorder="1" applyAlignment="1">
      <alignment vertical="center"/>
    </xf>
    <xf numFmtId="41" fontId="52" fillId="0" borderId="0" xfId="10" applyFont="1"/>
    <xf numFmtId="0" fontId="50" fillId="0" borderId="10" xfId="1" applyFont="1" applyBorder="1" applyAlignment="1">
      <alignment horizontal="left" vertical="center"/>
    </xf>
    <xf numFmtId="41" fontId="51" fillId="0" borderId="0" xfId="10" applyFont="1" applyFill="1"/>
    <xf numFmtId="0" fontId="36" fillId="0" borderId="0" xfId="1" applyFont="1" applyAlignment="1">
      <alignment vertical="center"/>
    </xf>
    <xf numFmtId="0" fontId="36" fillId="0" borderId="0" xfId="1" applyFont="1" applyAlignment="1">
      <alignment horizontal="left" vertical="center"/>
    </xf>
    <xf numFmtId="41" fontId="73" fillId="0" borderId="0" xfId="10" applyFont="1" applyAlignment="1">
      <alignment vertical="center"/>
    </xf>
    <xf numFmtId="0" fontId="5" fillId="0" borderId="0" xfId="1" applyFont="1" applyAlignment="1">
      <alignment vertical="center"/>
    </xf>
    <xf numFmtId="41" fontId="73" fillId="0" borderId="0" xfId="10" applyFont="1"/>
    <xf numFmtId="0" fontId="33" fillId="0" borderId="0" xfId="1" applyFont="1" applyAlignment="1">
      <alignment vertical="center"/>
    </xf>
    <xf numFmtId="41" fontId="71" fillId="0" borderId="0" xfId="10" applyFont="1" applyAlignment="1">
      <alignment vertical="center"/>
    </xf>
    <xf numFmtId="41" fontId="38" fillId="0" borderId="78" xfId="10" applyFont="1" applyFill="1" applyBorder="1" applyAlignment="1">
      <alignment horizontal="center"/>
    </xf>
    <xf numFmtId="41" fontId="38" fillId="0" borderId="0" xfId="10" applyFont="1" applyFill="1" applyAlignment="1">
      <alignment horizontal="center"/>
    </xf>
    <xf numFmtId="0" fontId="38" fillId="0" borderId="0" xfId="1" applyFont="1" applyAlignment="1">
      <alignment horizontal="center" vertical="center" wrapText="1"/>
    </xf>
    <xf numFmtId="41" fontId="71" fillId="0" borderId="0" xfId="10" applyFont="1" applyAlignment="1">
      <alignment horizontal="left"/>
    </xf>
    <xf numFmtId="41" fontId="36" fillId="0" borderId="0" xfId="10" applyFont="1" applyFill="1" applyBorder="1" applyAlignment="1">
      <alignment horizontal="center"/>
    </xf>
    <xf numFmtId="0" fontId="50" fillId="0" borderId="0" xfId="1" quotePrefix="1" applyFont="1" applyAlignment="1">
      <alignment horizontal="center" vertical="center"/>
    </xf>
    <xf numFmtId="41" fontId="50" fillId="0" borderId="0" xfId="10" applyFont="1" applyFill="1" applyBorder="1" applyAlignment="1">
      <alignment vertical="center"/>
    </xf>
    <xf numFmtId="0" fontId="50" fillId="0" borderId="26" xfId="1" applyFont="1" applyBorder="1" applyAlignment="1">
      <alignment horizontal="center" vertical="center"/>
    </xf>
    <xf numFmtId="0" fontId="50" fillId="0" borderId="29" xfId="1" quotePrefix="1" applyFont="1" applyBorder="1" applyAlignment="1">
      <alignment horizontal="center" vertical="center"/>
    </xf>
    <xf numFmtId="41" fontId="50" fillId="0" borderId="0" xfId="1" applyNumberFormat="1" applyFont="1" applyAlignment="1">
      <alignment vertical="center"/>
    </xf>
    <xf numFmtId="41" fontId="38" fillId="0" borderId="0" xfId="10" applyFont="1" applyFill="1" applyBorder="1" applyAlignment="1">
      <alignment horizontal="center"/>
    </xf>
    <xf numFmtId="41" fontId="50" fillId="0" borderId="9" xfId="1" applyNumberFormat="1" applyFont="1" applyBorder="1" applyAlignment="1">
      <alignment vertical="center"/>
    </xf>
    <xf numFmtId="41" fontId="51" fillId="0" borderId="0" xfId="10" applyFont="1" applyFill="1" applyBorder="1" applyAlignment="1">
      <alignment horizontal="center"/>
    </xf>
    <xf numFmtId="165" fontId="14" fillId="0" borderId="0" xfId="0" applyNumberFormat="1" applyFont="1"/>
    <xf numFmtId="41" fontId="0" fillId="0" borderId="0" xfId="0" applyNumberFormat="1"/>
    <xf numFmtId="41" fontId="74" fillId="0" borderId="0" xfId="0" applyNumberFormat="1" applyFont="1"/>
    <xf numFmtId="41" fontId="40" fillId="0" borderId="0" xfId="1" applyNumberFormat="1" applyFont="1" applyAlignment="1">
      <alignment horizontal="center"/>
    </xf>
    <xf numFmtId="164" fontId="46" fillId="0" borderId="12" xfId="3" applyNumberFormat="1" applyFont="1" applyFill="1" applyBorder="1" applyAlignment="1">
      <alignment vertical="center"/>
    </xf>
    <xf numFmtId="41" fontId="3" fillId="0" borderId="0" xfId="3" applyFont="1" applyBorder="1"/>
    <xf numFmtId="41" fontId="58" fillId="0" borderId="0" xfId="3" applyFont="1" applyBorder="1"/>
    <xf numFmtId="2" fontId="10" fillId="0" borderId="0" xfId="0" applyNumberFormat="1" applyFont="1"/>
    <xf numFmtId="41" fontId="46" fillId="0" borderId="43" xfId="3" applyFont="1" applyBorder="1" applyAlignment="1">
      <alignment horizontal="center" vertical="center" wrapText="1"/>
    </xf>
    <xf numFmtId="41" fontId="10" fillId="0" borderId="30" xfId="2" applyNumberFormat="1" applyFont="1" applyFill="1" applyBorder="1"/>
    <xf numFmtId="41" fontId="10" fillId="0" borderId="30" xfId="0" applyNumberFormat="1" applyFont="1" applyBorder="1"/>
    <xf numFmtId="39" fontId="75" fillId="0" borderId="0" xfId="0" applyNumberFormat="1" applyFont="1" applyAlignment="1">
      <alignment vertical="center"/>
    </xf>
    <xf numFmtId="43" fontId="76" fillId="0" borderId="0" xfId="0" applyNumberFormat="1" applyFont="1"/>
    <xf numFmtId="43" fontId="77" fillId="0" borderId="0" xfId="2" applyFont="1" applyFill="1" applyBorder="1"/>
    <xf numFmtId="39" fontId="78" fillId="0" borderId="0" xfId="4" applyNumberFormat="1" applyFont="1"/>
    <xf numFmtId="39" fontId="9" fillId="0" borderId="0" xfId="4" quotePrefix="1" applyNumberFormat="1" applyFont="1"/>
    <xf numFmtId="41" fontId="10" fillId="0" borderId="0" xfId="2" applyNumberFormat="1" applyFont="1" applyFill="1" applyBorder="1" applyAlignment="1">
      <alignment vertical="center"/>
    </xf>
    <xf numFmtId="43" fontId="30" fillId="0" borderId="16" xfId="2" applyFont="1" applyBorder="1" applyAlignment="1">
      <alignment vertical="center"/>
    </xf>
    <xf numFmtId="41" fontId="30" fillId="0" borderId="0" xfId="2" applyNumberFormat="1" applyFont="1" applyBorder="1" applyAlignment="1">
      <alignment vertical="center"/>
    </xf>
    <xf numFmtId="43" fontId="30" fillId="0" borderId="16" xfId="2" applyFont="1" applyFill="1" applyBorder="1" applyAlignment="1">
      <alignment vertical="center"/>
    </xf>
    <xf numFmtId="43" fontId="30" fillId="0" borderId="16" xfId="0" applyNumberFormat="1" applyFont="1" applyBorder="1" applyAlignment="1">
      <alignment vertical="center"/>
    </xf>
    <xf numFmtId="43" fontId="30" fillId="0" borderId="0" xfId="2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quotePrefix="1" applyFont="1" applyAlignment="1">
      <alignment vertical="center"/>
    </xf>
    <xf numFmtId="0" fontId="31" fillId="0" borderId="0" xfId="0" quotePrefix="1" applyFont="1"/>
    <xf numFmtId="0" fontId="29" fillId="0" borderId="0" xfId="0" quotePrefix="1" applyFont="1"/>
    <xf numFmtId="39" fontId="79" fillId="0" borderId="0" xfId="4" applyNumberFormat="1" applyFont="1"/>
    <xf numFmtId="39" fontId="80" fillId="0" borderId="0" xfId="4" quotePrefix="1" applyNumberFormat="1" applyFont="1"/>
    <xf numFmtId="0" fontId="32" fillId="0" borderId="0" xfId="0" quotePrefix="1" applyFont="1"/>
    <xf numFmtId="0" fontId="80" fillId="0" borderId="0" xfId="4" quotePrefix="1" applyFont="1"/>
    <xf numFmtId="41" fontId="30" fillId="0" borderId="16" xfId="2" applyNumberFormat="1" applyFont="1" applyBorder="1" applyAlignment="1">
      <alignment vertical="center"/>
    </xf>
    <xf numFmtId="41" fontId="30" fillId="0" borderId="0" xfId="2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41" fontId="30" fillId="0" borderId="14" xfId="0" applyNumberFormat="1" applyFont="1" applyBorder="1" applyAlignment="1">
      <alignment vertical="center"/>
    </xf>
    <xf numFmtId="41" fontId="30" fillId="0" borderId="14" xfId="2" applyNumberFormat="1" applyFont="1" applyFill="1" applyBorder="1" applyAlignment="1">
      <alignment vertical="center"/>
    </xf>
    <xf numFmtId="41" fontId="30" fillId="0" borderId="30" xfId="0" applyNumberFormat="1" applyFont="1" applyBorder="1" applyAlignment="1">
      <alignment vertical="center"/>
    </xf>
    <xf numFmtId="41" fontId="30" fillId="0" borderId="30" xfId="2" applyNumberFormat="1" applyFont="1" applyFill="1" applyBorder="1" applyAlignment="1">
      <alignment vertical="center"/>
    </xf>
    <xf numFmtId="41" fontId="30" fillId="0" borderId="16" xfId="2" applyNumberFormat="1" applyFont="1" applyFill="1" applyBorder="1" applyAlignment="1">
      <alignment vertical="center"/>
    </xf>
    <xf numFmtId="41" fontId="10" fillId="0" borderId="0" xfId="2" applyNumberFormat="1" applyFont="1" applyBorder="1" applyAlignment="1">
      <alignment vertical="center"/>
    </xf>
    <xf numFmtId="41" fontId="10" fillId="0" borderId="14" xfId="2" applyNumberFormat="1" applyFont="1" applyBorder="1" applyAlignment="1">
      <alignment vertical="center"/>
    </xf>
    <xf numFmtId="41" fontId="10" fillId="0" borderId="9" xfId="2" applyNumberFormat="1" applyFont="1" applyBorder="1" applyAlignment="1">
      <alignment vertical="center"/>
    </xf>
    <xf numFmtId="43" fontId="22" fillId="0" borderId="0" xfId="2" applyFont="1"/>
    <xf numFmtId="41" fontId="51" fillId="6" borderId="12" xfId="10" applyFont="1" applyFill="1" applyBorder="1" applyAlignment="1">
      <alignment vertical="center"/>
    </xf>
    <xf numFmtId="39" fontId="10" fillId="0" borderId="13" xfId="0" applyNumberFormat="1" applyFont="1" applyBorder="1"/>
    <xf numFmtId="41" fontId="61" fillId="0" borderId="26" xfId="3" applyFont="1" applyFill="1" applyBorder="1" applyAlignment="1">
      <alignment vertical="center"/>
    </xf>
    <xf numFmtId="41" fontId="65" fillId="0" borderId="12" xfId="3" applyFont="1" applyFill="1" applyBorder="1" applyAlignment="1">
      <alignment vertical="center"/>
    </xf>
    <xf numFmtId="0" fontId="81" fillId="0" borderId="0" xfId="0" applyFont="1"/>
    <xf numFmtId="41" fontId="71" fillId="0" borderId="0" xfId="10" applyFont="1" applyFill="1"/>
    <xf numFmtId="41" fontId="52" fillId="0" borderId="0" xfId="10" applyFont="1" applyFill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35" fillId="0" borderId="14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1" fontId="10" fillId="0" borderId="0" xfId="0" applyNumberFormat="1" applyFont="1" applyAlignment="1">
      <alignment horizontal="center"/>
    </xf>
    <xf numFmtId="0" fontId="33" fillId="0" borderId="5" xfId="0" applyFont="1" applyBorder="1" applyAlignment="1">
      <alignment horizontal="center"/>
    </xf>
    <xf numFmtId="0" fontId="31" fillId="2" borderId="10" xfId="0" applyFont="1" applyFill="1" applyBorder="1" applyAlignment="1">
      <alignment horizontal="center" vertical="center"/>
    </xf>
    <xf numFmtId="0" fontId="31" fillId="2" borderId="30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30" fillId="2" borderId="30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164" fontId="10" fillId="0" borderId="0" xfId="2" applyNumberFormat="1" applyFont="1" applyBorder="1" applyAlignment="1">
      <alignment horizontal="center"/>
    </xf>
    <xf numFmtId="0" fontId="30" fillId="5" borderId="10" xfId="0" applyFont="1" applyFill="1" applyBorder="1" applyAlignment="1">
      <alignment horizontal="center" vertical="center"/>
    </xf>
    <xf numFmtId="0" fontId="30" fillId="5" borderId="30" xfId="0" applyFont="1" applyFill="1" applyBorder="1" applyAlignment="1">
      <alignment horizontal="center" vertical="center"/>
    </xf>
    <xf numFmtId="0" fontId="30" fillId="5" borderId="31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5" borderId="10" xfId="0" applyFont="1" applyFill="1" applyBorder="1" applyAlignment="1">
      <alignment horizontal="center" vertical="center"/>
    </xf>
    <xf numFmtId="0" fontId="31" fillId="5" borderId="30" xfId="0" applyFont="1" applyFill="1" applyBorder="1" applyAlignment="1">
      <alignment horizontal="center" vertical="center"/>
    </xf>
    <xf numFmtId="0" fontId="31" fillId="5" borderId="31" xfId="0" applyFont="1" applyFill="1" applyBorder="1" applyAlignment="1">
      <alignment horizontal="center" vertical="center"/>
    </xf>
    <xf numFmtId="164" fontId="29" fillId="0" borderId="14" xfId="2" applyNumberFormat="1" applyFont="1" applyBorder="1" applyAlignment="1">
      <alignment horizontal="center"/>
    </xf>
    <xf numFmtId="41" fontId="29" fillId="0" borderId="14" xfId="2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43" fontId="32" fillId="0" borderId="0" xfId="2" applyFont="1" applyAlignment="1">
      <alignment horizontal="center"/>
    </xf>
    <xf numFmtId="0" fontId="67" fillId="0" borderId="0" xfId="0" applyFont="1" applyAlignment="1">
      <alignment horizontal="center"/>
    </xf>
    <xf numFmtId="0" fontId="31" fillId="2" borderId="39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40" xfId="0" applyFont="1" applyFill="1" applyBorder="1" applyAlignment="1">
      <alignment horizontal="center" vertical="center"/>
    </xf>
    <xf numFmtId="0" fontId="31" fillId="2" borderId="37" xfId="0" applyFont="1" applyFill="1" applyBorder="1" applyAlignment="1">
      <alignment horizontal="center" vertical="center"/>
    </xf>
    <xf numFmtId="0" fontId="31" fillId="2" borderId="25" xfId="0" applyFont="1" applyFill="1" applyBorder="1" applyAlignment="1">
      <alignment horizontal="center" vertical="center"/>
    </xf>
    <xf numFmtId="0" fontId="31" fillId="2" borderId="38" xfId="0" applyFont="1" applyFill="1" applyBorder="1" applyAlignment="1">
      <alignment horizontal="center" vertical="center"/>
    </xf>
    <xf numFmtId="0" fontId="31" fillId="2" borderId="35" xfId="0" applyFont="1" applyFill="1" applyBorder="1" applyAlignment="1">
      <alignment horizontal="center" vertical="center"/>
    </xf>
    <xf numFmtId="0" fontId="31" fillId="2" borderId="36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67" fillId="0" borderId="14" xfId="0" applyFont="1" applyBorder="1" applyAlignment="1">
      <alignment horizontal="center"/>
    </xf>
    <xf numFmtId="0" fontId="36" fillId="2" borderId="17" xfId="0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/>
    </xf>
    <xf numFmtId="0" fontId="31" fillId="2" borderId="20" xfId="0" applyFont="1" applyFill="1" applyBorder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3" fontId="32" fillId="0" borderId="0" xfId="0" applyNumberFormat="1" applyFont="1" applyAlignment="1">
      <alignment horizontal="center"/>
    </xf>
    <xf numFmtId="0" fontId="22" fillId="0" borderId="0" xfId="4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2" fillId="0" borderId="0" xfId="4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43" fontId="22" fillId="0" borderId="0" xfId="4" applyNumberFormat="1" applyFont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30" fillId="3" borderId="23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0" fillId="3" borderId="24" xfId="0" applyFont="1" applyFill="1" applyBorder="1" applyAlignment="1">
      <alignment horizontal="center" vertical="center"/>
    </xf>
    <xf numFmtId="0" fontId="30" fillId="3" borderId="27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0" fontId="29" fillId="0" borderId="14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3" fillId="3" borderId="17" xfId="0" applyFont="1" applyFill="1" applyBorder="1" applyAlignment="1">
      <alignment horizontal="center" vertical="center"/>
    </xf>
    <xf numFmtId="0" fontId="33" fillId="3" borderId="18" xfId="0" applyFont="1" applyFill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0" fillId="3" borderId="20" xfId="0" applyFont="1" applyFill="1" applyBorder="1" applyAlignment="1">
      <alignment horizontal="center" vertical="center"/>
    </xf>
    <xf numFmtId="0" fontId="29" fillId="0" borderId="0" xfId="0" applyFont="1" applyAlignment="1">
      <alignment horizontal="left"/>
    </xf>
    <xf numFmtId="0" fontId="10" fillId="0" borderId="15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2" fillId="0" borderId="0" xfId="0" quotePrefix="1" applyFont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16" fillId="0" borderId="41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5" fontId="27" fillId="0" borderId="9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  <xf numFmtId="0" fontId="47" fillId="0" borderId="64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7" fillId="0" borderId="65" xfId="0" applyFont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7" fillId="0" borderId="30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47" fillId="0" borderId="68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47" fillId="0" borderId="69" xfId="0" applyFont="1" applyBorder="1" applyAlignment="1">
      <alignment horizontal="center" vertical="center"/>
    </xf>
    <xf numFmtId="0" fontId="46" fillId="0" borderId="10" xfId="0" applyFont="1" applyBorder="1" applyAlignment="1">
      <alignment horizontal="left" vertical="center"/>
    </xf>
    <xf numFmtId="0" fontId="46" fillId="0" borderId="30" xfId="0" applyFont="1" applyBorder="1" applyAlignment="1">
      <alignment horizontal="left" vertical="center"/>
    </xf>
    <xf numFmtId="0" fontId="46" fillId="0" borderId="31" xfId="0" applyFont="1" applyBorder="1" applyAlignment="1">
      <alignment horizontal="left" vertical="center"/>
    </xf>
    <xf numFmtId="0" fontId="65" fillId="0" borderId="68" xfId="0" applyFont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65" fillId="0" borderId="69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1" fillId="0" borderId="30" xfId="0" applyFont="1" applyBorder="1" applyAlignment="1">
      <alignment horizontal="center" vertical="center"/>
    </xf>
    <xf numFmtId="0" fontId="61" fillId="0" borderId="31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 wrapText="1"/>
    </xf>
    <xf numFmtId="0" fontId="61" fillId="0" borderId="30" xfId="0" applyFont="1" applyBorder="1" applyAlignment="1">
      <alignment horizontal="center" vertical="center" wrapText="1"/>
    </xf>
    <xf numFmtId="0" fontId="61" fillId="0" borderId="31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61" fillId="0" borderId="13" xfId="0" applyFont="1" applyBorder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1" fillId="0" borderId="22" xfId="0" applyFont="1" applyBorder="1" applyAlignment="1">
      <alignment horizontal="left" vertical="center"/>
    </xf>
    <xf numFmtId="0" fontId="65" fillId="0" borderId="64" xfId="0" applyFont="1" applyBorder="1" applyAlignment="1">
      <alignment horizontal="center" vertical="center"/>
    </xf>
    <xf numFmtId="0" fontId="65" fillId="0" borderId="12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1" fontId="38" fillId="0" borderId="0" xfId="1" applyNumberFormat="1" applyFont="1" applyAlignment="1">
      <alignment horizontal="center"/>
    </xf>
    <xf numFmtId="0" fontId="51" fillId="0" borderId="10" xfId="1" applyFont="1" applyBorder="1" applyAlignment="1">
      <alignment horizontal="center" vertical="center"/>
    </xf>
    <xf numFmtId="0" fontId="51" fillId="0" borderId="30" xfId="1" applyFont="1" applyBorder="1" applyAlignment="1">
      <alignment horizontal="center" vertical="center"/>
    </xf>
    <xf numFmtId="0" fontId="51" fillId="0" borderId="31" xfId="1" applyFont="1" applyBorder="1" applyAlignment="1">
      <alignment horizontal="center" vertical="center"/>
    </xf>
    <xf numFmtId="0" fontId="51" fillId="0" borderId="13" xfId="1" applyFont="1" applyBorder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1" fillId="0" borderId="22" xfId="1" applyFont="1" applyBorder="1" applyAlignment="1">
      <alignment horizontal="center" vertical="center"/>
    </xf>
    <xf numFmtId="0" fontId="51" fillId="0" borderId="13" xfId="1" applyFont="1" applyBorder="1" applyAlignment="1">
      <alignment horizontal="left" vertical="center"/>
    </xf>
    <xf numFmtId="0" fontId="51" fillId="0" borderId="0" xfId="1" applyFont="1" applyAlignment="1">
      <alignment horizontal="left" vertical="center"/>
    </xf>
    <xf numFmtId="0" fontId="51" fillId="0" borderId="22" xfId="1" applyFont="1" applyBorder="1" applyAlignment="1">
      <alignment horizontal="left" vertical="center"/>
    </xf>
    <xf numFmtId="0" fontId="50" fillId="0" borderId="10" xfId="1" applyFont="1" applyBorder="1" applyAlignment="1">
      <alignment horizontal="center" vertical="center"/>
    </xf>
    <xf numFmtId="0" fontId="50" fillId="0" borderId="30" xfId="1" applyFont="1" applyBorder="1" applyAlignment="1">
      <alignment horizontal="center" vertical="center"/>
    </xf>
    <xf numFmtId="0" fontId="50" fillId="0" borderId="31" xfId="1" applyFont="1" applyBorder="1" applyAlignment="1">
      <alignment horizontal="center" vertical="center"/>
    </xf>
    <xf numFmtId="0" fontId="50" fillId="0" borderId="68" xfId="1" applyFont="1" applyBorder="1" applyAlignment="1">
      <alignment horizontal="center" vertical="center"/>
    </xf>
    <xf numFmtId="0" fontId="50" fillId="0" borderId="16" xfId="1" applyFont="1" applyBorder="1" applyAlignment="1">
      <alignment horizontal="center" vertical="center"/>
    </xf>
    <xf numFmtId="0" fontId="50" fillId="0" borderId="69" xfId="1" applyFont="1" applyBorder="1" applyAlignment="1">
      <alignment horizontal="center" vertical="center"/>
    </xf>
    <xf numFmtId="0" fontId="51" fillId="0" borderId="10" xfId="1" applyFont="1" applyBorder="1" applyAlignment="1">
      <alignment horizontal="left" vertical="center"/>
    </xf>
    <xf numFmtId="0" fontId="51" fillId="0" borderId="30" xfId="1" applyFont="1" applyBorder="1" applyAlignment="1">
      <alignment horizontal="left" vertical="center"/>
    </xf>
    <xf numFmtId="0" fontId="51" fillId="0" borderId="31" xfId="1" applyFont="1" applyBorder="1" applyAlignment="1">
      <alignment horizontal="left" vertical="center"/>
    </xf>
    <xf numFmtId="41" fontId="36" fillId="0" borderId="0" xfId="1" applyNumberFormat="1" applyFont="1" applyAlignment="1">
      <alignment horizontal="center"/>
    </xf>
    <xf numFmtId="0" fontId="36" fillId="0" borderId="0" xfId="1" applyFont="1" applyAlignment="1">
      <alignment horizontal="center"/>
    </xf>
    <xf numFmtId="0" fontId="33" fillId="0" borderId="76" xfId="1" applyFont="1" applyBorder="1" applyAlignment="1">
      <alignment horizontal="center" vertical="center"/>
    </xf>
    <xf numFmtId="0" fontId="33" fillId="0" borderId="77" xfId="1" applyFont="1" applyBorder="1" applyAlignment="1">
      <alignment horizontal="center" vertical="center"/>
    </xf>
    <xf numFmtId="41" fontId="36" fillId="0" borderId="5" xfId="10" applyFont="1" applyFill="1" applyBorder="1" applyAlignment="1">
      <alignment horizontal="center"/>
    </xf>
    <xf numFmtId="0" fontId="50" fillId="0" borderId="64" xfId="1" applyFont="1" applyBorder="1" applyAlignment="1">
      <alignment horizontal="center" vertical="center"/>
    </xf>
    <xf numFmtId="0" fontId="50" fillId="0" borderId="12" xfId="1" applyFont="1" applyBorder="1" applyAlignment="1">
      <alignment horizontal="center" vertical="center"/>
    </xf>
    <xf numFmtId="0" fontId="50" fillId="0" borderId="9" xfId="1" applyFont="1" applyBorder="1" applyAlignment="1">
      <alignment horizontal="center" vertical="center"/>
    </xf>
    <xf numFmtId="0" fontId="50" fillId="0" borderId="79" xfId="1" applyFont="1" applyBorder="1" applyAlignment="1">
      <alignment horizontal="center" vertical="center"/>
    </xf>
    <xf numFmtId="0" fontId="50" fillId="0" borderId="80" xfId="1" applyFont="1" applyBorder="1" applyAlignment="1">
      <alignment horizontal="center" vertical="center"/>
    </xf>
    <xf numFmtId="0" fontId="51" fillId="0" borderId="10" xfId="1" applyFont="1" applyBorder="1" applyAlignment="1">
      <alignment horizontal="center" vertical="center" wrapText="1"/>
    </xf>
    <xf numFmtId="0" fontId="51" fillId="0" borderId="30" xfId="1" applyFont="1" applyBorder="1" applyAlignment="1">
      <alignment horizontal="center" vertical="center" wrapText="1"/>
    </xf>
    <xf numFmtId="0" fontId="51" fillId="0" borderId="31" xfId="1" applyFont="1" applyBorder="1" applyAlignment="1">
      <alignment horizontal="center" vertical="center" wrapText="1"/>
    </xf>
    <xf numFmtId="0" fontId="51" fillId="0" borderId="13" xfId="1" applyFont="1" applyBorder="1" applyAlignment="1">
      <alignment horizontal="left" vertical="center" wrapText="1"/>
    </xf>
    <xf numFmtId="0" fontId="51" fillId="0" borderId="0" xfId="1" applyFont="1" applyAlignment="1">
      <alignment horizontal="left" vertical="center" wrapText="1"/>
    </xf>
    <xf numFmtId="0" fontId="51" fillId="0" borderId="22" xfId="1" applyFont="1" applyBorder="1" applyAlignment="1">
      <alignment horizontal="left" vertical="center" wrapText="1"/>
    </xf>
    <xf numFmtId="0" fontId="51" fillId="0" borderId="27" xfId="1" applyFont="1" applyBorder="1" applyAlignment="1">
      <alignment horizontal="left" vertical="center"/>
    </xf>
    <xf numFmtId="0" fontId="51" fillId="0" borderId="15" xfId="1" applyFont="1" applyBorder="1" applyAlignment="1">
      <alignment horizontal="left" vertical="center"/>
    </xf>
    <xf numFmtId="0" fontId="51" fillId="0" borderId="28" xfId="1" applyFont="1" applyBorder="1" applyAlignment="1">
      <alignment horizontal="left" vertical="center"/>
    </xf>
    <xf numFmtId="0" fontId="50" fillId="0" borderId="3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41" fontId="36" fillId="0" borderId="5" xfId="1" applyNumberFormat="1" applyFont="1" applyBorder="1" applyAlignment="1">
      <alignment horizontal="center"/>
    </xf>
    <xf numFmtId="0" fontId="50" fillId="0" borderId="65" xfId="1" applyFont="1" applyBorder="1" applyAlignment="1">
      <alignment horizontal="center" vertical="center" wrapText="1"/>
    </xf>
    <xf numFmtId="0" fontId="50" fillId="0" borderId="66" xfId="1" applyFont="1" applyBorder="1" applyAlignment="1">
      <alignment horizontal="center" vertical="center" wrapText="1"/>
    </xf>
    <xf numFmtId="0" fontId="51" fillId="0" borderId="23" xfId="1" applyFont="1" applyBorder="1" applyAlignment="1">
      <alignment horizontal="left" vertical="center"/>
    </xf>
    <xf numFmtId="0" fontId="51" fillId="0" borderId="14" xfId="1" applyFont="1" applyBorder="1" applyAlignment="1">
      <alignment horizontal="left" vertical="center"/>
    </xf>
    <xf numFmtId="0" fontId="51" fillId="0" borderId="24" xfId="1" applyFont="1" applyBorder="1" applyAlignment="1">
      <alignment horizontal="left" vertical="center"/>
    </xf>
    <xf numFmtId="41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51" fillId="0" borderId="13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22" xfId="0" applyFont="1" applyBorder="1" applyAlignment="1">
      <alignment horizontal="left" vertical="center"/>
    </xf>
  </cellXfs>
  <cellStyles count="13">
    <cellStyle name="Comma" xfId="2" builtinId="3"/>
    <cellStyle name="Comma [0]" xfId="3" builtinId="6"/>
    <cellStyle name="Comma [0] 2" xfId="10" xr:uid="{8DEF11A1-1787-4160-9D58-1C2A81A7366D}"/>
    <cellStyle name="Comma [0] 2 2" xfId="9" xr:uid="{00000000-0005-0000-0000-000002000000}"/>
    <cellStyle name="Comma [0] 2 2 2" xfId="11" xr:uid="{206D9BAF-E033-4489-A46B-64F05725C122}"/>
    <cellStyle name="Normal" xfId="0" builtinId="0"/>
    <cellStyle name="Normal 2" xfId="1" xr:uid="{00000000-0005-0000-0000-000004000000}"/>
    <cellStyle name="Normal 2 2" xfId="12" xr:uid="{3C6F92BE-FD08-41A3-B4AD-60E57526901D}"/>
    <cellStyle name="Normal_KKA Lap-Keu 2007 (version 1)" xfId="4" xr:uid="{00000000-0005-0000-0000-000005000000}"/>
    <cellStyle name="S10_BalSheetSimple2006" xfId="5" xr:uid="{00000000-0005-0000-0000-000006000000}"/>
    <cellStyle name="S5" xfId="6" xr:uid="{00000000-0005-0000-0000-000007000000}"/>
    <cellStyle name="S6" xfId="8" xr:uid="{00000000-0005-0000-0000-000008000000}"/>
    <cellStyle name="S7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sharedStrings" Target="sharedStrings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tyles" Target="styles.xml"/><Relationship Id="rId37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RU\Worksheet%202026\BUKU%20BESA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I\AKUNTANSI%202025\Worksheet%202024\BUKU%20BESA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I\AKUNTANSI%202024%20FIX%20AUDITED%20KOREKSI\LAP%20KEU%202024%20UNAUDITED%20-%20PERUMDAM%20TIRTA%20SERUYAN\Worksheet%202024\Journal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I\AKUNTANSI%202025\Worksheet%202024\Journal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I\AKUNTANSI%202025\Worksheet%202025\BUKU%20BESA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KUNTANSI%20BARU\LAP.%20AKUN.SAK%20ETAP%202011%20PDAM%20SERUYAN\Buku%20Besar%202011_sak%20et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KUNTANSI%20BARU\LAP.%20AKUN.SAK%20ETAP%202011%20PDAM%20SERUYAN\AKTIVA%20TETAP%20Th.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KUNTANSI%20BARU\LAP.%20AKUN.SAK%20ETAP%202011%20PDAM%20SERUYAN\WORKSHEET%20TH%20%20Th.%20201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I\ANGGARAN%20baru\RKAP%20TAHUN%202023\Anggaran%202023%20OTDA%20PDAM%20Dgn%20Uang%20Pisah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I\ANGGARAN%20baru\RKAP%20TAHUN%202022\Anggaran%202022%20OTDA%20PDAM%20(Tanpa%20Kenaikan%20Status%20Pegawai)%20EDIT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1-12.01"/>
      <sheetName val="13.00"/>
      <sheetName val="14.00"/>
      <sheetName val="15.00-16.00"/>
      <sheetName val="31.01-31.09"/>
      <sheetName val="31.10"/>
      <sheetName val="35.00-35.01-37.00"/>
      <sheetName val="50.00"/>
      <sheetName val="70.00"/>
      <sheetName val="81.01"/>
      <sheetName val="81.02-81.03"/>
      <sheetName val="88.00"/>
      <sheetName val="91.00"/>
      <sheetName val="92.00"/>
      <sheetName val="93.00  dan 96.00"/>
      <sheetName val="97.01-97.02"/>
      <sheetName val="97.03-97.06"/>
      <sheetName val="97.07-97.09"/>
      <sheetName val="98.00"/>
    </sheetNames>
    <sheetDataSet>
      <sheetData sheetId="0">
        <row r="10">
          <cell r="F10">
            <v>2503608698</v>
          </cell>
        </row>
      </sheetData>
      <sheetData sheetId="1">
        <row r="181">
          <cell r="F181">
            <v>512176277</v>
          </cell>
        </row>
      </sheetData>
      <sheetData sheetId="2"/>
      <sheetData sheetId="3">
        <row r="9">
          <cell r="E9">
            <v>25740000</v>
          </cell>
        </row>
      </sheetData>
      <sheetData sheetId="4">
        <row r="221">
          <cell r="B221">
            <v>24704701255</v>
          </cell>
        </row>
      </sheetData>
      <sheetData sheetId="5">
        <row r="257">
          <cell r="B257">
            <v>17882594345</v>
          </cell>
        </row>
      </sheetData>
      <sheetData sheetId="6">
        <row r="8">
          <cell r="F8">
            <v>155025000</v>
          </cell>
        </row>
      </sheetData>
      <sheetData sheetId="7">
        <row r="29">
          <cell r="F29">
            <v>197400000</v>
          </cell>
        </row>
      </sheetData>
      <sheetData sheetId="8">
        <row r="8">
          <cell r="F8">
            <v>21360761833</v>
          </cell>
        </row>
      </sheetData>
      <sheetData sheetId="9">
        <row r="8">
          <cell r="E8">
            <v>624824300</v>
          </cell>
        </row>
      </sheetData>
      <sheetData sheetId="10">
        <row r="8">
          <cell r="E8">
            <v>19703300</v>
          </cell>
        </row>
        <row r="37">
          <cell r="F37">
            <v>0</v>
          </cell>
        </row>
        <row r="78">
          <cell r="F78">
            <v>0</v>
          </cell>
        </row>
        <row r="95">
          <cell r="F95">
            <v>0</v>
          </cell>
        </row>
        <row r="118">
          <cell r="F118">
            <v>0</v>
          </cell>
        </row>
      </sheetData>
      <sheetData sheetId="11">
        <row r="8">
          <cell r="E8">
            <v>753425</v>
          </cell>
        </row>
        <row r="80">
          <cell r="E80">
            <v>0</v>
          </cell>
          <cell r="F80">
            <v>0</v>
          </cell>
        </row>
        <row r="105">
          <cell r="F105">
            <v>0</v>
          </cell>
        </row>
      </sheetData>
      <sheetData sheetId="12">
        <row r="26">
          <cell r="D26">
            <v>12702000</v>
          </cell>
        </row>
      </sheetData>
      <sheetData sheetId="13">
        <row r="8">
          <cell r="D8">
            <v>25086407</v>
          </cell>
        </row>
      </sheetData>
      <sheetData sheetId="14">
        <row r="8">
          <cell r="D8">
            <v>25700359</v>
          </cell>
        </row>
      </sheetData>
      <sheetData sheetId="15">
        <row r="8">
          <cell r="D8">
            <v>115840889</v>
          </cell>
        </row>
      </sheetData>
      <sheetData sheetId="16">
        <row r="8">
          <cell r="D8">
            <v>1500000</v>
          </cell>
        </row>
      </sheetData>
      <sheetData sheetId="17">
        <row r="10">
          <cell r="F10">
            <v>1750000</v>
          </cell>
        </row>
      </sheetData>
      <sheetData sheetId="18">
        <row r="11">
          <cell r="F11">
            <v>31700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1-12.01"/>
      <sheetName val="13.00"/>
      <sheetName val="14.00"/>
      <sheetName val="15.00-16.00"/>
      <sheetName val="31.01-31.09"/>
      <sheetName val="31.10"/>
      <sheetName val="35.00-35.01-37.00"/>
      <sheetName val="50.00"/>
      <sheetName val="70.00"/>
      <sheetName val="81.01"/>
      <sheetName val="81.02-81.03"/>
      <sheetName val="88.01"/>
      <sheetName val="91.00"/>
      <sheetName val="92.00"/>
      <sheetName val="93.00"/>
      <sheetName val="96.01-96.02"/>
      <sheetName val="96.03-96.07"/>
      <sheetName val="96.08-96.09"/>
      <sheetName val="98.00"/>
    </sheetNames>
    <sheetDataSet>
      <sheetData sheetId="0">
        <row r="8">
          <cell r="F8">
            <v>1312251855.8000002</v>
          </cell>
        </row>
      </sheetData>
      <sheetData sheetId="1">
        <row r="8">
          <cell r="F8">
            <v>1036457792</v>
          </cell>
        </row>
      </sheetData>
      <sheetData sheetId="2">
        <row r="17">
          <cell r="D17">
            <v>0</v>
          </cell>
        </row>
      </sheetData>
      <sheetData sheetId="3">
        <row r="8">
          <cell r="F8">
            <v>92600000</v>
          </cell>
        </row>
      </sheetData>
      <sheetData sheetId="4">
        <row r="9">
          <cell r="F9">
            <v>421730000</v>
          </cell>
        </row>
      </sheetData>
      <sheetData sheetId="5">
        <row r="8">
          <cell r="F8">
            <v>1114292078</v>
          </cell>
        </row>
      </sheetData>
      <sheetData sheetId="6">
        <row r="8">
          <cell r="F8">
            <v>155025000</v>
          </cell>
        </row>
      </sheetData>
      <sheetData sheetId="7">
        <row r="32">
          <cell r="F32">
            <v>0</v>
          </cell>
        </row>
      </sheetData>
      <sheetData sheetId="8">
        <row r="8">
          <cell r="F8">
            <v>21360761833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27">
          <cell r="D2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TRA"/>
      <sheetName val="BPTRNA"/>
      <sheetName val="BPTDN"/>
      <sheetName val="BKM"/>
      <sheetName val="JPK. RA"/>
      <sheetName val="JPK. RNA "/>
      <sheetName val="JU"/>
      <sheetName val="JRA"/>
      <sheetName val="JRNA2 "/>
      <sheetName val="DVUD(1)"/>
      <sheetName val="DVUD"/>
      <sheetName val="JBK"/>
      <sheetName val="JPBIK"/>
      <sheetName val="JP"/>
      <sheetName val="J. Pemblk"/>
      <sheetName val="DUVHD"/>
      <sheetName val="J.Koreksi"/>
      <sheetName val="BKU"/>
      <sheetName val="BKU PM"/>
      <sheetName val="JRNA"/>
    </sheetNames>
    <sheetDataSet>
      <sheetData sheetId="0"/>
      <sheetData sheetId="1"/>
      <sheetData sheetId="2"/>
      <sheetData sheetId="3"/>
      <sheetData sheetId="4">
        <row r="47">
          <cell r="D47">
            <v>422025130</v>
          </cell>
        </row>
      </sheetData>
      <sheetData sheetId="5">
        <row r="43">
          <cell r="D43">
            <v>35935000</v>
          </cell>
        </row>
      </sheetData>
      <sheetData sheetId="6">
        <row r="14">
          <cell r="E14">
            <v>99864</v>
          </cell>
        </row>
        <row r="1021">
          <cell r="E1021">
            <v>1204164</v>
          </cell>
        </row>
      </sheetData>
      <sheetData sheetId="7">
        <row r="21">
          <cell r="H21">
            <v>303389742</v>
          </cell>
        </row>
      </sheetData>
      <sheetData sheetId="8"/>
      <sheetData sheetId="9"/>
      <sheetData sheetId="10">
        <row r="9">
          <cell r="H9">
            <v>1400000</v>
          </cell>
        </row>
      </sheetData>
      <sheetData sheetId="11">
        <row r="89">
          <cell r="G89">
            <v>435809773</v>
          </cell>
        </row>
      </sheetData>
      <sheetData sheetId="12">
        <row r="9">
          <cell r="E9">
            <v>16578765</v>
          </cell>
        </row>
      </sheetData>
      <sheetData sheetId="13">
        <row r="10">
          <cell r="F10">
            <v>9872856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TRA"/>
      <sheetName val="BPTRNA"/>
      <sheetName val="BPTDN"/>
      <sheetName val="BKM"/>
      <sheetName val="JPK. RA"/>
      <sheetName val="JPK. RNA "/>
      <sheetName val="JU"/>
      <sheetName val="JRA"/>
      <sheetName val="JRNA2 "/>
      <sheetName val="DVUD(1)"/>
      <sheetName val="DVUD"/>
      <sheetName val="JBK"/>
      <sheetName val="JPBIK"/>
      <sheetName val="JP"/>
      <sheetName val="J. Pemblk"/>
      <sheetName val="DUVHD"/>
      <sheetName val="J.Koreksi"/>
      <sheetName val="BKU"/>
      <sheetName val="BKU PM"/>
      <sheetName val="JRNA"/>
    </sheetNames>
    <sheetDataSet>
      <sheetData sheetId="0"/>
      <sheetData sheetId="1"/>
      <sheetData sheetId="2"/>
      <sheetData sheetId="3"/>
      <sheetData sheetId="4"/>
      <sheetData sheetId="5"/>
      <sheetData sheetId="6">
        <row r="18">
          <cell r="E18">
            <v>2547945</v>
          </cell>
        </row>
        <row r="162">
          <cell r="F162">
            <v>0</v>
          </cell>
        </row>
      </sheetData>
      <sheetData sheetId="7"/>
      <sheetData sheetId="8"/>
      <sheetData sheetId="9"/>
      <sheetData sheetId="10">
        <row r="89">
          <cell r="K89">
            <v>0</v>
          </cell>
        </row>
      </sheetData>
      <sheetData sheetId="11">
        <row r="89">
          <cell r="H8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1-12.01"/>
      <sheetName val="13.00"/>
      <sheetName val="14.00"/>
      <sheetName val="15.00-16.00"/>
      <sheetName val="31.01-31.09"/>
      <sheetName val="31.10"/>
      <sheetName val="35.00-35.01-37.00"/>
      <sheetName val="50.00"/>
      <sheetName val="70.00"/>
      <sheetName val="81.01"/>
      <sheetName val="81.02-81.03"/>
      <sheetName val="88.01"/>
      <sheetName val="91.00"/>
      <sheetName val="92.00"/>
      <sheetName val="93.00  dan 96.00"/>
      <sheetName val="97.01-97.02"/>
      <sheetName val="97.03-97.06"/>
      <sheetName val="97.07-97.09"/>
      <sheetName val="98.00"/>
    </sheetNames>
    <sheetDataSet>
      <sheetData sheetId="0" refreshError="1">
        <row r="8">
          <cell r="F8">
            <v>1312251855.8000002</v>
          </cell>
        </row>
        <row r="16">
          <cell r="F16">
            <v>1247854500.8000002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"/>
      <sheetName val="Piutang"/>
      <sheetName val="Persediaan"/>
      <sheetName val="Aktiva Tetap"/>
      <sheetName val="Akum. Ak. Tetap"/>
      <sheetName val="Kewajiban"/>
      <sheetName val="Modal"/>
      <sheetName val="Pendapatan"/>
      <sheetName val="B. Penyusutan"/>
      <sheetName val="B. Pegawai"/>
      <sheetName val="B. Kantor"/>
      <sheetName val="Gaji,Listrik,Telp."/>
      <sheetName val="B. BBM"/>
      <sheetName val="B. Op. P' Air"/>
      <sheetName val="B. Pemak. B. Pembt"/>
      <sheetName val="B. ATK &amp; B. Cetk"/>
      <sheetName val="B. Pemeliharaan"/>
      <sheetName val="B. Promosi &amp; Bank"/>
      <sheetName val="B. Operasi Lainnya"/>
      <sheetName val="Jurnal"/>
      <sheetName val="Pemb. AKtiva"/>
      <sheetName val="BKU"/>
    </sheetNames>
    <sheetDataSet>
      <sheetData sheetId="0">
        <row r="33">
          <cell r="G33">
            <v>796043898.70000005</v>
          </cell>
        </row>
      </sheetData>
      <sheetData sheetId="1">
        <row r="32">
          <cell r="F32">
            <v>108725960</v>
          </cell>
        </row>
        <row r="50">
          <cell r="F50">
            <v>29241801.582698062</v>
          </cell>
        </row>
        <row r="60">
          <cell r="D60">
            <v>87535</v>
          </cell>
        </row>
        <row r="97">
          <cell r="F97">
            <v>17626000</v>
          </cell>
        </row>
      </sheetData>
      <sheetData sheetId="2">
        <row r="21">
          <cell r="F21">
            <v>84324750</v>
          </cell>
        </row>
        <row r="39">
          <cell r="F39">
            <v>14916330</v>
          </cell>
        </row>
        <row r="57">
          <cell r="F57">
            <v>26367500</v>
          </cell>
        </row>
        <row r="80">
          <cell r="F80">
            <v>122158213.34900002</v>
          </cell>
        </row>
        <row r="98">
          <cell r="F98">
            <v>2097500</v>
          </cell>
        </row>
      </sheetData>
      <sheetData sheetId="3">
        <row r="9">
          <cell r="D9">
            <v>232450000</v>
          </cell>
        </row>
        <row r="20">
          <cell r="F20">
            <v>510559191</v>
          </cell>
        </row>
        <row r="30">
          <cell r="F30">
            <v>117602561</v>
          </cell>
        </row>
        <row r="39">
          <cell r="F39">
            <v>2528466809</v>
          </cell>
        </row>
        <row r="59">
          <cell r="F59">
            <v>2333421966.415</v>
          </cell>
        </row>
        <row r="76">
          <cell r="F76">
            <v>409862308</v>
          </cell>
        </row>
        <row r="90">
          <cell r="D90">
            <v>10182000</v>
          </cell>
        </row>
        <row r="100">
          <cell r="F100">
            <v>284050000</v>
          </cell>
        </row>
        <row r="115">
          <cell r="F115">
            <v>102580000</v>
          </cell>
        </row>
      </sheetData>
      <sheetData sheetId="4">
        <row r="10">
          <cell r="F10">
            <v>108966265</v>
          </cell>
        </row>
        <row r="19">
          <cell r="F19">
            <v>56154756</v>
          </cell>
        </row>
        <row r="28">
          <cell r="F28">
            <v>886392270</v>
          </cell>
        </row>
        <row r="36">
          <cell r="F36">
            <v>917685149</v>
          </cell>
        </row>
      </sheetData>
      <sheetData sheetId="5">
        <row r="10">
          <cell r="F10">
            <v>16672500</v>
          </cell>
        </row>
        <row r="32">
          <cell r="F32">
            <v>10540104.530646453</v>
          </cell>
        </row>
      </sheetData>
      <sheetData sheetId="6">
        <row r="8">
          <cell r="F8">
            <v>3573752821</v>
          </cell>
        </row>
        <row r="18">
          <cell r="F18">
            <v>1736586833</v>
          </cell>
        </row>
        <row r="28">
          <cell r="F28">
            <v>250838537</v>
          </cell>
        </row>
        <row r="38">
          <cell r="F38">
            <v>1262000000</v>
          </cell>
        </row>
        <row r="48">
          <cell r="F48">
            <v>-1038284010.6</v>
          </cell>
        </row>
      </sheetData>
      <sheetData sheetId="7">
        <row r="8">
          <cell r="E8">
            <v>46942535</v>
          </cell>
        </row>
      </sheetData>
      <sheetData sheetId="8">
        <row r="9">
          <cell r="D9">
            <v>24476313</v>
          </cell>
        </row>
      </sheetData>
      <sheetData sheetId="9">
        <row r="14">
          <cell r="H14">
            <v>11372000</v>
          </cell>
        </row>
      </sheetData>
      <sheetData sheetId="10">
        <row r="13">
          <cell r="H13">
            <v>301281</v>
          </cell>
        </row>
      </sheetData>
      <sheetData sheetId="11">
        <row r="8">
          <cell r="F8">
            <v>5455360</v>
          </cell>
        </row>
      </sheetData>
      <sheetData sheetId="12">
        <row r="9">
          <cell r="F9">
            <v>2352000</v>
          </cell>
        </row>
      </sheetData>
      <sheetData sheetId="13">
        <row r="9">
          <cell r="F9">
            <v>7672500</v>
          </cell>
        </row>
      </sheetData>
      <sheetData sheetId="14">
        <row r="9">
          <cell r="F9">
            <v>500000</v>
          </cell>
        </row>
      </sheetData>
      <sheetData sheetId="15">
        <row r="13">
          <cell r="H13">
            <v>786600</v>
          </cell>
        </row>
      </sheetData>
      <sheetData sheetId="16">
        <row r="8">
          <cell r="F8">
            <v>3617500</v>
          </cell>
        </row>
      </sheetData>
      <sheetData sheetId="17">
        <row r="9">
          <cell r="H9">
            <v>600000</v>
          </cell>
        </row>
      </sheetData>
      <sheetData sheetId="18">
        <row r="8">
          <cell r="H8">
            <v>116000</v>
          </cell>
        </row>
      </sheetData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ashfl"/>
      <sheetName val="Persediaan SR "/>
      <sheetName val="Aktiva Tetap"/>
      <sheetName val="Tanah"/>
      <sheetName val="I.Sumber Air"/>
      <sheetName val="I.Pompa"/>
      <sheetName val="I.P.Air"/>
      <sheetName val="I.Trandis"/>
      <sheetName val="bangunan"/>
      <sheetName val="peralatan"/>
      <sheetName val="kendaraan"/>
      <sheetName val="inventaris"/>
      <sheetName val="Koreksi"/>
      <sheetName val="rekap dsr"/>
    </sheetNames>
    <sheetDataSet>
      <sheetData sheetId="0"/>
      <sheetData sheetId="1"/>
      <sheetData sheetId="2">
        <row r="77">
          <cell r="F77">
            <v>475628260.00400001</v>
          </cell>
        </row>
      </sheetData>
      <sheetData sheetId="3">
        <row r="65">
          <cell r="C65">
            <v>493861691</v>
          </cell>
        </row>
        <row r="84">
          <cell r="E84">
            <v>85012500</v>
          </cell>
        </row>
        <row r="85">
          <cell r="E85">
            <v>7177933</v>
          </cell>
        </row>
        <row r="86">
          <cell r="E86">
            <v>275450000</v>
          </cell>
        </row>
        <row r="87">
          <cell r="E87">
            <v>72319934.997500002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a SAk Etap"/>
      <sheetName val="Neraca "/>
      <sheetName val="Arus Kas"/>
      <sheetName val="RINCIAN"/>
      <sheetName val="Penerimaan &amp; Pengeluaran"/>
      <sheetName val="Rincian Biaya &amp; Pendptan"/>
      <sheetName val="JU"/>
      <sheetName val="NRC KOMPORATIF"/>
      <sheetName val="RL KOMPARATIF"/>
    </sheetNames>
    <sheetDataSet>
      <sheetData sheetId="0"/>
      <sheetData sheetId="1"/>
      <sheetData sheetId="2"/>
      <sheetData sheetId="3">
        <row r="6">
          <cell r="N6">
            <v>672324835</v>
          </cell>
        </row>
      </sheetData>
      <sheetData sheetId="4"/>
      <sheetData sheetId="5"/>
      <sheetData sheetId="6"/>
      <sheetData sheetId="7"/>
      <sheetData sheetId="8">
        <row r="60">
          <cell r="F60">
            <v>-548984872.05334449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ALOG"/>
      <sheetName val="P-1. investasi"/>
      <sheetName val="P-2 Rugi-Laba"/>
      <sheetName val="P-3. arus kas"/>
      <sheetName val="P-4. neraca"/>
      <sheetName val="P-5. Perk. Samb"/>
      <sheetName val="P-6. Penjualan Air"/>
      <sheetName val="P-7. Pend. Non Air"/>
      <sheetName val="P-8. Pend. Non Usaha"/>
      <sheetName val="P-9.Rugi-Laba OTDA"/>
      <sheetName val="P-10. Biaya Operasi"/>
      <sheetName val="P-11. Biaya UMUM &amp; ADM"/>
      <sheetName val="P-12. Biaya DI LUAR USAHALAIN"/>
      <sheetName val=" P-13. Pembelian Bahan"/>
      <sheetName val=" P-14. Pengeluaran T. Kerja"/>
      <sheetName val="P-15. operasi lainya"/>
      <sheetName val="P-16. Penerimaan Operasi"/>
      <sheetName val="P-17. Penerimaan Non Usaha"/>
      <sheetName val="P-18. Rencana Prod, Dist"/>
      <sheetName val="perhitungan utk subsidi"/>
      <sheetName val="PROYEKSI SALDO KAS AWAL"/>
      <sheetName val="% PENGHASILAN"/>
      <sheetName val="HPP dan TARIF RATA2"/>
      <sheetName val="RASIO PEGAWAI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4">
          <cell r="H44">
            <v>59000000</v>
          </cell>
        </row>
        <row r="79">
          <cell r="H79">
            <v>24500000</v>
          </cell>
        </row>
        <row r="97">
          <cell r="Q97">
            <v>4968232765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ALOG"/>
      <sheetName val="P-1. investasi"/>
      <sheetName val="P-2 Rugi-Laba"/>
      <sheetName val="P-3. arus kas"/>
      <sheetName val="P-4. neraca"/>
      <sheetName val="P-5. Perk. Samb"/>
      <sheetName val="P-6. Penjualan Air"/>
      <sheetName val="P-7. Pend. Non Air"/>
      <sheetName val="P-8. Pend. Non Usaha"/>
      <sheetName val="P-9.Rugi-Laba OTDA"/>
      <sheetName val="P-10. Biaya Operasi"/>
      <sheetName val="P-11. Biaya UMUM &amp; ADM"/>
      <sheetName val="P-12. Biaya DI LUAR USAHALAIN"/>
      <sheetName val=" P-13. Pembelian Bahan"/>
      <sheetName val=" P-14. Pengeluaran T. Kerja"/>
      <sheetName val="P-15. operasi lainya"/>
      <sheetName val="P-16. Penerimaan Operasi"/>
      <sheetName val="P-17. Penerimaan Non Usaha"/>
      <sheetName val="P-18. Rencana Prod, Dist"/>
      <sheetName val="perhitungan utk subsidi"/>
      <sheetName val="Sheet1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4">
          <cell r="I44">
            <v>43950000</v>
          </cell>
        </row>
        <row r="79">
          <cell r="I79">
            <v>21000000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16</v>
    <v>8</v>
    <v>47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6"/>
  <sheetViews>
    <sheetView showWhiteSpace="0" view="pageBreakPreview" topLeftCell="A352" zoomScale="120" zoomScaleNormal="100" zoomScaleSheetLayoutView="120" workbookViewId="0">
      <selection activeCell="O15" sqref="O15"/>
    </sheetView>
  </sheetViews>
  <sheetFormatPr defaultColWidth="9.140625" defaultRowHeight="15" x14ac:dyDescent="0.25"/>
  <cols>
    <col min="1" max="1" width="1.28515625" style="1" customWidth="1"/>
    <col min="2" max="2" width="4.42578125" style="1" customWidth="1"/>
    <col min="3" max="3" width="4.28515625" style="1" customWidth="1"/>
    <col min="4" max="4" width="30.7109375" style="1" customWidth="1"/>
    <col min="5" max="5" width="0.7109375" style="1" customWidth="1"/>
    <col min="6" max="6" width="19.85546875" style="440" customWidth="1"/>
    <col min="7" max="7" width="0.7109375" style="1" customWidth="1"/>
    <col min="8" max="8" width="22.42578125" style="440" customWidth="1"/>
    <col min="9" max="9" width="1.28515625" style="1" customWidth="1"/>
    <col min="10" max="10" width="1.140625" style="1" customWidth="1"/>
    <col min="11" max="11" width="4" style="1" customWidth="1"/>
    <col min="12" max="12" width="4.140625" style="1" customWidth="1"/>
    <col min="13" max="13" width="24" style="150" customWidth="1"/>
    <col min="14" max="14" width="0.85546875" style="1" customWidth="1"/>
    <col min="15" max="15" width="27" style="1" customWidth="1"/>
    <col min="16" max="16" width="6.42578125" style="1" customWidth="1"/>
    <col min="17" max="17" width="23" style="1" customWidth="1"/>
    <col min="18" max="18" width="1" style="1" customWidth="1"/>
    <col min="19" max="16384" width="9.140625" style="1"/>
  </cols>
  <sheetData>
    <row r="1" spans="1:17" x14ac:dyDescent="0.25">
      <c r="A1" s="112" t="s">
        <v>581</v>
      </c>
      <c r="B1" s="112"/>
      <c r="C1" s="112"/>
      <c r="D1" s="112"/>
      <c r="E1" s="112"/>
      <c r="F1" s="431"/>
      <c r="G1" s="113"/>
      <c r="H1" s="431"/>
      <c r="I1" s="112"/>
      <c r="J1" s="112"/>
    </row>
    <row r="2" spans="1:17" x14ac:dyDescent="0.25">
      <c r="A2" s="112"/>
      <c r="B2" s="112"/>
      <c r="C2" s="112"/>
      <c r="D2" s="112"/>
      <c r="E2" s="112"/>
      <c r="F2" s="431"/>
      <c r="G2" s="113"/>
      <c r="H2" s="431"/>
      <c r="I2" s="112"/>
      <c r="J2" s="112"/>
    </row>
    <row r="3" spans="1:17" ht="20.25" x14ac:dyDescent="0.3">
      <c r="A3" s="141"/>
      <c r="B3" s="695" t="s">
        <v>650</v>
      </c>
      <c r="C3" s="695"/>
      <c r="D3" s="695"/>
      <c r="E3" s="695"/>
      <c r="F3" s="695"/>
      <c r="G3" s="695"/>
      <c r="H3" s="695"/>
      <c r="I3" s="140"/>
      <c r="J3" s="112"/>
    </row>
    <row r="4" spans="1:17" x14ac:dyDescent="0.25">
      <c r="A4" s="125"/>
      <c r="B4" s="696" t="s">
        <v>570</v>
      </c>
      <c r="C4" s="696"/>
      <c r="D4" s="696"/>
      <c r="E4" s="696"/>
      <c r="F4" s="696"/>
      <c r="G4" s="696"/>
      <c r="H4" s="696"/>
      <c r="I4" s="139"/>
      <c r="J4" s="112"/>
    </row>
    <row r="5" spans="1:17" x14ac:dyDescent="0.25">
      <c r="A5" s="125"/>
      <c r="B5" s="696" t="s">
        <v>1070</v>
      </c>
      <c r="C5" s="696"/>
      <c r="D5" s="696"/>
      <c r="E5" s="696"/>
      <c r="F5" s="696"/>
      <c r="G5" s="696"/>
      <c r="H5" s="696"/>
      <c r="I5" s="139"/>
      <c r="J5" s="112"/>
    </row>
    <row r="6" spans="1:17" ht="15.75" thickBot="1" x14ac:dyDescent="0.3">
      <c r="A6" s="125"/>
      <c r="B6" s="699" t="s">
        <v>0</v>
      </c>
      <c r="C6" s="699"/>
      <c r="D6" s="699"/>
      <c r="E6" s="699"/>
      <c r="F6" s="699"/>
      <c r="G6" s="699"/>
      <c r="H6" s="699"/>
      <c r="I6" s="139"/>
      <c r="J6" s="112"/>
    </row>
    <row r="7" spans="1:17" ht="8.25" customHeight="1" thickTop="1" x14ac:dyDescent="0.25">
      <c r="A7" s="125"/>
      <c r="B7" s="112"/>
      <c r="C7" s="112"/>
      <c r="D7" s="112"/>
      <c r="E7" s="112"/>
      <c r="F7" s="431"/>
      <c r="G7" s="113"/>
      <c r="H7" s="431"/>
      <c r="I7" s="136"/>
      <c r="J7" s="112"/>
    </row>
    <row r="8" spans="1:17" ht="24.75" customHeight="1" x14ac:dyDescent="0.25">
      <c r="A8" s="125"/>
      <c r="B8" s="700" t="s">
        <v>30</v>
      </c>
      <c r="C8" s="701"/>
      <c r="D8" s="702"/>
      <c r="E8" s="138"/>
      <c r="F8" s="432" t="s">
        <v>1051</v>
      </c>
      <c r="G8" s="137"/>
      <c r="H8" s="432" t="s">
        <v>861</v>
      </c>
      <c r="I8" s="136"/>
      <c r="J8" s="112"/>
      <c r="O8" s="1">
        <v>0</v>
      </c>
    </row>
    <row r="9" spans="1:17" ht="12" customHeight="1" x14ac:dyDescent="0.25">
      <c r="A9" s="125"/>
      <c r="B9" s="112"/>
      <c r="C9" s="112"/>
      <c r="D9" s="112"/>
      <c r="E9" s="112"/>
      <c r="F9" s="431"/>
      <c r="G9" s="113"/>
      <c r="H9" s="431"/>
      <c r="I9" s="136"/>
      <c r="J9" s="112"/>
    </row>
    <row r="10" spans="1:17" ht="12" customHeight="1" x14ac:dyDescent="0.25">
      <c r="A10" s="125"/>
      <c r="B10" s="142" t="s">
        <v>1</v>
      </c>
      <c r="C10" s="142"/>
      <c r="D10" s="142"/>
      <c r="E10" s="142"/>
      <c r="F10" s="494"/>
      <c r="G10" s="143"/>
      <c r="H10" s="494"/>
      <c r="I10" s="135"/>
      <c r="J10" s="112"/>
    </row>
    <row r="11" spans="1:17" ht="12" customHeight="1" x14ac:dyDescent="0.25">
      <c r="A11" s="125"/>
      <c r="B11" s="142"/>
      <c r="C11" s="130" t="s">
        <v>2</v>
      </c>
      <c r="D11" s="130"/>
      <c r="E11" s="130"/>
      <c r="F11" s="435"/>
      <c r="G11" s="129"/>
      <c r="H11" s="436"/>
      <c r="I11" s="121"/>
      <c r="J11" s="112"/>
    </row>
    <row r="12" spans="1:17" ht="12" customHeight="1" x14ac:dyDescent="0.25">
      <c r="A12" s="125"/>
      <c r="B12" s="142"/>
      <c r="C12" s="130"/>
      <c r="D12" s="142" t="s">
        <v>303</v>
      </c>
      <c r="E12" s="130"/>
      <c r="F12" s="494"/>
      <c r="G12" s="143"/>
      <c r="H12" s="661">
        <v>0</v>
      </c>
      <c r="I12" s="121"/>
      <c r="J12" s="112"/>
      <c r="M12" s="429"/>
    </row>
    <row r="13" spans="1:17" ht="12" customHeight="1" x14ac:dyDescent="0.25">
      <c r="A13" s="125"/>
      <c r="B13" s="142"/>
      <c r="C13" s="130"/>
      <c r="D13" s="142" t="s">
        <v>304</v>
      </c>
      <c r="E13" s="130"/>
      <c r="F13" s="494"/>
      <c r="G13" s="143"/>
      <c r="H13" s="661">
        <v>0</v>
      </c>
      <c r="I13" s="121"/>
      <c r="J13" s="112"/>
      <c r="M13" s="212"/>
    </row>
    <row r="14" spans="1:17" ht="12" customHeight="1" x14ac:dyDescent="0.25">
      <c r="A14" s="125"/>
      <c r="B14" s="142"/>
      <c r="C14" s="130"/>
      <c r="D14" s="142" t="s">
        <v>562</v>
      </c>
      <c r="E14" s="130"/>
      <c r="F14" s="494">
        <v>0</v>
      </c>
      <c r="G14" s="143"/>
      <c r="H14" s="661">
        <v>0</v>
      </c>
      <c r="I14" s="121"/>
      <c r="J14" s="112"/>
      <c r="M14" s="212"/>
    </row>
    <row r="15" spans="1:17" ht="12.95" customHeight="1" x14ac:dyDescent="0.25">
      <c r="A15" s="125"/>
      <c r="B15" s="142"/>
      <c r="C15" s="130"/>
      <c r="D15" s="127" t="s">
        <v>305</v>
      </c>
      <c r="E15" s="130"/>
      <c r="F15" s="435">
        <f>SUM(F12:F14)</f>
        <v>0</v>
      </c>
      <c r="G15" s="129"/>
      <c r="H15" s="435">
        <v>0</v>
      </c>
      <c r="I15" s="121"/>
      <c r="J15" s="112"/>
      <c r="M15" s="441">
        <f>F15-H15</f>
        <v>0</v>
      </c>
      <c r="N15" s="516"/>
      <c r="O15" s="516" t="e">
        <f>M15/H15*100</f>
        <v>#DIV/0!</v>
      </c>
      <c r="P15" s="516" t="s">
        <v>705</v>
      </c>
      <c r="Q15" s="517" t="s">
        <v>707</v>
      </c>
    </row>
    <row r="16" spans="1:17" ht="12" customHeight="1" x14ac:dyDescent="0.25">
      <c r="A16" s="125"/>
      <c r="B16" s="142"/>
      <c r="C16" s="130" t="s">
        <v>3</v>
      </c>
      <c r="D16" s="142"/>
      <c r="E16" s="142"/>
      <c r="F16" s="494"/>
      <c r="G16" s="143"/>
      <c r="H16" s="437"/>
      <c r="I16" s="121"/>
      <c r="J16" s="112"/>
      <c r="M16" s="497"/>
    </row>
    <row r="17" spans="1:17" ht="12" customHeight="1" x14ac:dyDescent="0.25">
      <c r="A17" s="125"/>
      <c r="B17" s="142"/>
      <c r="C17" s="142"/>
      <c r="D17" s="142" t="s">
        <v>229</v>
      </c>
      <c r="E17" s="142"/>
      <c r="F17" s="494">
        <v>0</v>
      </c>
      <c r="G17" s="143"/>
      <c r="H17" s="661">
        <v>0</v>
      </c>
      <c r="I17" s="121"/>
      <c r="J17" s="112"/>
      <c r="M17" s="441">
        <f>F24-H24</f>
        <v>0</v>
      </c>
      <c r="N17" s="516"/>
      <c r="O17" s="516" t="e">
        <f>(M17/H24)*100</f>
        <v>#DIV/0!</v>
      </c>
      <c r="P17" s="516" t="s">
        <v>705</v>
      </c>
      <c r="Q17" s="517" t="s">
        <v>706</v>
      </c>
    </row>
    <row r="18" spans="1:17" ht="12" customHeight="1" x14ac:dyDescent="0.25">
      <c r="A18" s="125"/>
      <c r="B18" s="142"/>
      <c r="C18" s="142"/>
      <c r="D18" s="142" t="s">
        <v>232</v>
      </c>
      <c r="E18" s="142"/>
      <c r="F18" s="494">
        <f>'[1]81.02-81.03'!$F$37</f>
        <v>0</v>
      </c>
      <c r="G18" s="143"/>
      <c r="H18" s="661"/>
      <c r="I18" s="121"/>
      <c r="J18" s="112"/>
      <c r="M18" s="212"/>
    </row>
    <row r="19" spans="1:17" ht="12" customHeight="1" x14ac:dyDescent="0.25">
      <c r="A19" s="125"/>
      <c r="B19" s="142"/>
      <c r="C19" s="142"/>
      <c r="D19" s="142" t="s">
        <v>230</v>
      </c>
      <c r="E19" s="142"/>
      <c r="F19" s="494">
        <v>0</v>
      </c>
      <c r="G19" s="143"/>
      <c r="H19" s="661">
        <v>0</v>
      </c>
      <c r="I19" s="121"/>
      <c r="J19" s="112"/>
      <c r="M19" s="441">
        <f>F43-H43</f>
        <v>0</v>
      </c>
      <c r="N19" s="516"/>
      <c r="O19" s="516" t="e">
        <f>M19/H43*100</f>
        <v>#DIV/0!</v>
      </c>
      <c r="P19" s="516"/>
      <c r="Q19" s="516" t="s">
        <v>708</v>
      </c>
    </row>
    <row r="20" spans="1:17" ht="12" customHeight="1" x14ac:dyDescent="0.25">
      <c r="A20" s="125"/>
      <c r="B20" s="142"/>
      <c r="C20" s="142"/>
      <c r="D20" s="142" t="s">
        <v>322</v>
      </c>
      <c r="E20" s="142"/>
      <c r="F20" s="494">
        <f>'[1]81.02-81.03'!$F$78</f>
        <v>0</v>
      </c>
      <c r="G20" s="143"/>
      <c r="H20" s="661"/>
      <c r="I20" s="121"/>
      <c r="J20" s="112"/>
      <c r="M20" s="212"/>
    </row>
    <row r="21" spans="1:17" ht="12" customHeight="1" x14ac:dyDescent="0.25">
      <c r="A21" s="125"/>
      <c r="B21" s="142"/>
      <c r="C21" s="142"/>
      <c r="D21" s="142" t="s">
        <v>323</v>
      </c>
      <c r="E21" s="142"/>
      <c r="F21" s="494">
        <f>'[1]81.02-81.03'!$F$95</f>
        <v>0</v>
      </c>
      <c r="G21" s="143"/>
      <c r="H21" s="661">
        <v>0</v>
      </c>
      <c r="I21" s="121"/>
      <c r="J21" s="112"/>
      <c r="M21" s="441">
        <f>H55-F55</f>
        <v>0</v>
      </c>
      <c r="N21" s="516"/>
      <c r="O21" s="516" t="e">
        <f>M21/H55*100</f>
        <v>#DIV/0!</v>
      </c>
      <c r="P21" s="516"/>
      <c r="Q21" s="516" t="s">
        <v>709</v>
      </c>
    </row>
    <row r="22" spans="1:17" ht="12" customHeight="1" x14ac:dyDescent="0.25">
      <c r="A22" s="125"/>
      <c r="B22" s="142"/>
      <c r="C22" s="142"/>
      <c r="D22" s="142" t="s">
        <v>324</v>
      </c>
      <c r="E22" s="142"/>
      <c r="F22" s="494">
        <f>'[1]81.02-81.03'!$F$118</f>
        <v>0</v>
      </c>
      <c r="G22" s="143"/>
      <c r="H22" s="661">
        <v>0</v>
      </c>
      <c r="I22" s="121"/>
      <c r="J22" s="112"/>
      <c r="M22" s="212"/>
    </row>
    <row r="23" spans="1:17" ht="12.95" customHeight="1" x14ac:dyDescent="0.25">
      <c r="A23" s="125"/>
      <c r="B23" s="142"/>
      <c r="C23" s="130"/>
      <c r="D23" s="127" t="s">
        <v>279</v>
      </c>
      <c r="E23" s="130"/>
      <c r="F23" s="435">
        <f>SUM(F17:F22)</f>
        <v>0</v>
      </c>
      <c r="G23" s="129">
        <f t="shared" ref="G23:H23" si="0">SUM(G17:G22)</f>
        <v>0</v>
      </c>
      <c r="H23" s="435">
        <f t="shared" si="0"/>
        <v>0</v>
      </c>
      <c r="I23" s="121"/>
      <c r="J23" s="112"/>
      <c r="M23" s="312"/>
    </row>
    <row r="24" spans="1:17" ht="12.95" customHeight="1" thickBot="1" x14ac:dyDescent="0.3">
      <c r="A24" s="125"/>
      <c r="B24" s="694" t="s">
        <v>4</v>
      </c>
      <c r="C24" s="694"/>
      <c r="D24" s="694"/>
      <c r="E24" s="666" t="e">
        <f>#REF!+E23+E11</f>
        <v>#REF!</v>
      </c>
      <c r="F24" s="662">
        <f>F23+F15</f>
        <v>0</v>
      </c>
      <c r="G24" s="663"/>
      <c r="H24" s="664">
        <f>H23+H15</f>
        <v>0</v>
      </c>
      <c r="I24" s="121"/>
      <c r="J24" s="112"/>
    </row>
    <row r="25" spans="1:17" ht="12" customHeight="1" thickTop="1" x14ac:dyDescent="0.25">
      <c r="A25" s="125"/>
      <c r="B25" s="130" t="s">
        <v>289</v>
      </c>
      <c r="C25" s="142"/>
      <c r="D25" s="142"/>
      <c r="E25" s="142"/>
      <c r="F25" s="494"/>
      <c r="G25" s="143"/>
      <c r="H25" s="437"/>
      <c r="I25" s="121"/>
      <c r="J25" s="112"/>
      <c r="M25" s="499" t="s">
        <v>676</v>
      </c>
      <c r="O25" s="514" t="s">
        <v>702</v>
      </c>
      <c r="Q25" s="440"/>
    </row>
    <row r="26" spans="1:17" ht="12" customHeight="1" x14ac:dyDescent="0.25">
      <c r="A26" s="125"/>
      <c r="B26" s="142"/>
      <c r="C26" s="142" t="s">
        <v>74</v>
      </c>
      <c r="D26" s="142"/>
      <c r="E26" s="142"/>
      <c r="F26" s="216">
        <f>'RINCIAN B. LANGSUNG USAHA'!Q37+'RINCIAN B. LANGSUNG USAHA'!Q44+'RINCIAN B. LANGSUNG USAHA'!Q50+'RINCIAN B. LANGSUNG USAHA'!Q51+'RINCIAN B. LANGSUNG USAHA'!Q52+'RINCIAN B. LANGSUNG USAHA'!Q73+'RINCIAN B. LANGSUNG USAHA'!Q77+'RINCIAN B. LANGSUNG USAHA'!Q83+'RINCIAN B. LANGSUNG USAHA'!Q84+'RINCIAN B. LANGSUNG USAHA'!Q85+'RINCIAN B. TDK LANGSUNG'!Q29-'RINCIAN B. TDK LANGSUNG'!Q28+'RINCIAN B. TDK LANGSUNG'!Q63</f>
        <v>0</v>
      </c>
      <c r="G26" s="143"/>
      <c r="H26" s="437">
        <v>0</v>
      </c>
      <c r="I26" s="121"/>
      <c r="J26" s="112"/>
      <c r="M26" s="430">
        <f>F26-H26</f>
        <v>0</v>
      </c>
      <c r="O26" s="1" t="s">
        <v>688</v>
      </c>
      <c r="Q26" s="440">
        <v>0</v>
      </c>
    </row>
    <row r="27" spans="1:17" ht="12" customHeight="1" x14ac:dyDescent="0.25">
      <c r="A27" s="125"/>
      <c r="B27" s="142"/>
      <c r="C27" s="142" t="s">
        <v>77</v>
      </c>
      <c r="D27" s="142"/>
      <c r="E27" s="142"/>
      <c r="F27" s="494">
        <f>'RINCIAN B. LANGSUNG USAHA'!Q19</f>
        <v>0</v>
      </c>
      <c r="G27" s="143"/>
      <c r="H27" s="437">
        <v>0</v>
      </c>
      <c r="I27" s="121"/>
      <c r="J27" s="112"/>
      <c r="M27" s="430">
        <f t="shared" ref="M27:M41" si="1">F27-H27</f>
        <v>0</v>
      </c>
      <c r="O27" s="1" t="s">
        <v>689</v>
      </c>
      <c r="Q27" s="440">
        <v>0</v>
      </c>
    </row>
    <row r="28" spans="1:17" ht="12" customHeight="1" x14ac:dyDescent="0.25">
      <c r="A28" s="125"/>
      <c r="B28" s="142"/>
      <c r="C28" s="142" t="s">
        <v>563</v>
      </c>
      <c r="D28" s="142"/>
      <c r="E28" s="142"/>
      <c r="F28" s="494">
        <f>'RINCIAN B. LANGSUNG USAHA'!Q53</f>
        <v>0</v>
      </c>
      <c r="G28" s="143"/>
      <c r="H28" s="437">
        <v>0</v>
      </c>
      <c r="I28" s="121"/>
      <c r="J28" s="112"/>
      <c r="M28" s="430">
        <f t="shared" si="1"/>
        <v>0</v>
      </c>
      <c r="O28" s="1" t="s">
        <v>690</v>
      </c>
      <c r="Q28" s="440">
        <v>0</v>
      </c>
    </row>
    <row r="29" spans="1:17" ht="12" customHeight="1" x14ac:dyDescent="0.25">
      <c r="A29" s="125"/>
      <c r="B29" s="142"/>
      <c r="C29" s="142" t="s">
        <v>306</v>
      </c>
      <c r="D29" s="142"/>
      <c r="E29" s="142"/>
      <c r="F29" s="494">
        <f>'RINCIAN B. TDK LANGSUNG'!Q49</f>
        <v>0</v>
      </c>
      <c r="G29" s="143"/>
      <c r="H29" s="437">
        <v>0</v>
      </c>
      <c r="I29" s="121"/>
      <c r="J29" s="112"/>
      <c r="M29" s="430">
        <f t="shared" si="1"/>
        <v>0</v>
      </c>
      <c r="Q29" s="511">
        <v>0</v>
      </c>
    </row>
    <row r="30" spans="1:17" ht="12" customHeight="1" x14ac:dyDescent="0.25">
      <c r="A30" s="125"/>
      <c r="B30" s="142"/>
      <c r="C30" s="142" t="s">
        <v>80</v>
      </c>
      <c r="D30" s="142"/>
      <c r="E30" s="142"/>
      <c r="F30" s="494">
        <f>'RINCIAN B. LANGSUNG USAHA'!Q30+'RINCIAN B. LANGSUNG USAHA'!Q66+'RINCIAN B. LANGSUNG USAHA'!Q97+'RINCIAN B. TDK LANGSUNG'!Q59</f>
        <v>0</v>
      </c>
      <c r="G30" s="143"/>
      <c r="H30" s="437">
        <v>0</v>
      </c>
      <c r="I30" s="121"/>
      <c r="J30" s="112"/>
      <c r="M30" s="430">
        <f t="shared" si="1"/>
        <v>0</v>
      </c>
      <c r="Q30" s="440"/>
    </row>
    <row r="31" spans="1:17" ht="12" customHeight="1" x14ac:dyDescent="0.25">
      <c r="A31" s="125"/>
      <c r="B31" s="142"/>
      <c r="C31" s="142" t="s">
        <v>642</v>
      </c>
      <c r="D31" s="142"/>
      <c r="E31" s="142"/>
      <c r="F31" s="494">
        <f>'RINCIAN B. TDK LANGSUNG'!Q76</f>
        <v>0</v>
      </c>
      <c r="G31" s="143"/>
      <c r="H31" s="437">
        <v>0</v>
      </c>
      <c r="I31" s="121"/>
      <c r="J31" s="112"/>
      <c r="M31" s="430">
        <f t="shared" si="1"/>
        <v>0</v>
      </c>
      <c r="Q31" s="440"/>
    </row>
    <row r="32" spans="1:17" ht="12" customHeight="1" x14ac:dyDescent="0.25">
      <c r="A32" s="125"/>
      <c r="B32" s="142"/>
      <c r="C32" s="142" t="s">
        <v>627</v>
      </c>
      <c r="D32" s="142"/>
      <c r="E32" s="142"/>
      <c r="F32" s="494">
        <f>'RINCIAN B. LANGSUNG USAHA'!Q33+'RINCIAN B. LANGSUNG USAHA'!Q68+'RINCIAN B. LANGSUNG USAHA'!Q99+'RINCIAN B. TDK LANGSUNG'!Q78</f>
        <v>0</v>
      </c>
      <c r="G32" s="143"/>
      <c r="H32" s="437">
        <v>0</v>
      </c>
      <c r="I32" s="121"/>
      <c r="J32" s="112"/>
      <c r="M32" s="430">
        <f t="shared" si="1"/>
        <v>0</v>
      </c>
      <c r="Q32" s="515">
        <v>0</v>
      </c>
    </row>
    <row r="33" spans="1:17" ht="12" customHeight="1" x14ac:dyDescent="0.25">
      <c r="A33" s="125"/>
      <c r="B33" s="142"/>
      <c r="C33" s="142" t="s">
        <v>624</v>
      </c>
      <c r="D33" s="142"/>
      <c r="E33" s="142"/>
      <c r="F33" s="494">
        <f>'RINCIAN B. TDK LANGSUNG'!Q79</f>
        <v>0</v>
      </c>
      <c r="G33" s="143"/>
      <c r="H33" s="437">
        <v>0</v>
      </c>
      <c r="I33" s="121"/>
      <c r="J33" s="112"/>
      <c r="M33" s="430">
        <f t="shared" si="1"/>
        <v>0</v>
      </c>
      <c r="Q33" s="440"/>
    </row>
    <row r="34" spans="1:17" ht="12" customHeight="1" x14ac:dyDescent="0.25">
      <c r="A34" s="125"/>
      <c r="B34" s="142"/>
      <c r="C34" s="142" t="s">
        <v>625</v>
      </c>
      <c r="D34" s="142"/>
      <c r="E34" s="142"/>
      <c r="F34" s="494">
        <f>'RINCIAN B. TDK LANGSUNG'!Q62</f>
        <v>0</v>
      </c>
      <c r="G34" s="143"/>
      <c r="H34" s="437">
        <v>0</v>
      </c>
      <c r="I34" s="121"/>
      <c r="J34" s="112"/>
      <c r="M34" s="430">
        <f t="shared" si="1"/>
        <v>0</v>
      </c>
      <c r="O34" s="513" t="s">
        <v>691</v>
      </c>
      <c r="Q34" s="440"/>
    </row>
    <row r="35" spans="1:17" ht="12" customHeight="1" x14ac:dyDescent="0.25">
      <c r="A35" s="125"/>
      <c r="B35" s="142"/>
      <c r="C35" s="142" t="s">
        <v>79</v>
      </c>
      <c r="D35" s="142"/>
      <c r="E35" s="142"/>
      <c r="F35" s="494">
        <f>'RINCIAN B. LANGSUNG USAHA'!Q20+'RINCIAN B. LANGSUNG USAHA'!Q58+'RINCIAN B. LANGSUNG USAHA'!Q86</f>
        <v>0</v>
      </c>
      <c r="G35" s="143"/>
      <c r="H35" s="437">
        <v>0</v>
      </c>
      <c r="I35" s="121"/>
      <c r="J35" s="112"/>
      <c r="M35" s="430">
        <f t="shared" si="1"/>
        <v>0</v>
      </c>
      <c r="O35" s="510" t="s">
        <v>692</v>
      </c>
      <c r="Q35" s="440">
        <v>0</v>
      </c>
    </row>
    <row r="36" spans="1:17" ht="12" customHeight="1" x14ac:dyDescent="0.25">
      <c r="A36" s="125"/>
      <c r="B36" s="142"/>
      <c r="C36" s="142" t="s">
        <v>564</v>
      </c>
      <c r="D36" s="142"/>
      <c r="E36" s="142"/>
      <c r="F36" s="494">
        <f>'RINCIAN B. LANGSUNG USAHA'!Q18+'RINCIAN B. LANGSUNG USAHA'!Q87</f>
        <v>0</v>
      </c>
      <c r="G36" s="143"/>
      <c r="H36" s="437">
        <v>0</v>
      </c>
      <c r="I36" s="121"/>
      <c r="J36" s="112"/>
      <c r="M36" s="430">
        <f t="shared" si="1"/>
        <v>0</v>
      </c>
      <c r="O36" s="510" t="s">
        <v>693</v>
      </c>
      <c r="Q36" s="440">
        <v>0</v>
      </c>
    </row>
    <row r="37" spans="1:17" ht="12" customHeight="1" x14ac:dyDescent="0.25">
      <c r="A37" s="125"/>
      <c r="B37" s="142"/>
      <c r="C37" s="142" t="s">
        <v>75</v>
      </c>
      <c r="D37" s="142"/>
      <c r="E37" s="142"/>
      <c r="F37" s="494">
        <f>'RINCIAN B. TDK LANGSUNG'!Q44</f>
        <v>0</v>
      </c>
      <c r="G37" s="143"/>
      <c r="H37" s="437">
        <v>0</v>
      </c>
      <c r="I37" s="121"/>
      <c r="J37" s="112"/>
      <c r="M37" s="430">
        <f t="shared" si="1"/>
        <v>0</v>
      </c>
      <c r="O37" s="510" t="s">
        <v>694</v>
      </c>
      <c r="Q37" s="440">
        <v>0</v>
      </c>
    </row>
    <row r="38" spans="1:17" ht="12" customHeight="1" x14ac:dyDescent="0.25">
      <c r="A38" s="125"/>
      <c r="B38" s="142"/>
      <c r="C38" s="142" t="s">
        <v>565</v>
      </c>
      <c r="D38" s="142"/>
      <c r="E38" s="142"/>
      <c r="F38" s="494">
        <f>'RINCIAN B. TDK LANGSUNG'!Q52</f>
        <v>0</v>
      </c>
      <c r="G38" s="143"/>
      <c r="H38" s="437">
        <v>0</v>
      </c>
      <c r="I38" s="121"/>
      <c r="J38" s="112"/>
      <c r="M38" s="430">
        <f t="shared" si="1"/>
        <v>0</v>
      </c>
      <c r="O38" s="510" t="s">
        <v>696</v>
      </c>
      <c r="Q38" s="440">
        <v>0</v>
      </c>
    </row>
    <row r="39" spans="1:17" ht="12" customHeight="1" x14ac:dyDescent="0.25">
      <c r="A39" s="125"/>
      <c r="B39" s="142"/>
      <c r="C39" s="142" t="s">
        <v>626</v>
      </c>
      <c r="D39" s="142"/>
      <c r="E39" s="142"/>
      <c r="F39" s="494">
        <f>'RINCIAN B. LANGSUNG USAHA'!Q31</f>
        <v>0</v>
      </c>
      <c r="G39" s="143"/>
      <c r="H39" s="437">
        <v>0</v>
      </c>
      <c r="I39" s="121"/>
      <c r="J39" s="112"/>
      <c r="M39" s="430">
        <f t="shared" si="1"/>
        <v>0</v>
      </c>
      <c r="O39" s="510" t="s">
        <v>695</v>
      </c>
      <c r="Q39" s="440">
        <v>0</v>
      </c>
    </row>
    <row r="40" spans="1:17" ht="12" customHeight="1" x14ac:dyDescent="0.25">
      <c r="A40" s="125"/>
      <c r="B40" s="142"/>
      <c r="C40" s="142" t="s">
        <v>646</v>
      </c>
      <c r="D40" s="142"/>
      <c r="E40" s="142"/>
      <c r="F40" s="494">
        <f>'RINCIAN B. TDK LANGSUNG'!Q28</f>
        <v>0</v>
      </c>
      <c r="G40" s="143"/>
      <c r="H40" s="437">
        <v>0</v>
      </c>
      <c r="I40" s="121"/>
      <c r="J40" s="112"/>
      <c r="M40" s="430">
        <f t="shared" si="1"/>
        <v>0</v>
      </c>
      <c r="Q40" s="511">
        <v>0</v>
      </c>
    </row>
    <row r="41" spans="1:17" ht="12" customHeight="1" x14ac:dyDescent="0.25">
      <c r="A41" s="125"/>
      <c r="B41" s="142"/>
      <c r="C41" s="142" t="s">
        <v>82</v>
      </c>
      <c r="D41" s="142"/>
      <c r="E41" s="142"/>
      <c r="F41" s="494">
        <f>'RINCIAN B. LANGSUNG USAHA'!Q21+'RINCIAN B. LANGSUNG USAHA'!Q59+'RINCIAN B. LANGSUNG USAHA'!Q88+'RINCIAN B. TDK LANGSUNG'!Q75-'RINCIAN B. TDK LANGSUNG'!Q63-'RINCIAN B. TDK LANGSUNG'!Q62</f>
        <v>0</v>
      </c>
      <c r="G41" s="143"/>
      <c r="H41" s="437">
        <v>0</v>
      </c>
      <c r="I41" s="121"/>
      <c r="J41" s="112"/>
      <c r="M41" s="430">
        <f t="shared" si="1"/>
        <v>0</v>
      </c>
      <c r="Q41" s="440"/>
    </row>
    <row r="42" spans="1:17" ht="12" customHeight="1" x14ac:dyDescent="0.25">
      <c r="A42" s="125"/>
      <c r="B42" s="142"/>
      <c r="C42" s="142" t="s">
        <v>860</v>
      </c>
      <c r="D42" s="142"/>
      <c r="E42" s="142"/>
      <c r="F42" s="494">
        <f>'RINCIAN B. LANGSUNG USAHA'!Q101</f>
        <v>0</v>
      </c>
      <c r="G42" s="143"/>
      <c r="H42" s="437">
        <v>0</v>
      </c>
      <c r="I42" s="121"/>
      <c r="J42" s="112"/>
      <c r="M42" s="430"/>
      <c r="Q42" s="440"/>
    </row>
    <row r="43" spans="1:17" ht="12.95" customHeight="1" thickBot="1" x14ac:dyDescent="0.3">
      <c r="A43" s="125"/>
      <c r="B43" s="694" t="s">
        <v>288</v>
      </c>
      <c r="C43" s="694"/>
      <c r="D43" s="694"/>
      <c r="E43" s="142"/>
      <c r="F43" s="665">
        <f>SUM(F26:F42)</f>
        <v>0</v>
      </c>
      <c r="G43" s="129"/>
      <c r="H43" s="664">
        <f>SUM(H26:H42)</f>
        <v>0</v>
      </c>
      <c r="I43" s="121"/>
      <c r="J43" s="112"/>
      <c r="M43" s="430"/>
      <c r="O43" s="513" t="s">
        <v>697</v>
      </c>
      <c r="Q43" s="440"/>
    </row>
    <row r="44" spans="1:17" ht="12.95" customHeight="1" thickTop="1" x14ac:dyDescent="0.25">
      <c r="A44" s="125"/>
      <c r="B44" s="142"/>
      <c r="C44" s="130" t="s">
        <v>83</v>
      </c>
      <c r="D44" s="142"/>
      <c r="E44" s="142"/>
      <c r="F44" s="435">
        <f>F24-F43</f>
        <v>0</v>
      </c>
      <c r="G44" s="143"/>
      <c r="H44" s="435">
        <f>H24-H43</f>
        <v>0</v>
      </c>
      <c r="I44" s="121"/>
      <c r="J44" s="112"/>
      <c r="M44" s="150">
        <f>F43-H43</f>
        <v>0</v>
      </c>
      <c r="O44" s="510" t="s">
        <v>698</v>
      </c>
      <c r="Q44" s="440">
        <v>0</v>
      </c>
    </row>
    <row r="45" spans="1:17" ht="12" customHeight="1" x14ac:dyDescent="0.25">
      <c r="A45" s="125"/>
      <c r="B45" s="142" t="s">
        <v>287</v>
      </c>
      <c r="C45" s="130"/>
      <c r="D45" s="142"/>
      <c r="E45" s="142"/>
      <c r="F45" s="435"/>
      <c r="G45" s="143"/>
      <c r="H45" s="436"/>
      <c r="I45" s="121"/>
      <c r="J45" s="112"/>
      <c r="O45" s="510" t="s">
        <v>699</v>
      </c>
      <c r="Q45" s="440">
        <v>0</v>
      </c>
    </row>
    <row r="46" spans="1:17" ht="12" customHeight="1" x14ac:dyDescent="0.25">
      <c r="A46" s="125"/>
      <c r="B46" s="142"/>
      <c r="C46" s="142" t="s">
        <v>310</v>
      </c>
      <c r="D46" s="142"/>
      <c r="E46" s="142"/>
      <c r="F46" s="494">
        <f>'[1]88.00'!$F$80</f>
        <v>0</v>
      </c>
      <c r="G46" s="143"/>
      <c r="H46" s="437">
        <v>0</v>
      </c>
      <c r="I46" s="121"/>
      <c r="J46" s="112"/>
      <c r="O46" s="510" t="s">
        <v>700</v>
      </c>
      <c r="Q46" s="440">
        <v>0</v>
      </c>
    </row>
    <row r="47" spans="1:17" ht="12" customHeight="1" x14ac:dyDescent="0.25">
      <c r="A47" s="125"/>
      <c r="B47" s="142"/>
      <c r="C47" s="142" t="s">
        <v>309</v>
      </c>
      <c r="D47" s="142"/>
      <c r="E47" s="142"/>
      <c r="F47" s="494">
        <v>0</v>
      </c>
      <c r="G47" s="143"/>
      <c r="H47" s="437">
        <v>0</v>
      </c>
      <c r="I47" s="121"/>
      <c r="J47" s="112"/>
      <c r="O47" s="510" t="s">
        <v>701</v>
      </c>
      <c r="Q47" s="440">
        <v>0</v>
      </c>
    </row>
    <row r="48" spans="1:17" ht="12" customHeight="1" x14ac:dyDescent="0.25">
      <c r="A48" s="125"/>
      <c r="B48" s="142"/>
      <c r="C48" s="142" t="s">
        <v>308</v>
      </c>
      <c r="D48" s="142"/>
      <c r="E48" s="142"/>
      <c r="F48" s="494">
        <v>0</v>
      </c>
      <c r="G48" s="143"/>
      <c r="H48" s="437">
        <v>0</v>
      </c>
      <c r="I48" s="121"/>
      <c r="J48" s="112"/>
      <c r="Q48" s="511">
        <v>0</v>
      </c>
    </row>
    <row r="49" spans="1:17" ht="12" customHeight="1" x14ac:dyDescent="0.25">
      <c r="A49" s="125"/>
      <c r="B49" s="142"/>
      <c r="C49" s="142" t="s">
        <v>276</v>
      </c>
      <c r="D49" s="142"/>
      <c r="E49" s="142"/>
      <c r="F49" s="494">
        <f>'[1]88.00'!$F$105</f>
        <v>0</v>
      </c>
      <c r="G49" s="143"/>
      <c r="H49" s="437">
        <v>0</v>
      </c>
      <c r="I49" s="121"/>
      <c r="J49" s="112"/>
      <c r="Q49" s="440"/>
    </row>
    <row r="50" spans="1:17" ht="12" customHeight="1" x14ac:dyDescent="0.25">
      <c r="A50" s="125"/>
      <c r="B50" s="142"/>
      <c r="C50" s="142" t="s">
        <v>286</v>
      </c>
      <c r="D50" s="142"/>
      <c r="E50" s="142"/>
      <c r="F50" s="494">
        <f>-('B. NON OPERASIONAL'!O12)</f>
        <v>0</v>
      </c>
      <c r="G50" s="143"/>
      <c r="H50" s="437">
        <v>0</v>
      </c>
      <c r="I50" s="121"/>
      <c r="J50" s="112"/>
    </row>
    <row r="51" spans="1:17" ht="12.95" customHeight="1" x14ac:dyDescent="0.25">
      <c r="A51" s="125"/>
      <c r="B51" s="694" t="s">
        <v>285</v>
      </c>
      <c r="C51" s="694"/>
      <c r="D51" s="694"/>
      <c r="E51" s="142"/>
      <c r="F51" s="438">
        <f>SUM(F46:F50)</f>
        <v>0</v>
      </c>
      <c r="G51" s="129"/>
      <c r="H51" s="438">
        <f>SUM(H46:H50)</f>
        <v>0</v>
      </c>
      <c r="I51" s="121"/>
      <c r="J51" s="112"/>
    </row>
    <row r="52" spans="1:17" ht="12.95" customHeight="1" x14ac:dyDescent="0.25">
      <c r="A52" s="125"/>
      <c r="B52" s="130" t="s">
        <v>284</v>
      </c>
      <c r="C52" s="130"/>
      <c r="D52" s="142"/>
      <c r="E52" s="142"/>
      <c r="F52" s="435">
        <f>F44+F51</f>
        <v>0</v>
      </c>
      <c r="G52" s="129"/>
      <c r="H52" s="435">
        <f>H44+H51</f>
        <v>0</v>
      </c>
      <c r="I52" s="121"/>
      <c r="J52" s="112"/>
    </row>
    <row r="53" spans="1:17" ht="12" customHeight="1" x14ac:dyDescent="0.25">
      <c r="A53" s="125"/>
      <c r="B53" s="130" t="s">
        <v>1060</v>
      </c>
      <c r="C53" s="130"/>
      <c r="D53" s="142"/>
      <c r="E53" s="142"/>
      <c r="F53" s="435"/>
      <c r="G53" s="129"/>
      <c r="H53" s="435">
        <v>0</v>
      </c>
      <c r="I53" s="121"/>
      <c r="J53" s="112"/>
    </row>
    <row r="54" spans="1:17" ht="12" customHeight="1" x14ac:dyDescent="0.25">
      <c r="A54" s="125"/>
      <c r="B54" s="130" t="s">
        <v>283</v>
      </c>
      <c r="C54" s="142"/>
      <c r="D54" s="142"/>
      <c r="E54" s="142"/>
      <c r="F54" s="494">
        <v>0</v>
      </c>
      <c r="G54" s="143"/>
      <c r="H54" s="437">
        <v>0</v>
      </c>
      <c r="I54" s="121"/>
      <c r="J54" s="112"/>
    </row>
    <row r="55" spans="1:17" ht="12.95" customHeight="1" x14ac:dyDescent="0.25">
      <c r="A55" s="125"/>
      <c r="B55" s="703" t="s">
        <v>33</v>
      </c>
      <c r="C55" s="704"/>
      <c r="D55" s="705"/>
      <c r="E55" s="127"/>
      <c r="F55" s="439">
        <f>F52-F54</f>
        <v>0</v>
      </c>
      <c r="G55" s="126"/>
      <c r="H55" s="439">
        <f>H52+H53-H54</f>
        <v>0</v>
      </c>
      <c r="I55" s="121"/>
      <c r="J55" s="112"/>
      <c r="M55" s="430">
        <f>'Laba-OTDA'!H768</f>
        <v>0</v>
      </c>
    </row>
    <row r="56" spans="1:17" ht="12" customHeight="1" x14ac:dyDescent="0.25">
      <c r="A56" s="120"/>
      <c r="B56" s="119"/>
      <c r="C56" s="119"/>
      <c r="D56" s="119"/>
      <c r="E56" s="119"/>
      <c r="F56" s="495"/>
      <c r="G56" s="118"/>
      <c r="H56" s="218"/>
      <c r="I56" s="116"/>
      <c r="J56" s="112"/>
    </row>
    <row r="57" spans="1:17" ht="25.5" customHeight="1" x14ac:dyDescent="0.25">
      <c r="A57" s="115"/>
      <c r="B57" s="112"/>
      <c r="C57" s="112"/>
      <c r="D57" s="112"/>
      <c r="E57" s="112"/>
      <c r="F57" s="496"/>
      <c r="G57" s="114"/>
      <c r="H57" s="431"/>
      <c r="I57" s="112"/>
      <c r="J57" s="112"/>
      <c r="M57" s="430">
        <f>F55-M55</f>
        <v>0</v>
      </c>
    </row>
    <row r="58" spans="1:17" ht="12.75" customHeight="1" x14ac:dyDescent="0.25">
      <c r="A58" s="697" t="s">
        <v>579</v>
      </c>
      <c r="B58" s="697"/>
      <c r="C58" s="697"/>
      <c r="D58" s="697"/>
      <c r="E58" s="124"/>
      <c r="F58" s="698" t="s">
        <v>1062</v>
      </c>
      <c r="G58" s="698"/>
      <c r="H58" s="698"/>
      <c r="I58" s="698"/>
    </row>
    <row r="59" spans="1:17" ht="12.75" customHeight="1" x14ac:dyDescent="0.25">
      <c r="A59" s="697" t="s">
        <v>678</v>
      </c>
      <c r="B59" s="697"/>
      <c r="C59" s="697"/>
      <c r="D59" s="697"/>
      <c r="E59" s="124"/>
      <c r="F59" s="698" t="s">
        <v>679</v>
      </c>
      <c r="G59" s="698"/>
      <c r="H59" s="698"/>
      <c r="I59" s="698"/>
    </row>
    <row r="60" spans="1:17" ht="18" customHeight="1" x14ac:dyDescent="0.25">
      <c r="A60" s="697"/>
      <c r="B60" s="697"/>
      <c r="C60" s="697"/>
      <c r="D60" s="697"/>
      <c r="E60" s="124"/>
      <c r="F60" s="698"/>
      <c r="G60" s="698"/>
      <c r="H60" s="698"/>
      <c r="I60" s="698"/>
    </row>
    <row r="61" spans="1:17" ht="21.75" customHeight="1" x14ac:dyDescent="0.25">
      <c r="A61" s="697"/>
      <c r="B61" s="697"/>
      <c r="C61" s="697"/>
      <c r="D61" s="697"/>
      <c r="E61" s="124"/>
      <c r="F61" s="698"/>
      <c r="G61" s="698"/>
      <c r="H61" s="698"/>
      <c r="I61" s="698"/>
    </row>
    <row r="62" spans="1:17" ht="12.75" customHeight="1" x14ac:dyDescent="0.25">
      <c r="A62" s="697" t="s">
        <v>1038</v>
      </c>
      <c r="B62" s="697"/>
      <c r="C62" s="697"/>
      <c r="D62" s="697"/>
      <c r="E62" s="124"/>
      <c r="F62" s="698" t="s">
        <v>1039</v>
      </c>
      <c r="G62" s="698"/>
      <c r="H62" s="698"/>
      <c r="I62" s="698"/>
    </row>
    <row r="63" spans="1:17" ht="12.75" customHeight="1" x14ac:dyDescent="0.25">
      <c r="A63" s="697"/>
      <c r="B63" s="697"/>
      <c r="C63" s="697"/>
      <c r="D63" s="697"/>
      <c r="E63" s="697"/>
      <c r="F63" s="697"/>
      <c r="G63" s="697"/>
      <c r="H63" s="697"/>
      <c r="I63" s="697"/>
    </row>
    <row r="64" spans="1:17" ht="12.75" customHeight="1" x14ac:dyDescent="0.25">
      <c r="A64" s="697"/>
      <c r="B64" s="697"/>
      <c r="C64" s="697"/>
      <c r="D64" s="697"/>
      <c r="E64" s="697"/>
      <c r="F64" s="697"/>
      <c r="G64" s="697"/>
      <c r="H64" s="697"/>
      <c r="I64" s="697"/>
    </row>
    <row r="65" spans="1:9" ht="12.75" customHeight="1" x14ac:dyDescent="0.25">
      <c r="A65" s="697"/>
      <c r="B65" s="697"/>
      <c r="C65" s="697"/>
      <c r="D65" s="697"/>
      <c r="E65" s="697"/>
      <c r="F65" s="697"/>
      <c r="G65" s="697"/>
      <c r="H65" s="697"/>
      <c r="I65" s="697"/>
    </row>
    <row r="66" spans="1:9" ht="12.75" customHeight="1" x14ac:dyDescent="0.25">
      <c r="A66" s="697"/>
      <c r="B66" s="697"/>
      <c r="C66" s="697"/>
      <c r="D66" s="697"/>
      <c r="E66" s="697"/>
      <c r="F66" s="697"/>
      <c r="G66" s="697"/>
      <c r="H66" s="697"/>
      <c r="I66" s="697"/>
    </row>
    <row r="67" spans="1:9" ht="12.75" customHeight="1" x14ac:dyDescent="0.25">
      <c r="A67" s="697"/>
      <c r="B67" s="697"/>
      <c r="C67" s="697"/>
      <c r="D67" s="697"/>
      <c r="E67" s="697"/>
      <c r="F67" s="697"/>
      <c r="G67" s="697"/>
      <c r="H67" s="697"/>
      <c r="I67" s="697"/>
    </row>
    <row r="68" spans="1:9" ht="12.75" customHeight="1" x14ac:dyDescent="0.25">
      <c r="A68" s="697"/>
      <c r="B68" s="697"/>
      <c r="C68" s="697"/>
      <c r="D68" s="697"/>
      <c r="E68" s="697"/>
      <c r="F68" s="697"/>
      <c r="G68" s="697"/>
      <c r="H68" s="697"/>
      <c r="I68" s="697"/>
    </row>
    <row r="69" spans="1:9" ht="12.75" customHeight="1" x14ac:dyDescent="0.25">
      <c r="A69" s="124"/>
      <c r="B69" s="124"/>
      <c r="C69" s="124"/>
      <c r="D69" s="124"/>
      <c r="E69" s="124"/>
      <c r="F69" s="200"/>
      <c r="G69" s="124"/>
      <c r="H69" s="200"/>
      <c r="I69" s="124"/>
    </row>
    <row r="70" spans="1:9" x14ac:dyDescent="0.25">
      <c r="A70" s="124"/>
      <c r="B70" s="124"/>
      <c r="C70" s="124"/>
      <c r="D70" s="512" t="s">
        <v>702</v>
      </c>
      <c r="G70" s="124"/>
      <c r="H70" s="200"/>
      <c r="I70" s="124"/>
    </row>
    <row r="71" spans="1:9" x14ac:dyDescent="0.25">
      <c r="A71" s="124"/>
      <c r="B71" s="124"/>
      <c r="C71" s="124"/>
      <c r="D71" s="1" t="s">
        <v>688</v>
      </c>
      <c r="F71" s="440">
        <v>0</v>
      </c>
      <c r="G71" s="124"/>
      <c r="H71" s="200"/>
      <c r="I71" s="124"/>
    </row>
    <row r="72" spans="1:9" x14ac:dyDescent="0.25">
      <c r="A72" s="124"/>
      <c r="B72" s="124"/>
      <c r="C72" s="124"/>
      <c r="D72" s="1" t="s">
        <v>689</v>
      </c>
      <c r="F72" s="440">
        <f>'Laba-OTDA'!M696</f>
        <v>0</v>
      </c>
      <c r="G72" s="124"/>
      <c r="H72" s="200"/>
      <c r="I72" s="124"/>
    </row>
    <row r="73" spans="1:9" x14ac:dyDescent="0.25">
      <c r="D73" s="1" t="s">
        <v>690</v>
      </c>
      <c r="F73" s="440">
        <f>F31</f>
        <v>0</v>
      </c>
    </row>
    <row r="74" spans="1:9" x14ac:dyDescent="0.25">
      <c r="F74" s="511">
        <f>SUM(F71:F73)</f>
        <v>0</v>
      </c>
    </row>
    <row r="77" spans="1:9" x14ac:dyDescent="0.25">
      <c r="F77" s="440">
        <f>F55+F74</f>
        <v>0</v>
      </c>
    </row>
    <row r="79" spans="1:9" x14ac:dyDescent="0.25">
      <c r="D79" s="1" t="s">
        <v>691</v>
      </c>
    </row>
    <row r="80" spans="1:9" x14ac:dyDescent="0.25">
      <c r="D80" s="510" t="s">
        <v>692</v>
      </c>
      <c r="F80" s="440">
        <v>0</v>
      </c>
    </row>
    <row r="81" spans="4:6" x14ac:dyDescent="0.25">
      <c r="D81" s="510" t="s">
        <v>693</v>
      </c>
      <c r="F81" s="440">
        <v>0</v>
      </c>
    </row>
    <row r="82" spans="4:6" x14ac:dyDescent="0.25">
      <c r="D82" s="510" t="s">
        <v>694</v>
      </c>
      <c r="F82" s="440">
        <v>0</v>
      </c>
    </row>
    <row r="83" spans="4:6" x14ac:dyDescent="0.25">
      <c r="D83" s="510" t="s">
        <v>696</v>
      </c>
      <c r="F83" s="440">
        <v>0</v>
      </c>
    </row>
    <row r="84" spans="4:6" x14ac:dyDescent="0.25">
      <c r="D84" s="510" t="s">
        <v>695</v>
      </c>
      <c r="F84" s="440">
        <v>0</v>
      </c>
    </row>
    <row r="85" spans="4:6" x14ac:dyDescent="0.25">
      <c r="F85" s="511">
        <f>SUM(F80:F84)</f>
        <v>0</v>
      </c>
    </row>
    <row r="87" spans="4:6" x14ac:dyDescent="0.25">
      <c r="D87" s="1" t="s">
        <v>697</v>
      </c>
    </row>
    <row r="88" spans="4:6" x14ac:dyDescent="0.25">
      <c r="D88" s="510" t="s">
        <v>698</v>
      </c>
      <c r="F88" s="440">
        <v>0</v>
      </c>
    </row>
    <row r="89" spans="4:6" x14ac:dyDescent="0.25">
      <c r="D89" s="510" t="s">
        <v>699</v>
      </c>
      <c r="F89" s="440">
        <v>0</v>
      </c>
    </row>
    <row r="90" spans="4:6" x14ac:dyDescent="0.25">
      <c r="D90" s="510" t="s">
        <v>700</v>
      </c>
      <c r="F90" s="440">
        <v>0</v>
      </c>
    </row>
    <row r="91" spans="4:6" x14ac:dyDescent="0.25">
      <c r="D91" s="510" t="s">
        <v>701</v>
      </c>
      <c r="F91" s="440">
        <v>0</v>
      </c>
    </row>
    <row r="92" spans="4:6" x14ac:dyDescent="0.25">
      <c r="F92" s="511">
        <f>SUM(F88:F91)</f>
        <v>0</v>
      </c>
    </row>
    <row r="114" spans="1:10" x14ac:dyDescent="0.25">
      <c r="A114" s="112" t="s">
        <v>581</v>
      </c>
      <c r="B114" s="112"/>
      <c r="C114" s="112"/>
      <c r="D114" s="112"/>
      <c r="E114" s="112"/>
      <c r="F114" s="431"/>
      <c r="G114" s="113"/>
      <c r="H114" s="431"/>
      <c r="I114" s="112"/>
      <c r="J114" s="112"/>
    </row>
    <row r="115" spans="1:10" ht="12.95" customHeight="1" x14ac:dyDescent="0.25">
      <c r="A115" s="112"/>
      <c r="B115" s="112"/>
      <c r="C115" s="112"/>
      <c r="D115" s="112"/>
      <c r="E115" s="112"/>
      <c r="F115" s="431"/>
      <c r="G115" s="113"/>
      <c r="H115" s="431"/>
      <c r="I115" s="112"/>
      <c r="J115" s="112"/>
    </row>
    <row r="116" spans="1:10" ht="20.25" x14ac:dyDescent="0.3">
      <c r="A116" s="141"/>
      <c r="B116" s="695" t="s">
        <v>650</v>
      </c>
      <c r="C116" s="695"/>
      <c r="D116" s="695"/>
      <c r="E116" s="695"/>
      <c r="F116" s="695"/>
      <c r="G116" s="695"/>
      <c r="H116" s="695"/>
      <c r="I116" s="140"/>
      <c r="J116" s="112"/>
    </row>
    <row r="117" spans="1:10" x14ac:dyDescent="0.25">
      <c r="A117" s="125"/>
      <c r="B117" s="696" t="s">
        <v>570</v>
      </c>
      <c r="C117" s="696"/>
      <c r="D117" s="696"/>
      <c r="E117" s="696"/>
      <c r="F117" s="696"/>
      <c r="G117" s="696"/>
      <c r="H117" s="696"/>
      <c r="I117" s="139"/>
      <c r="J117" s="112"/>
    </row>
    <row r="118" spans="1:10" x14ac:dyDescent="0.25">
      <c r="A118" s="125"/>
      <c r="B118" s="696" t="s">
        <v>1065</v>
      </c>
      <c r="C118" s="696"/>
      <c r="D118" s="696"/>
      <c r="E118" s="696"/>
      <c r="F118" s="696"/>
      <c r="G118" s="696"/>
      <c r="H118" s="696"/>
      <c r="I118" s="139"/>
      <c r="J118" s="112"/>
    </row>
    <row r="119" spans="1:10" ht="15.75" thickBot="1" x14ac:dyDescent="0.3">
      <c r="A119" s="125"/>
      <c r="B119" s="699" t="s">
        <v>0</v>
      </c>
      <c r="C119" s="699"/>
      <c r="D119" s="699"/>
      <c r="E119" s="699"/>
      <c r="F119" s="699"/>
      <c r="G119" s="699"/>
      <c r="H119" s="699"/>
      <c r="I119" s="139"/>
      <c r="J119" s="112"/>
    </row>
    <row r="120" spans="1:10" ht="12.95" customHeight="1" thickTop="1" x14ac:dyDescent="0.25">
      <c r="A120" s="125"/>
      <c r="B120" s="112"/>
      <c r="C120" s="112"/>
      <c r="D120" s="112"/>
      <c r="E120" s="112"/>
      <c r="F120" s="431"/>
      <c r="G120" s="113"/>
      <c r="H120" s="431"/>
      <c r="I120" s="136"/>
      <c r="J120" s="112"/>
    </row>
    <row r="121" spans="1:10" x14ac:dyDescent="0.25">
      <c r="A121" s="125"/>
      <c r="B121" s="700" t="s">
        <v>30</v>
      </c>
      <c r="C121" s="701"/>
      <c r="D121" s="702"/>
      <c r="E121" s="138"/>
      <c r="F121" s="432" t="s">
        <v>1051</v>
      </c>
      <c r="G121" s="137"/>
      <c r="H121" s="432" t="s">
        <v>861</v>
      </c>
      <c r="I121" s="136"/>
      <c r="J121" s="112"/>
    </row>
    <row r="122" spans="1:10" ht="12" customHeight="1" x14ac:dyDescent="0.25">
      <c r="A122" s="125"/>
      <c r="B122" s="112"/>
      <c r="C122" s="112"/>
      <c r="D122" s="112"/>
      <c r="E122" s="112"/>
      <c r="F122" s="431"/>
      <c r="G122" s="113"/>
      <c r="H122" s="431"/>
      <c r="I122" s="136"/>
      <c r="J122" s="112"/>
    </row>
    <row r="123" spans="1:10" ht="12" customHeight="1" x14ac:dyDescent="0.25">
      <c r="A123" s="125"/>
      <c r="B123" s="142" t="s">
        <v>1</v>
      </c>
      <c r="C123" s="142"/>
      <c r="D123" s="142"/>
      <c r="E123" s="124"/>
      <c r="F123" s="200"/>
      <c r="G123" s="123"/>
      <c r="H123" s="200"/>
      <c r="I123" s="135"/>
      <c r="J123" s="112"/>
    </row>
    <row r="124" spans="1:10" ht="12" customHeight="1" x14ac:dyDescent="0.25">
      <c r="A124" s="125"/>
      <c r="B124" s="142"/>
      <c r="C124" s="130" t="s">
        <v>2</v>
      </c>
      <c r="D124" s="130"/>
      <c r="E124" s="128"/>
      <c r="F124" s="434"/>
      <c r="G124" s="132"/>
      <c r="H124" s="433"/>
      <c r="I124" s="121"/>
      <c r="J124" s="112"/>
    </row>
    <row r="125" spans="1:10" ht="12" customHeight="1" x14ac:dyDescent="0.25">
      <c r="A125" s="125"/>
      <c r="B125" s="142"/>
      <c r="C125" s="130"/>
      <c r="D125" s="142" t="s">
        <v>303</v>
      </c>
      <c r="E125" s="128"/>
      <c r="F125" s="494">
        <v>0</v>
      </c>
      <c r="G125" s="143"/>
      <c r="H125" s="661">
        <v>0</v>
      </c>
      <c r="I125" s="121"/>
      <c r="J125" s="112"/>
    </row>
    <row r="126" spans="1:10" ht="12" customHeight="1" x14ac:dyDescent="0.25">
      <c r="A126" s="125"/>
      <c r="B126" s="142"/>
      <c r="C126" s="130"/>
      <c r="D126" s="142" t="s">
        <v>304</v>
      </c>
      <c r="E126" s="128"/>
      <c r="F126" s="494">
        <v>0</v>
      </c>
      <c r="G126" s="143"/>
      <c r="H126" s="661">
        <v>0</v>
      </c>
      <c r="I126" s="121"/>
      <c r="J126" s="112"/>
    </row>
    <row r="127" spans="1:10" ht="12" customHeight="1" x14ac:dyDescent="0.25">
      <c r="A127" s="125"/>
      <c r="B127" s="142"/>
      <c r="C127" s="130"/>
      <c r="D127" s="142" t="s">
        <v>562</v>
      </c>
      <c r="E127" s="128"/>
      <c r="F127" s="494">
        <v>0</v>
      </c>
      <c r="G127" s="143"/>
      <c r="H127" s="661"/>
      <c r="I127" s="121"/>
      <c r="J127" s="112"/>
    </row>
    <row r="128" spans="1:10" ht="12.95" customHeight="1" x14ac:dyDescent="0.25">
      <c r="A128" s="125"/>
      <c r="B128" s="142"/>
      <c r="C128" s="130"/>
      <c r="D128" s="127" t="s">
        <v>305</v>
      </c>
      <c r="E128" s="128"/>
      <c r="F128" s="435">
        <f>SUM(F125:F127)</f>
        <v>0</v>
      </c>
      <c r="G128" s="129"/>
      <c r="H128" s="435">
        <f>SUM(H125:H127)</f>
        <v>0</v>
      </c>
      <c r="I128" s="121"/>
      <c r="J128" s="112"/>
    </row>
    <row r="129" spans="1:10" ht="12" customHeight="1" x14ac:dyDescent="0.25">
      <c r="A129" s="125"/>
      <c r="B129" s="142"/>
      <c r="C129" s="130" t="s">
        <v>3</v>
      </c>
      <c r="D129" s="142"/>
      <c r="E129" s="124"/>
      <c r="F129" s="494"/>
      <c r="G129" s="143"/>
      <c r="H129" s="437"/>
      <c r="I129" s="121"/>
      <c r="J129" s="112"/>
    </row>
    <row r="130" spans="1:10" ht="12" customHeight="1" x14ac:dyDescent="0.25">
      <c r="A130" s="125"/>
      <c r="B130" s="142"/>
      <c r="C130" s="142"/>
      <c r="D130" s="142" t="s">
        <v>229</v>
      </c>
      <c r="E130" s="124"/>
      <c r="F130" s="494">
        <v>0</v>
      </c>
      <c r="G130" s="143"/>
      <c r="H130" s="661"/>
      <c r="I130" s="121"/>
      <c r="J130" s="112"/>
    </row>
    <row r="131" spans="1:10" ht="12" customHeight="1" x14ac:dyDescent="0.25">
      <c r="A131" s="125"/>
      <c r="B131" s="142"/>
      <c r="C131" s="142"/>
      <c r="D131" s="142" t="s">
        <v>232</v>
      </c>
      <c r="E131" s="124"/>
      <c r="F131" s="494">
        <v>0</v>
      </c>
      <c r="G131" s="143"/>
      <c r="H131" s="661"/>
      <c r="I131" s="121"/>
      <c r="J131" s="112"/>
    </row>
    <row r="132" spans="1:10" ht="12" customHeight="1" x14ac:dyDescent="0.25">
      <c r="A132" s="125"/>
      <c r="B132" s="142"/>
      <c r="C132" s="142"/>
      <c r="D132" s="142" t="s">
        <v>230</v>
      </c>
      <c r="E132" s="124"/>
      <c r="F132" s="494">
        <v>0</v>
      </c>
      <c r="G132" s="143"/>
      <c r="H132" s="661"/>
      <c r="I132" s="121"/>
      <c r="J132" s="112"/>
    </row>
    <row r="133" spans="1:10" ht="12" customHeight="1" x14ac:dyDescent="0.25">
      <c r="A133" s="125"/>
      <c r="B133" s="142"/>
      <c r="C133" s="142"/>
      <c r="D133" s="142" t="s">
        <v>322</v>
      </c>
      <c r="E133" s="124"/>
      <c r="F133" s="494">
        <f>'[1]81.02-81.03'!$F$78</f>
        <v>0</v>
      </c>
      <c r="G133" s="143"/>
      <c r="H133" s="661"/>
      <c r="I133" s="121"/>
      <c r="J133" s="112"/>
    </row>
    <row r="134" spans="1:10" ht="12" customHeight="1" x14ac:dyDescent="0.25">
      <c r="A134" s="125"/>
      <c r="B134" s="142"/>
      <c r="C134" s="142"/>
      <c r="D134" s="142" t="s">
        <v>323</v>
      </c>
      <c r="E134" s="124"/>
      <c r="F134" s="494">
        <f>'[1]81.02-81.03'!$F$95</f>
        <v>0</v>
      </c>
      <c r="G134" s="143"/>
      <c r="H134" s="661"/>
      <c r="I134" s="121"/>
      <c r="J134" s="112"/>
    </row>
    <row r="135" spans="1:10" ht="12" customHeight="1" x14ac:dyDescent="0.25">
      <c r="A135" s="125"/>
      <c r="B135" s="142"/>
      <c r="C135" s="142"/>
      <c r="D135" s="142" t="s">
        <v>324</v>
      </c>
      <c r="E135" s="124"/>
      <c r="F135" s="494">
        <f>'[1]81.02-81.03'!$F$118</f>
        <v>0</v>
      </c>
      <c r="G135" s="143"/>
      <c r="H135" s="661"/>
      <c r="I135" s="121"/>
      <c r="J135" s="112"/>
    </row>
    <row r="136" spans="1:10" ht="12.95" customHeight="1" x14ac:dyDescent="0.25">
      <c r="A136" s="125"/>
      <c r="B136" s="142"/>
      <c r="C136" s="130"/>
      <c r="D136" s="127" t="s">
        <v>279</v>
      </c>
      <c r="E136" s="128"/>
      <c r="F136" s="435">
        <f>SUM(F130:F135)</f>
        <v>0</v>
      </c>
      <c r="G136" s="129">
        <f t="shared" ref="G136:H136" si="2">SUM(G130:G135)</f>
        <v>0</v>
      </c>
      <c r="H136" s="435">
        <f t="shared" si="2"/>
        <v>0</v>
      </c>
      <c r="I136" s="121"/>
      <c r="J136" s="112"/>
    </row>
    <row r="137" spans="1:10" ht="12.95" customHeight="1" thickBot="1" x14ac:dyDescent="0.3">
      <c r="A137" s="125"/>
      <c r="B137" s="694" t="s">
        <v>4</v>
      </c>
      <c r="C137" s="694"/>
      <c r="D137" s="694"/>
      <c r="E137" s="149" t="e">
        <f>#REF!+E136+E124</f>
        <v>#REF!</v>
      </c>
      <c r="F137" s="662">
        <f>F136+F128</f>
        <v>0</v>
      </c>
      <c r="G137" s="663"/>
      <c r="H137" s="664">
        <f>H136+H128</f>
        <v>0</v>
      </c>
      <c r="I137" s="121"/>
      <c r="J137" s="112"/>
    </row>
    <row r="138" spans="1:10" ht="12" customHeight="1" thickTop="1" x14ac:dyDescent="0.25">
      <c r="A138" s="125"/>
      <c r="B138" s="130" t="s">
        <v>289</v>
      </c>
      <c r="C138" s="142"/>
      <c r="D138" s="142"/>
      <c r="E138" s="142"/>
      <c r="F138" s="494"/>
      <c r="G138" s="143"/>
      <c r="H138" s="437"/>
      <c r="I138" s="121"/>
      <c r="J138" s="112"/>
    </row>
    <row r="139" spans="1:10" ht="12" customHeight="1" x14ac:dyDescent="0.25">
      <c r="A139" s="125"/>
      <c r="B139" s="142"/>
      <c r="C139" s="142" t="s">
        <v>74</v>
      </c>
      <c r="D139" s="142"/>
      <c r="E139" s="142"/>
      <c r="F139" s="216">
        <f>'RINCIAN B. LANGSUNG USAHA'!E37+'RINCIAN B. LANGSUNG USAHA'!E44+'RINCIAN B. LANGSUNG USAHA'!E50+'RINCIAN B. LANGSUNG USAHA'!E51+'RINCIAN B. LANGSUNG USAHA'!E52+'RINCIAN B. LANGSUNG USAHA'!E73+'RINCIAN B. LANGSUNG USAHA'!E77+'RINCIAN B. LANGSUNG USAHA'!E83+'RINCIAN B. LANGSUNG USAHA'!E84+'RINCIAN B. LANGSUNG USAHA'!E85+'RINCIAN B. TDK LANGSUNG'!E29-'RINCIAN B. TDK LANGSUNG'!E28+'RINCIAN B. TDK LANGSUNG'!E63</f>
        <v>0</v>
      </c>
      <c r="G139" s="143"/>
      <c r="H139" s="437">
        <v>0</v>
      </c>
      <c r="I139" s="121"/>
      <c r="J139" s="112"/>
    </row>
    <row r="140" spans="1:10" ht="12" customHeight="1" x14ac:dyDescent="0.25">
      <c r="A140" s="125"/>
      <c r="B140" s="142"/>
      <c r="C140" s="142" t="s">
        <v>77</v>
      </c>
      <c r="D140" s="142"/>
      <c r="E140" s="142"/>
      <c r="F140" s="494">
        <f>'RINCIAN B. LANGSUNG USAHA'!E19</f>
        <v>0</v>
      </c>
      <c r="G140" s="143"/>
      <c r="H140" s="437">
        <v>0</v>
      </c>
      <c r="I140" s="121"/>
      <c r="J140" s="112"/>
    </row>
    <row r="141" spans="1:10" ht="12" customHeight="1" x14ac:dyDescent="0.25">
      <c r="A141" s="125"/>
      <c r="B141" s="142"/>
      <c r="C141" s="142" t="s">
        <v>563</v>
      </c>
      <c r="D141" s="142"/>
      <c r="E141" s="142"/>
      <c r="F141" s="494">
        <f>'RINCIAN B. LANGSUNG USAHA'!E53</f>
        <v>0</v>
      </c>
      <c r="G141" s="143"/>
      <c r="H141" s="437">
        <v>0</v>
      </c>
      <c r="I141" s="121"/>
      <c r="J141" s="112"/>
    </row>
    <row r="142" spans="1:10" ht="12" customHeight="1" x14ac:dyDescent="0.25">
      <c r="A142" s="125"/>
      <c r="B142" s="142"/>
      <c r="C142" s="142" t="s">
        <v>306</v>
      </c>
      <c r="D142" s="142"/>
      <c r="E142" s="142"/>
      <c r="F142" s="494">
        <f>'RINCIAN B. TDK LANGSUNG'!E49</f>
        <v>0</v>
      </c>
      <c r="G142" s="143"/>
      <c r="H142" s="437">
        <v>0</v>
      </c>
      <c r="I142" s="121"/>
      <c r="J142" s="112"/>
    </row>
    <row r="143" spans="1:10" ht="12" customHeight="1" x14ac:dyDescent="0.25">
      <c r="A143" s="125"/>
      <c r="B143" s="142"/>
      <c r="C143" s="142" t="s">
        <v>80</v>
      </c>
      <c r="D143" s="142"/>
      <c r="E143" s="142"/>
      <c r="F143" s="494">
        <f>'RINCIAN B. LANGSUNG USAHA'!E30+'RINCIAN B. LANGSUNG USAHA'!E66+'RINCIAN B. LANGSUNG USAHA'!E97+'RINCIAN B. TDK LANGSUNG'!E59</f>
        <v>0</v>
      </c>
      <c r="G143" s="143"/>
      <c r="H143" s="437">
        <v>0</v>
      </c>
      <c r="I143" s="121"/>
      <c r="J143" s="112"/>
    </row>
    <row r="144" spans="1:10" ht="12" customHeight="1" x14ac:dyDescent="0.25">
      <c r="A144" s="125"/>
      <c r="B144" s="142"/>
      <c r="C144" s="142" t="s">
        <v>642</v>
      </c>
      <c r="D144" s="142"/>
      <c r="E144" s="142"/>
      <c r="F144" s="494">
        <f>'RINCIAN B. TDK LANGSUNG'!E76</f>
        <v>0</v>
      </c>
      <c r="G144" s="143"/>
      <c r="H144" s="437">
        <v>0</v>
      </c>
      <c r="I144" s="121"/>
      <c r="J144" s="112"/>
    </row>
    <row r="145" spans="1:10" ht="12" customHeight="1" x14ac:dyDescent="0.25">
      <c r="A145" s="125"/>
      <c r="B145" s="142"/>
      <c r="C145" s="142" t="s">
        <v>627</v>
      </c>
      <c r="D145" s="142"/>
      <c r="E145" s="142"/>
      <c r="F145" s="494">
        <f>'RINCIAN B. LANGSUNG USAHA'!E33+'RINCIAN B. LANGSUNG USAHA'!E68+'RINCIAN B. LANGSUNG USAHA'!E99+'RINCIAN B. TDK LANGSUNG'!E78</f>
        <v>0</v>
      </c>
      <c r="G145" s="143"/>
      <c r="H145" s="437">
        <v>0</v>
      </c>
      <c r="I145" s="121"/>
      <c r="J145" s="112"/>
    </row>
    <row r="146" spans="1:10" ht="12" customHeight="1" x14ac:dyDescent="0.25">
      <c r="A146" s="125"/>
      <c r="B146" s="142"/>
      <c r="C146" s="142" t="s">
        <v>624</v>
      </c>
      <c r="D146" s="142"/>
      <c r="E146" s="142"/>
      <c r="F146" s="494">
        <f>'RINCIAN B. TDK LANGSUNG'!E79</f>
        <v>0</v>
      </c>
      <c r="G146" s="143"/>
      <c r="H146" s="437">
        <v>0</v>
      </c>
      <c r="I146" s="121"/>
      <c r="J146" s="112"/>
    </row>
    <row r="147" spans="1:10" ht="12" customHeight="1" x14ac:dyDescent="0.25">
      <c r="A147" s="125"/>
      <c r="B147" s="142"/>
      <c r="C147" s="142" t="s">
        <v>625</v>
      </c>
      <c r="D147" s="142"/>
      <c r="E147" s="142"/>
      <c r="F147" s="494">
        <f>'RINCIAN B. TDK LANGSUNG'!E62</f>
        <v>0</v>
      </c>
      <c r="G147" s="143"/>
      <c r="H147" s="437">
        <v>0</v>
      </c>
      <c r="I147" s="121"/>
      <c r="J147" s="112"/>
    </row>
    <row r="148" spans="1:10" ht="12" customHeight="1" x14ac:dyDescent="0.25">
      <c r="A148" s="125"/>
      <c r="B148" s="142"/>
      <c r="C148" s="142" t="s">
        <v>79</v>
      </c>
      <c r="D148" s="142"/>
      <c r="E148" s="142"/>
      <c r="F148" s="494">
        <f>'RINCIAN B. LANGSUNG USAHA'!E20+'RINCIAN B. LANGSUNG USAHA'!E58+'RINCIAN B. LANGSUNG USAHA'!E86</f>
        <v>0</v>
      </c>
      <c r="G148" s="143"/>
      <c r="H148" s="437">
        <v>0</v>
      </c>
      <c r="I148" s="121"/>
      <c r="J148" s="112"/>
    </row>
    <row r="149" spans="1:10" ht="12" customHeight="1" x14ac:dyDescent="0.25">
      <c r="A149" s="125"/>
      <c r="B149" s="142"/>
      <c r="C149" s="142" t="s">
        <v>564</v>
      </c>
      <c r="D149" s="142"/>
      <c r="E149" s="142"/>
      <c r="F149" s="494">
        <f>'RINCIAN B. LANGSUNG USAHA'!E18+'RINCIAN B. LANGSUNG USAHA'!E87</f>
        <v>0</v>
      </c>
      <c r="G149" s="143"/>
      <c r="H149" s="437">
        <v>0</v>
      </c>
      <c r="I149" s="121"/>
      <c r="J149" s="112"/>
    </row>
    <row r="150" spans="1:10" ht="12" customHeight="1" x14ac:dyDescent="0.25">
      <c r="A150" s="125"/>
      <c r="B150" s="142"/>
      <c r="C150" s="142" t="s">
        <v>75</v>
      </c>
      <c r="D150" s="142"/>
      <c r="E150" s="142"/>
      <c r="F150" s="494">
        <f>'RINCIAN B. TDK LANGSUNG'!E44</f>
        <v>0</v>
      </c>
      <c r="G150" s="143"/>
      <c r="H150" s="437">
        <v>0</v>
      </c>
      <c r="I150" s="121"/>
      <c r="J150" s="112"/>
    </row>
    <row r="151" spans="1:10" ht="12" customHeight="1" x14ac:dyDescent="0.25">
      <c r="A151" s="125"/>
      <c r="B151" s="142"/>
      <c r="C151" s="142" t="s">
        <v>565</v>
      </c>
      <c r="D151" s="142"/>
      <c r="E151" s="142"/>
      <c r="F151" s="494">
        <f>'RINCIAN B. TDK LANGSUNG'!E52</f>
        <v>0</v>
      </c>
      <c r="G151" s="143"/>
      <c r="H151" s="437">
        <v>0</v>
      </c>
      <c r="I151" s="121"/>
      <c r="J151" s="112"/>
    </row>
    <row r="152" spans="1:10" ht="12" customHeight="1" x14ac:dyDescent="0.25">
      <c r="A152" s="125"/>
      <c r="B152" s="142"/>
      <c r="C152" s="142" t="s">
        <v>626</v>
      </c>
      <c r="D152" s="142"/>
      <c r="E152" s="142"/>
      <c r="F152" s="494">
        <f>'RINCIAN B. LANGSUNG USAHA'!E31</f>
        <v>0</v>
      </c>
      <c r="G152" s="143"/>
      <c r="H152" s="437">
        <v>0</v>
      </c>
      <c r="I152" s="121"/>
      <c r="J152" s="112"/>
    </row>
    <row r="153" spans="1:10" ht="12" customHeight="1" x14ac:dyDescent="0.25">
      <c r="A153" s="125"/>
      <c r="B153" s="142"/>
      <c r="C153" s="142" t="s">
        <v>646</v>
      </c>
      <c r="D153" s="142"/>
      <c r="E153" s="142"/>
      <c r="F153" s="494">
        <f>'RINCIAN B. TDK LANGSUNG'!E28</f>
        <v>0</v>
      </c>
      <c r="G153" s="143"/>
      <c r="H153" s="437">
        <v>0</v>
      </c>
      <c r="I153" s="121"/>
      <c r="J153" s="112"/>
    </row>
    <row r="154" spans="1:10" ht="12" customHeight="1" x14ac:dyDescent="0.25">
      <c r="A154" s="125"/>
      <c r="B154" s="142"/>
      <c r="C154" s="142" t="s">
        <v>82</v>
      </c>
      <c r="D154" s="142"/>
      <c r="E154" s="142"/>
      <c r="F154" s="494">
        <f>'RINCIAN B. LANGSUNG USAHA'!E21+'RINCIAN B. LANGSUNG USAHA'!E59+'RINCIAN B. LANGSUNG USAHA'!E88+'RINCIAN B. TDK LANGSUNG'!E75-'RINCIAN B. TDK LANGSUNG'!E63-'RINCIAN B. TDK LANGSUNG'!E62</f>
        <v>0</v>
      </c>
      <c r="G154" s="143"/>
      <c r="H154" s="437">
        <v>0</v>
      </c>
      <c r="I154" s="121"/>
      <c r="J154" s="112"/>
    </row>
    <row r="155" spans="1:10" ht="12" customHeight="1" x14ac:dyDescent="0.25">
      <c r="A155" s="125"/>
      <c r="B155" s="142"/>
      <c r="C155" s="142" t="s">
        <v>860</v>
      </c>
      <c r="D155" s="142"/>
      <c r="E155" s="142"/>
      <c r="F155" s="494">
        <f>'RINCIAN B. LANGSUNG USAHA'!E101</f>
        <v>0</v>
      </c>
      <c r="G155" s="143"/>
      <c r="H155" s="437">
        <v>0</v>
      </c>
      <c r="I155" s="121"/>
      <c r="J155" s="112"/>
    </row>
    <row r="156" spans="1:10" ht="12.95" customHeight="1" thickBot="1" x14ac:dyDescent="0.3">
      <c r="A156" s="125"/>
      <c r="B156" s="694" t="s">
        <v>288</v>
      </c>
      <c r="C156" s="694"/>
      <c r="D156" s="694"/>
      <c r="E156" s="142"/>
      <c r="F156" s="665">
        <f>SUM(F139:F155)</f>
        <v>0</v>
      </c>
      <c r="G156" s="129"/>
      <c r="H156" s="664">
        <f>SUM(H139:H155)</f>
        <v>0</v>
      </c>
      <c r="I156" s="121"/>
      <c r="J156" s="112"/>
    </row>
    <row r="157" spans="1:10" ht="12.95" customHeight="1" thickTop="1" x14ac:dyDescent="0.25">
      <c r="A157" s="125"/>
      <c r="B157" s="142"/>
      <c r="C157" s="130" t="s">
        <v>83</v>
      </c>
      <c r="D157" s="142"/>
      <c r="E157" s="142"/>
      <c r="F157" s="435">
        <f>F137-F156</f>
        <v>0</v>
      </c>
      <c r="G157" s="143"/>
      <c r="H157" s="435">
        <f>H137-H156</f>
        <v>0</v>
      </c>
      <c r="I157" s="121"/>
      <c r="J157" s="112"/>
    </row>
    <row r="158" spans="1:10" ht="12" customHeight="1" x14ac:dyDescent="0.25">
      <c r="A158" s="125"/>
      <c r="B158" s="142" t="s">
        <v>287</v>
      </c>
      <c r="C158" s="130"/>
      <c r="D158" s="142"/>
      <c r="E158" s="142"/>
      <c r="F158" s="435"/>
      <c r="G158" s="143"/>
      <c r="H158" s="436"/>
      <c r="I158" s="121"/>
      <c r="J158" s="112"/>
    </row>
    <row r="159" spans="1:10" ht="12" customHeight="1" x14ac:dyDescent="0.25">
      <c r="A159" s="125"/>
      <c r="B159" s="142"/>
      <c r="C159" s="142" t="s">
        <v>310</v>
      </c>
      <c r="D159" s="142"/>
      <c r="E159" s="142"/>
      <c r="F159" s="494">
        <f>'[1]88.00'!$E$80</f>
        <v>0</v>
      </c>
      <c r="G159" s="143"/>
      <c r="H159" s="437">
        <v>0</v>
      </c>
      <c r="I159" s="121"/>
      <c r="J159" s="112"/>
    </row>
    <row r="160" spans="1:10" ht="12" customHeight="1" x14ac:dyDescent="0.25">
      <c r="A160" s="125"/>
      <c r="B160" s="142"/>
      <c r="C160" s="142" t="s">
        <v>309</v>
      </c>
      <c r="D160" s="142"/>
      <c r="E160" s="142"/>
      <c r="F160" s="494">
        <v>0</v>
      </c>
      <c r="G160" s="143"/>
      <c r="H160" s="437">
        <v>0</v>
      </c>
      <c r="I160" s="121"/>
      <c r="J160" s="112"/>
    </row>
    <row r="161" spans="1:10" ht="12" customHeight="1" x14ac:dyDescent="0.25">
      <c r="A161" s="125"/>
      <c r="B161" s="142"/>
      <c r="C161" s="142" t="s">
        <v>308</v>
      </c>
      <c r="D161" s="142"/>
      <c r="E161" s="142"/>
      <c r="F161" s="494">
        <v>0</v>
      </c>
      <c r="G161" s="143"/>
      <c r="H161" s="437">
        <v>0</v>
      </c>
      <c r="I161" s="121"/>
      <c r="J161" s="112"/>
    </row>
    <row r="162" spans="1:10" ht="12" customHeight="1" x14ac:dyDescent="0.25">
      <c r="A162" s="125"/>
      <c r="B162" s="142"/>
      <c r="C162" s="142" t="s">
        <v>276</v>
      </c>
      <c r="D162" s="142"/>
      <c r="E162" s="142"/>
      <c r="F162" s="494">
        <f>'[1]88.00'!$F$105</f>
        <v>0</v>
      </c>
      <c r="G162" s="143"/>
      <c r="H162" s="437">
        <v>0</v>
      </c>
      <c r="I162" s="121"/>
      <c r="J162" s="112"/>
    </row>
    <row r="163" spans="1:10" ht="12" customHeight="1" x14ac:dyDescent="0.25">
      <c r="A163" s="125"/>
      <c r="B163" s="142"/>
      <c r="C163" s="142" t="s">
        <v>286</v>
      </c>
      <c r="D163" s="142"/>
      <c r="E163" s="142"/>
      <c r="F163" s="494">
        <f>-'B. NON OPERASIONAL'!C12</f>
        <v>0</v>
      </c>
      <c r="G163" s="143"/>
      <c r="H163" s="437">
        <v>0</v>
      </c>
      <c r="I163" s="121"/>
      <c r="J163" s="112"/>
    </row>
    <row r="164" spans="1:10" ht="12.95" customHeight="1" x14ac:dyDescent="0.25">
      <c r="A164" s="125"/>
      <c r="B164" s="694" t="s">
        <v>285</v>
      </c>
      <c r="C164" s="694"/>
      <c r="D164" s="694"/>
      <c r="E164" s="142"/>
      <c r="F164" s="438">
        <f>SUM(F159:F163)</f>
        <v>0</v>
      </c>
      <c r="G164" s="129"/>
      <c r="H164" s="438">
        <f>SUM(H159:H163)</f>
        <v>0</v>
      </c>
      <c r="I164" s="121"/>
      <c r="J164" s="112"/>
    </row>
    <row r="165" spans="1:10" ht="12.95" customHeight="1" x14ac:dyDescent="0.25">
      <c r="A165" s="125"/>
      <c r="B165" s="130" t="s">
        <v>284</v>
      </c>
      <c r="C165" s="130"/>
      <c r="D165" s="142"/>
      <c r="E165" s="142"/>
      <c r="F165" s="435">
        <f>F157+F164</f>
        <v>0</v>
      </c>
      <c r="G165" s="129"/>
      <c r="H165" s="435">
        <f>H157+H164</f>
        <v>0</v>
      </c>
      <c r="I165" s="121"/>
      <c r="J165" s="112"/>
    </row>
    <row r="166" spans="1:10" ht="12" customHeight="1" x14ac:dyDescent="0.25">
      <c r="A166" s="125"/>
      <c r="B166" s="130" t="s">
        <v>283</v>
      </c>
      <c r="C166" s="130"/>
      <c r="D166" s="142"/>
      <c r="E166" s="142"/>
      <c r="F166" s="435">
        <v>0</v>
      </c>
      <c r="G166" s="129"/>
      <c r="H166" s="435">
        <v>0</v>
      </c>
      <c r="I166" s="121"/>
      <c r="J166" s="112"/>
    </row>
    <row r="167" spans="1:10" ht="12" customHeight="1" x14ac:dyDescent="0.25">
      <c r="A167" s="125"/>
      <c r="B167" s="130" t="s">
        <v>1086</v>
      </c>
      <c r="C167" s="142"/>
      <c r="D167" s="142"/>
      <c r="E167" s="142"/>
      <c r="F167" s="435">
        <v>0</v>
      </c>
      <c r="G167" s="143"/>
      <c r="H167" s="436">
        <v>0</v>
      </c>
      <c r="I167" s="121"/>
      <c r="J167" s="112"/>
    </row>
    <row r="168" spans="1:10" ht="15" customHeight="1" x14ac:dyDescent="0.25">
      <c r="A168" s="125"/>
      <c r="B168" s="703" t="s">
        <v>33</v>
      </c>
      <c r="C168" s="704"/>
      <c r="D168" s="705"/>
      <c r="E168" s="127"/>
      <c r="F168" s="439">
        <f>F165-F167</f>
        <v>0</v>
      </c>
      <c r="G168" s="126"/>
      <c r="H168" s="439">
        <f>H165+H166+H167</f>
        <v>0</v>
      </c>
      <c r="I168" s="121"/>
      <c r="J168" s="112"/>
    </row>
    <row r="169" spans="1:10" ht="11.1" customHeight="1" x14ac:dyDescent="0.25">
      <c r="A169" s="120"/>
      <c r="B169" s="119"/>
      <c r="C169" s="119"/>
      <c r="D169" s="119"/>
      <c r="E169" s="119"/>
      <c r="F169" s="495"/>
      <c r="G169" s="118"/>
      <c r="H169" s="218"/>
      <c r="I169" s="116"/>
      <c r="J169" s="112"/>
    </row>
    <row r="170" spans="1:10" x14ac:dyDescent="0.25">
      <c r="A170" s="115"/>
      <c r="B170" s="112"/>
      <c r="C170" s="112"/>
      <c r="D170" s="112"/>
      <c r="E170" s="112"/>
      <c r="F170" s="496"/>
      <c r="G170" s="114"/>
      <c r="H170" s="431"/>
      <c r="I170" s="112"/>
      <c r="J170" s="112"/>
    </row>
    <row r="171" spans="1:10" x14ac:dyDescent="0.25">
      <c r="A171" s="697" t="s">
        <v>579</v>
      </c>
      <c r="B171" s="697"/>
      <c r="C171" s="697"/>
      <c r="D171" s="697"/>
      <c r="E171" s="124"/>
      <c r="F171" s="698" t="s">
        <v>1062</v>
      </c>
      <c r="G171" s="698"/>
      <c r="H171" s="698"/>
      <c r="I171" s="698"/>
    </row>
    <row r="172" spans="1:10" x14ac:dyDescent="0.25">
      <c r="A172" s="697" t="s">
        <v>678</v>
      </c>
      <c r="B172" s="697"/>
      <c r="C172" s="697"/>
      <c r="D172" s="697"/>
      <c r="E172" s="124"/>
      <c r="F172" s="698" t="s">
        <v>679</v>
      </c>
      <c r="G172" s="698"/>
      <c r="H172" s="698"/>
      <c r="I172" s="698"/>
    </row>
    <row r="173" spans="1:10" x14ac:dyDescent="0.25">
      <c r="A173" s="697"/>
      <c r="B173" s="697"/>
      <c r="C173" s="697"/>
      <c r="D173" s="697"/>
      <c r="E173" s="124"/>
      <c r="F173" s="698"/>
      <c r="G173" s="698"/>
      <c r="H173" s="698"/>
      <c r="I173" s="698"/>
    </row>
    <row r="174" spans="1:10" x14ac:dyDescent="0.25">
      <c r="A174" s="697"/>
      <c r="B174" s="697"/>
      <c r="C174" s="697"/>
      <c r="D174" s="697"/>
      <c r="E174" s="124"/>
      <c r="F174" s="698"/>
      <c r="G174" s="698"/>
      <c r="H174" s="698"/>
      <c r="I174" s="698"/>
    </row>
    <row r="175" spans="1:10" x14ac:dyDescent="0.25">
      <c r="A175" s="697" t="s">
        <v>1038</v>
      </c>
      <c r="B175" s="697"/>
      <c r="C175" s="697"/>
      <c r="D175" s="697"/>
      <c r="E175" s="124"/>
      <c r="F175" s="698" t="s">
        <v>1039</v>
      </c>
      <c r="G175" s="698"/>
      <c r="H175" s="698"/>
      <c r="I175" s="698"/>
    </row>
    <row r="178" spans="1:10" x14ac:dyDescent="0.25">
      <c r="A178" s="112" t="s">
        <v>581</v>
      </c>
      <c r="B178" s="112"/>
      <c r="C178" s="112"/>
      <c r="D178" s="112"/>
      <c r="E178" s="112"/>
      <c r="F178" s="431"/>
      <c r="G178" s="113"/>
      <c r="H178" s="431"/>
      <c r="I178" s="112"/>
      <c r="J178" s="112"/>
    </row>
    <row r="179" spans="1:10" x14ac:dyDescent="0.25">
      <c r="A179" s="112"/>
      <c r="B179" s="112"/>
      <c r="C179" s="112"/>
      <c r="D179" s="112"/>
      <c r="E179" s="112"/>
      <c r="F179" s="431"/>
      <c r="G179" s="113"/>
      <c r="H179" s="431"/>
      <c r="I179" s="112"/>
      <c r="J179" s="112"/>
    </row>
    <row r="180" spans="1:10" ht="20.25" x14ac:dyDescent="0.3">
      <c r="A180" s="141"/>
      <c r="B180" s="695" t="s">
        <v>650</v>
      </c>
      <c r="C180" s="695"/>
      <c r="D180" s="695"/>
      <c r="E180" s="695"/>
      <c r="F180" s="695"/>
      <c r="G180" s="695"/>
      <c r="H180" s="695"/>
      <c r="I180" s="140"/>
      <c r="J180" s="112"/>
    </row>
    <row r="181" spans="1:10" x14ac:dyDescent="0.25">
      <c r="A181" s="125"/>
      <c r="B181" s="696" t="s">
        <v>570</v>
      </c>
      <c r="C181" s="696"/>
      <c r="D181" s="696"/>
      <c r="E181" s="696"/>
      <c r="F181" s="696"/>
      <c r="G181" s="696"/>
      <c r="H181" s="696"/>
      <c r="I181" s="139"/>
      <c r="J181" s="112"/>
    </row>
    <row r="182" spans="1:10" x14ac:dyDescent="0.25">
      <c r="A182" s="125"/>
      <c r="B182" s="696" t="s">
        <v>1066</v>
      </c>
      <c r="C182" s="696"/>
      <c r="D182" s="696"/>
      <c r="E182" s="696"/>
      <c r="F182" s="696"/>
      <c r="G182" s="696"/>
      <c r="H182" s="696"/>
      <c r="I182" s="139"/>
      <c r="J182" s="112"/>
    </row>
    <row r="183" spans="1:10" ht="15.75" thickBot="1" x14ac:dyDescent="0.3">
      <c r="A183" s="125"/>
      <c r="B183" s="699" t="s">
        <v>0</v>
      </c>
      <c r="C183" s="699"/>
      <c r="D183" s="699"/>
      <c r="E183" s="699"/>
      <c r="F183" s="699"/>
      <c r="G183" s="699"/>
      <c r="H183" s="699"/>
      <c r="I183" s="139"/>
      <c r="J183" s="112"/>
    </row>
    <row r="184" spans="1:10" ht="15.75" thickTop="1" x14ac:dyDescent="0.25">
      <c r="A184" s="125"/>
      <c r="B184" s="112"/>
      <c r="C184" s="112"/>
      <c r="D184" s="112"/>
      <c r="E184" s="112"/>
      <c r="F184" s="431"/>
      <c r="G184" s="113"/>
      <c r="H184" s="431"/>
      <c r="I184" s="136"/>
      <c r="J184" s="112"/>
    </row>
    <row r="185" spans="1:10" x14ac:dyDescent="0.25">
      <c r="A185" s="125"/>
      <c r="B185" s="700" t="s">
        <v>30</v>
      </c>
      <c r="C185" s="701"/>
      <c r="D185" s="702"/>
      <c r="E185" s="138"/>
      <c r="F185" s="432" t="s">
        <v>1051</v>
      </c>
      <c r="G185" s="137"/>
      <c r="H185" s="432" t="s">
        <v>861</v>
      </c>
      <c r="I185" s="136"/>
      <c r="J185" s="112"/>
    </row>
    <row r="186" spans="1:10" ht="12" customHeight="1" x14ac:dyDescent="0.25">
      <c r="A186" s="125"/>
      <c r="B186" s="112"/>
      <c r="C186" s="112"/>
      <c r="D186" s="112"/>
      <c r="E186" s="112"/>
      <c r="F186" s="431"/>
      <c r="G186" s="113"/>
      <c r="H186" s="431"/>
      <c r="I186" s="136"/>
      <c r="J186" s="112"/>
    </row>
    <row r="187" spans="1:10" ht="12" customHeight="1" x14ac:dyDescent="0.25">
      <c r="A187" s="125"/>
      <c r="B187" s="142" t="s">
        <v>1</v>
      </c>
      <c r="C187" s="142"/>
      <c r="D187" s="142"/>
      <c r="E187" s="142"/>
      <c r="F187" s="494"/>
      <c r="G187" s="143"/>
      <c r="H187" s="494"/>
      <c r="I187" s="135"/>
      <c r="J187" s="112"/>
    </row>
    <row r="188" spans="1:10" ht="12" customHeight="1" x14ac:dyDescent="0.25">
      <c r="A188" s="125"/>
      <c r="B188" s="142"/>
      <c r="C188" s="130" t="s">
        <v>2</v>
      </c>
      <c r="D188" s="130"/>
      <c r="E188" s="130"/>
      <c r="F188" s="435"/>
      <c r="G188" s="129"/>
      <c r="H188" s="436"/>
      <c r="I188" s="121"/>
      <c r="J188" s="112"/>
    </row>
    <row r="189" spans="1:10" ht="12" customHeight="1" x14ac:dyDescent="0.25">
      <c r="A189" s="125"/>
      <c r="B189" s="142"/>
      <c r="C189" s="130"/>
      <c r="D189" s="142" t="s">
        <v>303</v>
      </c>
      <c r="E189" s="130"/>
      <c r="F189" s="494">
        <v>0</v>
      </c>
      <c r="G189" s="143"/>
      <c r="H189" s="661">
        <v>0</v>
      </c>
      <c r="I189" s="121"/>
      <c r="J189" s="112"/>
    </row>
    <row r="190" spans="1:10" ht="12" customHeight="1" x14ac:dyDescent="0.25">
      <c r="A190" s="125"/>
      <c r="B190" s="142"/>
      <c r="C190" s="130"/>
      <c r="D190" s="142" t="s">
        <v>304</v>
      </c>
      <c r="E190" s="130"/>
      <c r="F190" s="494">
        <v>0</v>
      </c>
      <c r="G190" s="143"/>
      <c r="H190" s="661">
        <v>0</v>
      </c>
      <c r="I190" s="121"/>
      <c r="J190" s="112"/>
    </row>
    <row r="191" spans="1:10" ht="12" customHeight="1" x14ac:dyDescent="0.25">
      <c r="A191" s="125"/>
      <c r="B191" s="142"/>
      <c r="C191" s="130"/>
      <c r="D191" s="142" t="s">
        <v>562</v>
      </c>
      <c r="E191" s="130"/>
      <c r="F191" s="494">
        <v>0</v>
      </c>
      <c r="G191" s="143"/>
      <c r="H191" s="661">
        <v>0</v>
      </c>
      <c r="I191" s="121"/>
      <c r="J191" s="112"/>
    </row>
    <row r="192" spans="1:10" ht="12.95" customHeight="1" x14ac:dyDescent="0.25">
      <c r="A192" s="125"/>
      <c r="B192" s="142"/>
      <c r="C192" s="130"/>
      <c r="D192" s="127" t="s">
        <v>305</v>
      </c>
      <c r="E192" s="130"/>
      <c r="F192" s="435">
        <f>SUM(F189:F191)</f>
        <v>0</v>
      </c>
      <c r="G192" s="129"/>
      <c r="H192" s="435">
        <f>SUM(H189:H191)</f>
        <v>0</v>
      </c>
      <c r="I192" s="121"/>
      <c r="J192" s="112"/>
    </row>
    <row r="193" spans="1:10" ht="12" customHeight="1" x14ac:dyDescent="0.25">
      <c r="A193" s="125"/>
      <c r="B193" s="142"/>
      <c r="C193" s="130" t="s">
        <v>3</v>
      </c>
      <c r="D193" s="142"/>
      <c r="E193" s="142"/>
      <c r="F193" s="494"/>
      <c r="G193" s="143"/>
      <c r="H193" s="437"/>
      <c r="I193" s="121"/>
      <c r="J193" s="112"/>
    </row>
    <row r="194" spans="1:10" ht="12" customHeight="1" x14ac:dyDescent="0.25">
      <c r="A194" s="125"/>
      <c r="B194" s="142"/>
      <c r="C194" s="142"/>
      <c r="D194" s="142" t="s">
        <v>229</v>
      </c>
      <c r="E194" s="142"/>
      <c r="F194" s="494">
        <v>0</v>
      </c>
      <c r="G194" s="143"/>
      <c r="H194" s="661">
        <v>0</v>
      </c>
      <c r="I194" s="121"/>
      <c r="J194" s="112"/>
    </row>
    <row r="195" spans="1:10" ht="12" customHeight="1" x14ac:dyDescent="0.25">
      <c r="A195" s="125"/>
      <c r="B195" s="142"/>
      <c r="C195" s="142"/>
      <c r="D195" s="142" t="s">
        <v>232</v>
      </c>
      <c r="E195" s="142"/>
      <c r="F195" s="494">
        <f>'[1]81.02-81.03'!$F$37</f>
        <v>0</v>
      </c>
      <c r="G195" s="143"/>
      <c r="H195" s="661"/>
      <c r="I195" s="121"/>
      <c r="J195" s="112"/>
    </row>
    <row r="196" spans="1:10" ht="12" customHeight="1" x14ac:dyDescent="0.25">
      <c r="A196" s="125"/>
      <c r="B196" s="142"/>
      <c r="C196" s="142"/>
      <c r="D196" s="142" t="s">
        <v>230</v>
      </c>
      <c r="E196" s="142"/>
      <c r="F196" s="494">
        <v>0</v>
      </c>
      <c r="G196" s="143"/>
      <c r="H196" s="661">
        <v>0</v>
      </c>
      <c r="I196" s="121"/>
      <c r="J196" s="112"/>
    </row>
    <row r="197" spans="1:10" ht="12" customHeight="1" x14ac:dyDescent="0.25">
      <c r="A197" s="125"/>
      <c r="B197" s="142"/>
      <c r="C197" s="142"/>
      <c r="D197" s="142" t="s">
        <v>322</v>
      </c>
      <c r="E197" s="142"/>
      <c r="F197" s="494">
        <f>'[1]81.02-81.03'!$F$78</f>
        <v>0</v>
      </c>
      <c r="G197" s="143"/>
      <c r="H197" s="661"/>
      <c r="I197" s="121"/>
      <c r="J197" s="112"/>
    </row>
    <row r="198" spans="1:10" ht="12" customHeight="1" x14ac:dyDescent="0.25">
      <c r="A198" s="125"/>
      <c r="B198" s="142"/>
      <c r="C198" s="142"/>
      <c r="D198" s="142" t="s">
        <v>323</v>
      </c>
      <c r="E198" s="142"/>
      <c r="F198" s="494">
        <f>'[1]81.02-81.03'!$F$95</f>
        <v>0</v>
      </c>
      <c r="G198" s="143"/>
      <c r="H198" s="661">
        <v>0</v>
      </c>
      <c r="I198" s="121"/>
      <c r="J198" s="112"/>
    </row>
    <row r="199" spans="1:10" ht="12" customHeight="1" x14ac:dyDescent="0.25">
      <c r="A199" s="125"/>
      <c r="B199" s="142"/>
      <c r="C199" s="142"/>
      <c r="D199" s="142" t="s">
        <v>324</v>
      </c>
      <c r="E199" s="142"/>
      <c r="F199" s="494">
        <f>'[1]81.02-81.03'!$F$118</f>
        <v>0</v>
      </c>
      <c r="G199" s="143"/>
      <c r="H199" s="661">
        <v>0</v>
      </c>
      <c r="I199" s="121"/>
      <c r="J199" s="112"/>
    </row>
    <row r="200" spans="1:10" ht="12.95" customHeight="1" x14ac:dyDescent="0.25">
      <c r="A200" s="125"/>
      <c r="B200" s="142"/>
      <c r="C200" s="130"/>
      <c r="D200" s="127" t="s">
        <v>279</v>
      </c>
      <c r="E200" s="130"/>
      <c r="F200" s="435">
        <f>SUM(F194:F199)</f>
        <v>0</v>
      </c>
      <c r="G200" s="129">
        <f t="shared" ref="G200:H200" si="3">SUM(G194:G199)</f>
        <v>0</v>
      </c>
      <c r="H200" s="435">
        <f t="shared" si="3"/>
        <v>0</v>
      </c>
      <c r="I200" s="121"/>
      <c r="J200" s="112"/>
    </row>
    <row r="201" spans="1:10" ht="12.95" customHeight="1" thickBot="1" x14ac:dyDescent="0.3">
      <c r="A201" s="125"/>
      <c r="B201" s="694" t="s">
        <v>4</v>
      </c>
      <c r="C201" s="694"/>
      <c r="D201" s="694"/>
      <c r="E201" s="666" t="e">
        <f>#REF!+E200+E188</f>
        <v>#REF!</v>
      </c>
      <c r="F201" s="662">
        <f>F200+F192</f>
        <v>0</v>
      </c>
      <c r="G201" s="663"/>
      <c r="H201" s="664">
        <f>H200+H192</f>
        <v>0</v>
      </c>
      <c r="I201" s="121"/>
      <c r="J201" s="112"/>
    </row>
    <row r="202" spans="1:10" ht="12" customHeight="1" thickTop="1" x14ac:dyDescent="0.25">
      <c r="A202" s="125"/>
      <c r="B202" s="130" t="s">
        <v>289</v>
      </c>
      <c r="C202" s="142"/>
      <c r="D202" s="142"/>
      <c r="E202" s="142"/>
      <c r="F202" s="494"/>
      <c r="G202" s="143"/>
      <c r="H202" s="437"/>
      <c r="I202" s="121"/>
      <c r="J202" s="112"/>
    </row>
    <row r="203" spans="1:10" ht="12" customHeight="1" x14ac:dyDescent="0.25">
      <c r="A203" s="125"/>
      <c r="B203" s="142"/>
      <c r="C203" s="142" t="s">
        <v>74</v>
      </c>
      <c r="D203" s="142"/>
      <c r="E203" s="142"/>
      <c r="F203" s="216">
        <f>'RINCIAN B. LANGSUNG USAHA'!E37+'RINCIAN B. LANGSUNG USAHA'!E44+'RINCIAN B. LANGSUNG USAHA'!E50+'RINCIAN B. LANGSUNG USAHA'!E51+'RINCIAN B. LANGSUNG USAHA'!E52+'RINCIAN B. LANGSUNG USAHA'!E73+'RINCIAN B. LANGSUNG USAHA'!E77+'RINCIAN B. LANGSUNG USAHA'!E83+'RINCIAN B. LANGSUNG USAHA'!E84+'RINCIAN B. LANGSUNG USAHA'!E85+'RINCIAN B. TDK LANGSUNG'!E29-'RINCIAN B. TDK LANGSUNG'!E28+'RINCIAN B. TDK LANGSUNG'!E63+'RINCIAN B. LANGSUNG USAHA'!F37+'RINCIAN B. LANGSUNG USAHA'!F44+'RINCIAN B. LANGSUNG USAHA'!F50+'RINCIAN B. LANGSUNG USAHA'!F51+'RINCIAN B. LANGSUNG USAHA'!F52+'RINCIAN B. LANGSUNG USAHA'!F73+'RINCIAN B. LANGSUNG USAHA'!F77+'RINCIAN B. LANGSUNG USAHA'!F83+'RINCIAN B. LANGSUNG USAHA'!F84+'RINCIAN B. LANGSUNG USAHA'!F85+'RINCIAN B. TDK LANGSUNG'!F29-'RINCIAN B. TDK LANGSUNG'!F28+'RINCIAN B. TDK LANGSUNG'!F63</f>
        <v>0</v>
      </c>
      <c r="G203" s="143"/>
      <c r="H203" s="437">
        <v>0</v>
      </c>
      <c r="I203" s="121"/>
      <c r="J203" s="112"/>
    </row>
    <row r="204" spans="1:10" ht="12" customHeight="1" x14ac:dyDescent="0.25">
      <c r="A204" s="125"/>
      <c r="B204" s="142"/>
      <c r="C204" s="142" t="s">
        <v>77</v>
      </c>
      <c r="D204" s="142"/>
      <c r="E204" s="142"/>
      <c r="F204" s="494">
        <f>'RINCIAN B. LANGSUNG USAHA'!E19+'RINCIAN B. LANGSUNG USAHA'!F19</f>
        <v>0</v>
      </c>
      <c r="G204" s="143"/>
      <c r="H204" s="437">
        <v>0</v>
      </c>
      <c r="I204" s="121"/>
      <c r="J204" s="112"/>
    </row>
    <row r="205" spans="1:10" ht="12" customHeight="1" x14ac:dyDescent="0.25">
      <c r="A205" s="125"/>
      <c r="B205" s="142"/>
      <c r="C205" s="142" t="s">
        <v>563</v>
      </c>
      <c r="D205" s="142"/>
      <c r="E205" s="142"/>
      <c r="F205" s="494">
        <f>'RINCIAN B. LANGSUNG USAHA'!E53+'RINCIAN B. LANGSUNG USAHA'!F53</f>
        <v>0</v>
      </c>
      <c r="G205" s="143"/>
      <c r="H205" s="437">
        <v>0</v>
      </c>
      <c r="I205" s="121"/>
      <c r="J205" s="112"/>
    </row>
    <row r="206" spans="1:10" ht="12" customHeight="1" x14ac:dyDescent="0.25">
      <c r="A206" s="125"/>
      <c r="B206" s="142"/>
      <c r="C206" s="142" t="s">
        <v>306</v>
      </c>
      <c r="D206" s="142"/>
      <c r="E206" s="142"/>
      <c r="F206" s="494">
        <f>'RINCIAN B. TDK LANGSUNG'!E49+'RINCIAN B. TDK LANGSUNG'!F49</f>
        <v>0</v>
      </c>
      <c r="G206" s="143"/>
      <c r="H206" s="437">
        <v>0</v>
      </c>
      <c r="I206" s="121"/>
      <c r="J206" s="112"/>
    </row>
    <row r="207" spans="1:10" ht="12" customHeight="1" x14ac:dyDescent="0.25">
      <c r="A207" s="125"/>
      <c r="B207" s="142"/>
      <c r="C207" s="142" t="s">
        <v>80</v>
      </c>
      <c r="D207" s="142"/>
      <c r="E207" s="142"/>
      <c r="F207" s="494">
        <f>'RINCIAN B. LANGSUNG USAHA'!E30+'RINCIAN B. LANGSUNG USAHA'!E66+'RINCIAN B. LANGSUNG USAHA'!E97+'RINCIAN B. TDK LANGSUNG'!E59+'RINCIAN B. LANGSUNG USAHA'!F30+'RINCIAN B. LANGSUNG USAHA'!F66+'RINCIAN B. LANGSUNG USAHA'!F97+'RINCIAN B. TDK LANGSUNG'!F59</f>
        <v>0</v>
      </c>
      <c r="G207" s="143"/>
      <c r="H207" s="437">
        <v>0</v>
      </c>
      <c r="I207" s="121"/>
      <c r="J207" s="112"/>
    </row>
    <row r="208" spans="1:10" ht="12" customHeight="1" x14ac:dyDescent="0.25">
      <c r="A208" s="125"/>
      <c r="B208" s="142"/>
      <c r="C208" s="142" t="s">
        <v>642</v>
      </c>
      <c r="D208" s="142"/>
      <c r="E208" s="142"/>
      <c r="F208" s="494">
        <f>'RINCIAN B. TDK LANGSUNG'!E76+'RINCIAN B. TDK LANGSUNG'!F76</f>
        <v>0</v>
      </c>
      <c r="G208" s="143"/>
      <c r="H208" s="437">
        <v>0</v>
      </c>
      <c r="I208" s="121"/>
      <c r="J208" s="112"/>
    </row>
    <row r="209" spans="1:10" ht="12" customHeight="1" x14ac:dyDescent="0.25">
      <c r="A209" s="125"/>
      <c r="B209" s="142"/>
      <c r="C209" s="142" t="s">
        <v>627</v>
      </c>
      <c r="D209" s="142"/>
      <c r="E209" s="142"/>
      <c r="F209" s="494">
        <f>'RINCIAN B. LANGSUNG USAHA'!E33+'RINCIAN B. LANGSUNG USAHA'!E68+'RINCIAN B. LANGSUNG USAHA'!E99+'RINCIAN B. TDK LANGSUNG'!E78+'RINCIAN B. LANGSUNG USAHA'!F33+'RINCIAN B. LANGSUNG USAHA'!F68+'RINCIAN B. LANGSUNG USAHA'!F99+'RINCIAN B. TDK LANGSUNG'!F78</f>
        <v>0</v>
      </c>
      <c r="G209" s="143"/>
      <c r="H209" s="437">
        <v>0</v>
      </c>
      <c r="I209" s="121"/>
      <c r="J209" s="112"/>
    </row>
    <row r="210" spans="1:10" ht="12" customHeight="1" x14ac:dyDescent="0.25">
      <c r="A210" s="125"/>
      <c r="B210" s="142"/>
      <c r="C210" s="142" t="s">
        <v>624</v>
      </c>
      <c r="D210" s="142"/>
      <c r="E210" s="142"/>
      <c r="F210" s="494">
        <f>'RINCIAN B. TDK LANGSUNG'!E79+'RINCIAN B. TDK LANGSUNG'!F79</f>
        <v>0</v>
      </c>
      <c r="G210" s="143"/>
      <c r="H210" s="437">
        <v>0</v>
      </c>
      <c r="I210" s="121"/>
      <c r="J210" s="112"/>
    </row>
    <row r="211" spans="1:10" ht="12" customHeight="1" x14ac:dyDescent="0.25">
      <c r="A211" s="125"/>
      <c r="B211" s="142"/>
      <c r="C211" s="142" t="s">
        <v>625</v>
      </c>
      <c r="D211" s="142"/>
      <c r="E211" s="142"/>
      <c r="F211" s="494">
        <f>'RINCIAN B. TDK LANGSUNG'!E62+'RINCIAN B. TDK LANGSUNG'!F62</f>
        <v>0</v>
      </c>
      <c r="G211" s="143"/>
      <c r="H211" s="437">
        <v>0</v>
      </c>
      <c r="I211" s="121"/>
      <c r="J211" s="112"/>
    </row>
    <row r="212" spans="1:10" ht="12" customHeight="1" x14ac:dyDescent="0.25">
      <c r="A212" s="125"/>
      <c r="B212" s="142"/>
      <c r="C212" s="142" t="s">
        <v>79</v>
      </c>
      <c r="D212" s="142"/>
      <c r="E212" s="142"/>
      <c r="F212" s="494">
        <f>'RINCIAN B. LANGSUNG USAHA'!E20+'RINCIAN B. LANGSUNG USAHA'!E58+'RINCIAN B. LANGSUNG USAHA'!E86+'RINCIAN B. LANGSUNG USAHA'!F20+'RINCIAN B. LANGSUNG USAHA'!F58+'RINCIAN B. LANGSUNG USAHA'!F86</f>
        <v>0</v>
      </c>
      <c r="G212" s="143"/>
      <c r="H212" s="437">
        <v>0</v>
      </c>
      <c r="I212" s="121"/>
      <c r="J212" s="112"/>
    </row>
    <row r="213" spans="1:10" ht="12" customHeight="1" x14ac:dyDescent="0.25">
      <c r="A213" s="125"/>
      <c r="B213" s="142"/>
      <c r="C213" s="142" t="s">
        <v>564</v>
      </c>
      <c r="D213" s="142"/>
      <c r="E213" s="142"/>
      <c r="F213" s="494">
        <f>'RINCIAN B. LANGSUNG USAHA'!E18+'RINCIAN B. LANGSUNG USAHA'!E87+'RINCIAN B. LANGSUNG USAHA'!F18+'RINCIAN B. LANGSUNG USAHA'!F87</f>
        <v>0</v>
      </c>
      <c r="G213" s="143"/>
      <c r="H213" s="437">
        <v>0</v>
      </c>
      <c r="I213" s="121"/>
      <c r="J213" s="112"/>
    </row>
    <row r="214" spans="1:10" ht="12" customHeight="1" x14ac:dyDescent="0.25">
      <c r="A214" s="125"/>
      <c r="B214" s="142"/>
      <c r="C214" s="142" t="s">
        <v>75</v>
      </c>
      <c r="D214" s="142"/>
      <c r="E214" s="142"/>
      <c r="F214" s="494">
        <f>'RINCIAN B. TDK LANGSUNG'!E44+'RINCIAN B. TDK LANGSUNG'!F44</f>
        <v>0</v>
      </c>
      <c r="G214" s="143"/>
      <c r="H214" s="437">
        <v>0</v>
      </c>
      <c r="I214" s="121"/>
      <c r="J214" s="112"/>
    </row>
    <row r="215" spans="1:10" ht="12" customHeight="1" x14ac:dyDescent="0.25">
      <c r="A215" s="125"/>
      <c r="B215" s="142"/>
      <c r="C215" s="142" t="s">
        <v>565</v>
      </c>
      <c r="D215" s="142"/>
      <c r="E215" s="142"/>
      <c r="F215" s="494">
        <f>'RINCIAN B. TDK LANGSUNG'!E117+'RINCIAN B. TDK LANGSUNG'!F117</f>
        <v>0</v>
      </c>
      <c r="G215" s="143"/>
      <c r="H215" s="437">
        <v>0</v>
      </c>
      <c r="I215" s="121"/>
      <c r="J215" s="112"/>
    </row>
    <row r="216" spans="1:10" ht="12" customHeight="1" x14ac:dyDescent="0.25">
      <c r="A216" s="125"/>
      <c r="B216" s="142"/>
      <c r="C216" s="142" t="s">
        <v>626</v>
      </c>
      <c r="D216" s="142"/>
      <c r="E216" s="142"/>
      <c r="F216" s="494">
        <f>'RINCIAN B. LANGSUNG USAHA'!E31+'RINCIAN B. LANGSUNG USAHA'!F31</f>
        <v>0</v>
      </c>
      <c r="G216" s="143"/>
      <c r="H216" s="437">
        <v>0</v>
      </c>
      <c r="I216" s="121"/>
      <c r="J216" s="112"/>
    </row>
    <row r="217" spans="1:10" ht="12" customHeight="1" x14ac:dyDescent="0.25">
      <c r="A217" s="125"/>
      <c r="B217" s="142"/>
      <c r="C217" s="142" t="s">
        <v>646</v>
      </c>
      <c r="D217" s="142"/>
      <c r="E217" s="142"/>
      <c r="F217" s="494">
        <f>'RINCIAN B. TDK LANGSUNG'!E28+'RINCIAN B. TDK LANGSUNG'!F28</f>
        <v>0</v>
      </c>
      <c r="G217" s="143"/>
      <c r="H217" s="437">
        <v>0</v>
      </c>
      <c r="I217" s="121"/>
      <c r="J217" s="112"/>
    </row>
    <row r="218" spans="1:10" ht="12" customHeight="1" x14ac:dyDescent="0.25">
      <c r="A218" s="125"/>
      <c r="B218" s="142"/>
      <c r="C218" s="142" t="s">
        <v>82</v>
      </c>
      <c r="D218" s="142"/>
      <c r="E218" s="142"/>
      <c r="F218" s="494">
        <f>'RINCIAN B. LANGSUNG USAHA'!E21+'RINCIAN B. LANGSUNG USAHA'!E59+'RINCIAN B. LANGSUNG USAHA'!E88+'RINCIAN B. TDK LANGSUNG'!E75-'RINCIAN B. TDK LANGSUNG'!E63-'RINCIAN B. TDK LANGSUNG'!E62+'RINCIAN B. LANGSUNG USAHA'!F21+'RINCIAN B. LANGSUNG USAHA'!F59+'RINCIAN B. LANGSUNG USAHA'!F88+'RINCIAN B. TDK LANGSUNG'!F75-'RINCIAN B. TDK LANGSUNG'!F63-'RINCIAN B. TDK LANGSUNG'!F62</f>
        <v>0</v>
      </c>
      <c r="G218" s="143"/>
      <c r="H218" s="437">
        <v>0</v>
      </c>
      <c r="I218" s="121"/>
      <c r="J218" s="112"/>
    </row>
    <row r="219" spans="1:10" ht="12" customHeight="1" x14ac:dyDescent="0.25">
      <c r="A219" s="125"/>
      <c r="B219" s="142"/>
      <c r="C219" s="142" t="s">
        <v>860</v>
      </c>
      <c r="D219" s="142"/>
      <c r="E219" s="142"/>
      <c r="F219" s="494">
        <f>'RINCIAN B. LANGSUNG USAHA'!E101+'RINCIAN B. LANGSUNG USAHA'!F101</f>
        <v>0</v>
      </c>
      <c r="G219" s="143"/>
      <c r="H219" s="437">
        <v>0</v>
      </c>
      <c r="I219" s="121"/>
      <c r="J219" s="112"/>
    </row>
    <row r="220" spans="1:10" ht="12.95" customHeight="1" thickBot="1" x14ac:dyDescent="0.3">
      <c r="A220" s="125"/>
      <c r="B220" s="694" t="s">
        <v>288</v>
      </c>
      <c r="C220" s="694"/>
      <c r="D220" s="694"/>
      <c r="E220" s="142"/>
      <c r="F220" s="665">
        <f>SUM(F203:F219)</f>
        <v>0</v>
      </c>
      <c r="G220" s="129"/>
      <c r="H220" s="664">
        <f>SUM(H203:H219)</f>
        <v>0</v>
      </c>
      <c r="I220" s="121"/>
      <c r="J220" s="112"/>
    </row>
    <row r="221" spans="1:10" ht="12.95" customHeight="1" thickTop="1" x14ac:dyDescent="0.25">
      <c r="A221" s="125"/>
      <c r="B221" s="142"/>
      <c r="C221" s="130" t="s">
        <v>83</v>
      </c>
      <c r="D221" s="142"/>
      <c r="E221" s="142"/>
      <c r="F221" s="435">
        <f>F201-F220</f>
        <v>0</v>
      </c>
      <c r="G221" s="143"/>
      <c r="H221" s="435">
        <f>H201-H220</f>
        <v>0</v>
      </c>
      <c r="I221" s="121"/>
      <c r="J221" s="112"/>
    </row>
    <row r="222" spans="1:10" ht="12" customHeight="1" x14ac:dyDescent="0.25">
      <c r="A222" s="125"/>
      <c r="B222" s="142" t="s">
        <v>287</v>
      </c>
      <c r="C222" s="130"/>
      <c r="D222" s="142"/>
      <c r="E222" s="142"/>
      <c r="F222" s="435"/>
      <c r="G222" s="143"/>
      <c r="H222" s="436"/>
      <c r="I222" s="121"/>
      <c r="J222" s="112"/>
    </row>
    <row r="223" spans="1:10" ht="12" customHeight="1" x14ac:dyDescent="0.25">
      <c r="A223" s="125"/>
      <c r="B223" s="142"/>
      <c r="C223" s="142" t="s">
        <v>310</v>
      </c>
      <c r="D223" s="142"/>
      <c r="E223" s="142"/>
      <c r="F223" s="494">
        <f>'[1]88.00'!$E$80</f>
        <v>0</v>
      </c>
      <c r="G223" s="143"/>
      <c r="H223" s="437">
        <v>0</v>
      </c>
      <c r="I223" s="121"/>
      <c r="J223" s="112"/>
    </row>
    <row r="224" spans="1:10" ht="12" customHeight="1" x14ac:dyDescent="0.25">
      <c r="A224" s="125"/>
      <c r="B224" s="142"/>
      <c r="C224" s="142" t="s">
        <v>309</v>
      </c>
      <c r="D224" s="142"/>
      <c r="E224" s="142"/>
      <c r="F224" s="494">
        <v>0</v>
      </c>
      <c r="G224" s="143"/>
      <c r="H224" s="437">
        <v>0</v>
      </c>
      <c r="I224" s="121"/>
      <c r="J224" s="112"/>
    </row>
    <row r="225" spans="1:10" ht="12" customHeight="1" x14ac:dyDescent="0.25">
      <c r="A225" s="125"/>
      <c r="B225" s="142"/>
      <c r="C225" s="142" t="s">
        <v>308</v>
      </c>
      <c r="D225" s="142"/>
      <c r="E225" s="142"/>
      <c r="F225" s="494">
        <v>0</v>
      </c>
      <c r="G225" s="143"/>
      <c r="H225" s="437">
        <v>0</v>
      </c>
      <c r="I225" s="121"/>
      <c r="J225" s="112"/>
    </row>
    <row r="226" spans="1:10" ht="12" customHeight="1" x14ac:dyDescent="0.25">
      <c r="A226" s="125"/>
      <c r="B226" s="142"/>
      <c r="C226" s="142" t="s">
        <v>276</v>
      </c>
      <c r="D226" s="142"/>
      <c r="E226" s="142"/>
      <c r="F226" s="494">
        <f>'[1]88.00'!$F$105</f>
        <v>0</v>
      </c>
      <c r="G226" s="143"/>
      <c r="H226" s="437">
        <v>0</v>
      </c>
      <c r="I226" s="121"/>
      <c r="J226" s="112"/>
    </row>
    <row r="227" spans="1:10" ht="12" customHeight="1" x14ac:dyDescent="0.25">
      <c r="A227" s="125"/>
      <c r="B227" s="142"/>
      <c r="C227" s="142" t="s">
        <v>286</v>
      </c>
      <c r="D227" s="142"/>
      <c r="E227" s="142"/>
      <c r="F227" s="494">
        <f>-SUM('B. NON OPERASIONAL'!C12:D12)</f>
        <v>0</v>
      </c>
      <c r="G227" s="143"/>
      <c r="H227" s="437">
        <v>0</v>
      </c>
      <c r="I227" s="121"/>
      <c r="J227" s="112"/>
    </row>
    <row r="228" spans="1:10" ht="12.95" customHeight="1" x14ac:dyDescent="0.25">
      <c r="A228" s="125"/>
      <c r="B228" s="694" t="s">
        <v>285</v>
      </c>
      <c r="C228" s="694"/>
      <c r="D228" s="694"/>
      <c r="E228" s="142"/>
      <c r="F228" s="438">
        <f>SUM(F223:F227)</f>
        <v>0</v>
      </c>
      <c r="G228" s="129"/>
      <c r="H228" s="438">
        <f>SUM(H223:H227)</f>
        <v>0</v>
      </c>
      <c r="I228" s="121"/>
      <c r="J228" s="112"/>
    </row>
    <row r="229" spans="1:10" ht="12.95" customHeight="1" x14ac:dyDescent="0.25">
      <c r="A229" s="125"/>
      <c r="B229" s="130" t="s">
        <v>284</v>
      </c>
      <c r="C229" s="130"/>
      <c r="D229" s="142"/>
      <c r="E229" s="142"/>
      <c r="F229" s="435">
        <f>F221+F228</f>
        <v>0</v>
      </c>
      <c r="G229" s="129"/>
      <c r="H229" s="435">
        <f>H221+H228</f>
        <v>0</v>
      </c>
      <c r="I229" s="121"/>
      <c r="J229" s="112"/>
    </row>
    <row r="230" spans="1:10" ht="12" customHeight="1" x14ac:dyDescent="0.25">
      <c r="A230" s="125"/>
      <c r="B230" s="130" t="s">
        <v>283</v>
      </c>
      <c r="C230" s="130"/>
      <c r="D230" s="142"/>
      <c r="E230" s="142"/>
      <c r="F230" s="435">
        <v>0</v>
      </c>
      <c r="G230" s="129"/>
      <c r="H230" s="435">
        <v>0</v>
      </c>
      <c r="I230" s="121"/>
      <c r="J230" s="112"/>
    </row>
    <row r="231" spans="1:10" ht="12" customHeight="1" x14ac:dyDescent="0.25">
      <c r="A231" s="125"/>
      <c r="B231" s="130" t="s">
        <v>1086</v>
      </c>
      <c r="C231" s="142"/>
      <c r="D231" s="142"/>
      <c r="E231" s="142"/>
      <c r="F231" s="435">
        <v>0</v>
      </c>
      <c r="G231" s="143"/>
      <c r="H231" s="436">
        <v>0</v>
      </c>
      <c r="I231" s="121"/>
      <c r="J231" s="112"/>
    </row>
    <row r="232" spans="1:10" ht="12.95" customHeight="1" x14ac:dyDescent="0.25">
      <c r="A232" s="125"/>
      <c r="B232" s="703" t="s">
        <v>33</v>
      </c>
      <c r="C232" s="704"/>
      <c r="D232" s="705"/>
      <c r="E232" s="127"/>
      <c r="F232" s="439">
        <f>F229-F231</f>
        <v>0</v>
      </c>
      <c r="G232" s="126"/>
      <c r="H232" s="439">
        <f>H229+H230+H231</f>
        <v>0</v>
      </c>
      <c r="I232" s="121"/>
      <c r="J232" s="112"/>
    </row>
    <row r="233" spans="1:10" ht="12" customHeight="1" x14ac:dyDescent="0.25">
      <c r="A233" s="120"/>
      <c r="B233" s="119"/>
      <c r="C233" s="119"/>
      <c r="D233" s="119"/>
      <c r="E233" s="119"/>
      <c r="F233" s="495"/>
      <c r="G233" s="118"/>
      <c r="H233" s="218"/>
      <c r="I233" s="116"/>
      <c r="J233" s="112"/>
    </row>
    <row r="234" spans="1:10" x14ac:dyDescent="0.25">
      <c r="A234" s="115"/>
      <c r="B234" s="112"/>
      <c r="C234" s="112"/>
      <c r="D234" s="112"/>
      <c r="E234" s="112"/>
      <c r="F234" s="496"/>
      <c r="G234" s="114"/>
      <c r="H234" s="431"/>
      <c r="I234" s="112"/>
      <c r="J234" s="112"/>
    </row>
    <row r="235" spans="1:10" x14ac:dyDescent="0.25">
      <c r="A235" s="697" t="s">
        <v>579</v>
      </c>
      <c r="B235" s="697"/>
      <c r="C235" s="697"/>
      <c r="D235" s="697"/>
      <c r="E235" s="124"/>
      <c r="F235" s="698" t="s">
        <v>1062</v>
      </c>
      <c r="G235" s="698"/>
      <c r="H235" s="698"/>
      <c r="I235" s="698"/>
    </row>
    <row r="236" spans="1:10" x14ac:dyDescent="0.25">
      <c r="A236" s="697" t="s">
        <v>678</v>
      </c>
      <c r="B236" s="697"/>
      <c r="C236" s="697"/>
      <c r="D236" s="697"/>
      <c r="E236" s="124"/>
      <c r="F236" s="698" t="s">
        <v>679</v>
      </c>
      <c r="G236" s="698"/>
      <c r="H236" s="698"/>
      <c r="I236" s="698"/>
    </row>
    <row r="237" spans="1:10" x14ac:dyDescent="0.25">
      <c r="A237" s="697"/>
      <c r="B237" s="697"/>
      <c r="C237" s="697"/>
      <c r="D237" s="697"/>
      <c r="E237" s="124"/>
      <c r="F237" s="698"/>
      <c r="G237" s="698"/>
      <c r="H237" s="698"/>
      <c r="I237" s="698"/>
    </row>
    <row r="238" spans="1:10" x14ac:dyDescent="0.25">
      <c r="A238" s="697"/>
      <c r="B238" s="697"/>
      <c r="C238" s="697"/>
      <c r="D238" s="697"/>
      <c r="E238" s="124"/>
      <c r="F238" s="698"/>
      <c r="G238" s="698"/>
      <c r="H238" s="698"/>
      <c r="I238" s="698"/>
    </row>
    <row r="239" spans="1:10" x14ac:dyDescent="0.25">
      <c r="A239" s="697" t="s">
        <v>1038</v>
      </c>
      <c r="B239" s="697"/>
      <c r="C239" s="697"/>
      <c r="D239" s="697"/>
      <c r="E239" s="124"/>
      <c r="F239" s="698" t="s">
        <v>1039</v>
      </c>
      <c r="G239" s="698"/>
      <c r="H239" s="698"/>
      <c r="I239" s="698"/>
    </row>
    <row r="243" spans="1:9" x14ac:dyDescent="0.25">
      <c r="A243" s="112" t="s">
        <v>581</v>
      </c>
      <c r="B243" s="112"/>
      <c r="C243" s="112"/>
      <c r="D243" s="112"/>
      <c r="E243" s="112"/>
      <c r="F243" s="431"/>
      <c r="G243" s="113"/>
      <c r="H243" s="431"/>
      <c r="I243" s="112"/>
    </row>
    <row r="244" spans="1:9" x14ac:dyDescent="0.25">
      <c r="A244" s="112"/>
      <c r="B244" s="112"/>
      <c r="C244" s="112"/>
      <c r="D244" s="112"/>
      <c r="E244" s="112"/>
      <c r="F244" s="431"/>
      <c r="G244" s="113"/>
      <c r="H244" s="431"/>
      <c r="I244" s="112"/>
    </row>
    <row r="245" spans="1:9" ht="20.25" x14ac:dyDescent="0.3">
      <c r="A245" s="141"/>
      <c r="B245" s="695" t="s">
        <v>650</v>
      </c>
      <c r="C245" s="695"/>
      <c r="D245" s="695"/>
      <c r="E245" s="695"/>
      <c r="F245" s="695"/>
      <c r="G245" s="695"/>
      <c r="H245" s="695"/>
      <c r="I245" s="140"/>
    </row>
    <row r="246" spans="1:9" x14ac:dyDescent="0.25">
      <c r="A246" s="125"/>
      <c r="B246" s="696" t="s">
        <v>570</v>
      </c>
      <c r="C246" s="696"/>
      <c r="D246" s="696"/>
      <c r="E246" s="696"/>
      <c r="F246" s="696"/>
      <c r="G246" s="696"/>
      <c r="H246" s="696"/>
      <c r="I246" s="139"/>
    </row>
    <row r="247" spans="1:9" x14ac:dyDescent="0.25">
      <c r="A247" s="125"/>
      <c r="B247" s="696" t="s">
        <v>1070</v>
      </c>
      <c r="C247" s="696"/>
      <c r="D247" s="696"/>
      <c r="E247" s="696"/>
      <c r="F247" s="696"/>
      <c r="G247" s="696"/>
      <c r="H247" s="696"/>
      <c r="I247" s="139"/>
    </row>
    <row r="248" spans="1:9" ht="15.75" thickBot="1" x14ac:dyDescent="0.3">
      <c r="A248" s="125"/>
      <c r="B248" s="699" t="s">
        <v>0</v>
      </c>
      <c r="C248" s="699"/>
      <c r="D248" s="699"/>
      <c r="E248" s="699"/>
      <c r="F248" s="699"/>
      <c r="G248" s="699"/>
      <c r="H248" s="699"/>
      <c r="I248" s="139"/>
    </row>
    <row r="249" spans="1:9" ht="15.75" thickTop="1" x14ac:dyDescent="0.25">
      <c r="A249" s="125"/>
      <c r="B249" s="112"/>
      <c r="C249" s="112"/>
      <c r="D249" s="112"/>
      <c r="E249" s="112"/>
      <c r="F249" s="431"/>
      <c r="G249" s="113"/>
      <c r="H249" s="431"/>
      <c r="I249" s="136"/>
    </row>
    <row r="250" spans="1:9" x14ac:dyDescent="0.25">
      <c r="A250" s="125"/>
      <c r="B250" s="700" t="s">
        <v>30</v>
      </c>
      <c r="C250" s="701"/>
      <c r="D250" s="702"/>
      <c r="E250" s="138"/>
      <c r="F250" s="432" t="s">
        <v>1051</v>
      </c>
      <c r="G250" s="137"/>
      <c r="H250" s="432" t="s">
        <v>861</v>
      </c>
      <c r="I250" s="136"/>
    </row>
    <row r="251" spans="1:9" x14ac:dyDescent="0.25">
      <c r="A251" s="125"/>
      <c r="B251" s="112"/>
      <c r="C251" s="112"/>
      <c r="D251" s="112"/>
      <c r="E251" s="112"/>
      <c r="F251" s="431"/>
      <c r="G251" s="113"/>
      <c r="H251" s="431"/>
      <c r="I251" s="136"/>
    </row>
    <row r="252" spans="1:9" x14ac:dyDescent="0.25">
      <c r="A252" s="125"/>
      <c r="B252" s="142" t="s">
        <v>1</v>
      </c>
      <c r="C252" s="142"/>
      <c r="D252" s="142"/>
      <c r="E252" s="142"/>
      <c r="F252" s="494"/>
      <c r="G252" s="143"/>
      <c r="H252" s="494"/>
      <c r="I252" s="135"/>
    </row>
    <row r="253" spans="1:9" x14ac:dyDescent="0.25">
      <c r="A253" s="125"/>
      <c r="B253" s="142"/>
      <c r="C253" s="130" t="s">
        <v>2</v>
      </c>
      <c r="D253" s="130"/>
      <c r="E253" s="130"/>
      <c r="F253" s="435"/>
      <c r="G253" s="129"/>
      <c r="H253" s="436"/>
      <c r="I253" s="121"/>
    </row>
    <row r="254" spans="1:9" x14ac:dyDescent="0.25">
      <c r="A254" s="125"/>
      <c r="B254" s="142"/>
      <c r="C254" s="130"/>
      <c r="D254" s="142" t="s">
        <v>303</v>
      </c>
      <c r="E254" s="130"/>
      <c r="F254" s="494">
        <v>0</v>
      </c>
      <c r="G254" s="143"/>
      <c r="H254" s="661">
        <v>0</v>
      </c>
      <c r="I254" s="121"/>
    </row>
    <row r="255" spans="1:9" x14ac:dyDescent="0.25">
      <c r="A255" s="125"/>
      <c r="B255" s="142"/>
      <c r="C255" s="130"/>
      <c r="D255" s="142" t="s">
        <v>304</v>
      </c>
      <c r="E255" s="130"/>
      <c r="F255" s="494">
        <v>0</v>
      </c>
      <c r="G255" s="143"/>
      <c r="H255" s="661">
        <v>0</v>
      </c>
      <c r="I255" s="121"/>
    </row>
    <row r="256" spans="1:9" x14ac:dyDescent="0.25">
      <c r="A256" s="125"/>
      <c r="B256" s="142"/>
      <c r="C256" s="130"/>
      <c r="D256" s="142" t="s">
        <v>562</v>
      </c>
      <c r="E256" s="130"/>
      <c r="F256" s="494">
        <v>0</v>
      </c>
      <c r="G256" s="143"/>
      <c r="H256" s="661">
        <v>0</v>
      </c>
      <c r="I256" s="121"/>
    </row>
    <row r="257" spans="1:9" x14ac:dyDescent="0.25">
      <c r="A257" s="125"/>
      <c r="B257" s="142"/>
      <c r="C257" s="130"/>
      <c r="D257" s="127" t="s">
        <v>305</v>
      </c>
      <c r="E257" s="130"/>
      <c r="F257" s="435">
        <f>SUM(F254:F256)</f>
        <v>0</v>
      </c>
      <c r="G257" s="129"/>
      <c r="H257" s="435">
        <f>SUM(H254:H256)</f>
        <v>0</v>
      </c>
      <c r="I257" s="121"/>
    </row>
    <row r="258" spans="1:9" x14ac:dyDescent="0.25">
      <c r="A258" s="125"/>
      <c r="B258" s="142"/>
      <c r="C258" s="130" t="s">
        <v>3</v>
      </c>
      <c r="D258" s="142"/>
      <c r="E258" s="142"/>
      <c r="F258" s="494"/>
      <c r="G258" s="143"/>
      <c r="H258" s="437"/>
      <c r="I258" s="121"/>
    </row>
    <row r="259" spans="1:9" x14ac:dyDescent="0.25">
      <c r="A259" s="125"/>
      <c r="B259" s="142"/>
      <c r="C259" s="142"/>
      <c r="D259" s="142" t="s">
        <v>229</v>
      </c>
      <c r="E259" s="142"/>
      <c r="F259" s="494">
        <v>0</v>
      </c>
      <c r="G259" s="143"/>
      <c r="H259" s="661">
        <v>0</v>
      </c>
      <c r="I259" s="121"/>
    </row>
    <row r="260" spans="1:9" x14ac:dyDescent="0.25">
      <c r="A260" s="125"/>
      <c r="B260" s="142"/>
      <c r="C260" s="142"/>
      <c r="D260" s="142" t="s">
        <v>232</v>
      </c>
      <c r="E260" s="142"/>
      <c r="F260" s="494">
        <f>'[1]81.02-81.03'!$F$37</f>
        <v>0</v>
      </c>
      <c r="G260" s="143"/>
      <c r="H260" s="661"/>
      <c r="I260" s="121"/>
    </row>
    <row r="261" spans="1:9" x14ac:dyDescent="0.25">
      <c r="A261" s="125"/>
      <c r="B261" s="142"/>
      <c r="C261" s="142"/>
      <c r="D261" s="142" t="s">
        <v>230</v>
      </c>
      <c r="E261" s="142"/>
      <c r="F261" s="494">
        <v>0</v>
      </c>
      <c r="G261" s="143"/>
      <c r="H261" s="661">
        <v>0</v>
      </c>
      <c r="I261" s="121"/>
    </row>
    <row r="262" spans="1:9" x14ac:dyDescent="0.25">
      <c r="A262" s="125"/>
      <c r="B262" s="142"/>
      <c r="C262" s="142"/>
      <c r="D262" s="142" t="s">
        <v>322</v>
      </c>
      <c r="E262" s="142"/>
      <c r="F262" s="494">
        <f>'[1]81.02-81.03'!$F$78</f>
        <v>0</v>
      </c>
      <c r="G262" s="143"/>
      <c r="H262" s="661"/>
      <c r="I262" s="121"/>
    </row>
    <row r="263" spans="1:9" x14ac:dyDescent="0.25">
      <c r="A263" s="125"/>
      <c r="B263" s="142"/>
      <c r="C263" s="142"/>
      <c r="D263" s="142" t="s">
        <v>323</v>
      </c>
      <c r="E263" s="142"/>
      <c r="F263" s="494">
        <f>'[1]81.02-81.03'!$F$95</f>
        <v>0</v>
      </c>
      <c r="G263" s="143"/>
      <c r="H263" s="661">
        <v>0</v>
      </c>
      <c r="I263" s="121"/>
    </row>
    <row r="264" spans="1:9" x14ac:dyDescent="0.25">
      <c r="A264" s="125"/>
      <c r="B264" s="142"/>
      <c r="C264" s="142"/>
      <c r="D264" s="142" t="s">
        <v>324</v>
      </c>
      <c r="E264" s="142"/>
      <c r="F264" s="494">
        <f>'[1]81.02-81.03'!$F$118</f>
        <v>0</v>
      </c>
      <c r="G264" s="143"/>
      <c r="H264" s="661">
        <v>0</v>
      </c>
      <c r="I264" s="121"/>
    </row>
    <row r="265" spans="1:9" x14ac:dyDescent="0.25">
      <c r="A265" s="125"/>
      <c r="B265" s="142"/>
      <c r="C265" s="130"/>
      <c r="D265" s="127" t="s">
        <v>279</v>
      </c>
      <c r="E265" s="130"/>
      <c r="F265" s="435">
        <f>SUM(F259:F264)</f>
        <v>0</v>
      </c>
      <c r="G265" s="129">
        <f t="shared" ref="G265:H265" si="4">SUM(G259:G264)</f>
        <v>0</v>
      </c>
      <c r="H265" s="435">
        <f t="shared" si="4"/>
        <v>0</v>
      </c>
      <c r="I265" s="121"/>
    </row>
    <row r="266" spans="1:9" ht="15.75" thickBot="1" x14ac:dyDescent="0.3">
      <c r="A266" s="125"/>
      <c r="B266" s="694" t="s">
        <v>4</v>
      </c>
      <c r="C266" s="694"/>
      <c r="D266" s="694"/>
      <c r="E266" s="666" t="e">
        <f>#REF!+E265+E253</f>
        <v>#REF!</v>
      </c>
      <c r="F266" s="662">
        <f>F265+F257</f>
        <v>0</v>
      </c>
      <c r="G266" s="663"/>
      <c r="H266" s="664">
        <f>H265+H257</f>
        <v>0</v>
      </c>
      <c r="I266" s="121"/>
    </row>
    <row r="267" spans="1:9" ht="15.75" thickTop="1" x14ac:dyDescent="0.25">
      <c r="A267" s="125"/>
      <c r="B267" s="130" t="s">
        <v>289</v>
      </c>
      <c r="C267" s="142"/>
      <c r="D267" s="142"/>
      <c r="E267" s="142"/>
      <c r="F267" s="494"/>
      <c r="G267" s="143"/>
      <c r="H267" s="437"/>
      <c r="I267" s="121"/>
    </row>
    <row r="268" spans="1:9" x14ac:dyDescent="0.25">
      <c r="A268" s="125"/>
      <c r="B268" s="142"/>
      <c r="C268" s="142" t="s">
        <v>74</v>
      </c>
      <c r="D268" s="142"/>
      <c r="E268" s="142"/>
      <c r="F268" s="216">
        <f>'RINCIAN B. LANGSUNG USAHA'!E37+'RINCIAN B. LANGSUNG USAHA'!E44+'RINCIAN B. LANGSUNG USAHA'!E50+'RINCIAN B. LANGSUNG USAHA'!E51+'RINCIAN B. LANGSUNG USAHA'!E52+'RINCIAN B. LANGSUNG USAHA'!E73+'RINCIAN B. LANGSUNG USAHA'!E77+'RINCIAN B. LANGSUNG USAHA'!E83+'RINCIAN B. LANGSUNG USAHA'!E84+'RINCIAN B. LANGSUNG USAHA'!E85+'RINCIAN B. TDK LANGSUNG'!E29-'RINCIAN B. TDK LANGSUNG'!E28+'RINCIAN B. TDK LANGSUNG'!E63+'RINCIAN B. LANGSUNG USAHA'!F37+'RINCIAN B. LANGSUNG USAHA'!F44+'RINCIAN B. LANGSUNG USAHA'!F50+'RINCIAN B. LANGSUNG USAHA'!F51+'RINCIAN B. LANGSUNG USAHA'!F52+'RINCIAN B. LANGSUNG USAHA'!F73+'RINCIAN B. LANGSUNG USAHA'!F77+'RINCIAN B. LANGSUNG USAHA'!F83+'RINCIAN B. LANGSUNG USAHA'!F84+'RINCIAN B. LANGSUNG USAHA'!F85+'RINCIAN B. TDK LANGSUNG'!F29-'RINCIAN B. TDK LANGSUNG'!F28+'RINCIAN B. TDK LANGSUNG'!F63+'RINCIAN B. LANGSUNG USAHA'!G37+'RINCIAN B. LANGSUNG USAHA'!G44+'RINCIAN B. LANGSUNG USAHA'!G50+'RINCIAN B. LANGSUNG USAHA'!G51+'RINCIAN B. LANGSUNG USAHA'!G52+'RINCIAN B. LANGSUNG USAHA'!G73+'RINCIAN B. LANGSUNG USAHA'!G77+'RINCIAN B. LANGSUNG USAHA'!G83+'RINCIAN B. LANGSUNG USAHA'!G84+'RINCIAN B. LANGSUNG USAHA'!G85+'RINCIAN B. TDK LANGSUNG'!G29-'RINCIAN B. TDK LANGSUNG'!G28+'RINCIAN B. TDK LANGSUNG'!G63</f>
        <v>0</v>
      </c>
      <c r="G268" s="143"/>
      <c r="H268" s="437">
        <v>0</v>
      </c>
      <c r="I268" s="121"/>
    </row>
    <row r="269" spans="1:9" x14ac:dyDescent="0.25">
      <c r="A269" s="125"/>
      <c r="B269" s="142"/>
      <c r="C269" s="142" t="s">
        <v>77</v>
      </c>
      <c r="D269" s="142"/>
      <c r="E269" s="142"/>
      <c r="F269" s="494">
        <f>'RINCIAN B. LANGSUNG USAHA'!E19+'RINCIAN B. LANGSUNG USAHA'!F19+'RINCIAN B. LANGSUNG USAHA'!G19</f>
        <v>0</v>
      </c>
      <c r="G269" s="143"/>
      <c r="H269" s="437">
        <v>0</v>
      </c>
      <c r="I269" s="121"/>
    </row>
    <row r="270" spans="1:9" x14ac:dyDescent="0.25">
      <c r="A270" s="125"/>
      <c r="B270" s="142"/>
      <c r="C270" s="142" t="s">
        <v>563</v>
      </c>
      <c r="D270" s="142"/>
      <c r="E270" s="142"/>
      <c r="F270" s="494">
        <f>'RINCIAN B. LANGSUNG USAHA'!E53+'RINCIAN B. LANGSUNG USAHA'!F53+'RINCIAN B. LANGSUNG USAHA'!G53</f>
        <v>0</v>
      </c>
      <c r="G270" s="143"/>
      <c r="H270" s="437">
        <v>0</v>
      </c>
      <c r="I270" s="121"/>
    </row>
    <row r="271" spans="1:9" x14ac:dyDescent="0.25">
      <c r="A271" s="125"/>
      <c r="B271" s="142"/>
      <c r="C271" s="142" t="s">
        <v>306</v>
      </c>
      <c r="D271" s="142"/>
      <c r="E271" s="142"/>
      <c r="F271" s="494">
        <f>'RINCIAN B. TDK LANGSUNG'!E49+'RINCIAN B. TDK LANGSUNG'!F49+'RINCIAN B. TDK LANGSUNG'!G49</f>
        <v>0</v>
      </c>
      <c r="G271" s="143"/>
      <c r="H271" s="437">
        <v>0</v>
      </c>
      <c r="I271" s="121"/>
    </row>
    <row r="272" spans="1:9" x14ac:dyDescent="0.25">
      <c r="A272" s="125"/>
      <c r="B272" s="142"/>
      <c r="C272" s="142" t="s">
        <v>80</v>
      </c>
      <c r="D272" s="142"/>
      <c r="E272" s="142"/>
      <c r="F272" s="494">
        <f>'RINCIAN B. LANGSUNG USAHA'!E30+'RINCIAN B. LANGSUNG USAHA'!E66+'RINCIAN B. LANGSUNG USAHA'!E97+'RINCIAN B. TDK LANGSUNG'!E59+'RINCIAN B. LANGSUNG USAHA'!F30+'RINCIAN B. LANGSUNG USAHA'!F66+'RINCIAN B. LANGSUNG USAHA'!F97+'RINCIAN B. TDK LANGSUNG'!F59+'RINCIAN B. LANGSUNG USAHA'!G30+'RINCIAN B. LANGSUNG USAHA'!G66+'RINCIAN B. LANGSUNG USAHA'!G97+'RINCIAN B. TDK LANGSUNG'!G59</f>
        <v>0</v>
      </c>
      <c r="G272" s="143"/>
      <c r="H272" s="437">
        <v>0</v>
      </c>
      <c r="I272" s="121"/>
    </row>
    <row r="273" spans="1:9" x14ac:dyDescent="0.25">
      <c r="A273" s="125"/>
      <c r="B273" s="142"/>
      <c r="C273" s="142" t="s">
        <v>642</v>
      </c>
      <c r="D273" s="142"/>
      <c r="E273" s="142"/>
      <c r="F273" s="494">
        <f>'RINCIAN B. TDK LANGSUNG'!E76+'RINCIAN B. TDK LANGSUNG'!F76+'RINCIAN B. TDK LANGSUNG'!G76</f>
        <v>0</v>
      </c>
      <c r="G273" s="143"/>
      <c r="H273" s="437">
        <v>0</v>
      </c>
      <c r="I273" s="121"/>
    </row>
    <row r="274" spans="1:9" x14ac:dyDescent="0.25">
      <c r="A274" s="125"/>
      <c r="B274" s="142"/>
      <c r="C274" s="142" t="s">
        <v>627</v>
      </c>
      <c r="D274" s="142"/>
      <c r="E274" s="142"/>
      <c r="F274" s="494">
        <f>'RINCIAN B. LANGSUNG USAHA'!E33+'RINCIAN B. LANGSUNG USAHA'!E68+'RINCIAN B. LANGSUNG USAHA'!E99+'RINCIAN B. TDK LANGSUNG'!E78+'RINCIAN B. LANGSUNG USAHA'!F33+'RINCIAN B. LANGSUNG USAHA'!F68+'RINCIAN B. LANGSUNG USAHA'!F99+'RINCIAN B. TDK LANGSUNG'!F78+'RINCIAN B. LANGSUNG USAHA'!G33+'RINCIAN B. LANGSUNG USAHA'!G68+'RINCIAN B. LANGSUNG USAHA'!G99+'RINCIAN B. TDK LANGSUNG'!G78</f>
        <v>0</v>
      </c>
      <c r="G274" s="143"/>
      <c r="H274" s="437">
        <v>0</v>
      </c>
      <c r="I274" s="121"/>
    </row>
    <row r="275" spans="1:9" x14ac:dyDescent="0.25">
      <c r="A275" s="125"/>
      <c r="B275" s="142"/>
      <c r="C275" s="142" t="s">
        <v>624</v>
      </c>
      <c r="D275" s="142"/>
      <c r="E275" s="142"/>
      <c r="F275" s="494">
        <f>'RINCIAN B. TDK LANGSUNG'!E79+'RINCIAN B. TDK LANGSUNG'!F79+'RINCIAN B. TDK LANGSUNG'!G79</f>
        <v>0</v>
      </c>
      <c r="G275" s="143"/>
      <c r="H275" s="437">
        <v>0</v>
      </c>
      <c r="I275" s="121"/>
    </row>
    <row r="276" spans="1:9" x14ac:dyDescent="0.25">
      <c r="A276" s="125"/>
      <c r="B276" s="142"/>
      <c r="C276" s="142" t="s">
        <v>625</v>
      </c>
      <c r="D276" s="142"/>
      <c r="E276" s="142"/>
      <c r="F276" s="494">
        <f>'RINCIAN B. TDK LANGSUNG'!E62+'RINCIAN B. TDK LANGSUNG'!F62+'RINCIAN B. TDK LANGSUNG'!G62</f>
        <v>0</v>
      </c>
      <c r="G276" s="143"/>
      <c r="H276" s="437">
        <v>0</v>
      </c>
      <c r="I276" s="121"/>
    </row>
    <row r="277" spans="1:9" x14ac:dyDescent="0.25">
      <c r="A277" s="125"/>
      <c r="B277" s="142"/>
      <c r="C277" s="142" t="s">
        <v>79</v>
      </c>
      <c r="D277" s="142"/>
      <c r="E277" s="142"/>
      <c r="F277" s="494">
        <f>'RINCIAN B. LANGSUNG USAHA'!E20+'RINCIAN B. LANGSUNG USAHA'!E58+'RINCIAN B. LANGSUNG USAHA'!E86+'RINCIAN B. LANGSUNG USAHA'!F20+'RINCIAN B. LANGSUNG USAHA'!F58+'RINCIAN B. LANGSUNG USAHA'!F86+'RINCIAN B. LANGSUNG USAHA'!G20+'RINCIAN B. LANGSUNG USAHA'!G58+'RINCIAN B. LANGSUNG USAHA'!G86</f>
        <v>0</v>
      </c>
      <c r="G277" s="143"/>
      <c r="H277" s="437">
        <v>0</v>
      </c>
      <c r="I277" s="121"/>
    </row>
    <row r="278" spans="1:9" x14ac:dyDescent="0.25">
      <c r="A278" s="125"/>
      <c r="B278" s="142"/>
      <c r="C278" s="142" t="s">
        <v>564</v>
      </c>
      <c r="D278" s="142"/>
      <c r="E278" s="142"/>
      <c r="F278" s="494">
        <f>'RINCIAN B. LANGSUNG USAHA'!E18+'RINCIAN B. LANGSUNG USAHA'!E87+'RINCIAN B. LANGSUNG USAHA'!F18+'RINCIAN B. LANGSUNG USAHA'!F87+'RINCIAN B. LANGSUNG USAHA'!G18+'RINCIAN B. LANGSUNG USAHA'!G87</f>
        <v>0</v>
      </c>
      <c r="G278" s="143"/>
      <c r="H278" s="437">
        <v>0</v>
      </c>
      <c r="I278" s="121"/>
    </row>
    <row r="279" spans="1:9" x14ac:dyDescent="0.25">
      <c r="A279" s="125"/>
      <c r="B279" s="142"/>
      <c r="C279" s="142" t="s">
        <v>75</v>
      </c>
      <c r="D279" s="142"/>
      <c r="E279" s="142"/>
      <c r="F279" s="494">
        <f>'RINCIAN B. TDK LANGSUNG'!E44+'RINCIAN B. TDK LANGSUNG'!F44+'RINCIAN B. TDK LANGSUNG'!G44</f>
        <v>0</v>
      </c>
      <c r="G279" s="143"/>
      <c r="H279" s="437">
        <v>0</v>
      </c>
      <c r="I279" s="121"/>
    </row>
    <row r="280" spans="1:9" x14ac:dyDescent="0.25">
      <c r="A280" s="125"/>
      <c r="B280" s="142"/>
      <c r="C280" s="142" t="s">
        <v>565</v>
      </c>
      <c r="D280" s="142"/>
      <c r="E280" s="142"/>
      <c r="F280" s="494">
        <f>'RINCIAN B. TDK LANGSUNG'!E117+'RINCIAN B. TDK LANGSUNG'!F117+'RINCIAN B. TDK LANGSUNG'!G117</f>
        <v>0</v>
      </c>
      <c r="G280" s="143"/>
      <c r="H280" s="437">
        <v>0</v>
      </c>
      <c r="I280" s="121"/>
    </row>
    <row r="281" spans="1:9" x14ac:dyDescent="0.25">
      <c r="A281" s="125"/>
      <c r="B281" s="142"/>
      <c r="C281" s="142" t="s">
        <v>626</v>
      </c>
      <c r="D281" s="142"/>
      <c r="E281" s="142"/>
      <c r="F281" s="494">
        <f>'RINCIAN B. LANGSUNG USAHA'!E31+'RINCIAN B. LANGSUNG USAHA'!F31+'RINCIAN B. LANGSUNG USAHA'!G31</f>
        <v>0</v>
      </c>
      <c r="G281" s="143"/>
      <c r="H281" s="437">
        <v>0</v>
      </c>
      <c r="I281" s="121"/>
    </row>
    <row r="282" spans="1:9" x14ac:dyDescent="0.25">
      <c r="A282" s="125"/>
      <c r="B282" s="142"/>
      <c r="C282" s="142" t="s">
        <v>646</v>
      </c>
      <c r="D282" s="142"/>
      <c r="E282" s="142"/>
      <c r="F282" s="494">
        <f>'RINCIAN B. TDK LANGSUNG'!E28+'RINCIAN B. TDK LANGSUNG'!F28+'RINCIAN B. TDK LANGSUNG'!G28</f>
        <v>0</v>
      </c>
      <c r="G282" s="143"/>
      <c r="H282" s="437">
        <v>0</v>
      </c>
      <c r="I282" s="121"/>
    </row>
    <row r="283" spans="1:9" x14ac:dyDescent="0.25">
      <c r="A283" s="125"/>
      <c r="B283" s="142"/>
      <c r="C283" s="142" t="s">
        <v>82</v>
      </c>
      <c r="D283" s="142"/>
      <c r="E283" s="142"/>
      <c r="F283" s="494">
        <f>'RINCIAN B. LANGSUNG USAHA'!E21+'RINCIAN B. LANGSUNG USAHA'!E59+'RINCIAN B. LANGSUNG USAHA'!E88+'RINCIAN B. TDK LANGSUNG'!E75-'RINCIAN B. TDK LANGSUNG'!E63-'RINCIAN B. TDK LANGSUNG'!E62+'RINCIAN B. LANGSUNG USAHA'!F21+'RINCIAN B. LANGSUNG USAHA'!F59+'RINCIAN B. LANGSUNG USAHA'!F88+'RINCIAN B. TDK LANGSUNG'!F75-'RINCIAN B. TDK LANGSUNG'!F63-'RINCIAN B. TDK LANGSUNG'!F62+'RINCIAN B. LANGSUNG USAHA'!G21+'RINCIAN B. LANGSUNG USAHA'!G59+'RINCIAN B. LANGSUNG USAHA'!G88+'RINCIAN B. TDK LANGSUNG'!G75-'RINCIAN B. TDK LANGSUNG'!G63-'RINCIAN B. TDK LANGSUNG'!G62</f>
        <v>0</v>
      </c>
      <c r="G283" s="143"/>
      <c r="H283" s="437">
        <v>0</v>
      </c>
      <c r="I283" s="121"/>
    </row>
    <row r="284" spans="1:9" x14ac:dyDescent="0.25">
      <c r="A284" s="125"/>
      <c r="B284" s="142"/>
      <c r="C284" s="142" t="s">
        <v>860</v>
      </c>
      <c r="D284" s="142"/>
      <c r="E284" s="142"/>
      <c r="F284" s="494">
        <f>'RINCIAN B. LANGSUNG USAHA'!E101+'RINCIAN B. LANGSUNG USAHA'!F101+'RINCIAN B. LANGSUNG USAHA'!G101</f>
        <v>0</v>
      </c>
      <c r="G284" s="143"/>
      <c r="H284" s="437">
        <v>0</v>
      </c>
      <c r="I284" s="121"/>
    </row>
    <row r="285" spans="1:9" ht="15.75" thickBot="1" x14ac:dyDescent="0.3">
      <c r="A285" s="125"/>
      <c r="B285" s="694" t="s">
        <v>288</v>
      </c>
      <c r="C285" s="694"/>
      <c r="D285" s="694"/>
      <c r="E285" s="142"/>
      <c r="F285" s="665">
        <f>SUM(F268:F284)</f>
        <v>0</v>
      </c>
      <c r="G285" s="129"/>
      <c r="H285" s="664">
        <f>SUM(H268:H284)</f>
        <v>0</v>
      </c>
      <c r="I285" s="121"/>
    </row>
    <row r="286" spans="1:9" ht="15.75" thickTop="1" x14ac:dyDescent="0.25">
      <c r="A286" s="125"/>
      <c r="B286" s="142"/>
      <c r="C286" s="130" t="s">
        <v>83</v>
      </c>
      <c r="D286" s="142"/>
      <c r="E286" s="142"/>
      <c r="F286" s="435">
        <f>F266-F285</f>
        <v>0</v>
      </c>
      <c r="G286" s="143"/>
      <c r="H286" s="435">
        <f>H266-H285</f>
        <v>0</v>
      </c>
      <c r="I286" s="121"/>
    </row>
    <row r="287" spans="1:9" x14ac:dyDescent="0.25">
      <c r="A287" s="125"/>
      <c r="B287" s="142" t="s">
        <v>287</v>
      </c>
      <c r="C287" s="130"/>
      <c r="D287" s="142"/>
      <c r="E287" s="142"/>
      <c r="F287" s="435"/>
      <c r="G287" s="143"/>
      <c r="H287" s="436"/>
      <c r="I287" s="121"/>
    </row>
    <row r="288" spans="1:9" x14ac:dyDescent="0.25">
      <c r="A288" s="125"/>
      <c r="B288" s="142"/>
      <c r="C288" s="142" t="s">
        <v>310</v>
      </c>
      <c r="D288" s="142"/>
      <c r="E288" s="142"/>
      <c r="F288" s="494">
        <f>'[1]88.00'!$F$80</f>
        <v>0</v>
      </c>
      <c r="G288" s="143"/>
      <c r="H288" s="437">
        <v>0</v>
      </c>
      <c r="I288" s="121"/>
    </row>
    <row r="289" spans="1:9" x14ac:dyDescent="0.25">
      <c r="A289" s="125"/>
      <c r="B289" s="142"/>
      <c r="C289" s="142" t="s">
        <v>309</v>
      </c>
      <c r="D289" s="142"/>
      <c r="E289" s="142"/>
      <c r="F289" s="494">
        <v>0</v>
      </c>
      <c r="G289" s="143"/>
      <c r="H289" s="437">
        <v>0</v>
      </c>
      <c r="I289" s="121"/>
    </row>
    <row r="290" spans="1:9" x14ac:dyDescent="0.25">
      <c r="A290" s="125"/>
      <c r="B290" s="142"/>
      <c r="C290" s="142" t="s">
        <v>308</v>
      </c>
      <c r="D290" s="142"/>
      <c r="E290" s="142"/>
      <c r="F290" s="494">
        <v>0</v>
      </c>
      <c r="G290" s="143"/>
      <c r="H290" s="437">
        <v>0</v>
      </c>
      <c r="I290" s="121"/>
    </row>
    <row r="291" spans="1:9" x14ac:dyDescent="0.25">
      <c r="A291" s="125"/>
      <c r="B291" s="142"/>
      <c r="C291" s="142" t="s">
        <v>276</v>
      </c>
      <c r="D291" s="142"/>
      <c r="E291" s="142"/>
      <c r="F291" s="494">
        <f>'[1]88.00'!$F$105</f>
        <v>0</v>
      </c>
      <c r="G291" s="143"/>
      <c r="H291" s="437">
        <v>0</v>
      </c>
      <c r="I291" s="121"/>
    </row>
    <row r="292" spans="1:9" x14ac:dyDescent="0.25">
      <c r="A292" s="125"/>
      <c r="B292" s="142"/>
      <c r="C292" s="142" t="s">
        <v>286</v>
      </c>
      <c r="D292" s="142"/>
      <c r="E292" s="142"/>
      <c r="F292" s="494">
        <f>-SUM('B. NON OPERASIONAL'!C12:E12)</f>
        <v>0</v>
      </c>
      <c r="G292" s="143"/>
      <c r="H292" s="437">
        <v>0</v>
      </c>
      <c r="I292" s="121"/>
    </row>
    <row r="293" spans="1:9" x14ac:dyDescent="0.25">
      <c r="A293" s="125"/>
      <c r="B293" s="694" t="s">
        <v>285</v>
      </c>
      <c r="C293" s="694"/>
      <c r="D293" s="694"/>
      <c r="E293" s="142"/>
      <c r="F293" s="438">
        <f>SUM(F288:F292)</f>
        <v>0</v>
      </c>
      <c r="G293" s="129"/>
      <c r="H293" s="438">
        <f>SUM(H288:H292)</f>
        <v>0</v>
      </c>
      <c r="I293" s="121"/>
    </row>
    <row r="294" spans="1:9" x14ac:dyDescent="0.25">
      <c r="A294" s="125"/>
      <c r="B294" s="130" t="s">
        <v>284</v>
      </c>
      <c r="C294" s="130"/>
      <c r="D294" s="142"/>
      <c r="E294" s="142"/>
      <c r="F294" s="435">
        <f>F286+F293</f>
        <v>0</v>
      </c>
      <c r="G294" s="129"/>
      <c r="H294" s="435">
        <f>H286+H293</f>
        <v>0</v>
      </c>
      <c r="I294" s="121"/>
    </row>
    <row r="295" spans="1:9" x14ac:dyDescent="0.25">
      <c r="A295" s="125"/>
      <c r="B295" s="130" t="s">
        <v>1060</v>
      </c>
      <c r="C295" s="130"/>
      <c r="D295" s="142"/>
      <c r="E295" s="142"/>
      <c r="F295" s="435"/>
      <c r="G295" s="129"/>
      <c r="H295" s="435">
        <v>-115879035</v>
      </c>
      <c r="I295" s="121"/>
    </row>
    <row r="296" spans="1:9" x14ac:dyDescent="0.25">
      <c r="A296" s="125"/>
      <c r="B296" s="130" t="s">
        <v>283</v>
      </c>
      <c r="C296" s="142"/>
      <c r="D296" s="142"/>
      <c r="E296" s="142"/>
      <c r="F296" s="494">
        <v>0</v>
      </c>
      <c r="G296" s="143"/>
      <c r="H296" s="437">
        <v>0</v>
      </c>
      <c r="I296" s="121"/>
    </row>
    <row r="297" spans="1:9" x14ac:dyDescent="0.25">
      <c r="A297" s="125"/>
      <c r="B297" s="703" t="s">
        <v>33</v>
      </c>
      <c r="C297" s="704"/>
      <c r="D297" s="705"/>
      <c r="E297" s="127"/>
      <c r="F297" s="439">
        <f>F294-F296</f>
        <v>0</v>
      </c>
      <c r="G297" s="126"/>
      <c r="H297" s="439">
        <f>H294+H295-H296</f>
        <v>-115879035</v>
      </c>
      <c r="I297" s="121"/>
    </row>
    <row r="298" spans="1:9" x14ac:dyDescent="0.25">
      <c r="A298" s="120"/>
      <c r="B298" s="119"/>
      <c r="C298" s="119"/>
      <c r="D298" s="119"/>
      <c r="E298" s="119"/>
      <c r="F298" s="495"/>
      <c r="G298" s="118"/>
      <c r="H298" s="218"/>
      <c r="I298" s="116"/>
    </row>
    <row r="299" spans="1:9" x14ac:dyDescent="0.25">
      <c r="A299" s="115"/>
      <c r="B299" s="112"/>
      <c r="C299" s="112"/>
      <c r="D299" s="112"/>
      <c r="E299" s="112"/>
      <c r="F299" s="496"/>
      <c r="G299" s="114"/>
      <c r="H299" s="431"/>
      <c r="I299" s="112"/>
    </row>
    <row r="300" spans="1:9" x14ac:dyDescent="0.25">
      <c r="A300" s="697" t="s">
        <v>579</v>
      </c>
      <c r="B300" s="697"/>
      <c r="C300" s="697"/>
      <c r="D300" s="697"/>
      <c r="E300" s="124"/>
      <c r="F300" s="698" t="s">
        <v>1062</v>
      </c>
      <c r="G300" s="698"/>
      <c r="H300" s="698"/>
      <c r="I300" s="698"/>
    </row>
    <row r="301" spans="1:9" x14ac:dyDescent="0.25">
      <c r="A301" s="697" t="s">
        <v>678</v>
      </c>
      <c r="B301" s="697"/>
      <c r="C301" s="697"/>
      <c r="D301" s="697"/>
      <c r="E301" s="124"/>
      <c r="F301" s="698" t="s">
        <v>679</v>
      </c>
      <c r="G301" s="698"/>
      <c r="H301" s="698"/>
      <c r="I301" s="698"/>
    </row>
    <row r="302" spans="1:9" x14ac:dyDescent="0.25">
      <c r="A302" s="697"/>
      <c r="B302" s="697"/>
      <c r="C302" s="697"/>
      <c r="D302" s="697"/>
      <c r="E302" s="124"/>
      <c r="F302" s="698"/>
      <c r="G302" s="698"/>
      <c r="H302" s="698"/>
      <c r="I302" s="698"/>
    </row>
    <row r="303" spans="1:9" x14ac:dyDescent="0.25">
      <c r="A303" s="697"/>
      <c r="B303" s="697"/>
      <c r="C303" s="697"/>
      <c r="D303" s="697"/>
      <c r="E303" s="124"/>
      <c r="F303" s="698"/>
      <c r="G303" s="698"/>
      <c r="H303" s="698"/>
      <c r="I303" s="698"/>
    </row>
    <row r="304" spans="1:9" x14ac:dyDescent="0.25">
      <c r="A304" s="697" t="s">
        <v>1038</v>
      </c>
      <c r="B304" s="697"/>
      <c r="C304" s="697"/>
      <c r="D304" s="697"/>
      <c r="E304" s="124"/>
      <c r="F304" s="698" t="s">
        <v>1039</v>
      </c>
      <c r="G304" s="698"/>
      <c r="H304" s="698"/>
      <c r="I304" s="698"/>
    </row>
    <row r="305" spans="1:13" x14ac:dyDescent="0.25">
      <c r="A305" s="112" t="s">
        <v>581</v>
      </c>
      <c r="B305" s="112"/>
      <c r="C305" s="112"/>
      <c r="D305" s="112"/>
      <c r="E305" s="112"/>
      <c r="F305" s="431"/>
      <c r="G305" s="113"/>
      <c r="H305" s="431"/>
      <c r="I305" s="112"/>
      <c r="M305" s="1"/>
    </row>
    <row r="306" spans="1:13" x14ac:dyDescent="0.25">
      <c r="A306" s="112"/>
      <c r="B306" s="112"/>
      <c r="C306" s="112"/>
      <c r="D306" s="112"/>
      <c r="E306" s="112"/>
      <c r="F306" s="431"/>
      <c r="G306" s="113"/>
      <c r="H306" s="431"/>
      <c r="I306" s="112"/>
      <c r="M306" s="1"/>
    </row>
    <row r="307" spans="1:13" ht="20.25" x14ac:dyDescent="0.3">
      <c r="A307" s="141"/>
      <c r="B307" s="695" t="s">
        <v>650</v>
      </c>
      <c r="C307" s="695"/>
      <c r="D307" s="695"/>
      <c r="E307" s="695"/>
      <c r="F307" s="695"/>
      <c r="G307" s="695"/>
      <c r="H307" s="695"/>
      <c r="I307" s="140"/>
      <c r="M307" s="1"/>
    </row>
    <row r="308" spans="1:13" x14ac:dyDescent="0.25">
      <c r="A308" s="125"/>
      <c r="B308" s="696" t="s">
        <v>570</v>
      </c>
      <c r="C308" s="696"/>
      <c r="D308" s="696"/>
      <c r="E308" s="696"/>
      <c r="F308" s="696"/>
      <c r="G308" s="696"/>
      <c r="H308" s="696"/>
      <c r="I308" s="139"/>
      <c r="M308" s="1"/>
    </row>
    <row r="309" spans="1:13" x14ac:dyDescent="0.25">
      <c r="A309" s="125"/>
      <c r="B309" s="696" t="s">
        <v>1088</v>
      </c>
      <c r="C309" s="696"/>
      <c r="D309" s="696"/>
      <c r="E309" s="696"/>
      <c r="F309" s="696"/>
      <c r="G309" s="696"/>
      <c r="H309" s="696"/>
      <c r="I309" s="139"/>
      <c r="M309" s="1"/>
    </row>
    <row r="310" spans="1:13" ht="15.75" thickBot="1" x14ac:dyDescent="0.3">
      <c r="A310" s="125"/>
      <c r="B310" s="699" t="s">
        <v>0</v>
      </c>
      <c r="C310" s="699"/>
      <c r="D310" s="699"/>
      <c r="E310" s="699"/>
      <c r="F310" s="699"/>
      <c r="G310" s="699"/>
      <c r="H310" s="699"/>
      <c r="I310" s="139"/>
      <c r="M310" s="1"/>
    </row>
    <row r="311" spans="1:13" ht="15.75" thickTop="1" x14ac:dyDescent="0.25">
      <c r="A311" s="125"/>
      <c r="B311" s="112"/>
      <c r="C311" s="112"/>
      <c r="D311" s="112"/>
      <c r="E311" s="112"/>
      <c r="F311" s="431"/>
      <c r="G311" s="113"/>
      <c r="H311" s="431"/>
      <c r="I311" s="136"/>
      <c r="M311" s="1"/>
    </row>
    <row r="312" spans="1:13" x14ac:dyDescent="0.25">
      <c r="A312" s="125"/>
      <c r="B312" s="700" t="s">
        <v>30</v>
      </c>
      <c r="C312" s="701"/>
      <c r="D312" s="702"/>
      <c r="E312" s="138"/>
      <c r="F312" s="432" t="s">
        <v>1051</v>
      </c>
      <c r="G312" s="137"/>
      <c r="H312" s="432" t="s">
        <v>861</v>
      </c>
      <c r="I312" s="136"/>
      <c r="M312" s="1"/>
    </row>
    <row r="313" spans="1:13" x14ac:dyDescent="0.25">
      <c r="A313" s="125"/>
      <c r="B313" s="112"/>
      <c r="C313" s="112"/>
      <c r="D313" s="112"/>
      <c r="E313" s="112"/>
      <c r="F313" s="431"/>
      <c r="G313" s="113"/>
      <c r="H313" s="431"/>
      <c r="I313" s="136"/>
      <c r="M313" s="1"/>
    </row>
    <row r="314" spans="1:13" x14ac:dyDescent="0.25">
      <c r="A314" s="125"/>
      <c r="B314" s="142" t="s">
        <v>1</v>
      </c>
      <c r="C314" s="142"/>
      <c r="D314" s="142"/>
      <c r="E314" s="142"/>
      <c r="F314" s="494"/>
      <c r="G314" s="143"/>
      <c r="H314" s="494"/>
      <c r="I314" s="135"/>
      <c r="M314" s="1"/>
    </row>
    <row r="315" spans="1:13" x14ac:dyDescent="0.25">
      <c r="A315" s="125"/>
      <c r="B315" s="142"/>
      <c r="C315" s="130" t="s">
        <v>2</v>
      </c>
      <c r="D315" s="130"/>
      <c r="E315" s="130"/>
      <c r="F315" s="435"/>
      <c r="G315" s="129"/>
      <c r="H315" s="436"/>
      <c r="I315" s="121"/>
      <c r="M315" s="1"/>
    </row>
    <row r="316" spans="1:13" x14ac:dyDescent="0.25">
      <c r="A316" s="125"/>
      <c r="B316" s="142"/>
      <c r="C316" s="130"/>
      <c r="D316" s="142" t="s">
        <v>303</v>
      </c>
      <c r="E316" s="130"/>
      <c r="F316" s="494">
        <v>0</v>
      </c>
      <c r="G316" s="143"/>
      <c r="H316" s="661">
        <v>0</v>
      </c>
      <c r="I316" s="121"/>
      <c r="M316" s="1"/>
    </row>
    <row r="317" spans="1:13" x14ac:dyDescent="0.25">
      <c r="A317" s="125"/>
      <c r="B317" s="142"/>
      <c r="C317" s="130"/>
      <c r="D317" s="142" t="s">
        <v>304</v>
      </c>
      <c r="E317" s="130"/>
      <c r="F317" s="494">
        <v>0</v>
      </c>
      <c r="G317" s="143"/>
      <c r="H317" s="661">
        <v>0</v>
      </c>
      <c r="I317" s="121"/>
      <c r="M317" s="1"/>
    </row>
    <row r="318" spans="1:13" x14ac:dyDescent="0.25">
      <c r="A318" s="125"/>
      <c r="B318" s="142"/>
      <c r="C318" s="130"/>
      <c r="D318" s="142" t="s">
        <v>562</v>
      </c>
      <c r="E318" s="130"/>
      <c r="F318" s="494">
        <v>0</v>
      </c>
      <c r="G318" s="143"/>
      <c r="H318" s="661">
        <v>0</v>
      </c>
      <c r="I318" s="121"/>
      <c r="M318" s="1"/>
    </row>
    <row r="319" spans="1:13" x14ac:dyDescent="0.25">
      <c r="A319" s="125"/>
      <c r="B319" s="142"/>
      <c r="C319" s="130"/>
      <c r="D319" s="127" t="s">
        <v>305</v>
      </c>
      <c r="E319" s="130"/>
      <c r="F319" s="435">
        <f>SUM(F316:F318)</f>
        <v>0</v>
      </c>
      <c r="G319" s="129"/>
      <c r="H319" s="435">
        <f>SUM(H316:H318)</f>
        <v>0</v>
      </c>
      <c r="I319" s="121"/>
      <c r="M319" s="1"/>
    </row>
    <row r="320" spans="1:13" x14ac:dyDescent="0.25">
      <c r="A320" s="125"/>
      <c r="B320" s="142"/>
      <c r="C320" s="130" t="s">
        <v>3</v>
      </c>
      <c r="D320" s="142"/>
      <c r="E320" s="142"/>
      <c r="F320" s="494"/>
      <c r="G320" s="143"/>
      <c r="H320" s="437"/>
      <c r="I320" s="121"/>
      <c r="M320" s="1"/>
    </row>
    <row r="321" spans="1:13" x14ac:dyDescent="0.25">
      <c r="A321" s="125"/>
      <c r="B321" s="142"/>
      <c r="C321" s="142"/>
      <c r="D321" s="142" t="s">
        <v>229</v>
      </c>
      <c r="E321" s="142"/>
      <c r="F321" s="494">
        <v>0</v>
      </c>
      <c r="G321" s="143"/>
      <c r="H321" s="661">
        <v>0</v>
      </c>
      <c r="I321" s="121"/>
      <c r="M321" s="1"/>
    </row>
    <row r="322" spans="1:13" x14ac:dyDescent="0.25">
      <c r="A322" s="125"/>
      <c r="B322" s="142"/>
      <c r="C322" s="142"/>
      <c r="D322" s="142" t="s">
        <v>232</v>
      </c>
      <c r="E322" s="142"/>
      <c r="F322" s="494">
        <f>'[1]81.02-81.03'!$F$37</f>
        <v>0</v>
      </c>
      <c r="G322" s="143"/>
      <c r="H322" s="661"/>
      <c r="I322" s="121"/>
      <c r="M322" s="1"/>
    </row>
    <row r="323" spans="1:13" x14ac:dyDescent="0.25">
      <c r="A323" s="125"/>
      <c r="B323" s="142"/>
      <c r="C323" s="142"/>
      <c r="D323" s="142" t="s">
        <v>230</v>
      </c>
      <c r="E323" s="142"/>
      <c r="F323" s="494">
        <v>0</v>
      </c>
      <c r="G323" s="143"/>
      <c r="H323" s="661">
        <v>0</v>
      </c>
      <c r="I323" s="121"/>
      <c r="M323" s="1"/>
    </row>
    <row r="324" spans="1:13" x14ac:dyDescent="0.25">
      <c r="A324" s="125"/>
      <c r="B324" s="142"/>
      <c r="C324" s="142"/>
      <c r="D324" s="142" t="s">
        <v>322</v>
      </c>
      <c r="E324" s="142"/>
      <c r="F324" s="494">
        <f>'[1]81.02-81.03'!$F$78</f>
        <v>0</v>
      </c>
      <c r="G324" s="143"/>
      <c r="H324" s="661"/>
      <c r="I324" s="121"/>
      <c r="M324" s="1"/>
    </row>
    <row r="325" spans="1:13" x14ac:dyDescent="0.25">
      <c r="A325" s="125"/>
      <c r="B325" s="142"/>
      <c r="C325" s="142"/>
      <c r="D325" s="142" t="s">
        <v>323</v>
      </c>
      <c r="E325" s="142"/>
      <c r="F325" s="494">
        <f>'[1]81.02-81.03'!$F$95</f>
        <v>0</v>
      </c>
      <c r="G325" s="143"/>
      <c r="H325" s="661">
        <v>0</v>
      </c>
      <c r="I325" s="121"/>
      <c r="M325" s="1"/>
    </row>
    <row r="326" spans="1:13" x14ac:dyDescent="0.25">
      <c r="A326" s="125"/>
      <c r="B326" s="142"/>
      <c r="C326" s="142"/>
      <c r="D326" s="142" t="s">
        <v>324</v>
      </c>
      <c r="E326" s="142"/>
      <c r="F326" s="494">
        <f>'[1]81.02-81.03'!$F$118</f>
        <v>0</v>
      </c>
      <c r="G326" s="143"/>
      <c r="H326" s="661">
        <v>0</v>
      </c>
      <c r="I326" s="121"/>
      <c r="M326" s="1"/>
    </row>
    <row r="327" spans="1:13" x14ac:dyDescent="0.25">
      <c r="A327" s="125"/>
      <c r="B327" s="142"/>
      <c r="C327" s="130"/>
      <c r="D327" s="127" t="s">
        <v>279</v>
      </c>
      <c r="E327" s="130"/>
      <c r="F327" s="435">
        <f>SUM(F321:F326)</f>
        <v>0</v>
      </c>
      <c r="G327" s="129">
        <f t="shared" ref="G327:H327" si="5">SUM(G321:G326)</f>
        <v>0</v>
      </c>
      <c r="H327" s="435">
        <f t="shared" si="5"/>
        <v>0</v>
      </c>
      <c r="I327" s="121"/>
      <c r="M327" s="1"/>
    </row>
    <row r="328" spans="1:13" ht="15.75" thickBot="1" x14ac:dyDescent="0.3">
      <c r="A328" s="125"/>
      <c r="B328" s="694" t="s">
        <v>4</v>
      </c>
      <c r="C328" s="694"/>
      <c r="D328" s="694"/>
      <c r="E328" s="666" t="e">
        <f>#REF!+E327+E315</f>
        <v>#REF!</v>
      </c>
      <c r="F328" s="662">
        <f>F327+F319</f>
        <v>0</v>
      </c>
      <c r="G328" s="663"/>
      <c r="H328" s="664">
        <f>H327+H319</f>
        <v>0</v>
      </c>
      <c r="I328" s="121"/>
      <c r="M328" s="1"/>
    </row>
    <row r="329" spans="1:13" ht="15.75" thickTop="1" x14ac:dyDescent="0.25">
      <c r="A329" s="125"/>
      <c r="B329" s="130" t="s">
        <v>289</v>
      </c>
      <c r="C329" s="142"/>
      <c r="D329" s="142"/>
      <c r="E329" s="142"/>
      <c r="F329" s="494"/>
      <c r="G329" s="143"/>
      <c r="H329" s="437"/>
      <c r="I329" s="121"/>
      <c r="M329" s="1"/>
    </row>
    <row r="330" spans="1:13" x14ac:dyDescent="0.25">
      <c r="A330" s="125"/>
      <c r="B330" s="142"/>
      <c r="C330" s="142" t="s">
        <v>74</v>
      </c>
      <c r="D330" s="142"/>
      <c r="E330" s="142"/>
      <c r="F330" s="216">
        <f>'RINCIAN B. LANGSUNG USAHA'!E37+'RINCIAN B. LANGSUNG USAHA'!E44+'RINCIAN B. LANGSUNG USAHA'!E50+'RINCIAN B. LANGSUNG USAHA'!E51+'RINCIAN B. LANGSUNG USAHA'!E52+'RINCIAN B. LANGSUNG USAHA'!E73+'RINCIAN B. LANGSUNG USAHA'!E77+'RINCIAN B. LANGSUNG USAHA'!E83+'RINCIAN B. LANGSUNG USAHA'!E84+'RINCIAN B. LANGSUNG USAHA'!E85+'RINCIAN B. TDK LANGSUNG'!E29-'RINCIAN B. TDK LANGSUNG'!E28+'RINCIAN B. TDK LANGSUNG'!E63+'RINCIAN B. LANGSUNG USAHA'!F37+'RINCIAN B. LANGSUNG USAHA'!F44+'RINCIAN B. LANGSUNG USAHA'!F50+'RINCIAN B. LANGSUNG USAHA'!F51+'RINCIAN B. LANGSUNG USAHA'!F52+'RINCIAN B. LANGSUNG USAHA'!F73+'RINCIAN B. LANGSUNG USAHA'!F77+'RINCIAN B. LANGSUNG USAHA'!F83+'RINCIAN B. LANGSUNG USAHA'!F84+'RINCIAN B. LANGSUNG USAHA'!F85+'RINCIAN B. TDK LANGSUNG'!F29-'RINCIAN B. TDK LANGSUNG'!F28+'RINCIAN B. TDK LANGSUNG'!F63+'RINCIAN B. LANGSUNG USAHA'!G37+'RINCIAN B. LANGSUNG USAHA'!G44+'RINCIAN B. LANGSUNG USAHA'!G50+'RINCIAN B. LANGSUNG USAHA'!G51+'RINCIAN B. LANGSUNG USAHA'!G52+'RINCIAN B. LANGSUNG USAHA'!G73+'RINCIAN B. LANGSUNG USAHA'!G77+'RINCIAN B. LANGSUNG USAHA'!G83+'RINCIAN B. LANGSUNG USAHA'!G84+'RINCIAN B. LANGSUNG USAHA'!G85+'RINCIAN B. TDK LANGSUNG'!G29-'RINCIAN B. TDK LANGSUNG'!G28+'RINCIAN B. TDK LANGSUNG'!G63+'RINCIAN B. LANGSUNG USAHA'!H37+'RINCIAN B. LANGSUNG USAHA'!H44+'RINCIAN B. LANGSUNG USAHA'!H50+'RINCIAN B. LANGSUNG USAHA'!H51+'RINCIAN B. LANGSUNG USAHA'!H52+'RINCIAN B. LANGSUNG USAHA'!H73+'RINCIAN B. LANGSUNG USAHA'!H77+'RINCIAN B. LANGSUNG USAHA'!H83+'RINCIAN B. LANGSUNG USAHA'!H84+'RINCIAN B. LANGSUNG USAHA'!H85+'RINCIAN B. TDK LANGSUNG'!H29-'RINCIAN B. TDK LANGSUNG'!H28+'RINCIAN B. TDK LANGSUNG'!H63</f>
        <v>0</v>
      </c>
      <c r="G330" s="143"/>
      <c r="H330" s="437">
        <v>0</v>
      </c>
      <c r="I330" s="121"/>
      <c r="M330" s="1"/>
    </row>
    <row r="331" spans="1:13" x14ac:dyDescent="0.25">
      <c r="A331" s="125"/>
      <c r="B331" s="142"/>
      <c r="C331" s="142" t="s">
        <v>77</v>
      </c>
      <c r="D331" s="142"/>
      <c r="E331" s="142"/>
      <c r="F331" s="494">
        <f>'RINCIAN B. LANGSUNG USAHA'!E81+'RINCIAN B. LANGSUNG USAHA'!F81+'RINCIAN B. LANGSUNG USAHA'!G81</f>
        <v>0</v>
      </c>
      <c r="G331" s="143"/>
      <c r="H331" s="437">
        <v>0</v>
      </c>
      <c r="I331" s="121"/>
      <c r="M331" s="1"/>
    </row>
    <row r="332" spans="1:13" x14ac:dyDescent="0.25">
      <c r="A332" s="125"/>
      <c r="B332" s="142"/>
      <c r="C332" s="142" t="s">
        <v>563</v>
      </c>
      <c r="D332" s="142"/>
      <c r="E332" s="142"/>
      <c r="F332" s="494">
        <f>'RINCIAN B. LANGSUNG USAHA'!E115+'RINCIAN B. LANGSUNG USAHA'!F115+'RINCIAN B. LANGSUNG USAHA'!G115</f>
        <v>0</v>
      </c>
      <c r="G332" s="143"/>
      <c r="H332" s="437">
        <v>0</v>
      </c>
      <c r="I332" s="121"/>
      <c r="M332" s="1"/>
    </row>
    <row r="333" spans="1:13" x14ac:dyDescent="0.25">
      <c r="A333" s="125"/>
      <c r="B333" s="142"/>
      <c r="C333" s="142" t="s">
        <v>306</v>
      </c>
      <c r="D333" s="142"/>
      <c r="E333" s="142"/>
      <c r="F333" s="494">
        <f>'RINCIAN B. TDK LANGSUNG'!E111+'RINCIAN B. TDK LANGSUNG'!F111+'RINCIAN B. TDK LANGSUNG'!G111</f>
        <v>0</v>
      </c>
      <c r="G333" s="143"/>
      <c r="H333" s="437">
        <v>0</v>
      </c>
      <c r="I333" s="121"/>
      <c r="M333" s="1"/>
    </row>
    <row r="334" spans="1:13" x14ac:dyDescent="0.25">
      <c r="A334" s="125"/>
      <c r="B334" s="142"/>
      <c r="C334" s="142" t="s">
        <v>80</v>
      </c>
      <c r="D334" s="142"/>
      <c r="E334" s="142"/>
      <c r="F334" s="494">
        <f>'RINCIAN B. LANGSUNG USAHA'!E92+'RINCIAN B. LANGSUNG USAHA'!E128+'RINCIAN B. LANGSUNG USAHA'!E159+'RINCIAN B. TDK LANGSUNG'!E121+'RINCIAN B. LANGSUNG USAHA'!F92+'RINCIAN B. LANGSUNG USAHA'!F128+'RINCIAN B. LANGSUNG USAHA'!F159+'RINCIAN B. TDK LANGSUNG'!F121+'RINCIAN B. LANGSUNG USAHA'!G92+'RINCIAN B. LANGSUNG USAHA'!G128+'RINCIAN B. LANGSUNG USAHA'!G159+'RINCIAN B. TDK LANGSUNG'!G121</f>
        <v>0</v>
      </c>
      <c r="G334" s="143"/>
      <c r="H334" s="437">
        <v>0</v>
      </c>
      <c r="I334" s="121"/>
      <c r="M334" s="1"/>
    </row>
    <row r="335" spans="1:13" x14ac:dyDescent="0.25">
      <c r="A335" s="125"/>
      <c r="B335" s="142"/>
      <c r="C335" s="142" t="s">
        <v>642</v>
      </c>
      <c r="D335" s="142"/>
      <c r="E335" s="142"/>
      <c r="F335" s="494">
        <f>'RINCIAN B. TDK LANGSUNG'!E138+'RINCIAN B. TDK LANGSUNG'!F138+'RINCIAN B. TDK LANGSUNG'!G138</f>
        <v>0</v>
      </c>
      <c r="G335" s="143"/>
      <c r="H335" s="437">
        <v>0</v>
      </c>
      <c r="I335" s="121"/>
      <c r="M335" s="1"/>
    </row>
    <row r="336" spans="1:13" x14ac:dyDescent="0.25">
      <c r="A336" s="125"/>
      <c r="B336" s="142"/>
      <c r="C336" s="142" t="s">
        <v>627</v>
      </c>
      <c r="D336" s="142"/>
      <c r="E336" s="142"/>
      <c r="F336" s="494">
        <f>'RINCIAN B. LANGSUNG USAHA'!E95+'RINCIAN B. LANGSUNG USAHA'!E130+'RINCIAN B. LANGSUNG USAHA'!E161+'RINCIAN B. TDK LANGSUNG'!E140+'RINCIAN B. LANGSUNG USAHA'!F95+'RINCIAN B. LANGSUNG USAHA'!F130+'RINCIAN B. LANGSUNG USAHA'!F161+'RINCIAN B. TDK LANGSUNG'!F140+'RINCIAN B. LANGSUNG USAHA'!G95+'RINCIAN B. LANGSUNG USAHA'!G130+'RINCIAN B. LANGSUNG USAHA'!G161+'RINCIAN B. TDK LANGSUNG'!G140</f>
        <v>0</v>
      </c>
      <c r="G336" s="143"/>
      <c r="H336" s="437">
        <v>0</v>
      </c>
      <c r="I336" s="121"/>
      <c r="M336" s="1"/>
    </row>
    <row r="337" spans="1:13" x14ac:dyDescent="0.25">
      <c r="A337" s="125"/>
      <c r="B337" s="142"/>
      <c r="C337" s="142" t="s">
        <v>624</v>
      </c>
      <c r="D337" s="142"/>
      <c r="E337" s="142"/>
      <c r="F337" s="494">
        <f>'RINCIAN B. TDK LANGSUNG'!E141+'RINCIAN B. TDK LANGSUNG'!F141+'RINCIAN B. TDK LANGSUNG'!G141</f>
        <v>0</v>
      </c>
      <c r="G337" s="143"/>
      <c r="H337" s="437">
        <v>0</v>
      </c>
      <c r="I337" s="121"/>
      <c r="M337" s="1"/>
    </row>
    <row r="338" spans="1:13" x14ac:dyDescent="0.25">
      <c r="A338" s="125"/>
      <c r="B338" s="142"/>
      <c r="C338" s="142" t="s">
        <v>625</v>
      </c>
      <c r="D338" s="142"/>
      <c r="E338" s="142"/>
      <c r="F338" s="494">
        <f>'RINCIAN B. TDK LANGSUNG'!E124+'RINCIAN B. TDK LANGSUNG'!F124+'RINCIAN B. TDK LANGSUNG'!G124</f>
        <v>0</v>
      </c>
      <c r="G338" s="143"/>
      <c r="H338" s="437">
        <v>0</v>
      </c>
      <c r="I338" s="121"/>
      <c r="M338" s="1"/>
    </row>
    <row r="339" spans="1:13" x14ac:dyDescent="0.25">
      <c r="A339" s="125"/>
      <c r="B339" s="142"/>
      <c r="C339" s="142" t="s">
        <v>79</v>
      </c>
      <c r="D339" s="142"/>
      <c r="E339" s="142"/>
      <c r="F339" s="494">
        <f>'RINCIAN B. LANGSUNG USAHA'!E82+'RINCIAN B. LANGSUNG USAHA'!E120+'RINCIAN B. LANGSUNG USAHA'!E148+'RINCIAN B. LANGSUNG USAHA'!F82+'RINCIAN B. LANGSUNG USAHA'!F120+'RINCIAN B. LANGSUNG USAHA'!F148+'RINCIAN B. LANGSUNG USAHA'!G82+'RINCIAN B. LANGSUNG USAHA'!G120+'RINCIAN B. LANGSUNG USAHA'!G148</f>
        <v>0</v>
      </c>
      <c r="G339" s="143"/>
      <c r="H339" s="437">
        <v>0</v>
      </c>
      <c r="I339" s="121"/>
      <c r="M339" s="1"/>
    </row>
    <row r="340" spans="1:13" x14ac:dyDescent="0.25">
      <c r="A340" s="125"/>
      <c r="B340" s="142"/>
      <c r="C340" s="142" t="s">
        <v>564</v>
      </c>
      <c r="D340" s="142"/>
      <c r="E340" s="142"/>
      <c r="F340" s="494">
        <f>'RINCIAN B. LANGSUNG USAHA'!E80+'RINCIAN B. LANGSUNG USAHA'!E149+'RINCIAN B. LANGSUNG USAHA'!F80+'RINCIAN B. LANGSUNG USAHA'!F149+'RINCIAN B. LANGSUNG USAHA'!G80+'RINCIAN B. LANGSUNG USAHA'!G149</f>
        <v>0</v>
      </c>
      <c r="G340" s="143"/>
      <c r="H340" s="437">
        <v>0</v>
      </c>
      <c r="I340" s="121"/>
      <c r="M340" s="1"/>
    </row>
    <row r="341" spans="1:13" x14ac:dyDescent="0.25">
      <c r="A341" s="125"/>
      <c r="B341" s="142"/>
      <c r="C341" s="142" t="s">
        <v>75</v>
      </c>
      <c r="D341" s="142"/>
      <c r="E341" s="142"/>
      <c r="F341" s="494">
        <f>'RINCIAN B. TDK LANGSUNG'!E106+'RINCIAN B. TDK LANGSUNG'!F106+'RINCIAN B. TDK LANGSUNG'!G106</f>
        <v>0</v>
      </c>
      <c r="G341" s="143"/>
      <c r="H341" s="437">
        <v>0</v>
      </c>
      <c r="I341" s="121"/>
      <c r="M341" s="1"/>
    </row>
    <row r="342" spans="1:13" x14ac:dyDescent="0.25">
      <c r="A342" s="125"/>
      <c r="B342" s="142"/>
      <c r="C342" s="142" t="s">
        <v>565</v>
      </c>
      <c r="D342" s="142"/>
      <c r="E342" s="142"/>
      <c r="F342" s="494">
        <f>'RINCIAN B. TDK LANGSUNG'!E179+'RINCIAN B. TDK LANGSUNG'!F179+'RINCIAN B. TDK LANGSUNG'!G179</f>
        <v>0</v>
      </c>
      <c r="G342" s="143"/>
      <c r="H342" s="437">
        <v>0</v>
      </c>
      <c r="I342" s="121"/>
      <c r="M342" s="1"/>
    </row>
    <row r="343" spans="1:13" x14ac:dyDescent="0.25">
      <c r="A343" s="125"/>
      <c r="B343" s="142"/>
      <c r="C343" s="142" t="s">
        <v>626</v>
      </c>
      <c r="D343" s="142"/>
      <c r="E343" s="142"/>
      <c r="F343" s="494">
        <f>'RINCIAN B. LANGSUNG USAHA'!E93+'RINCIAN B. LANGSUNG USAHA'!F93+'RINCIAN B. LANGSUNG USAHA'!G93</f>
        <v>0</v>
      </c>
      <c r="G343" s="143"/>
      <c r="H343" s="437">
        <v>0</v>
      </c>
      <c r="I343" s="121"/>
      <c r="M343" s="1"/>
    </row>
    <row r="344" spans="1:13" x14ac:dyDescent="0.25">
      <c r="A344" s="125"/>
      <c r="B344" s="142"/>
      <c r="C344" s="142" t="s">
        <v>646</v>
      </c>
      <c r="D344" s="142"/>
      <c r="E344" s="142"/>
      <c r="F344" s="494">
        <f>'RINCIAN B. TDK LANGSUNG'!E90+'RINCIAN B. TDK LANGSUNG'!F90+'RINCIAN B. TDK LANGSUNG'!G90</f>
        <v>0</v>
      </c>
      <c r="G344" s="143"/>
      <c r="H344" s="437">
        <v>0</v>
      </c>
      <c r="I344" s="121"/>
      <c r="M344" s="1"/>
    </row>
    <row r="345" spans="1:13" x14ac:dyDescent="0.25">
      <c r="A345" s="125"/>
      <c r="B345" s="142"/>
      <c r="C345" s="142" t="s">
        <v>82</v>
      </c>
      <c r="D345" s="142"/>
      <c r="E345" s="142"/>
      <c r="F345" s="494">
        <f>'RINCIAN B. LANGSUNG USAHA'!E83+'RINCIAN B. LANGSUNG USAHA'!E121+'RINCIAN B. LANGSUNG USAHA'!E150+'RINCIAN B. TDK LANGSUNG'!E137-'RINCIAN B. TDK LANGSUNG'!E125-'RINCIAN B. TDK LANGSUNG'!E124+'RINCIAN B. LANGSUNG USAHA'!F83+'RINCIAN B. LANGSUNG USAHA'!F121+'RINCIAN B. LANGSUNG USAHA'!F150+'RINCIAN B. TDK LANGSUNG'!F137-'RINCIAN B. TDK LANGSUNG'!F125-'RINCIAN B. TDK LANGSUNG'!F124+'RINCIAN B. LANGSUNG USAHA'!G83+'RINCIAN B. LANGSUNG USAHA'!G121+'RINCIAN B. LANGSUNG USAHA'!G150+'RINCIAN B. TDK LANGSUNG'!G137-'RINCIAN B. TDK LANGSUNG'!G125-'RINCIAN B. TDK LANGSUNG'!G124</f>
        <v>0</v>
      </c>
      <c r="G345" s="143"/>
      <c r="H345" s="437">
        <v>0</v>
      </c>
      <c r="I345" s="121"/>
      <c r="M345" s="1"/>
    </row>
    <row r="346" spans="1:13" x14ac:dyDescent="0.25">
      <c r="A346" s="125"/>
      <c r="B346" s="142"/>
      <c r="C346" s="142" t="s">
        <v>860</v>
      </c>
      <c r="D346" s="142"/>
      <c r="E346" s="142"/>
      <c r="F346" s="494">
        <f>'RINCIAN B. LANGSUNG USAHA'!E163+'RINCIAN B. LANGSUNG USAHA'!F163+'RINCIAN B. LANGSUNG USAHA'!G163</f>
        <v>0</v>
      </c>
      <c r="G346" s="143"/>
      <c r="H346" s="437">
        <v>0</v>
      </c>
      <c r="I346" s="121"/>
      <c r="M346" s="1"/>
    </row>
    <row r="347" spans="1:13" ht="15.75" thickBot="1" x14ac:dyDescent="0.3">
      <c r="A347" s="125"/>
      <c r="B347" s="694" t="s">
        <v>288</v>
      </c>
      <c r="C347" s="694"/>
      <c r="D347" s="694"/>
      <c r="E347" s="142"/>
      <c r="F347" s="665">
        <f>SUM(F330:F346)</f>
        <v>0</v>
      </c>
      <c r="G347" s="129"/>
      <c r="H347" s="664">
        <f>SUM(H330:H346)</f>
        <v>0</v>
      </c>
      <c r="I347" s="121"/>
      <c r="M347" s="1"/>
    </row>
    <row r="348" spans="1:13" ht="15.75" thickTop="1" x14ac:dyDescent="0.25">
      <c r="A348" s="125"/>
      <c r="B348" s="142"/>
      <c r="C348" s="130" t="s">
        <v>83</v>
      </c>
      <c r="D348" s="142"/>
      <c r="E348" s="142"/>
      <c r="F348" s="435">
        <f>F328-F347</f>
        <v>0</v>
      </c>
      <c r="G348" s="143"/>
      <c r="H348" s="435">
        <f>H328-H347</f>
        <v>0</v>
      </c>
      <c r="I348" s="121"/>
      <c r="M348" s="1"/>
    </row>
    <row r="349" spans="1:13" x14ac:dyDescent="0.25">
      <c r="A349" s="125"/>
      <c r="B349" s="142" t="s">
        <v>287</v>
      </c>
      <c r="C349" s="130"/>
      <c r="D349" s="142"/>
      <c r="E349" s="142"/>
      <c r="F349" s="435"/>
      <c r="G349" s="143"/>
      <c r="H349" s="436"/>
      <c r="I349" s="121"/>
      <c r="M349" s="1"/>
    </row>
    <row r="350" spans="1:13" x14ac:dyDescent="0.25">
      <c r="A350" s="125"/>
      <c r="B350" s="142"/>
      <c r="C350" s="142" t="s">
        <v>310</v>
      </c>
      <c r="D350" s="142"/>
      <c r="E350" s="142"/>
      <c r="F350" s="494">
        <f>'[1]88.00'!$F$80</f>
        <v>0</v>
      </c>
      <c r="G350" s="143"/>
      <c r="H350" s="437">
        <v>0</v>
      </c>
      <c r="I350" s="121"/>
      <c r="M350" s="1"/>
    </row>
    <row r="351" spans="1:13" x14ac:dyDescent="0.25">
      <c r="A351" s="125"/>
      <c r="B351" s="142"/>
      <c r="C351" s="142" t="s">
        <v>309</v>
      </c>
      <c r="D351" s="142"/>
      <c r="E351" s="142"/>
      <c r="F351" s="494">
        <v>0</v>
      </c>
      <c r="G351" s="143"/>
      <c r="H351" s="437">
        <v>0</v>
      </c>
      <c r="I351" s="121"/>
      <c r="M351" s="1"/>
    </row>
    <row r="352" spans="1:13" x14ac:dyDescent="0.25">
      <c r="A352" s="125"/>
      <c r="B352" s="142"/>
      <c r="C352" s="142" t="s">
        <v>308</v>
      </c>
      <c r="D352" s="142"/>
      <c r="E352" s="142"/>
      <c r="F352" s="494">
        <v>0</v>
      </c>
      <c r="G352" s="143"/>
      <c r="H352" s="437">
        <v>0</v>
      </c>
      <c r="I352" s="121"/>
      <c r="M352" s="1"/>
    </row>
    <row r="353" spans="1:13" x14ac:dyDescent="0.25">
      <c r="A353" s="125"/>
      <c r="B353" s="142"/>
      <c r="C353" s="142" t="s">
        <v>276</v>
      </c>
      <c r="D353" s="142"/>
      <c r="E353" s="142"/>
      <c r="F353" s="494">
        <f>'[1]88.00'!$F$105</f>
        <v>0</v>
      </c>
      <c r="G353" s="143"/>
      <c r="H353" s="437">
        <v>0</v>
      </c>
      <c r="I353" s="121"/>
      <c r="M353" s="1"/>
    </row>
    <row r="354" spans="1:13" x14ac:dyDescent="0.25">
      <c r="A354" s="125"/>
      <c r="B354" s="142"/>
      <c r="C354" s="142" t="s">
        <v>286</v>
      </c>
      <c r="D354" s="142"/>
      <c r="E354" s="142"/>
      <c r="F354" s="494">
        <f>-SUM('B. NON OPERASIONAL'!C74:E74)</f>
        <v>0</v>
      </c>
      <c r="G354" s="143"/>
      <c r="H354" s="437">
        <v>0</v>
      </c>
      <c r="I354" s="121"/>
      <c r="M354" s="1"/>
    </row>
    <row r="355" spans="1:13" x14ac:dyDescent="0.25">
      <c r="A355" s="125"/>
      <c r="B355" s="694" t="s">
        <v>285</v>
      </c>
      <c r="C355" s="694"/>
      <c r="D355" s="694"/>
      <c r="E355" s="142"/>
      <c r="F355" s="438">
        <f>SUM(F350:F354)</f>
        <v>0</v>
      </c>
      <c r="G355" s="129"/>
      <c r="H355" s="438">
        <f>SUM(H350:H354)</f>
        <v>0</v>
      </c>
      <c r="I355" s="121"/>
      <c r="M355" s="1"/>
    </row>
    <row r="356" spans="1:13" x14ac:dyDescent="0.25">
      <c r="A356" s="125"/>
      <c r="B356" s="130" t="s">
        <v>284</v>
      </c>
      <c r="C356" s="130"/>
      <c r="D356" s="142"/>
      <c r="E356" s="142"/>
      <c r="F356" s="435">
        <f>F348+F355</f>
        <v>0</v>
      </c>
      <c r="G356" s="129"/>
      <c r="H356" s="435">
        <f>H348+H355</f>
        <v>0</v>
      </c>
      <c r="I356" s="121"/>
      <c r="M356" s="1"/>
    </row>
    <row r="357" spans="1:13" x14ac:dyDescent="0.25">
      <c r="A357" s="125"/>
      <c r="B357" s="130" t="s">
        <v>1060</v>
      </c>
      <c r="C357" s="130"/>
      <c r="D357" s="142"/>
      <c r="E357" s="142"/>
      <c r="F357" s="435"/>
      <c r="G357" s="129"/>
      <c r="H357" s="435">
        <v>0</v>
      </c>
      <c r="I357" s="121"/>
      <c r="M357" s="1"/>
    </row>
    <row r="358" spans="1:13" x14ac:dyDescent="0.25">
      <c r="A358" s="125"/>
      <c r="B358" s="130" t="s">
        <v>283</v>
      </c>
      <c r="C358" s="142"/>
      <c r="D358" s="142"/>
      <c r="E358" s="142"/>
      <c r="F358" s="494">
        <v>0</v>
      </c>
      <c r="G358" s="143"/>
      <c r="H358" s="437">
        <v>0</v>
      </c>
      <c r="I358" s="121"/>
      <c r="M358" s="1"/>
    </row>
    <row r="359" spans="1:13" x14ac:dyDescent="0.25">
      <c r="A359" s="125"/>
      <c r="B359" s="703" t="s">
        <v>33</v>
      </c>
      <c r="C359" s="704"/>
      <c r="D359" s="705"/>
      <c r="E359" s="127"/>
      <c r="F359" s="439">
        <f>F356-F358</f>
        <v>0</v>
      </c>
      <c r="G359" s="126"/>
      <c r="H359" s="439">
        <f>H356+H357-H358</f>
        <v>0</v>
      </c>
      <c r="I359" s="121"/>
      <c r="M359" s="1"/>
    </row>
    <row r="360" spans="1:13" x14ac:dyDescent="0.25">
      <c r="A360" s="120"/>
      <c r="B360" s="119"/>
      <c r="C360" s="119"/>
      <c r="D360" s="119"/>
      <c r="E360" s="119"/>
      <c r="F360" s="495"/>
      <c r="G360" s="118"/>
      <c r="H360" s="218"/>
      <c r="I360" s="116"/>
      <c r="M360" s="1"/>
    </row>
    <row r="361" spans="1:13" x14ac:dyDescent="0.25">
      <c r="A361" s="115"/>
      <c r="B361" s="112"/>
      <c r="C361" s="112"/>
      <c r="D361" s="112"/>
      <c r="E361" s="112"/>
      <c r="F361" s="496"/>
      <c r="G361" s="114"/>
      <c r="H361" s="431"/>
      <c r="I361" s="112"/>
      <c r="M361" s="1"/>
    </row>
    <row r="362" spans="1:13" x14ac:dyDescent="0.25">
      <c r="A362" s="697" t="s">
        <v>579</v>
      </c>
      <c r="B362" s="697"/>
      <c r="C362" s="697"/>
      <c r="D362" s="697"/>
      <c r="E362" s="124"/>
      <c r="F362" s="698" t="s">
        <v>1062</v>
      </c>
      <c r="G362" s="698"/>
      <c r="H362" s="698"/>
      <c r="I362" s="698"/>
      <c r="M362" s="1"/>
    </row>
    <row r="363" spans="1:13" x14ac:dyDescent="0.25">
      <c r="A363" s="697" t="s">
        <v>678</v>
      </c>
      <c r="B363" s="697"/>
      <c r="C363" s="697"/>
      <c r="D363" s="697"/>
      <c r="E363" s="124"/>
      <c r="F363" s="698" t="s">
        <v>679</v>
      </c>
      <c r="G363" s="698"/>
      <c r="H363" s="698"/>
      <c r="I363" s="698"/>
      <c r="M363" s="1"/>
    </row>
    <row r="364" spans="1:13" x14ac:dyDescent="0.25">
      <c r="A364" s="697"/>
      <c r="B364" s="697"/>
      <c r="C364" s="697"/>
      <c r="D364" s="697"/>
      <c r="E364" s="124"/>
      <c r="F364" s="698"/>
      <c r="G364" s="698"/>
      <c r="H364" s="698"/>
      <c r="I364" s="698"/>
      <c r="M364" s="1"/>
    </row>
    <row r="365" spans="1:13" x14ac:dyDescent="0.25">
      <c r="A365" s="697"/>
      <c r="B365" s="697"/>
      <c r="C365" s="697"/>
      <c r="D365" s="697"/>
      <c r="E365" s="124"/>
      <c r="F365" s="698"/>
      <c r="G365" s="698"/>
      <c r="H365" s="698"/>
      <c r="I365" s="698"/>
      <c r="M365" s="1"/>
    </row>
    <row r="366" spans="1:13" x14ac:dyDescent="0.25">
      <c r="A366" s="697" t="s">
        <v>1038</v>
      </c>
      <c r="B366" s="697"/>
      <c r="C366" s="697"/>
      <c r="D366" s="697"/>
      <c r="E366" s="124"/>
      <c r="F366" s="698" t="s">
        <v>1039</v>
      </c>
      <c r="G366" s="698"/>
      <c r="H366" s="698"/>
      <c r="I366" s="698"/>
      <c r="M366" s="1"/>
    </row>
  </sheetData>
  <mergeCells count="101">
    <mergeCell ref="A365:D365"/>
    <mergeCell ref="F365:I365"/>
    <mergeCell ref="A366:D366"/>
    <mergeCell ref="F366:I366"/>
    <mergeCell ref="A362:D362"/>
    <mergeCell ref="F362:I362"/>
    <mergeCell ref="A363:D363"/>
    <mergeCell ref="F363:I363"/>
    <mergeCell ref="A364:D364"/>
    <mergeCell ref="F364:I364"/>
    <mergeCell ref="B312:D312"/>
    <mergeCell ref="B328:D328"/>
    <mergeCell ref="B347:D347"/>
    <mergeCell ref="B355:D355"/>
    <mergeCell ref="B359:D359"/>
    <mergeCell ref="B307:H307"/>
    <mergeCell ref="B308:H308"/>
    <mergeCell ref="B309:H309"/>
    <mergeCell ref="B310:H310"/>
    <mergeCell ref="A303:D303"/>
    <mergeCell ref="F303:I303"/>
    <mergeCell ref="A304:D304"/>
    <mergeCell ref="F304:I304"/>
    <mergeCell ref="F300:I300"/>
    <mergeCell ref="A301:D301"/>
    <mergeCell ref="F301:I301"/>
    <mergeCell ref="A302:D302"/>
    <mergeCell ref="F302:I302"/>
    <mergeCell ref="B266:D266"/>
    <mergeCell ref="B285:D285"/>
    <mergeCell ref="B293:D293"/>
    <mergeCell ref="B297:D297"/>
    <mergeCell ref="A300:D300"/>
    <mergeCell ref="B245:H245"/>
    <mergeCell ref="B246:H246"/>
    <mergeCell ref="B247:H247"/>
    <mergeCell ref="B248:H248"/>
    <mergeCell ref="B250:D250"/>
    <mergeCell ref="A65:I65"/>
    <mergeCell ref="A66:I66"/>
    <mergeCell ref="A67:I67"/>
    <mergeCell ref="A68:I68"/>
    <mergeCell ref="F62:I62"/>
    <mergeCell ref="A62:D62"/>
    <mergeCell ref="A63:I63"/>
    <mergeCell ref="A64:I64"/>
    <mergeCell ref="A58:D58"/>
    <mergeCell ref="A59:D59"/>
    <mergeCell ref="A60:D60"/>
    <mergeCell ref="A61:D61"/>
    <mergeCell ref="F58:I58"/>
    <mergeCell ref="F59:I59"/>
    <mergeCell ref="F60:I60"/>
    <mergeCell ref="F61:I61"/>
    <mergeCell ref="B55:D55"/>
    <mergeCell ref="B8:D8"/>
    <mergeCell ref="B3:H3"/>
    <mergeCell ref="B51:D51"/>
    <mergeCell ref="B4:H4"/>
    <mergeCell ref="B5:H5"/>
    <mergeCell ref="B6:H6"/>
    <mergeCell ref="B24:D24"/>
    <mergeCell ref="B43:D43"/>
    <mergeCell ref="B116:H116"/>
    <mergeCell ref="B117:H117"/>
    <mergeCell ref="B118:H118"/>
    <mergeCell ref="B119:H119"/>
    <mergeCell ref="B121:D121"/>
    <mergeCell ref="B137:D137"/>
    <mergeCell ref="B156:D156"/>
    <mergeCell ref="B164:D164"/>
    <mergeCell ref="B168:D168"/>
    <mergeCell ref="A171:D171"/>
    <mergeCell ref="F171:I171"/>
    <mergeCell ref="A172:D172"/>
    <mergeCell ref="F172:I172"/>
    <mergeCell ref="A173:D173"/>
    <mergeCell ref="F173:I173"/>
    <mergeCell ref="A174:D174"/>
    <mergeCell ref="F174:I174"/>
    <mergeCell ref="A175:D175"/>
    <mergeCell ref="F175:I175"/>
    <mergeCell ref="B201:D201"/>
    <mergeCell ref="B180:H180"/>
    <mergeCell ref="B181:H181"/>
    <mergeCell ref="B182:H182"/>
    <mergeCell ref="A239:D239"/>
    <mergeCell ref="F239:I239"/>
    <mergeCell ref="B183:H183"/>
    <mergeCell ref="B185:D185"/>
    <mergeCell ref="F237:I237"/>
    <mergeCell ref="A238:D238"/>
    <mergeCell ref="F238:I238"/>
    <mergeCell ref="F235:I235"/>
    <mergeCell ref="A236:D236"/>
    <mergeCell ref="F236:I236"/>
    <mergeCell ref="A237:D237"/>
    <mergeCell ref="B220:D220"/>
    <mergeCell ref="B228:D228"/>
    <mergeCell ref="B232:D232"/>
    <mergeCell ref="A235:D235"/>
  </mergeCells>
  <printOptions horizontalCentered="1" verticalCentered="1"/>
  <pageMargins left="0.66" right="0.21" top="0.16" bottom="0" header="0.12" footer="0.13"/>
  <pageSetup paperSize="9" scale="90" fitToWidth="15" fitToHeight="21" orientation="portrait" horizontalDpi="4294967293" verticalDpi="300" r:id="rId1"/>
  <rowBreaks count="4" manualBreakCount="4">
    <brk id="64" max="16" man="1"/>
    <brk id="113" max="16" man="1"/>
    <brk id="177" max="16" man="1"/>
    <brk id="242" max="16" man="1"/>
  </rowBreaks>
  <colBreaks count="1" manualBreakCount="1">
    <brk id="9" max="36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9"/>
  <sheetViews>
    <sheetView showWhiteSpace="0" view="pageLayout" topLeftCell="A790" zoomScaleNormal="100" workbookViewId="0">
      <selection activeCell="M44" sqref="M44"/>
    </sheetView>
  </sheetViews>
  <sheetFormatPr defaultColWidth="9.140625" defaultRowHeight="15" x14ac:dyDescent="0.25"/>
  <cols>
    <col min="1" max="1" width="1.28515625" style="1" customWidth="1"/>
    <col min="2" max="2" width="4.42578125" style="1" customWidth="1"/>
    <col min="3" max="3" width="4.28515625" style="1" customWidth="1"/>
    <col min="4" max="4" width="34.28515625" style="1" customWidth="1"/>
    <col min="5" max="5" width="0.7109375" style="1" customWidth="1"/>
    <col min="6" max="6" width="20.5703125" style="1" customWidth="1"/>
    <col min="7" max="7" width="0.7109375" style="1" customWidth="1"/>
    <col min="8" max="8" width="21.28515625" style="1" customWidth="1"/>
    <col min="9" max="9" width="1.28515625" style="1" customWidth="1"/>
    <col min="10" max="10" width="1.140625" style="1" customWidth="1"/>
    <col min="11" max="11" width="4" style="1" customWidth="1"/>
    <col min="12" max="12" width="4.140625" style="1" customWidth="1"/>
    <col min="13" max="13" width="36" style="150" customWidth="1"/>
    <col min="14" max="14" width="0.85546875" style="1" customWidth="1"/>
    <col min="15" max="15" width="19.28515625" style="1" customWidth="1"/>
    <col min="16" max="16" width="0.7109375" style="1" customWidth="1"/>
    <col min="17" max="17" width="20.140625" style="1" customWidth="1"/>
    <col min="18" max="18" width="1" style="1" customWidth="1"/>
    <col min="19" max="16384" width="9.140625" style="1"/>
  </cols>
  <sheetData>
    <row r="1" spans="1:10" x14ac:dyDescent="0.25">
      <c r="A1" s="717">
        <v>2.2000000000000002</v>
      </c>
      <c r="B1" s="717"/>
      <c r="C1" s="112" t="s">
        <v>889</v>
      </c>
      <c r="D1" s="112"/>
      <c r="E1" s="112"/>
      <c r="F1" s="113"/>
      <c r="G1" s="113"/>
      <c r="H1" s="113"/>
      <c r="I1" s="112"/>
      <c r="J1" s="112"/>
    </row>
    <row r="2" spans="1:10" ht="12.95" customHeight="1" x14ac:dyDescent="0.25">
      <c r="A2" s="112"/>
      <c r="B2" s="112"/>
      <c r="C2" s="112"/>
      <c r="D2" s="112"/>
      <c r="E2" s="112"/>
      <c r="F2" s="113"/>
      <c r="G2" s="113"/>
      <c r="H2" s="113"/>
      <c r="I2" s="112"/>
      <c r="J2" s="112"/>
    </row>
    <row r="3" spans="1:10" ht="20.25" x14ac:dyDescent="0.3">
      <c r="A3" s="141"/>
      <c r="B3" s="695" t="s">
        <v>650</v>
      </c>
      <c r="C3" s="695"/>
      <c r="D3" s="695"/>
      <c r="E3" s="695"/>
      <c r="F3" s="695"/>
      <c r="G3" s="695"/>
      <c r="H3" s="695"/>
      <c r="I3" s="140"/>
      <c r="J3" s="112"/>
    </row>
    <row r="4" spans="1:10" x14ac:dyDescent="0.25">
      <c r="A4" s="125"/>
      <c r="B4" s="696" t="s">
        <v>881</v>
      </c>
      <c r="C4" s="696"/>
      <c r="D4" s="696"/>
      <c r="E4" s="696"/>
      <c r="F4" s="696"/>
      <c r="G4" s="696"/>
      <c r="H4" s="696"/>
      <c r="I4" s="139"/>
      <c r="J4" s="112"/>
    </row>
    <row r="5" spans="1:10" x14ac:dyDescent="0.25">
      <c r="A5" s="125"/>
      <c r="B5" s="696" t="s">
        <v>1066</v>
      </c>
      <c r="C5" s="696"/>
      <c r="D5" s="696"/>
      <c r="E5" s="696"/>
      <c r="F5" s="696"/>
      <c r="G5" s="696"/>
      <c r="H5" s="696"/>
      <c r="I5" s="139"/>
      <c r="J5" s="112"/>
    </row>
    <row r="6" spans="1:10" ht="15.75" thickBot="1" x14ac:dyDescent="0.3">
      <c r="A6" s="125"/>
      <c r="B6" s="699" t="s">
        <v>0</v>
      </c>
      <c r="C6" s="699"/>
      <c r="D6" s="699"/>
      <c r="E6" s="699"/>
      <c r="F6" s="699"/>
      <c r="G6" s="699"/>
      <c r="H6" s="699"/>
      <c r="I6" s="139"/>
      <c r="J6" s="112"/>
    </row>
    <row r="7" spans="1:10" ht="8.25" customHeight="1" thickTop="1" x14ac:dyDescent="0.25">
      <c r="A7" s="125"/>
      <c r="B7" s="112"/>
      <c r="C7" s="112"/>
      <c r="D7" s="112"/>
      <c r="E7" s="112"/>
      <c r="F7" s="113"/>
      <c r="G7" s="113"/>
      <c r="H7" s="113"/>
      <c r="I7" s="136"/>
      <c r="J7" s="112"/>
    </row>
    <row r="8" spans="1:10" ht="22.5" customHeight="1" x14ac:dyDescent="0.25">
      <c r="A8" s="125"/>
      <c r="B8" s="711" t="s">
        <v>30</v>
      </c>
      <c r="C8" s="712"/>
      <c r="D8" s="713"/>
      <c r="E8" s="138"/>
      <c r="F8" s="159" t="s">
        <v>1051</v>
      </c>
      <c r="G8" s="137"/>
      <c r="H8" s="159" t="s">
        <v>861</v>
      </c>
      <c r="I8" s="136"/>
      <c r="J8" s="112"/>
    </row>
    <row r="9" spans="1:10" ht="13.5" customHeight="1" x14ac:dyDescent="0.25">
      <c r="A9" s="125"/>
      <c r="B9" s="112"/>
      <c r="C9" s="112"/>
      <c r="D9" s="112"/>
      <c r="E9" s="112"/>
      <c r="F9" s="113"/>
      <c r="G9" s="113"/>
      <c r="H9" s="113"/>
      <c r="I9" s="136"/>
      <c r="J9" s="112"/>
    </row>
    <row r="10" spans="1:10" ht="13.5" customHeight="1" x14ac:dyDescent="0.25">
      <c r="A10" s="125"/>
      <c r="B10" s="142" t="s">
        <v>1</v>
      </c>
      <c r="C10" s="142"/>
      <c r="D10" s="142"/>
      <c r="E10" s="142"/>
      <c r="F10" s="143"/>
      <c r="G10" s="143"/>
      <c r="H10" s="143"/>
      <c r="I10" s="135"/>
      <c r="J10" s="112"/>
    </row>
    <row r="11" spans="1:10" ht="13.5" customHeight="1" x14ac:dyDescent="0.25">
      <c r="A11" s="125"/>
      <c r="B11" s="142"/>
      <c r="C11" s="130" t="s">
        <v>2</v>
      </c>
      <c r="D11" s="130"/>
      <c r="E11" s="130"/>
      <c r="F11" s="129"/>
      <c r="G11" s="129"/>
      <c r="H11" s="676"/>
      <c r="I11" s="121"/>
      <c r="J11" s="112"/>
    </row>
    <row r="12" spans="1:10" ht="13.5" customHeight="1" x14ac:dyDescent="0.25">
      <c r="A12" s="125"/>
      <c r="B12" s="716" t="s">
        <v>312</v>
      </c>
      <c r="C12" s="716"/>
      <c r="D12" s="142" t="s">
        <v>303</v>
      </c>
      <c r="E12" s="130"/>
      <c r="F12" s="143">
        <f>H135</f>
        <v>0</v>
      </c>
      <c r="G12" s="143">
        <f t="shared" ref="G12" si="0">I732</f>
        <v>0</v>
      </c>
      <c r="H12" s="661">
        <v>0</v>
      </c>
      <c r="I12" s="121"/>
      <c r="J12" s="112"/>
    </row>
    <row r="13" spans="1:10" ht="13.5" customHeight="1" x14ac:dyDescent="0.25">
      <c r="A13" s="125"/>
      <c r="B13" s="716" t="s">
        <v>313</v>
      </c>
      <c r="C13" s="716"/>
      <c r="D13" s="142" t="s">
        <v>304</v>
      </c>
      <c r="E13" s="130"/>
      <c r="F13" s="143">
        <f>H136</f>
        <v>0</v>
      </c>
      <c r="G13" s="143">
        <f t="shared" ref="G13" si="1">I733</f>
        <v>0</v>
      </c>
      <c r="H13" s="661">
        <v>0</v>
      </c>
      <c r="I13" s="121"/>
      <c r="J13" s="112"/>
    </row>
    <row r="14" spans="1:10" ht="13.5" customHeight="1" x14ac:dyDescent="0.25">
      <c r="A14" s="125"/>
      <c r="B14" s="716" t="s">
        <v>314</v>
      </c>
      <c r="C14" s="716"/>
      <c r="D14" s="142" t="s">
        <v>315</v>
      </c>
      <c r="E14" s="130"/>
      <c r="F14" s="143">
        <f>H137</f>
        <v>0</v>
      </c>
      <c r="G14" s="143"/>
      <c r="H14" s="661">
        <v>0</v>
      </c>
      <c r="I14" s="121"/>
      <c r="J14" s="112"/>
    </row>
    <row r="15" spans="1:10" ht="13.5" customHeight="1" x14ac:dyDescent="0.25">
      <c r="A15" s="125"/>
      <c r="B15" s="142"/>
      <c r="C15" s="130"/>
      <c r="D15" s="127" t="s">
        <v>305</v>
      </c>
      <c r="E15" s="130"/>
      <c r="F15" s="678">
        <f>SUM(F12:F14)</f>
        <v>0</v>
      </c>
      <c r="G15" s="129"/>
      <c r="H15" s="679">
        <f>SUM(H12:H14)</f>
        <v>0</v>
      </c>
      <c r="I15" s="121"/>
      <c r="J15" s="112"/>
    </row>
    <row r="16" spans="1:10" ht="13.5" customHeight="1" x14ac:dyDescent="0.25">
      <c r="A16" s="125"/>
      <c r="B16" s="142"/>
      <c r="C16" s="130" t="s">
        <v>3</v>
      </c>
      <c r="D16" s="142"/>
      <c r="E16" s="142"/>
      <c r="F16" s="143"/>
      <c r="G16" s="143"/>
      <c r="H16" s="661"/>
      <c r="I16" s="121"/>
      <c r="J16" s="112"/>
    </row>
    <row r="17" spans="1:10" ht="13.5" customHeight="1" x14ac:dyDescent="0.25">
      <c r="A17" s="125"/>
      <c r="B17" s="716" t="s">
        <v>316</v>
      </c>
      <c r="C17" s="716"/>
      <c r="D17" s="142" t="s">
        <v>229</v>
      </c>
      <c r="E17" s="142"/>
      <c r="F17" s="143">
        <f>H140</f>
        <v>0</v>
      </c>
      <c r="G17" s="143"/>
      <c r="H17" s="661">
        <v>0</v>
      </c>
      <c r="I17" s="121"/>
      <c r="J17" s="112"/>
    </row>
    <row r="18" spans="1:10" ht="13.5" customHeight="1" x14ac:dyDescent="0.25">
      <c r="A18" s="125"/>
      <c r="B18" s="716" t="s">
        <v>317</v>
      </c>
      <c r="C18" s="716"/>
      <c r="D18" s="142" t="s">
        <v>232</v>
      </c>
      <c r="E18" s="142"/>
      <c r="F18" s="143">
        <f t="shared" ref="F18:F22" si="2">H196</f>
        <v>0</v>
      </c>
      <c r="G18" s="143"/>
      <c r="H18" s="661"/>
      <c r="I18" s="121"/>
      <c r="J18" s="112"/>
    </row>
    <row r="19" spans="1:10" ht="13.5" customHeight="1" x14ac:dyDescent="0.25">
      <c r="A19" s="125"/>
      <c r="B19" s="716" t="s">
        <v>318</v>
      </c>
      <c r="C19" s="716"/>
      <c r="D19" s="142" t="s">
        <v>230</v>
      </c>
      <c r="E19" s="142"/>
      <c r="F19" s="143">
        <f>H142</f>
        <v>0</v>
      </c>
      <c r="G19" s="143"/>
      <c r="H19" s="661">
        <v>0</v>
      </c>
      <c r="I19" s="121"/>
      <c r="J19" s="112"/>
    </row>
    <row r="20" spans="1:10" ht="13.5" customHeight="1" x14ac:dyDescent="0.25">
      <c r="A20" s="125"/>
      <c r="B20" s="716" t="s">
        <v>319</v>
      </c>
      <c r="C20" s="716"/>
      <c r="D20" s="142" t="s">
        <v>322</v>
      </c>
      <c r="E20" s="142"/>
      <c r="F20" s="143">
        <f t="shared" si="2"/>
        <v>0</v>
      </c>
      <c r="G20" s="143"/>
      <c r="H20" s="661"/>
      <c r="I20" s="121"/>
      <c r="J20" s="112"/>
    </row>
    <row r="21" spans="1:10" ht="13.5" customHeight="1" x14ac:dyDescent="0.25">
      <c r="A21" s="125"/>
      <c r="B21" s="716" t="s">
        <v>320</v>
      </c>
      <c r="C21" s="716"/>
      <c r="D21" s="142" t="s">
        <v>323</v>
      </c>
      <c r="E21" s="142"/>
      <c r="F21" s="143">
        <f t="shared" si="2"/>
        <v>0</v>
      </c>
      <c r="G21" s="143"/>
      <c r="H21" s="661">
        <v>0</v>
      </c>
      <c r="I21" s="121"/>
      <c r="J21" s="112"/>
    </row>
    <row r="22" spans="1:10" ht="13.5" customHeight="1" x14ac:dyDescent="0.25">
      <c r="A22" s="125"/>
      <c r="B22" s="716" t="s">
        <v>321</v>
      </c>
      <c r="C22" s="716"/>
      <c r="D22" s="142" t="s">
        <v>324</v>
      </c>
      <c r="E22" s="142"/>
      <c r="F22" s="143">
        <f t="shared" si="2"/>
        <v>0</v>
      </c>
      <c r="G22" s="143"/>
      <c r="H22" s="661">
        <v>0</v>
      </c>
      <c r="I22" s="121"/>
      <c r="J22" s="112"/>
    </row>
    <row r="23" spans="1:10" ht="13.5" customHeight="1" x14ac:dyDescent="0.25">
      <c r="A23" s="125"/>
      <c r="B23" s="142"/>
      <c r="C23" s="130"/>
      <c r="D23" s="127" t="s">
        <v>279</v>
      </c>
      <c r="E23" s="130"/>
      <c r="F23" s="680">
        <f>SUM(F17:F22)</f>
        <v>0</v>
      </c>
      <c r="G23" s="129"/>
      <c r="H23" s="681">
        <f>SUM(H17:H22)</f>
        <v>0</v>
      </c>
      <c r="I23" s="121"/>
      <c r="J23" s="112"/>
    </row>
    <row r="24" spans="1:10" ht="13.5" customHeight="1" thickBot="1" x14ac:dyDescent="0.3">
      <c r="A24" s="125"/>
      <c r="B24" s="694" t="s">
        <v>4</v>
      </c>
      <c r="C24" s="694"/>
      <c r="D24" s="694"/>
      <c r="E24" s="666" t="e">
        <f>#REF!+E23+E11</f>
        <v>#REF!</v>
      </c>
      <c r="F24" s="675">
        <f>F23+F15</f>
        <v>0</v>
      </c>
      <c r="G24" s="663"/>
      <c r="H24" s="682">
        <f>H23+H15</f>
        <v>0</v>
      </c>
      <c r="I24" s="121"/>
      <c r="J24" s="112"/>
    </row>
    <row r="25" spans="1:10" ht="13.5" customHeight="1" thickTop="1" x14ac:dyDescent="0.25">
      <c r="A25" s="125"/>
      <c r="B25" s="130" t="s">
        <v>289</v>
      </c>
      <c r="C25" s="142"/>
      <c r="D25" s="142"/>
      <c r="E25" s="142"/>
      <c r="F25" s="143"/>
      <c r="G25" s="143"/>
      <c r="H25" s="661"/>
      <c r="I25" s="121"/>
      <c r="J25" s="112"/>
    </row>
    <row r="26" spans="1:10" ht="13.5" customHeight="1" x14ac:dyDescent="0.25">
      <c r="A26" s="125"/>
      <c r="B26" s="142" t="s">
        <v>311</v>
      </c>
      <c r="C26" s="142" t="s">
        <v>289</v>
      </c>
      <c r="D26" s="142"/>
      <c r="E26" s="142"/>
      <c r="F26" s="143"/>
      <c r="G26" s="143"/>
      <c r="H26" s="661"/>
      <c r="I26" s="121"/>
      <c r="J26" s="112"/>
    </row>
    <row r="27" spans="1:10" ht="13.5" customHeight="1" x14ac:dyDescent="0.25">
      <c r="A27" s="125"/>
      <c r="B27" s="716" t="s">
        <v>325</v>
      </c>
      <c r="C27" s="716"/>
      <c r="D27" s="142" t="s">
        <v>328</v>
      </c>
      <c r="E27" s="142"/>
      <c r="F27" s="143">
        <f t="shared" ref="F27:F33" si="3">H150</f>
        <v>0</v>
      </c>
      <c r="G27" s="143"/>
      <c r="H27" s="661">
        <v>0</v>
      </c>
      <c r="I27" s="121"/>
      <c r="J27" s="112"/>
    </row>
    <row r="28" spans="1:10" ht="13.5" customHeight="1" x14ac:dyDescent="0.25">
      <c r="A28" s="125"/>
      <c r="B28" s="716" t="s">
        <v>326</v>
      </c>
      <c r="C28" s="716"/>
      <c r="D28" s="142" t="s">
        <v>329</v>
      </c>
      <c r="E28" s="142"/>
      <c r="F28" s="143">
        <f t="shared" si="3"/>
        <v>0</v>
      </c>
      <c r="G28" s="143"/>
      <c r="H28" s="661">
        <v>0</v>
      </c>
      <c r="I28" s="121"/>
      <c r="J28" s="112"/>
    </row>
    <row r="29" spans="1:10" ht="13.5" customHeight="1" x14ac:dyDescent="0.25">
      <c r="A29" s="125"/>
      <c r="B29" s="716" t="s">
        <v>327</v>
      </c>
      <c r="C29" s="716"/>
      <c r="D29" s="142" t="s">
        <v>330</v>
      </c>
      <c r="E29" s="142"/>
      <c r="F29" s="143">
        <f t="shared" si="3"/>
        <v>0</v>
      </c>
      <c r="G29" s="143"/>
      <c r="H29" s="683">
        <v>0</v>
      </c>
      <c r="I29" s="121"/>
      <c r="J29" s="112"/>
    </row>
    <row r="30" spans="1:10" ht="13.5" customHeight="1" x14ac:dyDescent="0.25">
      <c r="A30" s="125"/>
      <c r="B30" s="716" t="s">
        <v>331</v>
      </c>
      <c r="C30" s="716"/>
      <c r="D30" s="142" t="s">
        <v>252</v>
      </c>
      <c r="E30" s="142"/>
      <c r="F30" s="143">
        <f t="shared" si="3"/>
        <v>0</v>
      </c>
      <c r="G30" s="143"/>
      <c r="H30" s="683">
        <v>0</v>
      </c>
      <c r="I30" s="121"/>
      <c r="J30" s="112"/>
    </row>
    <row r="31" spans="1:10" ht="13.5" customHeight="1" x14ac:dyDescent="0.25">
      <c r="A31" s="125"/>
      <c r="B31" s="716" t="s">
        <v>332</v>
      </c>
      <c r="C31" s="716"/>
      <c r="D31" s="142" t="s">
        <v>335</v>
      </c>
      <c r="E31" s="142"/>
      <c r="F31" s="143">
        <f t="shared" si="3"/>
        <v>0</v>
      </c>
      <c r="G31" s="143"/>
      <c r="H31" s="683">
        <v>0</v>
      </c>
      <c r="I31" s="121"/>
      <c r="J31" s="112"/>
    </row>
    <row r="32" spans="1:10" ht="13.5" customHeight="1" x14ac:dyDescent="0.25">
      <c r="A32" s="125"/>
      <c r="B32" s="716" t="s">
        <v>333</v>
      </c>
      <c r="C32" s="716"/>
      <c r="D32" s="142" t="s">
        <v>334</v>
      </c>
      <c r="E32" s="142"/>
      <c r="F32" s="143">
        <f t="shared" si="3"/>
        <v>0</v>
      </c>
      <c r="G32" s="143"/>
      <c r="H32" s="683">
        <v>0</v>
      </c>
      <c r="I32" s="121"/>
      <c r="J32" s="112"/>
    </row>
    <row r="33" spans="1:10" ht="13.5" customHeight="1" x14ac:dyDescent="0.25">
      <c r="A33" s="125"/>
      <c r="B33" s="716" t="s">
        <v>337</v>
      </c>
      <c r="C33" s="716"/>
      <c r="D33" s="142" t="s">
        <v>860</v>
      </c>
      <c r="E33" s="142"/>
      <c r="F33" s="143">
        <f t="shared" si="3"/>
        <v>0</v>
      </c>
      <c r="G33" s="143"/>
      <c r="H33" s="683">
        <v>0</v>
      </c>
      <c r="I33" s="121"/>
      <c r="J33" s="112"/>
    </row>
    <row r="34" spans="1:10" ht="13.5" customHeight="1" x14ac:dyDescent="0.25">
      <c r="A34" s="125"/>
      <c r="B34" s="716" t="s">
        <v>888</v>
      </c>
      <c r="C34" s="716"/>
      <c r="D34" s="716"/>
      <c r="E34" s="142"/>
      <c r="F34" s="684">
        <f>SUM(F27:F33)</f>
        <v>0</v>
      </c>
      <c r="G34" s="143"/>
      <c r="H34" s="684">
        <f>SUM(H27:H33)</f>
        <v>0</v>
      </c>
      <c r="I34" s="121"/>
      <c r="J34" s="112"/>
    </row>
    <row r="35" spans="1:10" ht="13.5" customHeight="1" x14ac:dyDescent="0.25">
      <c r="A35" s="125"/>
      <c r="B35" s="716" t="s">
        <v>343</v>
      </c>
      <c r="C35" s="716"/>
      <c r="D35" s="716"/>
      <c r="E35" s="142"/>
      <c r="F35" s="685">
        <f>F24-F34</f>
        <v>0</v>
      </c>
      <c r="G35" s="143"/>
      <c r="H35" s="685">
        <f>H24-H34</f>
        <v>0</v>
      </c>
      <c r="I35" s="121"/>
      <c r="J35" s="112"/>
    </row>
    <row r="36" spans="1:10" ht="13.5" customHeight="1" x14ac:dyDescent="0.25">
      <c r="A36" s="125"/>
      <c r="B36" s="142" t="s">
        <v>336</v>
      </c>
      <c r="C36" s="142" t="s">
        <v>882</v>
      </c>
      <c r="D36" s="142"/>
      <c r="E36" s="142"/>
      <c r="F36" s="143"/>
      <c r="G36" s="143"/>
      <c r="H36" s="683"/>
      <c r="I36" s="121"/>
      <c r="J36" s="112"/>
    </row>
    <row r="37" spans="1:10" ht="13.5" customHeight="1" x14ac:dyDescent="0.25">
      <c r="A37" s="125"/>
      <c r="B37" s="716" t="s">
        <v>337</v>
      </c>
      <c r="C37" s="716"/>
      <c r="D37" s="142" t="s">
        <v>338</v>
      </c>
      <c r="E37" s="142"/>
      <c r="F37" s="143">
        <f>H160</f>
        <v>0</v>
      </c>
      <c r="G37" s="143"/>
      <c r="H37" s="683">
        <v>0</v>
      </c>
      <c r="I37" s="121"/>
      <c r="J37" s="112"/>
    </row>
    <row r="38" spans="1:10" ht="13.5" customHeight="1" x14ac:dyDescent="0.25">
      <c r="A38" s="125"/>
      <c r="B38" s="716" t="s">
        <v>339</v>
      </c>
      <c r="C38" s="716"/>
      <c r="D38" s="142" t="s">
        <v>340</v>
      </c>
      <c r="E38" s="142"/>
      <c r="F38" s="143">
        <f>H216</f>
        <v>0</v>
      </c>
      <c r="G38" s="143"/>
      <c r="H38" s="683">
        <v>0</v>
      </c>
      <c r="I38" s="121"/>
      <c r="J38" s="112"/>
    </row>
    <row r="39" spans="1:10" ht="13.5" customHeight="1" x14ac:dyDescent="0.25">
      <c r="A39" s="125"/>
      <c r="B39" s="716" t="s">
        <v>341</v>
      </c>
      <c r="C39" s="716"/>
      <c r="D39" s="142" t="s">
        <v>342</v>
      </c>
      <c r="E39" s="142"/>
      <c r="F39" s="143">
        <f>H162</f>
        <v>0</v>
      </c>
      <c r="G39" s="143"/>
      <c r="H39" s="683">
        <v>0</v>
      </c>
      <c r="I39" s="121"/>
      <c r="J39" s="112"/>
    </row>
    <row r="40" spans="1:10" ht="13.5" customHeight="1" x14ac:dyDescent="0.25">
      <c r="A40" s="125"/>
      <c r="B40" s="716" t="s">
        <v>883</v>
      </c>
      <c r="C40" s="716"/>
      <c r="D40" s="716"/>
      <c r="E40" s="142"/>
      <c r="F40" s="684">
        <f>SUM(F37:F39)</f>
        <v>0</v>
      </c>
      <c r="G40" s="143"/>
      <c r="H40" s="684">
        <v>0</v>
      </c>
      <c r="I40" s="121"/>
      <c r="J40" s="112"/>
    </row>
    <row r="41" spans="1:10" ht="13.5" customHeight="1" x14ac:dyDescent="0.25">
      <c r="A41" s="125"/>
      <c r="B41" s="716" t="s">
        <v>884</v>
      </c>
      <c r="C41" s="716"/>
      <c r="D41" s="716"/>
      <c r="E41" s="142"/>
      <c r="F41" s="685">
        <f>F35-F40</f>
        <v>0</v>
      </c>
      <c r="G41" s="143"/>
      <c r="H41" s="685">
        <f>H35-H40</f>
        <v>0</v>
      </c>
      <c r="I41" s="121"/>
      <c r="J41" s="112"/>
    </row>
    <row r="42" spans="1:10" ht="13.5" customHeight="1" x14ac:dyDescent="0.25">
      <c r="A42" s="125"/>
      <c r="B42" s="677" t="s">
        <v>344</v>
      </c>
      <c r="C42" s="208" t="s">
        <v>885</v>
      </c>
      <c r="D42" s="677"/>
      <c r="E42" s="142"/>
      <c r="F42" s="143"/>
      <c r="G42" s="143"/>
      <c r="H42" s="683"/>
      <c r="I42" s="121"/>
      <c r="J42" s="112"/>
    </row>
    <row r="43" spans="1:10" ht="13.5" customHeight="1" x14ac:dyDescent="0.25">
      <c r="A43" s="125"/>
      <c r="B43" s="716" t="s">
        <v>345</v>
      </c>
      <c r="C43" s="716"/>
      <c r="D43" s="208" t="s">
        <v>5</v>
      </c>
      <c r="E43" s="142"/>
      <c r="F43" s="143">
        <f>H166</f>
        <v>0</v>
      </c>
      <c r="G43" s="143"/>
      <c r="H43" s="683">
        <v>0</v>
      </c>
      <c r="I43" s="121"/>
      <c r="J43" s="112"/>
    </row>
    <row r="44" spans="1:10" ht="13.5" customHeight="1" x14ac:dyDescent="0.25">
      <c r="A44" s="125"/>
      <c r="B44" s="716" t="s">
        <v>346</v>
      </c>
      <c r="C44" s="716"/>
      <c r="D44" s="208" t="s">
        <v>887</v>
      </c>
      <c r="E44" s="142"/>
      <c r="F44" s="143">
        <f>H167</f>
        <v>0</v>
      </c>
      <c r="G44" s="143"/>
      <c r="H44" s="683">
        <v>0</v>
      </c>
      <c r="I44" s="121"/>
      <c r="J44" s="112"/>
    </row>
    <row r="45" spans="1:10" ht="13.5" customHeight="1" x14ac:dyDescent="0.25">
      <c r="A45" s="125"/>
      <c r="B45" s="716" t="s">
        <v>886</v>
      </c>
      <c r="C45" s="716"/>
      <c r="D45" s="716"/>
      <c r="E45" s="142"/>
      <c r="F45" s="684">
        <f>SUM(F43:F44)</f>
        <v>0</v>
      </c>
      <c r="G45" s="143"/>
      <c r="H45" s="684">
        <f>SUM(H43:H44)</f>
        <v>0</v>
      </c>
      <c r="I45" s="121"/>
      <c r="J45" s="112"/>
    </row>
    <row r="46" spans="1:10" ht="13.5" customHeight="1" x14ac:dyDescent="0.25">
      <c r="A46" s="125"/>
      <c r="B46" s="716" t="s">
        <v>347</v>
      </c>
      <c r="C46" s="716"/>
      <c r="D46" s="716"/>
      <c r="E46" s="142"/>
      <c r="F46" s="685">
        <f>F41+F45</f>
        <v>0</v>
      </c>
      <c r="G46" s="143"/>
      <c r="H46" s="685">
        <f>H41+H45</f>
        <v>0</v>
      </c>
      <c r="I46" s="121"/>
      <c r="J46" s="112"/>
    </row>
    <row r="47" spans="1:10" ht="13.5" customHeight="1" x14ac:dyDescent="0.25">
      <c r="A47" s="125"/>
      <c r="B47" s="677"/>
      <c r="C47" s="677"/>
      <c r="D47" s="208" t="s">
        <v>348</v>
      </c>
      <c r="E47" s="142"/>
      <c r="F47" s="683"/>
      <c r="G47" s="143"/>
      <c r="H47" s="683">
        <v>0</v>
      </c>
      <c r="I47" s="121"/>
      <c r="J47" s="112"/>
    </row>
    <row r="48" spans="1:10" ht="13.5" customHeight="1" x14ac:dyDescent="0.25">
      <c r="A48" s="125"/>
      <c r="B48" s="142"/>
      <c r="C48" s="142"/>
      <c r="D48" s="142" t="s">
        <v>1085</v>
      </c>
      <c r="E48" s="142"/>
      <c r="F48" s="683">
        <v>0</v>
      </c>
      <c r="G48" s="143"/>
      <c r="H48" s="683">
        <v>0</v>
      </c>
      <c r="I48" s="121"/>
      <c r="J48" s="112"/>
    </row>
    <row r="49" spans="1:13" ht="23.25" customHeight="1" x14ac:dyDescent="0.25">
      <c r="A49" s="125"/>
      <c r="B49" s="707" t="s">
        <v>29</v>
      </c>
      <c r="C49" s="708"/>
      <c r="D49" s="709"/>
      <c r="E49" s="142"/>
      <c r="F49" s="161">
        <f>SUM(F46:F48)</f>
        <v>0</v>
      </c>
      <c r="G49" s="143"/>
      <c r="H49" s="161">
        <f>SUM(H46:H48)</f>
        <v>0</v>
      </c>
      <c r="I49" s="121"/>
      <c r="J49" s="112"/>
    </row>
    <row r="50" spans="1:13" x14ac:dyDescent="0.25">
      <c r="A50" s="120"/>
      <c r="B50" s="119"/>
      <c r="C50" s="119"/>
      <c r="D50" s="119"/>
      <c r="E50" s="119"/>
      <c r="F50" s="118"/>
      <c r="G50" s="118"/>
      <c r="H50" s="117"/>
      <c r="I50" s="116"/>
      <c r="J50" s="112"/>
      <c r="M50" s="313"/>
    </row>
    <row r="51" spans="1:13" x14ac:dyDescent="0.25">
      <c r="A51" s="115"/>
      <c r="B51" s="112"/>
      <c r="C51" s="112"/>
      <c r="D51" s="112"/>
      <c r="E51" s="112"/>
      <c r="F51" s="114"/>
      <c r="G51" s="114"/>
      <c r="H51" s="113"/>
      <c r="I51" s="112"/>
      <c r="J51" s="112"/>
    </row>
    <row r="52" spans="1:13" x14ac:dyDescent="0.25">
      <c r="A52" s="706" t="s">
        <v>580</v>
      </c>
      <c r="B52" s="706"/>
      <c r="C52" s="706"/>
      <c r="D52" s="706"/>
      <c r="E52" s="13"/>
      <c r="F52" s="698" t="s">
        <v>1062</v>
      </c>
      <c r="G52" s="698"/>
      <c r="H52" s="698"/>
      <c r="I52" s="698"/>
      <c r="J52" s="112"/>
    </row>
    <row r="53" spans="1:13" x14ac:dyDescent="0.25">
      <c r="A53" s="706" t="s">
        <v>858</v>
      </c>
      <c r="B53" s="706"/>
      <c r="C53" s="706"/>
      <c r="D53" s="706"/>
      <c r="E53" s="13"/>
      <c r="F53" s="698" t="s">
        <v>680</v>
      </c>
      <c r="G53" s="698"/>
      <c r="H53" s="698"/>
      <c r="I53" s="698"/>
      <c r="J53" s="112"/>
    </row>
    <row r="54" spans="1:13" x14ac:dyDescent="0.25">
      <c r="A54" s="706"/>
      <c r="B54" s="706"/>
      <c r="C54" s="706"/>
      <c r="D54" s="706"/>
      <c r="E54" s="13"/>
      <c r="F54" s="698"/>
      <c r="G54" s="698"/>
      <c r="H54" s="698"/>
      <c r="I54" s="698"/>
      <c r="J54" s="112"/>
    </row>
    <row r="55" spans="1:13" x14ac:dyDescent="0.25">
      <c r="A55" s="706"/>
      <c r="B55" s="706"/>
      <c r="C55" s="706"/>
      <c r="D55" s="706"/>
      <c r="E55" s="13"/>
      <c r="F55" s="698"/>
      <c r="G55" s="698"/>
      <c r="H55" s="698"/>
      <c r="I55" s="698"/>
      <c r="J55" s="112"/>
    </row>
    <row r="56" spans="1:13" x14ac:dyDescent="0.25">
      <c r="A56" s="706" t="s">
        <v>1038</v>
      </c>
      <c r="B56" s="706"/>
      <c r="C56" s="706"/>
      <c r="D56" s="706"/>
      <c r="E56" s="13"/>
      <c r="F56" s="698" t="s">
        <v>1039</v>
      </c>
      <c r="G56" s="698"/>
      <c r="H56" s="698"/>
      <c r="I56" s="698"/>
      <c r="J56" s="112"/>
    </row>
    <row r="57" spans="1:13" x14ac:dyDescent="0.25">
      <c r="A57" s="115"/>
      <c r="B57" s="112"/>
      <c r="C57" s="112"/>
      <c r="D57" s="112"/>
      <c r="E57" s="112"/>
      <c r="F57" s="114"/>
      <c r="G57" s="114"/>
      <c r="H57" s="113"/>
      <c r="I57" s="112"/>
      <c r="J57" s="112"/>
    </row>
    <row r="58" spans="1:13" x14ac:dyDescent="0.25">
      <c r="A58" s="115"/>
      <c r="B58" s="112"/>
      <c r="C58" s="112"/>
      <c r="D58" s="112"/>
      <c r="E58" s="112"/>
      <c r="F58" s="114"/>
      <c r="G58" s="114"/>
      <c r="H58" s="113"/>
      <c r="I58" s="112"/>
      <c r="J58" s="112"/>
    </row>
    <row r="59" spans="1:13" x14ac:dyDescent="0.25">
      <c r="A59" s="115"/>
      <c r="B59" s="112"/>
      <c r="C59" s="112"/>
      <c r="D59" s="112"/>
      <c r="E59" s="112"/>
      <c r="F59" s="114"/>
      <c r="G59" s="114"/>
      <c r="H59" s="113"/>
      <c r="I59" s="112"/>
      <c r="J59" s="112"/>
    </row>
    <row r="60" spans="1:13" x14ac:dyDescent="0.25">
      <c r="A60" s="115"/>
      <c r="B60" s="112"/>
      <c r="C60" s="112"/>
      <c r="D60" s="112"/>
      <c r="E60" s="112"/>
      <c r="F60" s="114"/>
      <c r="G60" s="114"/>
      <c r="H60" s="113"/>
      <c r="I60" s="112"/>
      <c r="J60" s="112"/>
    </row>
    <row r="61" spans="1:13" x14ac:dyDescent="0.25">
      <c r="A61" s="115"/>
      <c r="B61" s="112"/>
      <c r="C61" s="112"/>
      <c r="D61" s="112"/>
      <c r="E61" s="112"/>
      <c r="F61" s="114"/>
      <c r="G61" s="114"/>
      <c r="H61" s="113"/>
      <c r="I61" s="112"/>
      <c r="J61" s="112"/>
    </row>
    <row r="62" spans="1:13" x14ac:dyDescent="0.25">
      <c r="A62" s="115"/>
      <c r="B62" s="112"/>
      <c r="C62" s="112"/>
      <c r="D62" s="112"/>
      <c r="E62" s="112"/>
      <c r="F62" s="114"/>
      <c r="G62" s="114"/>
      <c r="H62" s="113"/>
      <c r="I62" s="112"/>
      <c r="J62" s="112"/>
    </row>
    <row r="63" spans="1:13" x14ac:dyDescent="0.25">
      <c r="A63" s="112" t="s">
        <v>653</v>
      </c>
      <c r="B63" s="112"/>
      <c r="C63" s="112"/>
      <c r="D63" s="112"/>
      <c r="E63" s="112"/>
      <c r="F63" s="113"/>
      <c r="G63" s="113"/>
      <c r="H63" s="113"/>
      <c r="I63" s="112"/>
      <c r="J63" s="112"/>
    </row>
    <row r="64" spans="1:13" x14ac:dyDescent="0.25">
      <c r="A64" s="112"/>
      <c r="B64" s="112"/>
      <c r="C64" s="112"/>
      <c r="D64" s="112"/>
      <c r="E64" s="112"/>
      <c r="F64" s="113"/>
      <c r="G64" s="113"/>
      <c r="H64" s="113"/>
      <c r="I64" s="112"/>
      <c r="J64" s="112"/>
    </row>
    <row r="65" spans="1:10" ht="20.25" x14ac:dyDescent="0.3">
      <c r="A65" s="141"/>
      <c r="B65" s="695" t="s">
        <v>650</v>
      </c>
      <c r="C65" s="695"/>
      <c r="D65" s="695"/>
      <c r="E65" s="695"/>
      <c r="F65" s="695"/>
      <c r="G65" s="695"/>
      <c r="H65" s="695"/>
      <c r="I65" s="140"/>
      <c r="J65" s="112"/>
    </row>
    <row r="66" spans="1:10" x14ac:dyDescent="0.25">
      <c r="A66" s="125"/>
      <c r="B66" s="696" t="s">
        <v>881</v>
      </c>
      <c r="C66" s="696"/>
      <c r="D66" s="696"/>
      <c r="E66" s="696"/>
      <c r="F66" s="696"/>
      <c r="G66" s="696"/>
      <c r="H66" s="696"/>
      <c r="I66" s="139"/>
      <c r="J66" s="112"/>
    </row>
    <row r="67" spans="1:10" x14ac:dyDescent="0.25">
      <c r="A67" s="125"/>
      <c r="B67" s="696" t="s">
        <v>1048</v>
      </c>
      <c r="C67" s="696"/>
      <c r="D67" s="696"/>
      <c r="E67" s="696"/>
      <c r="F67" s="696"/>
      <c r="G67" s="696"/>
      <c r="H67" s="696"/>
      <c r="I67" s="139"/>
      <c r="J67" s="112"/>
    </row>
    <row r="68" spans="1:10" ht="15.75" thickBot="1" x14ac:dyDescent="0.3">
      <c r="A68" s="125"/>
      <c r="B68" s="699" t="s">
        <v>0</v>
      </c>
      <c r="C68" s="699"/>
      <c r="D68" s="699"/>
      <c r="E68" s="699"/>
      <c r="F68" s="699"/>
      <c r="G68" s="699"/>
      <c r="H68" s="699"/>
      <c r="I68" s="139"/>
      <c r="J68" s="112"/>
    </row>
    <row r="69" spans="1:10" ht="15.75" thickTop="1" x14ac:dyDescent="0.25">
      <c r="A69" s="125"/>
      <c r="B69" s="112"/>
      <c r="C69" s="112"/>
      <c r="D69" s="112"/>
      <c r="E69" s="112"/>
      <c r="F69" s="113"/>
      <c r="G69" s="113"/>
      <c r="H69" s="113"/>
      <c r="I69" s="136"/>
      <c r="J69" s="112"/>
    </row>
    <row r="70" spans="1:10" ht="25.5" x14ac:dyDescent="0.25">
      <c r="A70" s="125"/>
      <c r="B70" s="711" t="s">
        <v>30</v>
      </c>
      <c r="C70" s="712"/>
      <c r="D70" s="713"/>
      <c r="E70" s="138"/>
      <c r="F70" s="159" t="s">
        <v>291</v>
      </c>
      <c r="G70" s="137"/>
      <c r="H70" s="165" t="s">
        <v>558</v>
      </c>
      <c r="I70" s="136"/>
      <c r="J70" s="112"/>
    </row>
    <row r="71" spans="1:10" ht="12.95" customHeight="1" x14ac:dyDescent="0.25">
      <c r="A71" s="125"/>
      <c r="B71" s="112"/>
      <c r="C71" s="112"/>
      <c r="D71" s="112"/>
      <c r="E71" s="112"/>
      <c r="F71" s="113"/>
      <c r="G71" s="113"/>
      <c r="H71" s="113"/>
      <c r="I71" s="136"/>
      <c r="J71" s="112"/>
    </row>
    <row r="72" spans="1:10" ht="12.95" customHeight="1" x14ac:dyDescent="0.25">
      <c r="A72" s="125"/>
      <c r="B72" s="124" t="s">
        <v>1</v>
      </c>
      <c r="C72" s="124"/>
      <c r="D72" s="124"/>
      <c r="E72" s="124"/>
      <c r="F72" s="123"/>
      <c r="G72" s="123"/>
      <c r="H72" s="123"/>
      <c r="I72" s="135"/>
      <c r="J72" s="112"/>
    </row>
    <row r="73" spans="1:10" ht="12.95" customHeight="1" x14ac:dyDescent="0.25">
      <c r="A73" s="125"/>
      <c r="B73" s="124"/>
      <c r="C73" s="128" t="s">
        <v>2</v>
      </c>
      <c r="D73" s="128"/>
      <c r="E73" s="128"/>
      <c r="F73" s="132"/>
      <c r="G73" s="132"/>
      <c r="H73" s="133"/>
      <c r="I73" s="121"/>
      <c r="J73" s="112"/>
    </row>
    <row r="74" spans="1:10" ht="12.95" customHeight="1" x14ac:dyDescent="0.25">
      <c r="A74" s="125"/>
      <c r="B74" s="697" t="s">
        <v>312</v>
      </c>
      <c r="C74" s="697"/>
      <c r="D74" s="124" t="s">
        <v>303</v>
      </c>
      <c r="E74" s="128"/>
      <c r="F74" s="123">
        <v>0</v>
      </c>
      <c r="G74" s="123"/>
      <c r="H74" s="122">
        <f>F74</f>
        <v>0</v>
      </c>
      <c r="I74" s="121"/>
      <c r="J74" s="112"/>
    </row>
    <row r="75" spans="1:10" ht="12.95" customHeight="1" x14ac:dyDescent="0.25">
      <c r="A75" s="125"/>
      <c r="B75" s="697" t="s">
        <v>313</v>
      </c>
      <c r="C75" s="697"/>
      <c r="D75" s="124" t="s">
        <v>304</v>
      </c>
      <c r="E75" s="128"/>
      <c r="F75" s="123">
        <v>0</v>
      </c>
      <c r="G75" s="123"/>
      <c r="H75" s="122">
        <f t="shared" ref="H75:H76" si="4">F75</f>
        <v>0</v>
      </c>
      <c r="I75" s="121"/>
      <c r="J75" s="112"/>
    </row>
    <row r="76" spans="1:10" ht="12.95" customHeight="1" x14ac:dyDescent="0.25">
      <c r="A76" s="125"/>
      <c r="B76" s="697" t="s">
        <v>314</v>
      </c>
      <c r="C76" s="697"/>
      <c r="D76" s="124" t="s">
        <v>315</v>
      </c>
      <c r="E76" s="128"/>
      <c r="F76" s="123">
        <v>0</v>
      </c>
      <c r="G76" s="123"/>
      <c r="H76" s="122">
        <f t="shared" si="4"/>
        <v>0</v>
      </c>
      <c r="I76" s="121"/>
      <c r="J76" s="112"/>
    </row>
    <row r="77" spans="1:10" ht="12.95" customHeight="1" x14ac:dyDescent="0.25">
      <c r="A77" s="125"/>
      <c r="B77" s="124"/>
      <c r="C77" s="128"/>
      <c r="D77" s="134" t="s">
        <v>305</v>
      </c>
      <c r="E77" s="128"/>
      <c r="F77" s="155">
        <f>SUM(F74:F76)</f>
        <v>0</v>
      </c>
      <c r="G77" s="132"/>
      <c r="H77" s="156">
        <f>SUM(H74:H76)</f>
        <v>0</v>
      </c>
      <c r="I77" s="121"/>
      <c r="J77" s="112"/>
    </row>
    <row r="78" spans="1:10" ht="12.95" customHeight="1" x14ac:dyDescent="0.25">
      <c r="A78" s="125"/>
      <c r="B78" s="124"/>
      <c r="C78" s="128" t="s">
        <v>3</v>
      </c>
      <c r="D78" s="124"/>
      <c r="E78" s="124"/>
      <c r="F78" s="123"/>
      <c r="G78" s="123"/>
      <c r="H78" s="122"/>
      <c r="I78" s="121"/>
      <c r="J78" s="112"/>
    </row>
    <row r="79" spans="1:10" ht="12.95" customHeight="1" x14ac:dyDescent="0.25">
      <c r="A79" s="125"/>
      <c r="B79" s="697" t="s">
        <v>316</v>
      </c>
      <c r="C79" s="697"/>
      <c r="D79" s="124" t="s">
        <v>229</v>
      </c>
      <c r="E79" s="124"/>
      <c r="F79" s="123">
        <v>0</v>
      </c>
      <c r="G79" s="123"/>
      <c r="H79" s="122">
        <f>F79</f>
        <v>0</v>
      </c>
      <c r="I79" s="121"/>
      <c r="J79" s="112"/>
    </row>
    <row r="80" spans="1:10" ht="12.95" customHeight="1" x14ac:dyDescent="0.25">
      <c r="A80" s="125"/>
      <c r="B80" s="697" t="s">
        <v>317</v>
      </c>
      <c r="C80" s="697"/>
      <c r="D80" s="124" t="s">
        <v>232</v>
      </c>
      <c r="E80" s="124"/>
      <c r="F80" s="123"/>
      <c r="G80" s="123"/>
      <c r="H80" s="122">
        <f t="shared" ref="H80:H84" si="5">F80</f>
        <v>0</v>
      </c>
      <c r="I80" s="121"/>
      <c r="J80" s="112"/>
    </row>
    <row r="81" spans="1:10" ht="12.95" customHeight="1" x14ac:dyDescent="0.25">
      <c r="A81" s="125"/>
      <c r="B81" s="697" t="s">
        <v>318</v>
      </c>
      <c r="C81" s="697"/>
      <c r="D81" s="124" t="s">
        <v>230</v>
      </c>
      <c r="E81" s="124"/>
      <c r="F81" s="123">
        <v>0</v>
      </c>
      <c r="G81" s="123"/>
      <c r="H81" s="122">
        <f t="shared" si="5"/>
        <v>0</v>
      </c>
      <c r="I81" s="121"/>
      <c r="J81" s="112"/>
    </row>
    <row r="82" spans="1:10" ht="12.95" customHeight="1" x14ac:dyDescent="0.25">
      <c r="A82" s="125"/>
      <c r="B82" s="697" t="s">
        <v>319</v>
      </c>
      <c r="C82" s="697"/>
      <c r="D82" s="124" t="s">
        <v>322</v>
      </c>
      <c r="E82" s="124"/>
      <c r="F82" s="123"/>
      <c r="G82" s="123"/>
      <c r="H82" s="122">
        <f t="shared" si="5"/>
        <v>0</v>
      </c>
      <c r="I82" s="121"/>
      <c r="J82" s="112"/>
    </row>
    <row r="83" spans="1:10" ht="12.95" customHeight="1" x14ac:dyDescent="0.25">
      <c r="A83" s="125"/>
      <c r="B83" s="697" t="s">
        <v>320</v>
      </c>
      <c r="C83" s="697"/>
      <c r="D83" s="124" t="s">
        <v>323</v>
      </c>
      <c r="E83" s="124"/>
      <c r="F83" s="123"/>
      <c r="G83" s="123"/>
      <c r="H83" s="122">
        <f t="shared" si="5"/>
        <v>0</v>
      </c>
      <c r="I83" s="121"/>
      <c r="J83" s="112"/>
    </row>
    <row r="84" spans="1:10" ht="12.95" customHeight="1" x14ac:dyDescent="0.25">
      <c r="A84" s="125"/>
      <c r="B84" s="697" t="s">
        <v>321</v>
      </c>
      <c r="C84" s="697"/>
      <c r="D84" s="124" t="s">
        <v>324</v>
      </c>
      <c r="E84" s="124"/>
      <c r="F84" s="123"/>
      <c r="G84" s="123"/>
      <c r="H84" s="122">
        <f t="shared" si="5"/>
        <v>0</v>
      </c>
      <c r="I84" s="121"/>
      <c r="J84" s="112"/>
    </row>
    <row r="85" spans="1:10" ht="12.95" customHeight="1" x14ac:dyDescent="0.25">
      <c r="A85" s="125"/>
      <c r="B85" s="124"/>
      <c r="C85" s="128"/>
      <c r="D85" s="134" t="s">
        <v>279</v>
      </c>
      <c r="E85" s="128"/>
      <c r="F85" s="157">
        <f>SUM(F79:F84)</f>
        <v>0</v>
      </c>
      <c r="G85" s="132"/>
      <c r="H85" s="158">
        <f>SUM(H79:H84)</f>
        <v>0</v>
      </c>
      <c r="I85" s="121"/>
      <c r="J85" s="112"/>
    </row>
    <row r="86" spans="1:10" ht="12.95" customHeight="1" thickBot="1" x14ac:dyDescent="0.3">
      <c r="A86" s="125"/>
      <c r="B86" s="710" t="s">
        <v>4</v>
      </c>
      <c r="C86" s="710"/>
      <c r="D86" s="710"/>
      <c r="E86" s="149" t="e">
        <f>#REF!+E85+E73</f>
        <v>#REF!</v>
      </c>
      <c r="F86" s="131">
        <f>F85+F77</f>
        <v>0</v>
      </c>
      <c r="G86" s="133"/>
      <c r="H86" s="131">
        <f>H85+H77</f>
        <v>0</v>
      </c>
      <c r="I86" s="121"/>
      <c r="J86" s="112"/>
    </row>
    <row r="87" spans="1:10" ht="12.95" customHeight="1" thickTop="1" x14ac:dyDescent="0.25">
      <c r="A87" s="125"/>
      <c r="B87" s="128" t="s">
        <v>289</v>
      </c>
      <c r="C87" s="124"/>
      <c r="D87" s="124"/>
      <c r="E87" s="124"/>
      <c r="F87" s="123"/>
      <c r="G87" s="123"/>
      <c r="H87" s="122"/>
      <c r="I87" s="121"/>
      <c r="J87" s="112"/>
    </row>
    <row r="88" spans="1:10" ht="12.95" customHeight="1" x14ac:dyDescent="0.25">
      <c r="A88" s="125"/>
      <c r="B88" s="124" t="s">
        <v>311</v>
      </c>
      <c r="C88" s="124" t="s">
        <v>289</v>
      </c>
      <c r="D88" s="124"/>
      <c r="E88" s="124"/>
      <c r="F88" s="123"/>
      <c r="G88" s="123"/>
      <c r="H88" s="122"/>
      <c r="I88" s="121"/>
      <c r="J88" s="112"/>
    </row>
    <row r="89" spans="1:10" ht="12.95" customHeight="1" x14ac:dyDescent="0.25">
      <c r="A89" s="125"/>
      <c r="B89" s="697" t="s">
        <v>325</v>
      </c>
      <c r="C89" s="697"/>
      <c r="D89" s="124" t="s">
        <v>328</v>
      </c>
      <c r="E89" s="124"/>
      <c r="F89" s="123">
        <f>'RINCIAN B. LANGSUNG USAHA'!E32</f>
        <v>0</v>
      </c>
      <c r="G89" s="123"/>
      <c r="H89" s="122">
        <f>F89</f>
        <v>0</v>
      </c>
      <c r="I89" s="121"/>
      <c r="J89" s="112"/>
    </row>
    <row r="90" spans="1:10" ht="12.95" customHeight="1" x14ac:dyDescent="0.25">
      <c r="A90" s="125"/>
      <c r="B90" s="697" t="s">
        <v>326</v>
      </c>
      <c r="C90" s="697"/>
      <c r="D90" s="124" t="s">
        <v>329</v>
      </c>
      <c r="E90" s="124"/>
      <c r="F90" s="123">
        <f>'RINCIAN B. LANGSUNG USAHA'!E67</f>
        <v>0</v>
      </c>
      <c r="G90" s="123"/>
      <c r="H90" s="122">
        <f t="shared" ref="H90:H94" si="6">F90</f>
        <v>0</v>
      </c>
      <c r="I90" s="121"/>
      <c r="J90" s="112"/>
    </row>
    <row r="91" spans="1:10" ht="12.95" customHeight="1" x14ac:dyDescent="0.25">
      <c r="A91" s="125"/>
      <c r="B91" s="697" t="s">
        <v>327</v>
      </c>
      <c r="C91" s="697"/>
      <c r="D91" s="124" t="s">
        <v>330</v>
      </c>
      <c r="E91" s="124"/>
      <c r="F91" s="123">
        <f>'RINCIAN B. LANGSUNG USAHA'!E98</f>
        <v>0</v>
      </c>
      <c r="G91" s="123"/>
      <c r="H91" s="122">
        <f t="shared" si="6"/>
        <v>0</v>
      </c>
      <c r="I91" s="121"/>
      <c r="J91" s="112"/>
    </row>
    <row r="92" spans="1:10" ht="12.95" customHeight="1" x14ac:dyDescent="0.25">
      <c r="A92" s="125"/>
      <c r="B92" s="697" t="s">
        <v>331</v>
      </c>
      <c r="C92" s="697"/>
      <c r="D92" s="124" t="s">
        <v>252</v>
      </c>
      <c r="E92" s="124"/>
      <c r="F92" s="123">
        <f>'RINCIAN B. LANGSUNG USAHA'!E33</f>
        <v>0</v>
      </c>
      <c r="G92" s="123"/>
      <c r="H92" s="122">
        <f t="shared" si="6"/>
        <v>0</v>
      </c>
      <c r="I92" s="121"/>
      <c r="J92" s="112"/>
    </row>
    <row r="93" spans="1:10" ht="12.95" customHeight="1" x14ac:dyDescent="0.25">
      <c r="A93" s="125"/>
      <c r="B93" s="697" t="s">
        <v>332</v>
      </c>
      <c r="C93" s="697"/>
      <c r="D93" s="124" t="s">
        <v>335</v>
      </c>
      <c r="E93" s="124"/>
      <c r="F93" s="123">
        <f>'RINCIAN B. LANGSUNG USAHA'!E68</f>
        <v>0</v>
      </c>
      <c r="G93" s="123"/>
      <c r="H93" s="122">
        <f t="shared" si="6"/>
        <v>0</v>
      </c>
      <c r="I93" s="121"/>
      <c r="J93" s="112"/>
    </row>
    <row r="94" spans="1:10" ht="12.95" customHeight="1" x14ac:dyDescent="0.25">
      <c r="A94" s="125"/>
      <c r="B94" s="697" t="s">
        <v>333</v>
      </c>
      <c r="C94" s="697"/>
      <c r="D94" s="124" t="s">
        <v>334</v>
      </c>
      <c r="E94" s="124"/>
      <c r="F94" s="123">
        <f>'RINCIAN B. LANGSUNG USAHA'!E99</f>
        <v>0</v>
      </c>
      <c r="G94" s="123"/>
      <c r="H94" s="122">
        <f t="shared" si="6"/>
        <v>0</v>
      </c>
      <c r="I94" s="121"/>
      <c r="J94" s="112"/>
    </row>
    <row r="95" spans="1:10" ht="12.95" customHeight="1" x14ac:dyDescent="0.25">
      <c r="A95" s="125"/>
      <c r="B95" s="697" t="s">
        <v>337</v>
      </c>
      <c r="C95" s="697"/>
      <c r="D95" s="124" t="s">
        <v>860</v>
      </c>
      <c r="E95" s="124"/>
      <c r="F95" s="123">
        <f>'RINCIAN B. LANGSUNG USAHA'!E101</f>
        <v>0</v>
      </c>
      <c r="G95" s="123"/>
      <c r="H95" s="122">
        <f t="shared" ref="H95" si="7">F95</f>
        <v>0</v>
      </c>
      <c r="I95" s="121"/>
      <c r="J95" s="112"/>
    </row>
    <row r="96" spans="1:10" ht="12.95" customHeight="1" x14ac:dyDescent="0.25">
      <c r="A96" s="125"/>
      <c r="B96" s="697" t="s">
        <v>888</v>
      </c>
      <c r="C96" s="697"/>
      <c r="D96" s="697"/>
      <c r="E96" s="124"/>
      <c r="F96" s="152">
        <f>SUM(F89:F95)</f>
        <v>0</v>
      </c>
      <c r="G96" s="123"/>
      <c r="H96" s="153">
        <f>SUM(H89:H95)</f>
        <v>0</v>
      </c>
      <c r="I96" s="121"/>
      <c r="J96" s="112"/>
    </row>
    <row r="97" spans="1:10" ht="12.95" customHeight="1" x14ac:dyDescent="0.25">
      <c r="A97" s="125"/>
      <c r="B97" s="697" t="s">
        <v>343</v>
      </c>
      <c r="C97" s="697"/>
      <c r="D97" s="697"/>
      <c r="E97" s="124"/>
      <c r="F97" s="154">
        <f>F86-F96</f>
        <v>0</v>
      </c>
      <c r="G97" s="123"/>
      <c r="H97" s="154">
        <f>H86-H96</f>
        <v>0</v>
      </c>
      <c r="I97" s="121"/>
      <c r="J97" s="112"/>
    </row>
    <row r="98" spans="1:10" ht="12.95" customHeight="1" x14ac:dyDescent="0.25">
      <c r="A98" s="125"/>
      <c r="B98" s="124" t="s">
        <v>336</v>
      </c>
      <c r="C98" s="124" t="s">
        <v>882</v>
      </c>
      <c r="D98" s="124"/>
      <c r="E98" s="124"/>
      <c r="F98" s="123"/>
      <c r="G98" s="123"/>
      <c r="H98" s="122"/>
      <c r="I98" s="121"/>
      <c r="J98" s="112"/>
    </row>
    <row r="99" spans="1:10" ht="12.95" customHeight="1" x14ac:dyDescent="0.25">
      <c r="A99" s="125"/>
      <c r="B99" s="697" t="s">
        <v>337</v>
      </c>
      <c r="C99" s="697"/>
      <c r="D99" s="124" t="s">
        <v>338</v>
      </c>
      <c r="E99" s="124"/>
      <c r="F99" s="123">
        <f>'RINCIAN B. TDK LANGSUNG'!E77</f>
        <v>0</v>
      </c>
      <c r="G99" s="123"/>
      <c r="H99" s="122">
        <f>F99</f>
        <v>0</v>
      </c>
      <c r="I99" s="121"/>
      <c r="J99" s="112"/>
    </row>
    <row r="100" spans="1:10" ht="12.95" customHeight="1" x14ac:dyDescent="0.25">
      <c r="A100" s="125"/>
      <c r="B100" s="697" t="s">
        <v>339</v>
      </c>
      <c r="C100" s="697"/>
      <c r="D100" s="124" t="s">
        <v>340</v>
      </c>
      <c r="E100" s="124"/>
      <c r="F100" s="123"/>
      <c r="G100" s="123"/>
      <c r="H100" s="122">
        <f t="shared" ref="H100:H101" si="8">F100</f>
        <v>0</v>
      </c>
      <c r="I100" s="121"/>
      <c r="J100" s="112"/>
    </row>
    <row r="101" spans="1:10" ht="12.95" customHeight="1" x14ac:dyDescent="0.25">
      <c r="A101" s="125"/>
      <c r="B101" s="697" t="s">
        <v>341</v>
      </c>
      <c r="C101" s="697"/>
      <c r="D101" s="124" t="s">
        <v>342</v>
      </c>
      <c r="E101" s="124"/>
      <c r="F101" s="123">
        <f>'RINCIAN B. TDK LANGSUNG'!E78+'RINCIAN B. TDK LANGSUNG'!E79</f>
        <v>0</v>
      </c>
      <c r="G101" s="123"/>
      <c r="H101" s="122">
        <f t="shared" si="8"/>
        <v>0</v>
      </c>
      <c r="I101" s="121"/>
      <c r="J101" s="112"/>
    </row>
    <row r="102" spans="1:10" ht="12.95" customHeight="1" x14ac:dyDescent="0.25">
      <c r="A102" s="125"/>
      <c r="B102" s="697" t="s">
        <v>883</v>
      </c>
      <c r="C102" s="697"/>
      <c r="D102" s="697"/>
      <c r="E102" s="124"/>
      <c r="F102" s="152">
        <f>SUM(F99:F101)</f>
        <v>0</v>
      </c>
      <c r="G102" s="123"/>
      <c r="H102" s="153">
        <f>SUM(H99:H101)</f>
        <v>0</v>
      </c>
      <c r="I102" s="121"/>
      <c r="J102" s="112"/>
    </row>
    <row r="103" spans="1:10" ht="12.95" customHeight="1" x14ac:dyDescent="0.25">
      <c r="A103" s="125"/>
      <c r="B103" s="697" t="s">
        <v>884</v>
      </c>
      <c r="C103" s="697"/>
      <c r="D103" s="697"/>
      <c r="E103" s="124"/>
      <c r="F103" s="154">
        <f>F97-F102</f>
        <v>0</v>
      </c>
      <c r="G103" s="123"/>
      <c r="H103" s="154">
        <f>H97-H102</f>
        <v>0</v>
      </c>
      <c r="I103" s="121"/>
      <c r="J103" s="112"/>
    </row>
    <row r="104" spans="1:10" ht="12.95" customHeight="1" x14ac:dyDescent="0.25">
      <c r="A104" s="125"/>
      <c r="B104" s="6" t="s">
        <v>344</v>
      </c>
      <c r="C104" s="151" t="s">
        <v>885</v>
      </c>
      <c r="D104" s="6"/>
      <c r="E104" s="124"/>
      <c r="F104" s="123"/>
      <c r="G104" s="123"/>
      <c r="H104" s="122"/>
      <c r="I104" s="121"/>
      <c r="J104" s="112"/>
    </row>
    <row r="105" spans="1:10" ht="12.95" customHeight="1" x14ac:dyDescent="0.25">
      <c r="A105" s="125"/>
      <c r="B105" s="697" t="s">
        <v>345</v>
      </c>
      <c r="C105" s="697"/>
      <c r="D105" s="151" t="s">
        <v>5</v>
      </c>
      <c r="E105" s="124"/>
      <c r="F105" s="123">
        <v>0</v>
      </c>
      <c r="G105" s="123"/>
      <c r="H105" s="122">
        <f>F105</f>
        <v>0</v>
      </c>
      <c r="I105" s="121"/>
      <c r="J105" s="112"/>
    </row>
    <row r="106" spans="1:10" ht="12.95" customHeight="1" x14ac:dyDescent="0.25">
      <c r="A106" s="125"/>
      <c r="B106" s="697" t="s">
        <v>346</v>
      </c>
      <c r="C106" s="697"/>
      <c r="D106" s="151" t="s">
        <v>887</v>
      </c>
      <c r="E106" s="124"/>
      <c r="F106" s="123">
        <f>-'B. NON OPERASIONAL'!C12</f>
        <v>0</v>
      </c>
      <c r="G106" s="123"/>
      <c r="H106" s="122">
        <f>F106</f>
        <v>0</v>
      </c>
      <c r="I106" s="121"/>
      <c r="J106" s="112"/>
    </row>
    <row r="107" spans="1:10" ht="12.95" customHeight="1" x14ac:dyDescent="0.25">
      <c r="A107" s="125"/>
      <c r="B107" s="697" t="s">
        <v>886</v>
      </c>
      <c r="C107" s="697"/>
      <c r="D107" s="697"/>
      <c r="E107" s="124"/>
      <c r="F107" s="152">
        <f>F105+F106</f>
        <v>0</v>
      </c>
      <c r="G107" s="123"/>
      <c r="H107" s="152">
        <f>H105+H106</f>
        <v>0</v>
      </c>
      <c r="I107" s="121"/>
      <c r="J107" s="112"/>
    </row>
    <row r="108" spans="1:10" ht="12.95" customHeight="1" x14ac:dyDescent="0.25">
      <c r="A108" s="125"/>
      <c r="B108" s="697" t="s">
        <v>347</v>
      </c>
      <c r="C108" s="697"/>
      <c r="D108" s="697"/>
      <c r="E108" s="124"/>
      <c r="F108" s="154">
        <f>F103+F107</f>
        <v>0</v>
      </c>
      <c r="G108" s="123"/>
      <c r="H108" s="154">
        <f>H103+H107</f>
        <v>0</v>
      </c>
      <c r="I108" s="121"/>
      <c r="J108" s="112"/>
    </row>
    <row r="109" spans="1:10" ht="12.95" customHeight="1" x14ac:dyDescent="0.25">
      <c r="A109" s="125"/>
      <c r="B109" s="697" t="s">
        <v>348</v>
      </c>
      <c r="C109" s="697"/>
      <c r="D109" s="697"/>
      <c r="E109" s="124"/>
      <c r="F109" s="123">
        <v>0</v>
      </c>
      <c r="G109" s="123"/>
      <c r="H109" s="123">
        <v>0</v>
      </c>
      <c r="I109" s="121"/>
      <c r="J109" s="112"/>
    </row>
    <row r="110" spans="1:10" x14ac:dyDescent="0.25">
      <c r="A110" s="125"/>
      <c r="B110" s="707" t="s">
        <v>29</v>
      </c>
      <c r="C110" s="708"/>
      <c r="D110" s="709"/>
      <c r="E110" s="142"/>
      <c r="F110" s="160">
        <f>F108-F109</f>
        <v>0</v>
      </c>
      <c r="G110" s="143"/>
      <c r="H110" s="160">
        <f>H108-H109</f>
        <v>0</v>
      </c>
      <c r="I110" s="121"/>
      <c r="J110" s="112"/>
    </row>
    <row r="111" spans="1:10" x14ac:dyDescent="0.25">
      <c r="A111" s="120"/>
      <c r="B111" s="119"/>
      <c r="C111" s="119"/>
      <c r="D111" s="119"/>
      <c r="E111" s="119"/>
      <c r="F111" s="118"/>
      <c r="G111" s="118"/>
      <c r="H111" s="117"/>
      <c r="I111" s="116"/>
      <c r="J111" s="112"/>
    </row>
    <row r="112" spans="1:10" x14ac:dyDescent="0.25">
      <c r="A112" s="714"/>
      <c r="B112" s="714"/>
      <c r="C112" s="714"/>
      <c r="D112" s="714"/>
      <c r="E112" s="112"/>
      <c r="F112" s="715"/>
      <c r="G112" s="715"/>
      <c r="H112" s="715"/>
      <c r="I112" s="112"/>
      <c r="J112" s="112"/>
    </row>
    <row r="113" spans="1:10" x14ac:dyDescent="0.25">
      <c r="A113" s="706" t="s">
        <v>580</v>
      </c>
      <c r="B113" s="706"/>
      <c r="C113" s="706"/>
      <c r="D113" s="706"/>
      <c r="E113" s="13"/>
      <c r="F113" s="698" t="s">
        <v>1062</v>
      </c>
      <c r="G113" s="698"/>
      <c r="H113" s="698"/>
      <c r="I113" s="698"/>
    </row>
    <row r="114" spans="1:10" x14ac:dyDescent="0.25">
      <c r="A114" s="706" t="s">
        <v>858</v>
      </c>
      <c r="B114" s="706"/>
      <c r="C114" s="706"/>
      <c r="D114" s="706"/>
      <c r="E114" s="13"/>
      <c r="F114" s="698" t="s">
        <v>680</v>
      </c>
      <c r="G114" s="698"/>
      <c r="H114" s="698"/>
      <c r="I114" s="698"/>
    </row>
    <row r="115" spans="1:10" x14ac:dyDescent="0.25">
      <c r="A115" s="706"/>
      <c r="B115" s="706"/>
      <c r="C115" s="706"/>
      <c r="D115" s="706"/>
      <c r="E115" s="13"/>
      <c r="F115" s="698"/>
      <c r="G115" s="698"/>
      <c r="H115" s="698"/>
      <c r="I115" s="698"/>
    </row>
    <row r="116" spans="1:10" x14ac:dyDescent="0.25">
      <c r="A116" s="706"/>
      <c r="B116" s="706"/>
      <c r="C116" s="706"/>
      <c r="D116" s="706"/>
      <c r="E116" s="13"/>
      <c r="F116" s="698"/>
      <c r="G116" s="698"/>
      <c r="H116" s="698"/>
      <c r="I116" s="698"/>
    </row>
    <row r="117" spans="1:10" x14ac:dyDescent="0.25">
      <c r="A117" s="706" t="s">
        <v>1061</v>
      </c>
      <c r="B117" s="706"/>
      <c r="C117" s="706"/>
      <c r="D117" s="706"/>
      <c r="E117" s="13"/>
      <c r="F117" s="698" t="s">
        <v>567</v>
      </c>
      <c r="G117" s="698"/>
      <c r="H117" s="698"/>
      <c r="I117" s="698"/>
    </row>
    <row r="118" spans="1:10" x14ac:dyDescent="0.25">
      <c r="A118" s="697"/>
      <c r="B118" s="697"/>
      <c r="C118" s="697"/>
      <c r="D118" s="697"/>
      <c r="E118" s="697"/>
      <c r="F118" s="697"/>
      <c r="G118" s="697"/>
      <c r="H118" s="697"/>
      <c r="I118" s="697"/>
    </row>
    <row r="119" spans="1:10" x14ac:dyDescent="0.25">
      <c r="A119" s="697"/>
      <c r="B119" s="697"/>
      <c r="C119" s="697"/>
      <c r="D119" s="697"/>
      <c r="E119" s="697"/>
      <c r="F119" s="697"/>
      <c r="G119" s="697"/>
      <c r="H119" s="697"/>
      <c r="I119" s="697"/>
    </row>
    <row r="120" spans="1:10" x14ac:dyDescent="0.25">
      <c r="A120" s="697"/>
      <c r="B120" s="697"/>
      <c r="C120" s="697"/>
      <c r="D120" s="697"/>
      <c r="E120" s="697"/>
      <c r="F120" s="697"/>
      <c r="G120" s="697"/>
      <c r="H120" s="697"/>
      <c r="I120" s="697"/>
    </row>
    <row r="121" spans="1:10" x14ac:dyDescent="0.25">
      <c r="A121" s="697"/>
      <c r="B121" s="697"/>
      <c r="C121" s="697"/>
      <c r="D121" s="697"/>
      <c r="E121" s="697"/>
      <c r="F121" s="697"/>
      <c r="G121" s="697"/>
      <c r="H121" s="697"/>
      <c r="I121" s="697"/>
    </row>
    <row r="122" spans="1:10" x14ac:dyDescent="0.25">
      <c r="A122" s="697"/>
      <c r="B122" s="697"/>
      <c r="C122" s="697"/>
      <c r="D122" s="697"/>
      <c r="E122" s="697"/>
      <c r="F122" s="697"/>
      <c r="G122" s="697"/>
      <c r="H122" s="697"/>
      <c r="I122" s="697"/>
    </row>
    <row r="124" spans="1:10" x14ac:dyDescent="0.25">
      <c r="A124" s="112" t="s">
        <v>653</v>
      </c>
      <c r="B124" s="112"/>
      <c r="C124" s="112"/>
      <c r="D124" s="112"/>
      <c r="E124" s="112"/>
      <c r="F124" s="113"/>
      <c r="G124" s="113"/>
      <c r="H124" s="113"/>
      <c r="I124" s="112"/>
      <c r="J124" s="112"/>
    </row>
    <row r="125" spans="1:10" ht="12.95" customHeight="1" x14ac:dyDescent="0.25">
      <c r="A125" s="112"/>
      <c r="B125" s="112"/>
      <c r="C125" s="112"/>
      <c r="D125" s="112"/>
      <c r="E125" s="112"/>
      <c r="F125" s="113"/>
      <c r="G125" s="113"/>
      <c r="H125" s="113"/>
      <c r="I125" s="112"/>
      <c r="J125" s="112"/>
    </row>
    <row r="126" spans="1:10" ht="20.25" x14ac:dyDescent="0.3">
      <c r="A126" s="141"/>
      <c r="B126" s="695" t="s">
        <v>650</v>
      </c>
      <c r="C126" s="695"/>
      <c r="D126" s="695"/>
      <c r="E126" s="695"/>
      <c r="F126" s="695"/>
      <c r="G126" s="695"/>
      <c r="H126" s="695"/>
      <c r="I126" s="140"/>
      <c r="J126" s="112"/>
    </row>
    <row r="127" spans="1:10" x14ac:dyDescent="0.25">
      <c r="A127" s="125"/>
      <c r="B127" s="696" t="s">
        <v>881</v>
      </c>
      <c r="C127" s="696"/>
      <c r="D127" s="696"/>
      <c r="E127" s="696"/>
      <c r="F127" s="696"/>
      <c r="G127" s="696"/>
      <c r="H127" s="696"/>
      <c r="I127" s="139"/>
      <c r="J127" s="112"/>
    </row>
    <row r="128" spans="1:10" x14ac:dyDescent="0.25">
      <c r="A128" s="125"/>
      <c r="B128" s="696" t="s">
        <v>1058</v>
      </c>
      <c r="C128" s="696"/>
      <c r="D128" s="696"/>
      <c r="E128" s="696"/>
      <c r="F128" s="696"/>
      <c r="G128" s="696"/>
      <c r="H128" s="696"/>
      <c r="I128" s="139"/>
      <c r="J128" s="112"/>
    </row>
    <row r="129" spans="1:10" ht="15.75" thickBot="1" x14ac:dyDescent="0.3">
      <c r="A129" s="125"/>
      <c r="B129" s="699" t="s">
        <v>0</v>
      </c>
      <c r="C129" s="699"/>
      <c r="D129" s="699"/>
      <c r="E129" s="699"/>
      <c r="F129" s="699"/>
      <c r="G129" s="699"/>
      <c r="H129" s="699"/>
      <c r="I129" s="139"/>
      <c r="J129" s="112"/>
    </row>
    <row r="130" spans="1:10" ht="13.7" customHeight="1" thickTop="1" x14ac:dyDescent="0.25">
      <c r="A130" s="125"/>
      <c r="B130" s="112"/>
      <c r="C130" s="112"/>
      <c r="D130" s="112"/>
      <c r="E130" s="112"/>
      <c r="F130" s="113"/>
      <c r="G130" s="113"/>
      <c r="H130" s="113"/>
      <c r="I130" s="136"/>
      <c r="J130" s="112"/>
    </row>
    <row r="131" spans="1:10" ht="25.5" x14ac:dyDescent="0.25">
      <c r="A131" s="125"/>
      <c r="B131" s="711" t="s">
        <v>30</v>
      </c>
      <c r="C131" s="712"/>
      <c r="D131" s="713"/>
      <c r="E131" s="138"/>
      <c r="F131" s="159" t="s">
        <v>291</v>
      </c>
      <c r="G131" s="137"/>
      <c r="H131" s="165" t="s">
        <v>558</v>
      </c>
      <c r="I131" s="136"/>
      <c r="J131" s="112"/>
    </row>
    <row r="132" spans="1:10" ht="12.95" customHeight="1" x14ac:dyDescent="0.25">
      <c r="A132" s="125"/>
      <c r="B132" s="112"/>
      <c r="C132" s="112"/>
      <c r="D132" s="112"/>
      <c r="E132" s="112"/>
      <c r="F132" s="113"/>
      <c r="G132" s="113"/>
      <c r="H132" s="113"/>
      <c r="I132" s="136"/>
      <c r="J132" s="112"/>
    </row>
    <row r="133" spans="1:10" ht="12.95" customHeight="1" x14ac:dyDescent="0.25">
      <c r="A133" s="125"/>
      <c r="B133" s="124" t="s">
        <v>1</v>
      </c>
      <c r="C133" s="124"/>
      <c r="D133" s="124"/>
      <c r="E133" s="124"/>
      <c r="F133" s="123"/>
      <c r="G133" s="123"/>
      <c r="H133" s="123"/>
      <c r="I133" s="135"/>
      <c r="J133" s="112"/>
    </row>
    <row r="134" spans="1:10" ht="12.95" customHeight="1" x14ac:dyDescent="0.25">
      <c r="A134" s="125"/>
      <c r="B134" s="124"/>
      <c r="C134" s="128" t="s">
        <v>2</v>
      </c>
      <c r="D134" s="128"/>
      <c r="E134" s="128"/>
      <c r="F134" s="132"/>
      <c r="G134" s="132"/>
      <c r="H134" s="133"/>
      <c r="I134" s="121"/>
      <c r="J134" s="112"/>
    </row>
    <row r="135" spans="1:10" ht="12.95" customHeight="1" x14ac:dyDescent="0.25">
      <c r="A135" s="125"/>
      <c r="B135" s="697" t="s">
        <v>312</v>
      </c>
      <c r="C135" s="697"/>
      <c r="D135" s="124" t="s">
        <v>303</v>
      </c>
      <c r="E135" s="128"/>
      <c r="F135" s="123">
        <v>0</v>
      </c>
      <c r="G135" s="123"/>
      <c r="H135" s="122">
        <f>F135+H74</f>
        <v>0</v>
      </c>
      <c r="I135" s="121"/>
      <c r="J135" s="112"/>
    </row>
    <row r="136" spans="1:10" ht="12.95" customHeight="1" x14ac:dyDescent="0.25">
      <c r="A136" s="125"/>
      <c r="B136" s="697" t="s">
        <v>313</v>
      </c>
      <c r="C136" s="697"/>
      <c r="D136" s="124" t="s">
        <v>304</v>
      </c>
      <c r="E136" s="128"/>
      <c r="F136" s="123">
        <v>0</v>
      </c>
      <c r="G136" s="123"/>
      <c r="H136" s="122">
        <f>F136+H75</f>
        <v>0</v>
      </c>
      <c r="I136" s="121"/>
      <c r="J136" s="112"/>
    </row>
    <row r="137" spans="1:10" ht="12.95" customHeight="1" x14ac:dyDescent="0.25">
      <c r="A137" s="125"/>
      <c r="B137" s="697" t="s">
        <v>314</v>
      </c>
      <c r="C137" s="697"/>
      <c r="D137" s="124" t="s">
        <v>315</v>
      </c>
      <c r="E137" s="128"/>
      <c r="F137" s="123">
        <v>0</v>
      </c>
      <c r="G137" s="123"/>
      <c r="H137" s="122">
        <f>F137+H76</f>
        <v>0</v>
      </c>
      <c r="I137" s="121"/>
      <c r="J137" s="112"/>
    </row>
    <row r="138" spans="1:10" ht="12.95" customHeight="1" x14ac:dyDescent="0.25">
      <c r="A138" s="125"/>
      <c r="B138" s="124"/>
      <c r="C138" s="128"/>
      <c r="D138" s="134" t="s">
        <v>305</v>
      </c>
      <c r="E138" s="128"/>
      <c r="F138" s="155">
        <f>SUM(F135:F137)</f>
        <v>0</v>
      </c>
      <c r="G138" s="132"/>
      <c r="H138" s="156">
        <f>SUM(H135:H137)</f>
        <v>0</v>
      </c>
      <c r="I138" s="121"/>
      <c r="J138" s="112"/>
    </row>
    <row r="139" spans="1:10" ht="12.95" customHeight="1" x14ac:dyDescent="0.25">
      <c r="A139" s="125"/>
      <c r="B139" s="124"/>
      <c r="C139" s="128" t="s">
        <v>3</v>
      </c>
      <c r="D139" s="124"/>
      <c r="E139" s="124"/>
      <c r="F139" s="123"/>
      <c r="G139" s="123"/>
      <c r="H139" s="122"/>
      <c r="I139" s="121"/>
      <c r="J139" s="112"/>
    </row>
    <row r="140" spans="1:10" ht="12.95" customHeight="1" x14ac:dyDescent="0.25">
      <c r="A140" s="125"/>
      <c r="B140" s="697" t="s">
        <v>316</v>
      </c>
      <c r="C140" s="697"/>
      <c r="D140" s="124" t="s">
        <v>229</v>
      </c>
      <c r="E140" s="124"/>
      <c r="F140" s="123">
        <v>0</v>
      </c>
      <c r="G140" s="123"/>
      <c r="H140" s="122">
        <f t="shared" ref="H140:H145" si="9">F140+H79</f>
        <v>0</v>
      </c>
      <c r="I140" s="121"/>
      <c r="J140" s="112"/>
    </row>
    <row r="141" spans="1:10" ht="12.95" customHeight="1" x14ac:dyDescent="0.25">
      <c r="A141" s="125"/>
      <c r="B141" s="697" t="s">
        <v>317</v>
      </c>
      <c r="C141" s="697"/>
      <c r="D141" s="124" t="s">
        <v>232</v>
      </c>
      <c r="E141" s="124"/>
      <c r="F141" s="123"/>
      <c r="G141" s="123"/>
      <c r="H141" s="122">
        <f t="shared" si="9"/>
        <v>0</v>
      </c>
      <c r="I141" s="121"/>
      <c r="J141" s="112"/>
    </row>
    <row r="142" spans="1:10" ht="12.95" customHeight="1" x14ac:dyDescent="0.25">
      <c r="A142" s="125"/>
      <c r="B142" s="697" t="s">
        <v>318</v>
      </c>
      <c r="C142" s="697"/>
      <c r="D142" s="124" t="s">
        <v>230</v>
      </c>
      <c r="E142" s="124"/>
      <c r="F142" s="123">
        <v>0</v>
      </c>
      <c r="G142" s="123"/>
      <c r="H142" s="122">
        <f t="shared" si="9"/>
        <v>0</v>
      </c>
      <c r="I142" s="121"/>
      <c r="J142" s="112"/>
    </row>
    <row r="143" spans="1:10" ht="12.95" customHeight="1" x14ac:dyDescent="0.25">
      <c r="A143" s="125"/>
      <c r="B143" s="697" t="s">
        <v>319</v>
      </c>
      <c r="C143" s="697"/>
      <c r="D143" s="124" t="s">
        <v>322</v>
      </c>
      <c r="E143" s="124"/>
      <c r="F143" s="123"/>
      <c r="G143" s="123"/>
      <c r="H143" s="122">
        <f t="shared" si="9"/>
        <v>0</v>
      </c>
      <c r="I143" s="121"/>
      <c r="J143" s="112"/>
    </row>
    <row r="144" spans="1:10" ht="12.95" customHeight="1" x14ac:dyDescent="0.25">
      <c r="A144" s="125"/>
      <c r="B144" s="697" t="s">
        <v>320</v>
      </c>
      <c r="C144" s="697"/>
      <c r="D144" s="124" t="s">
        <v>323</v>
      </c>
      <c r="E144" s="124"/>
      <c r="F144" s="123"/>
      <c r="G144" s="123"/>
      <c r="H144" s="122">
        <f t="shared" si="9"/>
        <v>0</v>
      </c>
      <c r="I144" s="121"/>
      <c r="J144" s="112"/>
    </row>
    <row r="145" spans="1:10" ht="12.95" customHeight="1" x14ac:dyDescent="0.25">
      <c r="A145" s="125"/>
      <c r="B145" s="697" t="s">
        <v>321</v>
      </c>
      <c r="C145" s="697"/>
      <c r="D145" s="124" t="s">
        <v>324</v>
      </c>
      <c r="E145" s="124"/>
      <c r="F145" s="123"/>
      <c r="G145" s="123"/>
      <c r="H145" s="122">
        <f t="shared" si="9"/>
        <v>0</v>
      </c>
      <c r="I145" s="121"/>
      <c r="J145" s="112"/>
    </row>
    <row r="146" spans="1:10" ht="12.95" customHeight="1" x14ac:dyDescent="0.25">
      <c r="A146" s="125"/>
      <c r="B146" s="124"/>
      <c r="C146" s="128"/>
      <c r="D146" s="134" t="s">
        <v>279</v>
      </c>
      <c r="E146" s="128"/>
      <c r="F146" s="157">
        <f>SUM(F140:F145)</f>
        <v>0</v>
      </c>
      <c r="G146" s="132"/>
      <c r="H146" s="158">
        <f>SUM(H140:H145)</f>
        <v>0</v>
      </c>
      <c r="I146" s="121"/>
      <c r="J146" s="112"/>
    </row>
    <row r="147" spans="1:10" ht="12.95" customHeight="1" thickBot="1" x14ac:dyDescent="0.3">
      <c r="A147" s="125"/>
      <c r="B147" s="710" t="s">
        <v>4</v>
      </c>
      <c r="C147" s="710"/>
      <c r="D147" s="710"/>
      <c r="E147" s="149" t="e">
        <f>#REF!+E146+E134</f>
        <v>#REF!</v>
      </c>
      <c r="F147" s="131">
        <f>F146+F138</f>
        <v>0</v>
      </c>
      <c r="G147" s="133"/>
      <c r="H147" s="131">
        <f>H146+H138</f>
        <v>0</v>
      </c>
      <c r="I147" s="121"/>
      <c r="J147" s="112"/>
    </row>
    <row r="148" spans="1:10" ht="12.95" customHeight="1" thickTop="1" x14ac:dyDescent="0.25">
      <c r="A148" s="125"/>
      <c r="B148" s="128" t="s">
        <v>289</v>
      </c>
      <c r="C148" s="124"/>
      <c r="D148" s="124"/>
      <c r="E148" s="124"/>
      <c r="F148" s="123"/>
      <c r="G148" s="123"/>
      <c r="H148" s="122"/>
      <c r="I148" s="121"/>
      <c r="J148" s="112"/>
    </row>
    <row r="149" spans="1:10" ht="12.95" customHeight="1" x14ac:dyDescent="0.25">
      <c r="A149" s="125"/>
      <c r="B149" s="124" t="s">
        <v>311</v>
      </c>
      <c r="C149" s="124" t="s">
        <v>289</v>
      </c>
      <c r="D149" s="124"/>
      <c r="E149" s="124"/>
      <c r="F149" s="123"/>
      <c r="G149" s="123"/>
      <c r="H149" s="122"/>
      <c r="I149" s="121"/>
      <c r="J149" s="112"/>
    </row>
    <row r="150" spans="1:10" ht="12.95" customHeight="1" x14ac:dyDescent="0.25">
      <c r="A150" s="125"/>
      <c r="B150" s="697" t="s">
        <v>325</v>
      </c>
      <c r="C150" s="697"/>
      <c r="D150" s="124" t="s">
        <v>328</v>
      </c>
      <c r="E150" s="124"/>
      <c r="F150" s="123">
        <f>'RINCIAN B. LANGSUNG USAHA'!F32</f>
        <v>0</v>
      </c>
      <c r="G150" s="123"/>
      <c r="H150" s="122">
        <f t="shared" ref="H150:H156" si="10">F150+H89</f>
        <v>0</v>
      </c>
      <c r="I150" s="121"/>
      <c r="J150" s="112"/>
    </row>
    <row r="151" spans="1:10" ht="12.95" customHeight="1" x14ac:dyDescent="0.25">
      <c r="A151" s="125"/>
      <c r="B151" s="697" t="s">
        <v>326</v>
      </c>
      <c r="C151" s="697"/>
      <c r="D151" s="124" t="s">
        <v>329</v>
      </c>
      <c r="E151" s="124"/>
      <c r="F151" s="123">
        <f>'RINCIAN B. LANGSUNG USAHA'!F67</f>
        <v>0</v>
      </c>
      <c r="G151" s="123"/>
      <c r="H151" s="122">
        <f t="shared" si="10"/>
        <v>0</v>
      </c>
      <c r="I151" s="121"/>
      <c r="J151" s="112"/>
    </row>
    <row r="152" spans="1:10" ht="12.95" customHeight="1" x14ac:dyDescent="0.25">
      <c r="A152" s="125"/>
      <c r="B152" s="697" t="s">
        <v>327</v>
      </c>
      <c r="C152" s="697"/>
      <c r="D152" s="124" t="s">
        <v>330</v>
      </c>
      <c r="E152" s="124"/>
      <c r="F152" s="123">
        <f>'RINCIAN B. LANGSUNG USAHA'!F98</f>
        <v>0</v>
      </c>
      <c r="G152" s="123"/>
      <c r="H152" s="122">
        <f t="shared" si="10"/>
        <v>0</v>
      </c>
      <c r="I152" s="121"/>
      <c r="J152" s="112"/>
    </row>
    <row r="153" spans="1:10" ht="12.95" customHeight="1" x14ac:dyDescent="0.25">
      <c r="A153" s="125"/>
      <c r="B153" s="697" t="s">
        <v>331</v>
      </c>
      <c r="C153" s="697"/>
      <c r="D153" s="124" t="s">
        <v>252</v>
      </c>
      <c r="E153" s="124"/>
      <c r="F153" s="123">
        <f>'RINCIAN B. LANGSUNG USAHA'!F33</f>
        <v>0</v>
      </c>
      <c r="G153" s="123"/>
      <c r="H153" s="122">
        <f t="shared" si="10"/>
        <v>0</v>
      </c>
      <c r="I153" s="121"/>
      <c r="J153" s="112"/>
    </row>
    <row r="154" spans="1:10" ht="12.95" customHeight="1" x14ac:dyDescent="0.25">
      <c r="A154" s="125"/>
      <c r="B154" s="697" t="s">
        <v>332</v>
      </c>
      <c r="C154" s="697"/>
      <c r="D154" s="124" t="s">
        <v>335</v>
      </c>
      <c r="E154" s="124"/>
      <c r="F154" s="123">
        <f>'RINCIAN B. LANGSUNG USAHA'!F68</f>
        <v>0</v>
      </c>
      <c r="G154" s="123"/>
      <c r="H154" s="122">
        <f t="shared" si="10"/>
        <v>0</v>
      </c>
      <c r="I154" s="121"/>
      <c r="J154" s="112"/>
    </row>
    <row r="155" spans="1:10" ht="12.95" customHeight="1" x14ac:dyDescent="0.25">
      <c r="A155" s="125"/>
      <c r="B155" s="697" t="s">
        <v>333</v>
      </c>
      <c r="C155" s="697"/>
      <c r="D155" s="124" t="s">
        <v>334</v>
      </c>
      <c r="E155" s="124"/>
      <c r="F155" s="123">
        <f>'RINCIAN B. LANGSUNG USAHA'!F99</f>
        <v>0</v>
      </c>
      <c r="G155" s="123"/>
      <c r="H155" s="122">
        <f t="shared" si="10"/>
        <v>0</v>
      </c>
      <c r="I155" s="121"/>
      <c r="J155" s="112"/>
    </row>
    <row r="156" spans="1:10" ht="12.95" customHeight="1" x14ac:dyDescent="0.25">
      <c r="A156" s="125"/>
      <c r="B156" s="697" t="s">
        <v>337</v>
      </c>
      <c r="C156" s="697"/>
      <c r="D156" s="124" t="s">
        <v>860</v>
      </c>
      <c r="E156" s="124"/>
      <c r="F156" s="123">
        <f>'RINCIAN B. LANGSUNG USAHA'!F101</f>
        <v>0</v>
      </c>
      <c r="G156" s="123"/>
      <c r="H156" s="122">
        <f t="shared" si="10"/>
        <v>0</v>
      </c>
      <c r="I156" s="121"/>
      <c r="J156" s="112"/>
    </row>
    <row r="157" spans="1:10" ht="12.95" customHeight="1" x14ac:dyDescent="0.25">
      <c r="A157" s="125"/>
      <c r="B157" s="697" t="s">
        <v>888</v>
      </c>
      <c r="C157" s="697"/>
      <c r="D157" s="697"/>
      <c r="E157" s="124"/>
      <c r="F157" s="152">
        <f>SUM(F150:F156)</f>
        <v>0</v>
      </c>
      <c r="G157" s="123"/>
      <c r="H157" s="153">
        <f>SUM(H150:H156)</f>
        <v>0</v>
      </c>
      <c r="I157" s="121"/>
      <c r="J157" s="112"/>
    </row>
    <row r="158" spans="1:10" ht="12.95" customHeight="1" x14ac:dyDescent="0.25">
      <c r="A158" s="125"/>
      <c r="B158" s="697" t="s">
        <v>343</v>
      </c>
      <c r="C158" s="697"/>
      <c r="D158" s="697"/>
      <c r="E158" s="124"/>
      <c r="F158" s="154">
        <f>F147-F157</f>
        <v>0</v>
      </c>
      <c r="G158" s="123"/>
      <c r="H158" s="154">
        <f>H147-H157</f>
        <v>0</v>
      </c>
      <c r="I158" s="121"/>
      <c r="J158" s="112"/>
    </row>
    <row r="159" spans="1:10" ht="12.95" customHeight="1" x14ac:dyDescent="0.25">
      <c r="A159" s="125"/>
      <c r="B159" s="124" t="s">
        <v>336</v>
      </c>
      <c r="C159" s="124" t="s">
        <v>882</v>
      </c>
      <c r="D159" s="124"/>
      <c r="E159" s="124"/>
      <c r="F159" s="123"/>
      <c r="G159" s="123"/>
      <c r="H159" s="122"/>
      <c r="I159" s="121"/>
      <c r="J159" s="112"/>
    </row>
    <row r="160" spans="1:10" ht="12.95" customHeight="1" x14ac:dyDescent="0.25">
      <c r="A160" s="125"/>
      <c r="B160" s="697" t="s">
        <v>337</v>
      </c>
      <c r="C160" s="697"/>
      <c r="D160" s="124" t="s">
        <v>338</v>
      </c>
      <c r="E160" s="124"/>
      <c r="F160" s="123">
        <f>'RINCIAN B. TDK LANGSUNG'!F77</f>
        <v>0</v>
      </c>
      <c r="G160" s="123"/>
      <c r="H160" s="122">
        <f>F160+H99</f>
        <v>0</v>
      </c>
      <c r="I160" s="121"/>
      <c r="J160" s="112"/>
    </row>
    <row r="161" spans="1:10" ht="12.95" customHeight="1" x14ac:dyDescent="0.25">
      <c r="A161" s="125"/>
      <c r="B161" s="697" t="s">
        <v>339</v>
      </c>
      <c r="C161" s="697"/>
      <c r="D161" s="124" t="s">
        <v>340</v>
      </c>
      <c r="E161" s="124"/>
      <c r="F161" s="123"/>
      <c r="G161" s="123"/>
      <c r="H161" s="122">
        <f>F161+H100</f>
        <v>0</v>
      </c>
      <c r="I161" s="121"/>
      <c r="J161" s="112"/>
    </row>
    <row r="162" spans="1:10" ht="12.95" customHeight="1" x14ac:dyDescent="0.25">
      <c r="A162" s="125"/>
      <c r="B162" s="697" t="s">
        <v>341</v>
      </c>
      <c r="C162" s="697"/>
      <c r="D162" s="124" t="s">
        <v>342</v>
      </c>
      <c r="E162" s="124"/>
      <c r="F162" s="123">
        <f>'RINCIAN B. TDK LANGSUNG'!F78+'RINCIAN B. TDK LANGSUNG'!F79</f>
        <v>0</v>
      </c>
      <c r="G162" s="123"/>
      <c r="H162" s="122">
        <f>F162+H101</f>
        <v>0</v>
      </c>
      <c r="I162" s="121"/>
      <c r="J162" s="112"/>
    </row>
    <row r="163" spans="1:10" ht="12.95" customHeight="1" x14ac:dyDescent="0.25">
      <c r="A163" s="125"/>
      <c r="B163" s="697" t="s">
        <v>883</v>
      </c>
      <c r="C163" s="697"/>
      <c r="D163" s="697"/>
      <c r="E163" s="124"/>
      <c r="F163" s="152">
        <f>SUM(F160:F162)</f>
        <v>0</v>
      </c>
      <c r="G163" s="123"/>
      <c r="H163" s="153">
        <f>SUM(H160:H162)</f>
        <v>0</v>
      </c>
      <c r="I163" s="121"/>
      <c r="J163" s="112"/>
    </row>
    <row r="164" spans="1:10" ht="12.95" customHeight="1" x14ac:dyDescent="0.25">
      <c r="A164" s="125"/>
      <c r="B164" s="697" t="s">
        <v>884</v>
      </c>
      <c r="C164" s="697"/>
      <c r="D164" s="697"/>
      <c r="E164" s="124"/>
      <c r="F164" s="154">
        <f>F158-F163</f>
        <v>0</v>
      </c>
      <c r="G164" s="123"/>
      <c r="H164" s="154">
        <f>H158-H163</f>
        <v>0</v>
      </c>
      <c r="I164" s="121"/>
      <c r="J164" s="112"/>
    </row>
    <row r="165" spans="1:10" ht="12.95" customHeight="1" x14ac:dyDescent="0.25">
      <c r="A165" s="125"/>
      <c r="B165" s="6" t="s">
        <v>344</v>
      </c>
      <c r="C165" s="151" t="s">
        <v>885</v>
      </c>
      <c r="D165" s="6"/>
      <c r="E165" s="124"/>
      <c r="F165" s="123"/>
      <c r="G165" s="123"/>
      <c r="H165" s="122"/>
      <c r="I165" s="121"/>
      <c r="J165" s="112"/>
    </row>
    <row r="166" spans="1:10" ht="12.95" customHeight="1" x14ac:dyDescent="0.25">
      <c r="A166" s="125"/>
      <c r="B166" s="697" t="s">
        <v>345</v>
      </c>
      <c r="C166" s="697"/>
      <c r="D166" s="151" t="s">
        <v>5</v>
      </c>
      <c r="E166" s="124"/>
      <c r="F166" s="123">
        <v>0</v>
      </c>
      <c r="G166" s="123"/>
      <c r="H166" s="122">
        <f>F166+H105</f>
        <v>0</v>
      </c>
      <c r="I166" s="121"/>
      <c r="J166" s="112"/>
    </row>
    <row r="167" spans="1:10" ht="12.95" customHeight="1" x14ac:dyDescent="0.25">
      <c r="A167" s="125"/>
      <c r="B167" s="697" t="s">
        <v>346</v>
      </c>
      <c r="C167" s="697"/>
      <c r="D167" s="151" t="s">
        <v>887</v>
      </c>
      <c r="E167" s="124"/>
      <c r="F167" s="123">
        <f>-'B. NON OPERASIONAL'!D12</f>
        <v>0</v>
      </c>
      <c r="G167" s="123"/>
      <c r="H167" s="122">
        <f>F167+H106</f>
        <v>0</v>
      </c>
      <c r="I167" s="121"/>
      <c r="J167" s="112"/>
    </row>
    <row r="168" spans="1:10" ht="12.95" customHeight="1" x14ac:dyDescent="0.25">
      <c r="A168" s="125"/>
      <c r="B168" s="697" t="s">
        <v>886</v>
      </c>
      <c r="C168" s="697"/>
      <c r="D168" s="697"/>
      <c r="E168" s="124"/>
      <c r="F168" s="152">
        <f>F166+F167</f>
        <v>0</v>
      </c>
      <c r="G168" s="123"/>
      <c r="H168" s="152">
        <f>H166+H167</f>
        <v>0</v>
      </c>
      <c r="I168" s="121"/>
      <c r="J168" s="112"/>
    </row>
    <row r="169" spans="1:10" ht="12.95" customHeight="1" x14ac:dyDescent="0.25">
      <c r="A169" s="125"/>
      <c r="B169" s="697" t="s">
        <v>347</v>
      </c>
      <c r="C169" s="697"/>
      <c r="D169" s="697"/>
      <c r="E169" s="124"/>
      <c r="F169" s="154">
        <f>F164+F168</f>
        <v>0</v>
      </c>
      <c r="G169" s="123"/>
      <c r="H169" s="154">
        <f>H164+H168</f>
        <v>0</v>
      </c>
      <c r="I169" s="121"/>
      <c r="J169" s="112"/>
    </row>
    <row r="170" spans="1:10" ht="12.95" customHeight="1" x14ac:dyDescent="0.25">
      <c r="A170" s="125"/>
      <c r="B170" s="697" t="s">
        <v>348</v>
      </c>
      <c r="C170" s="697"/>
      <c r="D170" s="697"/>
      <c r="E170" s="124"/>
      <c r="F170" s="123">
        <v>0</v>
      </c>
      <c r="G170" s="123"/>
      <c r="H170" s="123">
        <v>0</v>
      </c>
      <c r="I170" s="121"/>
      <c r="J170" s="112"/>
    </row>
    <row r="171" spans="1:10" ht="21" customHeight="1" x14ac:dyDescent="0.25">
      <c r="A171" s="125"/>
      <c r="B171" s="707" t="s">
        <v>29</v>
      </c>
      <c r="C171" s="708"/>
      <c r="D171" s="709"/>
      <c r="E171" s="142"/>
      <c r="F171" s="160">
        <f>F169-F170</f>
        <v>0</v>
      </c>
      <c r="G171" s="143"/>
      <c r="H171" s="160">
        <f>H169-H170</f>
        <v>0</v>
      </c>
      <c r="I171" s="121"/>
      <c r="J171" s="112"/>
    </row>
    <row r="172" spans="1:10" x14ac:dyDescent="0.25">
      <c r="A172" s="120"/>
      <c r="B172" s="119"/>
      <c r="C172" s="119"/>
      <c r="D172" s="119"/>
      <c r="E172" s="119"/>
      <c r="F172" s="118"/>
      <c r="G172" s="118"/>
      <c r="H172" s="117"/>
      <c r="I172" s="116"/>
      <c r="J172" s="112"/>
    </row>
    <row r="173" spans="1:10" x14ac:dyDescent="0.25">
      <c r="A173" s="115"/>
      <c r="B173" s="112"/>
      <c r="C173" s="112"/>
      <c r="D173" s="112"/>
      <c r="E173" s="112"/>
      <c r="F173" s="114"/>
      <c r="G173" s="114"/>
      <c r="H173" s="113"/>
      <c r="I173" s="112"/>
      <c r="J173" s="112"/>
    </row>
    <row r="174" spans="1:10" x14ac:dyDescent="0.25">
      <c r="A174" s="706" t="s">
        <v>580</v>
      </c>
      <c r="B174" s="706"/>
      <c r="C174" s="706"/>
      <c r="D174" s="706"/>
      <c r="E174" s="13"/>
      <c r="F174" s="698" t="s">
        <v>1062</v>
      </c>
      <c r="G174" s="698"/>
      <c r="H174" s="698"/>
      <c r="I174" s="698"/>
    </row>
    <row r="175" spans="1:10" x14ac:dyDescent="0.25">
      <c r="A175" s="706" t="s">
        <v>678</v>
      </c>
      <c r="B175" s="706"/>
      <c r="C175" s="706"/>
      <c r="D175" s="706"/>
      <c r="E175" s="13"/>
      <c r="F175" s="698" t="s">
        <v>680</v>
      </c>
      <c r="G175" s="698"/>
      <c r="H175" s="698"/>
      <c r="I175" s="698"/>
    </row>
    <row r="176" spans="1:10" x14ac:dyDescent="0.25">
      <c r="A176" s="706"/>
      <c r="B176" s="706"/>
      <c r="C176" s="706"/>
      <c r="D176" s="706"/>
      <c r="E176" s="13"/>
      <c r="F176" s="698"/>
      <c r="G176" s="698"/>
      <c r="H176" s="698"/>
      <c r="I176" s="698"/>
    </row>
    <row r="177" spans="1:10" x14ac:dyDescent="0.25">
      <c r="A177" s="706"/>
      <c r="B177" s="706"/>
      <c r="C177" s="706"/>
      <c r="D177" s="706"/>
      <c r="E177" s="13"/>
      <c r="F177" s="698"/>
      <c r="G177" s="698"/>
      <c r="H177" s="698"/>
      <c r="I177" s="698"/>
    </row>
    <row r="178" spans="1:10" x14ac:dyDescent="0.25">
      <c r="A178" s="706" t="s">
        <v>1061</v>
      </c>
      <c r="B178" s="706"/>
      <c r="C178" s="706"/>
      <c r="D178" s="706"/>
      <c r="E178" s="13"/>
      <c r="F178" s="698" t="s">
        <v>567</v>
      </c>
      <c r="G178" s="698"/>
      <c r="H178" s="698"/>
      <c r="I178" s="698"/>
    </row>
    <row r="179" spans="1:10" x14ac:dyDescent="0.25">
      <c r="A179" s="112" t="s">
        <v>653</v>
      </c>
      <c r="B179" s="112"/>
      <c r="C179" s="112"/>
      <c r="D179" s="112"/>
      <c r="E179" s="112"/>
      <c r="F179" s="113"/>
      <c r="G179" s="113"/>
      <c r="H179" s="113"/>
      <c r="I179" s="112"/>
      <c r="J179" s="112"/>
    </row>
    <row r="180" spans="1:10" ht="12.95" customHeight="1" x14ac:dyDescent="0.25">
      <c r="A180" s="112"/>
      <c r="B180" s="112"/>
      <c r="C180" s="112"/>
      <c r="D180" s="112"/>
      <c r="E180" s="112"/>
      <c r="F180" s="113"/>
      <c r="G180" s="113"/>
      <c r="H180" s="113"/>
      <c r="I180" s="112"/>
      <c r="J180" s="112"/>
    </row>
    <row r="181" spans="1:10" ht="20.25" x14ac:dyDescent="0.3">
      <c r="A181" s="141"/>
      <c r="B181" s="695" t="s">
        <v>650</v>
      </c>
      <c r="C181" s="695"/>
      <c r="D181" s="695"/>
      <c r="E181" s="695"/>
      <c r="F181" s="695"/>
      <c r="G181" s="695"/>
      <c r="H181" s="695"/>
      <c r="I181" s="140"/>
      <c r="J181" s="112"/>
    </row>
    <row r="182" spans="1:10" x14ac:dyDescent="0.25">
      <c r="A182" s="125"/>
      <c r="B182" s="696" t="s">
        <v>881</v>
      </c>
      <c r="C182" s="696"/>
      <c r="D182" s="696"/>
      <c r="E182" s="696"/>
      <c r="F182" s="696"/>
      <c r="G182" s="696"/>
      <c r="H182" s="696"/>
      <c r="I182" s="139"/>
      <c r="J182" s="112"/>
    </row>
    <row r="183" spans="1:10" x14ac:dyDescent="0.25">
      <c r="A183" s="125"/>
      <c r="B183" s="696" t="s">
        <v>1016</v>
      </c>
      <c r="C183" s="696"/>
      <c r="D183" s="696"/>
      <c r="E183" s="696"/>
      <c r="F183" s="696"/>
      <c r="G183" s="696"/>
      <c r="H183" s="696"/>
      <c r="I183" s="139"/>
      <c r="J183" s="112"/>
    </row>
    <row r="184" spans="1:10" ht="15.75" thickBot="1" x14ac:dyDescent="0.3">
      <c r="A184" s="125"/>
      <c r="B184" s="699" t="s">
        <v>0</v>
      </c>
      <c r="C184" s="699"/>
      <c r="D184" s="699"/>
      <c r="E184" s="699"/>
      <c r="F184" s="699"/>
      <c r="G184" s="699"/>
      <c r="H184" s="699"/>
      <c r="I184" s="139"/>
      <c r="J184" s="112"/>
    </row>
    <row r="185" spans="1:10" ht="13.7" customHeight="1" thickTop="1" x14ac:dyDescent="0.25">
      <c r="A185" s="125"/>
      <c r="B185" s="112"/>
      <c r="C185" s="112"/>
      <c r="D185" s="112"/>
      <c r="E185" s="112"/>
      <c r="F185" s="113"/>
      <c r="G185" s="113"/>
      <c r="H185" s="113"/>
      <c r="I185" s="136"/>
      <c r="J185" s="112"/>
    </row>
    <row r="186" spans="1:10" ht="25.5" x14ac:dyDescent="0.25">
      <c r="A186" s="125"/>
      <c r="B186" s="711" t="s">
        <v>30</v>
      </c>
      <c r="C186" s="712"/>
      <c r="D186" s="713"/>
      <c r="E186" s="138"/>
      <c r="F186" s="159" t="s">
        <v>291</v>
      </c>
      <c r="G186" s="137"/>
      <c r="H186" s="165" t="s">
        <v>558</v>
      </c>
      <c r="I186" s="136"/>
      <c r="J186" s="112"/>
    </row>
    <row r="187" spans="1:10" ht="12.95" customHeight="1" x14ac:dyDescent="0.25">
      <c r="A187" s="125"/>
      <c r="B187" s="112"/>
      <c r="C187" s="112"/>
      <c r="D187" s="112"/>
      <c r="E187" s="112"/>
      <c r="F187" s="113"/>
      <c r="G187" s="113"/>
      <c r="H187" s="113"/>
      <c r="I187" s="136"/>
      <c r="J187" s="112"/>
    </row>
    <row r="188" spans="1:10" ht="12.95" customHeight="1" x14ac:dyDescent="0.25">
      <c r="A188" s="125"/>
      <c r="B188" s="124" t="s">
        <v>1</v>
      </c>
      <c r="C188" s="124"/>
      <c r="D188" s="124"/>
      <c r="E188" s="124"/>
      <c r="F188" s="123"/>
      <c r="G188" s="123"/>
      <c r="H188" s="123"/>
      <c r="I188" s="135"/>
      <c r="J188" s="112"/>
    </row>
    <row r="189" spans="1:10" ht="12.95" customHeight="1" x14ac:dyDescent="0.25">
      <c r="A189" s="125"/>
      <c r="B189" s="124"/>
      <c r="C189" s="128" t="s">
        <v>2</v>
      </c>
      <c r="D189" s="128"/>
      <c r="E189" s="128"/>
      <c r="F189" s="132"/>
      <c r="G189" s="132"/>
      <c r="H189" s="133"/>
      <c r="I189" s="121"/>
      <c r="J189" s="112"/>
    </row>
    <row r="190" spans="1:10" ht="12.95" customHeight="1" x14ac:dyDescent="0.25">
      <c r="A190" s="125"/>
      <c r="B190" s="697" t="s">
        <v>312</v>
      </c>
      <c r="C190" s="697"/>
      <c r="D190" s="124" t="s">
        <v>303</v>
      </c>
      <c r="E190" s="128"/>
      <c r="F190" s="123">
        <v>0</v>
      </c>
      <c r="G190" s="123"/>
      <c r="H190" s="122">
        <f>F190+H135</f>
        <v>0</v>
      </c>
      <c r="I190" s="121"/>
      <c r="J190" s="112"/>
    </row>
    <row r="191" spans="1:10" ht="12.95" customHeight="1" x14ac:dyDescent="0.25">
      <c r="A191" s="125"/>
      <c r="B191" s="697" t="s">
        <v>313</v>
      </c>
      <c r="C191" s="697"/>
      <c r="D191" s="124" t="s">
        <v>304</v>
      </c>
      <c r="E191" s="128"/>
      <c r="F191" s="123">
        <v>0</v>
      </c>
      <c r="G191" s="123"/>
      <c r="H191" s="122">
        <f>F191+H136</f>
        <v>0</v>
      </c>
      <c r="I191" s="121"/>
      <c r="J191" s="112"/>
    </row>
    <row r="192" spans="1:10" ht="12.95" customHeight="1" x14ac:dyDescent="0.25">
      <c r="A192" s="125"/>
      <c r="B192" s="697" t="s">
        <v>314</v>
      </c>
      <c r="C192" s="697"/>
      <c r="D192" s="124" t="s">
        <v>315</v>
      </c>
      <c r="E192" s="128"/>
      <c r="F192" s="123">
        <v>0</v>
      </c>
      <c r="G192" s="123"/>
      <c r="H192" s="122">
        <f>F192+H137</f>
        <v>0</v>
      </c>
      <c r="I192" s="121"/>
      <c r="J192" s="112"/>
    </row>
    <row r="193" spans="1:10" ht="12.95" customHeight="1" x14ac:dyDescent="0.25">
      <c r="A193" s="125"/>
      <c r="B193" s="124"/>
      <c r="C193" s="128"/>
      <c r="D193" s="134" t="s">
        <v>305</v>
      </c>
      <c r="E193" s="128"/>
      <c r="F193" s="155">
        <f>SUM(F190:F192)</f>
        <v>0</v>
      </c>
      <c r="G193" s="132"/>
      <c r="H193" s="156">
        <f>SUM(H190:H192)</f>
        <v>0</v>
      </c>
      <c r="I193" s="121"/>
      <c r="J193" s="112"/>
    </row>
    <row r="194" spans="1:10" ht="12.95" customHeight="1" x14ac:dyDescent="0.25">
      <c r="A194" s="125"/>
      <c r="B194" s="124"/>
      <c r="C194" s="128" t="s">
        <v>3</v>
      </c>
      <c r="D194" s="124"/>
      <c r="E194" s="124"/>
      <c r="F194" s="123"/>
      <c r="G194" s="123"/>
      <c r="H194" s="122"/>
      <c r="I194" s="121"/>
      <c r="J194" s="112"/>
    </row>
    <row r="195" spans="1:10" ht="12.95" customHeight="1" x14ac:dyDescent="0.25">
      <c r="A195" s="125"/>
      <c r="B195" s="697" t="s">
        <v>316</v>
      </c>
      <c r="C195" s="697"/>
      <c r="D195" s="124" t="s">
        <v>229</v>
      </c>
      <c r="E195" s="124"/>
      <c r="F195" s="123">
        <v>0</v>
      </c>
      <c r="G195" s="123"/>
      <c r="H195" s="122">
        <f t="shared" ref="H195:H200" si="11">F195+H140</f>
        <v>0</v>
      </c>
      <c r="I195" s="121"/>
      <c r="J195" s="112"/>
    </row>
    <row r="196" spans="1:10" ht="12.95" customHeight="1" x14ac:dyDescent="0.25">
      <c r="A196" s="125"/>
      <c r="B196" s="697" t="s">
        <v>317</v>
      </c>
      <c r="C196" s="697"/>
      <c r="D196" s="124" t="s">
        <v>232</v>
      </c>
      <c r="E196" s="124"/>
      <c r="F196" s="123"/>
      <c r="G196" s="123"/>
      <c r="H196" s="122">
        <f t="shared" si="11"/>
        <v>0</v>
      </c>
      <c r="I196" s="121"/>
      <c r="J196" s="112"/>
    </row>
    <row r="197" spans="1:10" ht="12.95" customHeight="1" x14ac:dyDescent="0.25">
      <c r="A197" s="125"/>
      <c r="B197" s="697" t="s">
        <v>318</v>
      </c>
      <c r="C197" s="697"/>
      <c r="D197" s="124" t="s">
        <v>230</v>
      </c>
      <c r="E197" s="124"/>
      <c r="F197" s="123">
        <v>0</v>
      </c>
      <c r="G197" s="123"/>
      <c r="H197" s="122">
        <f t="shared" si="11"/>
        <v>0</v>
      </c>
      <c r="I197" s="121"/>
      <c r="J197" s="112"/>
    </row>
    <row r="198" spans="1:10" ht="12.95" customHeight="1" x14ac:dyDescent="0.25">
      <c r="A198" s="125"/>
      <c r="B198" s="697" t="s">
        <v>319</v>
      </c>
      <c r="C198" s="697"/>
      <c r="D198" s="124" t="s">
        <v>322</v>
      </c>
      <c r="E198" s="124"/>
      <c r="F198" s="123"/>
      <c r="G198" s="123"/>
      <c r="H198" s="122">
        <f t="shared" si="11"/>
        <v>0</v>
      </c>
      <c r="I198" s="121"/>
      <c r="J198" s="112"/>
    </row>
    <row r="199" spans="1:10" ht="12.95" customHeight="1" x14ac:dyDescent="0.25">
      <c r="A199" s="125"/>
      <c r="B199" s="697" t="s">
        <v>320</v>
      </c>
      <c r="C199" s="697"/>
      <c r="D199" s="124" t="s">
        <v>323</v>
      </c>
      <c r="E199" s="124"/>
      <c r="F199" s="123"/>
      <c r="G199" s="123"/>
      <c r="H199" s="122">
        <f t="shared" si="11"/>
        <v>0</v>
      </c>
      <c r="I199" s="121"/>
      <c r="J199" s="112"/>
    </row>
    <row r="200" spans="1:10" ht="12.95" customHeight="1" x14ac:dyDescent="0.25">
      <c r="A200" s="125"/>
      <c r="B200" s="697" t="s">
        <v>321</v>
      </c>
      <c r="C200" s="697"/>
      <c r="D200" s="124" t="s">
        <v>324</v>
      </c>
      <c r="E200" s="124"/>
      <c r="F200" s="123"/>
      <c r="G200" s="123"/>
      <c r="H200" s="122">
        <f t="shared" si="11"/>
        <v>0</v>
      </c>
      <c r="I200" s="121"/>
      <c r="J200" s="112"/>
    </row>
    <row r="201" spans="1:10" ht="12.95" customHeight="1" x14ac:dyDescent="0.25">
      <c r="A201" s="125"/>
      <c r="B201" s="124"/>
      <c r="C201" s="128"/>
      <c r="D201" s="134" t="s">
        <v>279</v>
      </c>
      <c r="E201" s="128"/>
      <c r="F201" s="157">
        <f>SUM(F195:F200)</f>
        <v>0</v>
      </c>
      <c r="G201" s="132"/>
      <c r="H201" s="158">
        <f>SUM(H195:H200)</f>
        <v>0</v>
      </c>
      <c r="I201" s="121"/>
      <c r="J201" s="112"/>
    </row>
    <row r="202" spans="1:10" ht="12.95" customHeight="1" thickBot="1" x14ac:dyDescent="0.3">
      <c r="A202" s="125"/>
      <c r="B202" s="710" t="s">
        <v>4</v>
      </c>
      <c r="C202" s="710"/>
      <c r="D202" s="710"/>
      <c r="E202" s="149" t="e">
        <f>#REF!+E201+E189</f>
        <v>#REF!</v>
      </c>
      <c r="F202" s="131">
        <f>F201+F193</f>
        <v>0</v>
      </c>
      <c r="G202" s="133"/>
      <c r="H202" s="131">
        <f>H201+H193</f>
        <v>0</v>
      </c>
      <c r="I202" s="121"/>
      <c r="J202" s="112"/>
    </row>
    <row r="203" spans="1:10" ht="12.95" customHeight="1" thickTop="1" x14ac:dyDescent="0.25">
      <c r="A203" s="125"/>
      <c r="B203" s="128" t="s">
        <v>289</v>
      </c>
      <c r="C203" s="124"/>
      <c r="D203" s="124"/>
      <c r="E203" s="124"/>
      <c r="F203" s="123"/>
      <c r="G203" s="123"/>
      <c r="H203" s="122"/>
      <c r="I203" s="121"/>
      <c r="J203" s="112"/>
    </row>
    <row r="204" spans="1:10" ht="12.95" customHeight="1" x14ac:dyDescent="0.25">
      <c r="A204" s="125"/>
      <c r="B204" s="124" t="s">
        <v>311</v>
      </c>
      <c r="C204" s="124" t="s">
        <v>289</v>
      </c>
      <c r="D204" s="124"/>
      <c r="E204" s="124"/>
      <c r="F204" s="123"/>
      <c r="G204" s="123"/>
      <c r="H204" s="122"/>
      <c r="I204" s="121"/>
      <c r="J204" s="112"/>
    </row>
    <row r="205" spans="1:10" ht="12.95" customHeight="1" x14ac:dyDescent="0.25">
      <c r="A205" s="125"/>
      <c r="B205" s="697" t="s">
        <v>325</v>
      </c>
      <c r="C205" s="697"/>
      <c r="D205" s="124" t="s">
        <v>328</v>
      </c>
      <c r="E205" s="124"/>
      <c r="F205" s="123">
        <f>'RINCIAN B. LANGSUNG USAHA'!G32</f>
        <v>0</v>
      </c>
      <c r="G205" s="123"/>
      <c r="H205" s="122">
        <f t="shared" ref="H205:H211" si="12">F205+H150</f>
        <v>0</v>
      </c>
      <c r="I205" s="121"/>
      <c r="J205" s="112"/>
    </row>
    <row r="206" spans="1:10" ht="12.95" customHeight="1" x14ac:dyDescent="0.25">
      <c r="A206" s="125"/>
      <c r="B206" s="697" t="s">
        <v>326</v>
      </c>
      <c r="C206" s="697"/>
      <c r="D206" s="124" t="s">
        <v>329</v>
      </c>
      <c r="E206" s="124"/>
      <c r="F206" s="123">
        <f>'RINCIAN B. LANGSUNG USAHA'!G67</f>
        <v>0</v>
      </c>
      <c r="G206" s="123"/>
      <c r="H206" s="122">
        <f t="shared" si="12"/>
        <v>0</v>
      </c>
      <c r="I206" s="121"/>
      <c r="J206" s="112"/>
    </row>
    <row r="207" spans="1:10" ht="12.95" customHeight="1" x14ac:dyDescent="0.25">
      <c r="A207" s="125"/>
      <c r="B207" s="697" t="s">
        <v>327</v>
      </c>
      <c r="C207" s="697"/>
      <c r="D207" s="124" t="s">
        <v>330</v>
      </c>
      <c r="E207" s="124"/>
      <c r="F207" s="123">
        <f>'RINCIAN B. LANGSUNG USAHA'!G98</f>
        <v>0</v>
      </c>
      <c r="G207" s="123"/>
      <c r="H207" s="122">
        <f t="shared" si="12"/>
        <v>0</v>
      </c>
      <c r="I207" s="121"/>
      <c r="J207" s="112"/>
    </row>
    <row r="208" spans="1:10" ht="12.95" customHeight="1" x14ac:dyDescent="0.25">
      <c r="A208" s="125"/>
      <c r="B208" s="697" t="s">
        <v>331</v>
      </c>
      <c r="C208" s="697"/>
      <c r="D208" s="124" t="s">
        <v>252</v>
      </c>
      <c r="E208" s="124"/>
      <c r="F208" s="123">
        <f>'RINCIAN B. LANGSUNG USAHA'!G33</f>
        <v>0</v>
      </c>
      <c r="G208" s="123"/>
      <c r="H208" s="122">
        <f t="shared" si="12"/>
        <v>0</v>
      </c>
      <c r="I208" s="121"/>
      <c r="J208" s="112"/>
    </row>
    <row r="209" spans="1:10" ht="12.95" customHeight="1" x14ac:dyDescent="0.25">
      <c r="A209" s="125"/>
      <c r="B209" s="697" t="s">
        <v>332</v>
      </c>
      <c r="C209" s="697"/>
      <c r="D209" s="124" t="s">
        <v>335</v>
      </c>
      <c r="E209" s="124"/>
      <c r="F209" s="123">
        <f>'RINCIAN B. LANGSUNG USAHA'!G68</f>
        <v>0</v>
      </c>
      <c r="G209" s="123"/>
      <c r="H209" s="122">
        <f t="shared" si="12"/>
        <v>0</v>
      </c>
      <c r="I209" s="121"/>
      <c r="J209" s="112"/>
    </row>
    <row r="210" spans="1:10" ht="12.95" customHeight="1" x14ac:dyDescent="0.25">
      <c r="A210" s="125"/>
      <c r="B210" s="697" t="s">
        <v>333</v>
      </c>
      <c r="C210" s="697"/>
      <c r="D210" s="124" t="s">
        <v>334</v>
      </c>
      <c r="E210" s="124"/>
      <c r="F210" s="123">
        <f>'RINCIAN B. LANGSUNG USAHA'!G99</f>
        <v>0</v>
      </c>
      <c r="G210" s="123"/>
      <c r="H210" s="122">
        <f t="shared" si="12"/>
        <v>0</v>
      </c>
      <c r="I210" s="121"/>
      <c r="J210" s="112"/>
    </row>
    <row r="211" spans="1:10" ht="12.95" customHeight="1" x14ac:dyDescent="0.25">
      <c r="A211" s="125"/>
      <c r="B211" s="697" t="s">
        <v>337</v>
      </c>
      <c r="C211" s="697"/>
      <c r="D211" s="124" t="s">
        <v>860</v>
      </c>
      <c r="E211" s="124"/>
      <c r="F211" s="123">
        <f>'RINCIAN B. LANGSUNG USAHA'!G101</f>
        <v>0</v>
      </c>
      <c r="G211" s="123"/>
      <c r="H211" s="122">
        <f t="shared" si="12"/>
        <v>0</v>
      </c>
      <c r="I211" s="121"/>
      <c r="J211" s="112"/>
    </row>
    <row r="212" spans="1:10" ht="12.95" customHeight="1" x14ac:dyDescent="0.25">
      <c r="A212" s="125"/>
      <c r="B212" s="697" t="s">
        <v>888</v>
      </c>
      <c r="C212" s="697"/>
      <c r="D212" s="697"/>
      <c r="E212" s="124"/>
      <c r="F212" s="152">
        <f>SUM(F205:F211)</f>
        <v>0</v>
      </c>
      <c r="G212" s="123"/>
      <c r="H212" s="153">
        <f>SUM(H205:H211)</f>
        <v>0</v>
      </c>
      <c r="I212" s="121"/>
      <c r="J212" s="112"/>
    </row>
    <row r="213" spans="1:10" ht="12.95" customHeight="1" x14ac:dyDescent="0.25">
      <c r="A213" s="125"/>
      <c r="B213" s="697" t="s">
        <v>343</v>
      </c>
      <c r="C213" s="697"/>
      <c r="D213" s="697"/>
      <c r="E213" s="124"/>
      <c r="F213" s="154">
        <f>F202-F212</f>
        <v>0</v>
      </c>
      <c r="G213" s="123"/>
      <c r="H213" s="154">
        <f>H202-H212</f>
        <v>0</v>
      </c>
      <c r="I213" s="121"/>
      <c r="J213" s="112"/>
    </row>
    <row r="214" spans="1:10" ht="12.95" customHeight="1" x14ac:dyDescent="0.25">
      <c r="A214" s="125"/>
      <c r="B214" s="124" t="s">
        <v>336</v>
      </c>
      <c r="C214" s="124" t="s">
        <v>882</v>
      </c>
      <c r="D214" s="124"/>
      <c r="E214" s="124"/>
      <c r="F214" s="123"/>
      <c r="G214" s="123"/>
      <c r="H214" s="122"/>
      <c r="I214" s="121"/>
      <c r="J214" s="112"/>
    </row>
    <row r="215" spans="1:10" ht="12.95" customHeight="1" x14ac:dyDescent="0.25">
      <c r="A215" s="125"/>
      <c r="B215" s="697" t="s">
        <v>337</v>
      </c>
      <c r="C215" s="697"/>
      <c r="D215" s="124" t="s">
        <v>338</v>
      </c>
      <c r="E215" s="124"/>
      <c r="F215" s="123">
        <f>'RINCIAN B. TDK LANGSUNG'!G77</f>
        <v>0</v>
      </c>
      <c r="G215" s="123"/>
      <c r="H215" s="122">
        <f>F215+H160</f>
        <v>0</v>
      </c>
      <c r="I215" s="121"/>
      <c r="J215" s="112"/>
    </row>
    <row r="216" spans="1:10" ht="12.95" customHeight="1" x14ac:dyDescent="0.25">
      <c r="A216" s="125"/>
      <c r="B216" s="697" t="s">
        <v>339</v>
      </c>
      <c r="C216" s="697"/>
      <c r="D216" s="124" t="s">
        <v>340</v>
      </c>
      <c r="E216" s="124"/>
      <c r="F216" s="123"/>
      <c r="G216" s="123"/>
      <c r="H216" s="122">
        <f>F216+H161</f>
        <v>0</v>
      </c>
      <c r="I216" s="121"/>
      <c r="J216" s="112"/>
    </row>
    <row r="217" spans="1:10" ht="12.95" customHeight="1" x14ac:dyDescent="0.25">
      <c r="A217" s="125"/>
      <c r="B217" s="697" t="s">
        <v>341</v>
      </c>
      <c r="C217" s="697"/>
      <c r="D217" s="124" t="s">
        <v>342</v>
      </c>
      <c r="E217" s="124"/>
      <c r="F217" s="123">
        <f>'RINCIAN B. TDK LANGSUNG'!G78+'RINCIAN B. TDK LANGSUNG'!G79</f>
        <v>0</v>
      </c>
      <c r="G217" s="123"/>
      <c r="H217" s="122">
        <f>F217+H162</f>
        <v>0</v>
      </c>
      <c r="I217" s="121"/>
      <c r="J217" s="112"/>
    </row>
    <row r="218" spans="1:10" ht="12.95" customHeight="1" x14ac:dyDescent="0.25">
      <c r="A218" s="125"/>
      <c r="B218" s="697" t="s">
        <v>883</v>
      </c>
      <c r="C218" s="697"/>
      <c r="D218" s="697"/>
      <c r="E218" s="124"/>
      <c r="F218" s="152">
        <f>SUM(F215:F217)</f>
        <v>0</v>
      </c>
      <c r="G218" s="123"/>
      <c r="H218" s="153">
        <f>SUM(H215:H217)</f>
        <v>0</v>
      </c>
      <c r="I218" s="121"/>
      <c r="J218" s="112"/>
    </row>
    <row r="219" spans="1:10" ht="12.95" customHeight="1" x14ac:dyDescent="0.25">
      <c r="A219" s="125"/>
      <c r="B219" s="697" t="s">
        <v>884</v>
      </c>
      <c r="C219" s="697"/>
      <c r="D219" s="697"/>
      <c r="E219" s="124"/>
      <c r="F219" s="154">
        <f>F213-F218</f>
        <v>0</v>
      </c>
      <c r="G219" s="123"/>
      <c r="H219" s="154">
        <f>H213-H218</f>
        <v>0</v>
      </c>
      <c r="I219" s="121"/>
      <c r="J219" s="112"/>
    </row>
    <row r="220" spans="1:10" ht="12.95" customHeight="1" x14ac:dyDescent="0.25">
      <c r="A220" s="125"/>
      <c r="B220" s="6" t="s">
        <v>344</v>
      </c>
      <c r="C220" s="151" t="s">
        <v>885</v>
      </c>
      <c r="D220" s="6"/>
      <c r="E220" s="124"/>
      <c r="F220" s="123"/>
      <c r="G220" s="123"/>
      <c r="H220" s="122"/>
      <c r="I220" s="121"/>
      <c r="J220" s="112"/>
    </row>
    <row r="221" spans="1:10" ht="12.95" customHeight="1" x14ac:dyDescent="0.25">
      <c r="A221" s="125"/>
      <c r="B221" s="697" t="s">
        <v>345</v>
      </c>
      <c r="C221" s="697"/>
      <c r="D221" s="151" t="s">
        <v>5</v>
      </c>
      <c r="E221" s="124"/>
      <c r="F221" s="123">
        <v>0</v>
      </c>
      <c r="G221" s="123"/>
      <c r="H221" s="122">
        <f>F221+H166</f>
        <v>0</v>
      </c>
      <c r="I221" s="121"/>
      <c r="J221" s="112"/>
    </row>
    <row r="222" spans="1:10" ht="12.95" customHeight="1" x14ac:dyDescent="0.25">
      <c r="A222" s="125"/>
      <c r="B222" s="697" t="s">
        <v>346</v>
      </c>
      <c r="C222" s="697"/>
      <c r="D222" s="151" t="s">
        <v>887</v>
      </c>
      <c r="E222" s="124"/>
      <c r="F222" s="123">
        <f>-'B. NON OPERASIONAL'!E12</f>
        <v>0</v>
      </c>
      <c r="G222" s="123"/>
      <c r="H222" s="122">
        <f>F222+H167</f>
        <v>0</v>
      </c>
      <c r="I222" s="121"/>
      <c r="J222" s="112"/>
    </row>
    <row r="223" spans="1:10" ht="12.95" customHeight="1" x14ac:dyDescent="0.25">
      <c r="A223" s="125"/>
      <c r="B223" s="697" t="s">
        <v>886</v>
      </c>
      <c r="C223" s="697"/>
      <c r="D223" s="697"/>
      <c r="E223" s="124"/>
      <c r="F223" s="152">
        <f>F221+F222</f>
        <v>0</v>
      </c>
      <c r="G223" s="123"/>
      <c r="H223" s="152">
        <f>H221+H222</f>
        <v>0</v>
      </c>
      <c r="I223" s="121"/>
      <c r="J223" s="112"/>
    </row>
    <row r="224" spans="1:10" ht="12.95" customHeight="1" x14ac:dyDescent="0.25">
      <c r="A224" s="125"/>
      <c r="B224" s="697" t="s">
        <v>347</v>
      </c>
      <c r="C224" s="697"/>
      <c r="D224" s="697"/>
      <c r="E224" s="124"/>
      <c r="F224" s="154">
        <f>F219+F223</f>
        <v>0</v>
      </c>
      <c r="G224" s="123"/>
      <c r="H224" s="154">
        <f>H219+H223</f>
        <v>0</v>
      </c>
      <c r="I224" s="121"/>
      <c r="J224" s="112"/>
    </row>
    <row r="225" spans="1:10" ht="12.95" customHeight="1" x14ac:dyDescent="0.25">
      <c r="A225" s="125"/>
      <c r="B225" s="697" t="s">
        <v>348</v>
      </c>
      <c r="C225" s="697"/>
      <c r="D225" s="697"/>
      <c r="E225" s="124"/>
      <c r="F225" s="123">
        <v>0</v>
      </c>
      <c r="G225" s="123"/>
      <c r="H225" s="123">
        <v>0</v>
      </c>
      <c r="I225" s="121"/>
      <c r="J225" s="112"/>
    </row>
    <row r="226" spans="1:10" ht="21" customHeight="1" x14ac:dyDescent="0.25">
      <c r="A226" s="125"/>
      <c r="B226" s="707" t="s">
        <v>29</v>
      </c>
      <c r="C226" s="708"/>
      <c r="D226" s="709"/>
      <c r="E226" s="142"/>
      <c r="F226" s="160">
        <f>F224-F225</f>
        <v>0</v>
      </c>
      <c r="G226" s="143"/>
      <c r="H226" s="160">
        <f>H224-H225</f>
        <v>0</v>
      </c>
      <c r="I226" s="121"/>
      <c r="J226" s="112"/>
    </row>
    <row r="227" spans="1:10" ht="12.95" customHeight="1" x14ac:dyDescent="0.25">
      <c r="A227" s="120"/>
      <c r="B227" s="119"/>
      <c r="C227" s="119"/>
      <c r="D227" s="119"/>
      <c r="E227" s="119"/>
      <c r="F227" s="118"/>
      <c r="G227" s="118"/>
      <c r="H227" s="117"/>
      <c r="I227" s="116"/>
      <c r="J227" s="112"/>
    </row>
    <row r="228" spans="1:10" x14ac:dyDescent="0.25">
      <c r="A228" s="115"/>
      <c r="B228" s="112"/>
      <c r="C228" s="112"/>
      <c r="D228" s="112"/>
      <c r="E228" s="112"/>
      <c r="F228" s="114"/>
      <c r="G228" s="114"/>
      <c r="H228" s="113"/>
      <c r="I228" s="112"/>
      <c r="J228" s="112"/>
    </row>
    <row r="229" spans="1:10" x14ac:dyDescent="0.25">
      <c r="A229" s="706" t="s">
        <v>580</v>
      </c>
      <c r="B229" s="706"/>
      <c r="C229" s="706"/>
      <c r="D229" s="706"/>
      <c r="E229" s="13"/>
      <c r="F229" s="698" t="s">
        <v>1062</v>
      </c>
      <c r="G229" s="698"/>
      <c r="H229" s="698"/>
      <c r="I229" s="698"/>
    </row>
    <row r="230" spans="1:10" x14ac:dyDescent="0.25">
      <c r="A230" s="706" t="s">
        <v>678</v>
      </c>
      <c r="B230" s="706"/>
      <c r="C230" s="706"/>
      <c r="D230" s="706"/>
      <c r="E230" s="13"/>
      <c r="F230" s="698" t="s">
        <v>680</v>
      </c>
      <c r="G230" s="698"/>
      <c r="H230" s="698"/>
      <c r="I230" s="698"/>
    </row>
    <row r="231" spans="1:10" x14ac:dyDescent="0.25">
      <c r="A231" s="706"/>
      <c r="B231" s="706"/>
      <c r="C231" s="706"/>
      <c r="D231" s="706"/>
      <c r="E231" s="13"/>
      <c r="F231" s="698"/>
      <c r="G231" s="698"/>
      <c r="H231" s="698"/>
      <c r="I231" s="698"/>
    </row>
    <row r="232" spans="1:10" x14ac:dyDescent="0.25">
      <c r="A232" s="706"/>
      <c r="B232" s="706"/>
      <c r="C232" s="706"/>
      <c r="D232" s="706"/>
      <c r="E232" s="13"/>
      <c r="F232" s="698"/>
      <c r="G232" s="698"/>
      <c r="H232" s="698"/>
      <c r="I232" s="698"/>
    </row>
    <row r="233" spans="1:10" x14ac:dyDescent="0.25">
      <c r="A233" s="706" t="s">
        <v>1061</v>
      </c>
      <c r="B233" s="706"/>
      <c r="C233" s="706"/>
      <c r="D233" s="706"/>
      <c r="E233" s="13"/>
      <c r="F233" s="698" t="s">
        <v>567</v>
      </c>
      <c r="G233" s="698"/>
      <c r="H233" s="698"/>
      <c r="I233" s="698"/>
    </row>
    <row r="234" spans="1:10" x14ac:dyDescent="0.25">
      <c r="A234" s="697"/>
      <c r="B234" s="697"/>
      <c r="C234" s="697"/>
      <c r="D234" s="697"/>
      <c r="E234" s="697"/>
      <c r="F234" s="697"/>
      <c r="G234" s="697"/>
      <c r="H234" s="697"/>
      <c r="I234" s="697"/>
    </row>
    <row r="235" spans="1:10" x14ac:dyDescent="0.25">
      <c r="A235" s="112" t="s">
        <v>653</v>
      </c>
      <c r="B235" s="112"/>
      <c r="C235" s="112"/>
      <c r="D235" s="112"/>
      <c r="E235" s="112"/>
      <c r="F235" s="113"/>
      <c r="G235" s="113"/>
      <c r="H235" s="113"/>
      <c r="I235" s="112"/>
      <c r="J235" s="112"/>
    </row>
    <row r="236" spans="1:10" x14ac:dyDescent="0.25">
      <c r="A236" s="112"/>
      <c r="B236" s="112"/>
      <c r="C236" s="112"/>
      <c r="D236" s="112"/>
      <c r="E236" s="112"/>
      <c r="F236" s="113"/>
      <c r="G236" s="113"/>
      <c r="H236" s="113"/>
      <c r="I236" s="112"/>
      <c r="J236" s="112"/>
    </row>
    <row r="237" spans="1:10" ht="20.25" x14ac:dyDescent="0.3">
      <c r="A237" s="141"/>
      <c r="B237" s="695" t="s">
        <v>650</v>
      </c>
      <c r="C237" s="695"/>
      <c r="D237" s="695"/>
      <c r="E237" s="695"/>
      <c r="F237" s="695"/>
      <c r="G237" s="695"/>
      <c r="H237" s="695"/>
      <c r="I237" s="140"/>
      <c r="J237" s="112"/>
    </row>
    <row r="238" spans="1:10" x14ac:dyDescent="0.25">
      <c r="A238" s="125"/>
      <c r="B238" s="696" t="s">
        <v>881</v>
      </c>
      <c r="C238" s="696"/>
      <c r="D238" s="696"/>
      <c r="E238" s="696"/>
      <c r="F238" s="696"/>
      <c r="G238" s="696"/>
      <c r="H238" s="696"/>
      <c r="I238" s="139"/>
      <c r="J238" s="112"/>
    </row>
    <row r="239" spans="1:10" x14ac:dyDescent="0.25">
      <c r="A239" s="125"/>
      <c r="B239" s="696" t="s">
        <v>1017</v>
      </c>
      <c r="C239" s="696"/>
      <c r="D239" s="696"/>
      <c r="E239" s="696"/>
      <c r="F239" s="696"/>
      <c r="G239" s="696"/>
      <c r="H239" s="696"/>
      <c r="I239" s="139"/>
      <c r="J239" s="112"/>
    </row>
    <row r="240" spans="1:10" ht="15.75" thickBot="1" x14ac:dyDescent="0.3">
      <c r="A240" s="125"/>
      <c r="B240" s="699" t="s">
        <v>0</v>
      </c>
      <c r="C240" s="699"/>
      <c r="D240" s="699"/>
      <c r="E240" s="699"/>
      <c r="F240" s="699"/>
      <c r="G240" s="699"/>
      <c r="H240" s="699"/>
      <c r="I240" s="139"/>
      <c r="J240" s="112"/>
    </row>
    <row r="241" spans="1:10" ht="15.75" thickTop="1" x14ac:dyDescent="0.25">
      <c r="A241" s="125"/>
      <c r="B241" s="112"/>
      <c r="C241" s="112"/>
      <c r="D241" s="112"/>
      <c r="E241" s="112"/>
      <c r="F241" s="113"/>
      <c r="G241" s="113"/>
      <c r="H241" s="113"/>
      <c r="I241" s="136"/>
      <c r="J241" s="112"/>
    </row>
    <row r="242" spans="1:10" ht="25.5" x14ac:dyDescent="0.25">
      <c r="A242" s="125"/>
      <c r="B242" s="711" t="s">
        <v>30</v>
      </c>
      <c r="C242" s="712"/>
      <c r="D242" s="713"/>
      <c r="E242" s="138"/>
      <c r="F242" s="159" t="s">
        <v>291</v>
      </c>
      <c r="G242" s="137"/>
      <c r="H242" s="165" t="s">
        <v>558</v>
      </c>
      <c r="I242" s="136"/>
      <c r="J242" s="112"/>
    </row>
    <row r="243" spans="1:10" x14ac:dyDescent="0.25">
      <c r="A243" s="125"/>
      <c r="B243" s="112"/>
      <c r="C243" s="112"/>
      <c r="D243" s="112"/>
      <c r="E243" s="112"/>
      <c r="F243" s="113"/>
      <c r="G243" s="113"/>
      <c r="H243" s="113"/>
      <c r="I243" s="136"/>
      <c r="J243" s="112"/>
    </row>
    <row r="244" spans="1:10" x14ac:dyDescent="0.25">
      <c r="A244" s="125"/>
      <c r="B244" s="124" t="s">
        <v>1</v>
      </c>
      <c r="C244" s="124"/>
      <c r="D244" s="124"/>
      <c r="E244" s="124"/>
      <c r="F244" s="123"/>
      <c r="G244" s="123"/>
      <c r="H244" s="123"/>
      <c r="I244" s="135"/>
      <c r="J244" s="112"/>
    </row>
    <row r="245" spans="1:10" x14ac:dyDescent="0.25">
      <c r="A245" s="125"/>
      <c r="B245" s="124"/>
      <c r="C245" s="128" t="s">
        <v>2</v>
      </c>
      <c r="D245" s="128"/>
      <c r="E245" s="128"/>
      <c r="F245" s="132"/>
      <c r="G245" s="132"/>
      <c r="H245" s="133"/>
      <c r="I245" s="121"/>
      <c r="J245" s="112"/>
    </row>
    <row r="246" spans="1:10" x14ac:dyDescent="0.25">
      <c r="A246" s="125"/>
      <c r="B246" s="697" t="s">
        <v>312</v>
      </c>
      <c r="C246" s="697"/>
      <c r="D246" s="124" t="s">
        <v>303</v>
      </c>
      <c r="E246" s="128"/>
      <c r="F246" s="123">
        <v>0</v>
      </c>
      <c r="G246" s="123"/>
      <c r="H246" s="122">
        <f>F246+H190</f>
        <v>0</v>
      </c>
      <c r="I246" s="121"/>
      <c r="J246" s="112"/>
    </row>
    <row r="247" spans="1:10" x14ac:dyDescent="0.25">
      <c r="A247" s="125"/>
      <c r="B247" s="697" t="s">
        <v>313</v>
      </c>
      <c r="C247" s="697"/>
      <c r="D247" s="124" t="s">
        <v>304</v>
      </c>
      <c r="E247" s="128"/>
      <c r="F247" s="123">
        <v>0</v>
      </c>
      <c r="G247" s="123"/>
      <c r="H247" s="122">
        <f>F247+H191</f>
        <v>0</v>
      </c>
      <c r="I247" s="121"/>
      <c r="J247" s="112"/>
    </row>
    <row r="248" spans="1:10" x14ac:dyDescent="0.25">
      <c r="A248" s="125"/>
      <c r="B248" s="697" t="s">
        <v>314</v>
      </c>
      <c r="C248" s="697"/>
      <c r="D248" s="124" t="s">
        <v>315</v>
      </c>
      <c r="E248" s="128"/>
      <c r="F248" s="123">
        <v>0</v>
      </c>
      <c r="G248" s="123"/>
      <c r="H248" s="122">
        <f>F248+H192</f>
        <v>0</v>
      </c>
      <c r="I248" s="121"/>
      <c r="J248" s="112"/>
    </row>
    <row r="249" spans="1:10" x14ac:dyDescent="0.25">
      <c r="A249" s="125"/>
      <c r="B249" s="124"/>
      <c r="C249" s="128"/>
      <c r="D249" s="134" t="s">
        <v>305</v>
      </c>
      <c r="E249" s="128"/>
      <c r="F249" s="155">
        <f>SUM(F246:F248)</f>
        <v>0</v>
      </c>
      <c r="G249" s="132"/>
      <c r="H249" s="156">
        <f>SUM(H246:H248)</f>
        <v>0</v>
      </c>
      <c r="I249" s="121"/>
      <c r="J249" s="112"/>
    </row>
    <row r="250" spans="1:10" x14ac:dyDescent="0.25">
      <c r="A250" s="125"/>
      <c r="B250" s="124"/>
      <c r="C250" s="128" t="s">
        <v>3</v>
      </c>
      <c r="D250" s="124"/>
      <c r="E250" s="124"/>
      <c r="F250" s="123"/>
      <c r="G250" s="123"/>
      <c r="H250" s="122"/>
      <c r="I250" s="121"/>
      <c r="J250" s="112"/>
    </row>
    <row r="251" spans="1:10" x14ac:dyDescent="0.25">
      <c r="A251" s="125"/>
      <c r="B251" s="697" t="s">
        <v>316</v>
      </c>
      <c r="C251" s="697"/>
      <c r="D251" s="124" t="s">
        <v>229</v>
      </c>
      <c r="E251" s="124"/>
      <c r="F251" s="123">
        <v>0</v>
      </c>
      <c r="G251" s="123"/>
      <c r="H251" s="122">
        <f t="shared" ref="H251:H256" si="13">F251+H195</f>
        <v>0</v>
      </c>
      <c r="I251" s="121"/>
      <c r="J251" s="112"/>
    </row>
    <row r="252" spans="1:10" x14ac:dyDescent="0.25">
      <c r="A252" s="125"/>
      <c r="B252" s="697" t="s">
        <v>317</v>
      </c>
      <c r="C252" s="697"/>
      <c r="D252" s="124" t="s">
        <v>232</v>
      </c>
      <c r="E252" s="124"/>
      <c r="F252" s="123"/>
      <c r="G252" s="123"/>
      <c r="H252" s="122">
        <f t="shared" si="13"/>
        <v>0</v>
      </c>
      <c r="I252" s="121"/>
      <c r="J252" s="112"/>
    </row>
    <row r="253" spans="1:10" x14ac:dyDescent="0.25">
      <c r="A253" s="125"/>
      <c r="B253" s="697" t="s">
        <v>318</v>
      </c>
      <c r="C253" s="697"/>
      <c r="D253" s="124" t="s">
        <v>230</v>
      </c>
      <c r="E253" s="124"/>
      <c r="F253" s="123">
        <v>0</v>
      </c>
      <c r="G253" s="123"/>
      <c r="H253" s="122">
        <f t="shared" si="13"/>
        <v>0</v>
      </c>
      <c r="I253" s="121"/>
      <c r="J253" s="112"/>
    </row>
    <row r="254" spans="1:10" x14ac:dyDescent="0.25">
      <c r="A254" s="125"/>
      <c r="B254" s="697" t="s">
        <v>319</v>
      </c>
      <c r="C254" s="697"/>
      <c r="D254" s="124" t="s">
        <v>322</v>
      </c>
      <c r="E254" s="124"/>
      <c r="F254" s="123"/>
      <c r="G254" s="123"/>
      <c r="H254" s="122">
        <f t="shared" si="13"/>
        <v>0</v>
      </c>
      <c r="I254" s="121"/>
      <c r="J254" s="112"/>
    </row>
    <row r="255" spans="1:10" x14ac:dyDescent="0.25">
      <c r="A255" s="125"/>
      <c r="B255" s="697" t="s">
        <v>320</v>
      </c>
      <c r="C255" s="697"/>
      <c r="D255" s="124" t="s">
        <v>323</v>
      </c>
      <c r="E255" s="124"/>
      <c r="F255" s="123"/>
      <c r="G255" s="123"/>
      <c r="H255" s="122">
        <f t="shared" si="13"/>
        <v>0</v>
      </c>
      <c r="I255" s="121"/>
      <c r="J255" s="112"/>
    </row>
    <row r="256" spans="1:10" x14ac:dyDescent="0.25">
      <c r="A256" s="125"/>
      <c r="B256" s="697" t="s">
        <v>321</v>
      </c>
      <c r="C256" s="697"/>
      <c r="D256" s="124" t="s">
        <v>324</v>
      </c>
      <c r="E256" s="124"/>
      <c r="F256" s="123"/>
      <c r="G256" s="123"/>
      <c r="H256" s="122">
        <f t="shared" si="13"/>
        <v>0</v>
      </c>
      <c r="I256" s="121"/>
      <c r="J256" s="112"/>
    </row>
    <row r="257" spans="1:10" x14ac:dyDescent="0.25">
      <c r="A257" s="125"/>
      <c r="B257" s="124"/>
      <c r="C257" s="128"/>
      <c r="D257" s="134" t="s">
        <v>279</v>
      </c>
      <c r="E257" s="128"/>
      <c r="F257" s="157">
        <f>SUM(F251:F256)</f>
        <v>0</v>
      </c>
      <c r="G257" s="132"/>
      <c r="H257" s="158">
        <f>SUM(H251:H256)</f>
        <v>0</v>
      </c>
      <c r="I257" s="121"/>
      <c r="J257" s="112"/>
    </row>
    <row r="258" spans="1:10" ht="15.75" thickBot="1" x14ac:dyDescent="0.3">
      <c r="A258" s="125"/>
      <c r="B258" s="710" t="s">
        <v>4</v>
      </c>
      <c r="C258" s="710"/>
      <c r="D258" s="710"/>
      <c r="E258" s="149" t="e">
        <f>#REF!+E257+E245</f>
        <v>#REF!</v>
      </c>
      <c r="F258" s="131">
        <f>F257+F249</f>
        <v>0</v>
      </c>
      <c r="G258" s="133"/>
      <c r="H258" s="131">
        <f>H257+H249</f>
        <v>0</v>
      </c>
      <c r="I258" s="121"/>
      <c r="J258" s="112"/>
    </row>
    <row r="259" spans="1:10" ht="15.75" thickTop="1" x14ac:dyDescent="0.25">
      <c r="A259" s="125"/>
      <c r="B259" s="128" t="s">
        <v>289</v>
      </c>
      <c r="C259" s="124"/>
      <c r="D259" s="124"/>
      <c r="E259" s="124"/>
      <c r="F259" s="123"/>
      <c r="G259" s="123"/>
      <c r="H259" s="122"/>
      <c r="I259" s="121"/>
      <c r="J259" s="112"/>
    </row>
    <row r="260" spans="1:10" x14ac:dyDescent="0.25">
      <c r="A260" s="125"/>
      <c r="B260" s="124" t="s">
        <v>311</v>
      </c>
      <c r="C260" s="124" t="s">
        <v>289</v>
      </c>
      <c r="D260" s="124"/>
      <c r="E260" s="124"/>
      <c r="F260" s="123"/>
      <c r="G260" s="123"/>
      <c r="H260" s="122"/>
      <c r="I260" s="121"/>
      <c r="J260" s="112"/>
    </row>
    <row r="261" spans="1:10" x14ac:dyDescent="0.25">
      <c r="A261" s="125"/>
      <c r="B261" s="697" t="s">
        <v>325</v>
      </c>
      <c r="C261" s="697"/>
      <c r="D261" s="124" t="s">
        <v>328</v>
      </c>
      <c r="E261" s="124"/>
      <c r="F261" s="123">
        <f>'RINCIAN B. LANGSUNG USAHA'!H32</f>
        <v>0</v>
      </c>
      <c r="G261" s="123"/>
      <c r="H261" s="122">
        <f t="shared" ref="H261:H267" si="14">F261+H205</f>
        <v>0</v>
      </c>
      <c r="I261" s="121"/>
      <c r="J261" s="112"/>
    </row>
    <row r="262" spans="1:10" x14ac:dyDescent="0.25">
      <c r="A262" s="125"/>
      <c r="B262" s="697" t="s">
        <v>326</v>
      </c>
      <c r="C262" s="697"/>
      <c r="D262" s="124" t="s">
        <v>329</v>
      </c>
      <c r="E262" s="124"/>
      <c r="F262" s="123">
        <f>'RINCIAN B. LANGSUNG USAHA'!H67</f>
        <v>0</v>
      </c>
      <c r="G262" s="123"/>
      <c r="H262" s="122">
        <f t="shared" si="14"/>
        <v>0</v>
      </c>
      <c r="I262" s="121"/>
      <c r="J262" s="112"/>
    </row>
    <row r="263" spans="1:10" x14ac:dyDescent="0.25">
      <c r="A263" s="125"/>
      <c r="B263" s="697" t="s">
        <v>327</v>
      </c>
      <c r="C263" s="697"/>
      <c r="D263" s="124" t="s">
        <v>330</v>
      </c>
      <c r="E263" s="124"/>
      <c r="F263" s="123">
        <f>'RINCIAN B. LANGSUNG USAHA'!H98</f>
        <v>0</v>
      </c>
      <c r="G263" s="123"/>
      <c r="H263" s="122">
        <f t="shared" si="14"/>
        <v>0</v>
      </c>
      <c r="I263" s="121"/>
      <c r="J263" s="112"/>
    </row>
    <row r="264" spans="1:10" x14ac:dyDescent="0.25">
      <c r="A264" s="125"/>
      <c r="B264" s="697" t="s">
        <v>331</v>
      </c>
      <c r="C264" s="697"/>
      <c r="D264" s="124" t="s">
        <v>252</v>
      </c>
      <c r="E264" s="124"/>
      <c r="F264" s="123">
        <f>'RINCIAN B. LANGSUNG USAHA'!H33</f>
        <v>0</v>
      </c>
      <c r="G264" s="123"/>
      <c r="H264" s="122">
        <f t="shared" si="14"/>
        <v>0</v>
      </c>
      <c r="I264" s="121"/>
      <c r="J264" s="112"/>
    </row>
    <row r="265" spans="1:10" x14ac:dyDescent="0.25">
      <c r="A265" s="125"/>
      <c r="B265" s="697" t="s">
        <v>332</v>
      </c>
      <c r="C265" s="697"/>
      <c r="D265" s="124" t="s">
        <v>335</v>
      </c>
      <c r="E265" s="124"/>
      <c r="F265" s="123">
        <f>'RINCIAN B. LANGSUNG USAHA'!H68</f>
        <v>0</v>
      </c>
      <c r="G265" s="123"/>
      <c r="H265" s="122">
        <f t="shared" si="14"/>
        <v>0</v>
      </c>
      <c r="I265" s="121"/>
      <c r="J265" s="112"/>
    </row>
    <row r="266" spans="1:10" x14ac:dyDescent="0.25">
      <c r="A266" s="125"/>
      <c r="B266" s="697" t="s">
        <v>333</v>
      </c>
      <c r="C266" s="697"/>
      <c r="D266" s="124" t="s">
        <v>334</v>
      </c>
      <c r="E266" s="124"/>
      <c r="F266" s="123">
        <f>'RINCIAN B. LANGSUNG USAHA'!H99</f>
        <v>0</v>
      </c>
      <c r="G266" s="123"/>
      <c r="H266" s="122">
        <f t="shared" si="14"/>
        <v>0</v>
      </c>
      <c r="I266" s="121"/>
      <c r="J266" s="112"/>
    </row>
    <row r="267" spans="1:10" x14ac:dyDescent="0.25">
      <c r="A267" s="125"/>
      <c r="B267" s="697" t="s">
        <v>337</v>
      </c>
      <c r="C267" s="697"/>
      <c r="D267" s="124" t="s">
        <v>860</v>
      </c>
      <c r="E267" s="124"/>
      <c r="F267" s="123">
        <f>'RINCIAN B. LANGSUNG USAHA'!H101</f>
        <v>0</v>
      </c>
      <c r="G267" s="123"/>
      <c r="H267" s="122">
        <f t="shared" si="14"/>
        <v>0</v>
      </c>
      <c r="I267" s="121"/>
      <c r="J267" s="112"/>
    </row>
    <row r="268" spans="1:10" x14ac:dyDescent="0.25">
      <c r="A268" s="125"/>
      <c r="B268" s="697" t="s">
        <v>888</v>
      </c>
      <c r="C268" s="697"/>
      <c r="D268" s="697"/>
      <c r="E268" s="124"/>
      <c r="F268" s="152">
        <f>SUM(F261:F267)</f>
        <v>0</v>
      </c>
      <c r="G268" s="123"/>
      <c r="H268" s="153">
        <f>SUM(H261:H267)</f>
        <v>0</v>
      </c>
      <c r="I268" s="121"/>
      <c r="J268" s="112"/>
    </row>
    <row r="269" spans="1:10" x14ac:dyDescent="0.25">
      <c r="A269" s="125"/>
      <c r="B269" s="697" t="s">
        <v>343</v>
      </c>
      <c r="C269" s="697"/>
      <c r="D269" s="697"/>
      <c r="E269" s="124"/>
      <c r="F269" s="154">
        <f>F258-F268</f>
        <v>0</v>
      </c>
      <c r="G269" s="123"/>
      <c r="H269" s="154">
        <f>H258-H268</f>
        <v>0</v>
      </c>
      <c r="I269" s="121"/>
      <c r="J269" s="112"/>
    </row>
    <row r="270" spans="1:10" x14ac:dyDescent="0.25">
      <c r="A270" s="125"/>
      <c r="B270" s="124" t="s">
        <v>336</v>
      </c>
      <c r="C270" s="124" t="s">
        <v>882</v>
      </c>
      <c r="D270" s="124"/>
      <c r="E270" s="124"/>
      <c r="F270" s="123"/>
      <c r="G270" s="123"/>
      <c r="H270" s="122"/>
      <c r="I270" s="121"/>
      <c r="J270" s="112"/>
    </row>
    <row r="271" spans="1:10" x14ac:dyDescent="0.25">
      <c r="A271" s="125"/>
      <c r="B271" s="697" t="s">
        <v>337</v>
      </c>
      <c r="C271" s="697"/>
      <c r="D271" s="124" t="s">
        <v>338</v>
      </c>
      <c r="E271" s="124"/>
      <c r="F271" s="123">
        <f>'RINCIAN B. TDK LANGSUNG'!H77</f>
        <v>0</v>
      </c>
      <c r="G271" s="123"/>
      <c r="H271" s="122">
        <f>F271+H215</f>
        <v>0</v>
      </c>
      <c r="I271" s="121"/>
      <c r="J271" s="112"/>
    </row>
    <row r="272" spans="1:10" x14ac:dyDescent="0.25">
      <c r="A272" s="125"/>
      <c r="B272" s="697" t="s">
        <v>339</v>
      </c>
      <c r="C272" s="697"/>
      <c r="D272" s="124" t="s">
        <v>340</v>
      </c>
      <c r="E272" s="124"/>
      <c r="F272" s="123"/>
      <c r="G272" s="123"/>
      <c r="H272" s="122">
        <f>F272+H216</f>
        <v>0</v>
      </c>
      <c r="I272" s="121"/>
      <c r="J272" s="112"/>
    </row>
    <row r="273" spans="1:10" x14ac:dyDescent="0.25">
      <c r="A273" s="125"/>
      <c r="B273" s="697" t="s">
        <v>341</v>
      </c>
      <c r="C273" s="697"/>
      <c r="D273" s="124" t="s">
        <v>342</v>
      </c>
      <c r="E273" s="124"/>
      <c r="F273" s="123">
        <f>'RINCIAN B. TDK LANGSUNG'!H78+'RINCIAN B. TDK LANGSUNG'!H79</f>
        <v>0</v>
      </c>
      <c r="G273" s="123"/>
      <c r="H273" s="122">
        <f>F273+H217</f>
        <v>0</v>
      </c>
      <c r="I273" s="121"/>
      <c r="J273" s="112"/>
    </row>
    <row r="274" spans="1:10" x14ac:dyDescent="0.25">
      <c r="A274" s="125"/>
      <c r="B274" s="697" t="s">
        <v>883</v>
      </c>
      <c r="C274" s="697"/>
      <c r="D274" s="697"/>
      <c r="E274" s="124"/>
      <c r="F274" s="152">
        <f>SUM(F271:F273)</f>
        <v>0</v>
      </c>
      <c r="G274" s="123"/>
      <c r="H274" s="153">
        <f>SUM(H271:H273)</f>
        <v>0</v>
      </c>
      <c r="I274" s="121"/>
      <c r="J274" s="112"/>
    </row>
    <row r="275" spans="1:10" x14ac:dyDescent="0.25">
      <c r="A275" s="125"/>
      <c r="B275" s="697" t="s">
        <v>884</v>
      </c>
      <c r="C275" s="697"/>
      <c r="D275" s="697"/>
      <c r="E275" s="124"/>
      <c r="F275" s="154">
        <f>F269-F274</f>
        <v>0</v>
      </c>
      <c r="G275" s="123"/>
      <c r="H275" s="154">
        <f>H269-H274</f>
        <v>0</v>
      </c>
      <c r="I275" s="121"/>
      <c r="J275" s="112"/>
    </row>
    <row r="276" spans="1:10" x14ac:dyDescent="0.25">
      <c r="A276" s="125"/>
      <c r="B276" s="6" t="s">
        <v>344</v>
      </c>
      <c r="C276" s="151" t="s">
        <v>885</v>
      </c>
      <c r="D276" s="6"/>
      <c r="E276" s="124"/>
      <c r="F276" s="123"/>
      <c r="G276" s="123"/>
      <c r="H276" s="122"/>
      <c r="I276" s="121"/>
      <c r="J276" s="112"/>
    </row>
    <row r="277" spans="1:10" x14ac:dyDescent="0.25">
      <c r="A277" s="125"/>
      <c r="B277" s="697" t="s">
        <v>345</v>
      </c>
      <c r="C277" s="697"/>
      <c r="D277" s="151" t="s">
        <v>5</v>
      </c>
      <c r="E277" s="124"/>
      <c r="F277" s="123">
        <v>0</v>
      </c>
      <c r="G277" s="123"/>
      <c r="H277" s="122">
        <f>F277+H221</f>
        <v>0</v>
      </c>
      <c r="I277" s="121"/>
      <c r="J277" s="112"/>
    </row>
    <row r="278" spans="1:10" x14ac:dyDescent="0.25">
      <c r="A278" s="125"/>
      <c r="B278" s="697" t="s">
        <v>346</v>
      </c>
      <c r="C278" s="697"/>
      <c r="D278" s="151" t="s">
        <v>887</v>
      </c>
      <c r="E278" s="124"/>
      <c r="F278" s="123">
        <f>-'[2]98.00'!$D$9</f>
        <v>0</v>
      </c>
      <c r="G278" s="123"/>
      <c r="H278" s="122">
        <f>F278+H222</f>
        <v>0</v>
      </c>
      <c r="I278" s="121"/>
      <c r="J278" s="112"/>
    </row>
    <row r="279" spans="1:10" x14ac:dyDescent="0.25">
      <c r="A279" s="125"/>
      <c r="B279" s="697" t="s">
        <v>886</v>
      </c>
      <c r="C279" s="697"/>
      <c r="D279" s="697"/>
      <c r="E279" s="124"/>
      <c r="F279" s="152">
        <f>F277+F278</f>
        <v>0</v>
      </c>
      <c r="G279" s="123"/>
      <c r="H279" s="152">
        <f>H277+H278</f>
        <v>0</v>
      </c>
      <c r="I279" s="121"/>
      <c r="J279" s="112"/>
    </row>
    <row r="280" spans="1:10" x14ac:dyDescent="0.25">
      <c r="A280" s="125"/>
      <c r="B280" s="697" t="s">
        <v>347</v>
      </c>
      <c r="C280" s="697"/>
      <c r="D280" s="697"/>
      <c r="E280" s="124"/>
      <c r="F280" s="154">
        <f>F275+F279</f>
        <v>0</v>
      </c>
      <c r="G280" s="123"/>
      <c r="H280" s="154">
        <f>H275+H279</f>
        <v>0</v>
      </c>
      <c r="I280" s="121"/>
      <c r="J280" s="112"/>
    </row>
    <row r="281" spans="1:10" x14ac:dyDescent="0.25">
      <c r="A281" s="125"/>
      <c r="B281" s="697" t="s">
        <v>348</v>
      </c>
      <c r="C281" s="697"/>
      <c r="D281" s="697"/>
      <c r="E281" s="124"/>
      <c r="F281" s="123">
        <v>0</v>
      </c>
      <c r="G281" s="123"/>
      <c r="H281" s="123">
        <v>0</v>
      </c>
      <c r="I281" s="121"/>
      <c r="J281" s="112"/>
    </row>
    <row r="282" spans="1:10" ht="21.75" customHeight="1" x14ac:dyDescent="0.25">
      <c r="A282" s="125"/>
      <c r="B282" s="707" t="s">
        <v>29</v>
      </c>
      <c r="C282" s="708"/>
      <c r="D282" s="709"/>
      <c r="E282" s="142"/>
      <c r="F282" s="160">
        <f>F280-F281</f>
        <v>0</v>
      </c>
      <c r="G282" s="143"/>
      <c r="H282" s="160">
        <f>H280-H281</f>
        <v>0</v>
      </c>
      <c r="I282" s="121"/>
      <c r="J282" s="112"/>
    </row>
    <row r="283" spans="1:10" x14ac:dyDescent="0.25">
      <c r="A283" s="120"/>
      <c r="B283" s="119"/>
      <c r="C283" s="119"/>
      <c r="D283" s="119"/>
      <c r="E283" s="119"/>
      <c r="F283" s="118"/>
      <c r="G283" s="118"/>
      <c r="H283" s="117"/>
      <c r="I283" s="116"/>
      <c r="J283" s="112"/>
    </row>
    <row r="284" spans="1:10" x14ac:dyDescent="0.25">
      <c r="A284" s="115"/>
      <c r="B284" s="112"/>
      <c r="C284" s="112"/>
      <c r="D284" s="112"/>
      <c r="E284" s="112"/>
      <c r="F284" s="114"/>
      <c r="G284" s="114"/>
      <c r="H284" s="113"/>
      <c r="I284" s="112"/>
      <c r="J284" s="112"/>
    </row>
    <row r="285" spans="1:10" x14ac:dyDescent="0.25">
      <c r="A285" s="706" t="s">
        <v>580</v>
      </c>
      <c r="B285" s="706"/>
      <c r="C285" s="706"/>
      <c r="D285" s="706"/>
      <c r="E285" s="13"/>
      <c r="F285" s="698" t="s">
        <v>566</v>
      </c>
      <c r="G285" s="698"/>
      <c r="H285" s="698"/>
      <c r="I285" s="698"/>
    </row>
    <row r="286" spans="1:10" x14ac:dyDescent="0.25">
      <c r="A286" s="706" t="s">
        <v>678</v>
      </c>
      <c r="B286" s="706"/>
      <c r="C286" s="706"/>
      <c r="D286" s="706"/>
      <c r="E286" s="13"/>
      <c r="F286" s="698" t="s">
        <v>680</v>
      </c>
      <c r="G286" s="698"/>
      <c r="H286" s="698"/>
      <c r="I286" s="698"/>
    </row>
    <row r="287" spans="1:10" x14ac:dyDescent="0.25">
      <c r="A287" s="706"/>
      <c r="B287" s="706"/>
      <c r="C287" s="706"/>
      <c r="D287" s="706"/>
      <c r="E287" s="13"/>
      <c r="F287" s="698"/>
      <c r="G287" s="698"/>
      <c r="H287" s="698"/>
      <c r="I287" s="698"/>
    </row>
    <row r="288" spans="1:10" x14ac:dyDescent="0.25">
      <c r="A288" s="706"/>
      <c r="B288" s="706"/>
      <c r="C288" s="706"/>
      <c r="D288" s="706"/>
      <c r="E288" s="13"/>
      <c r="F288" s="698"/>
      <c r="G288" s="698"/>
      <c r="H288" s="698"/>
      <c r="I288" s="698"/>
    </row>
    <row r="289" spans="1:10" x14ac:dyDescent="0.25">
      <c r="A289" s="706" t="s">
        <v>655</v>
      </c>
      <c r="B289" s="706"/>
      <c r="C289" s="706"/>
      <c r="D289" s="706"/>
      <c r="E289" s="13"/>
      <c r="F289" s="698" t="s">
        <v>567</v>
      </c>
      <c r="G289" s="698"/>
      <c r="H289" s="698"/>
      <c r="I289" s="698"/>
    </row>
    <row r="290" spans="1:10" x14ac:dyDescent="0.25">
      <c r="A290" s="697"/>
      <c r="B290" s="697"/>
      <c r="C290" s="697"/>
      <c r="D290" s="697"/>
      <c r="E290" s="697"/>
      <c r="F290" s="697"/>
      <c r="G290" s="697"/>
      <c r="H290" s="697"/>
      <c r="I290" s="697"/>
    </row>
    <row r="291" spans="1:10" x14ac:dyDescent="0.25">
      <c r="A291" s="697"/>
      <c r="B291" s="697"/>
      <c r="C291" s="697"/>
      <c r="D291" s="697"/>
      <c r="E291" s="697"/>
      <c r="F291" s="697"/>
      <c r="G291" s="697"/>
      <c r="H291" s="697"/>
      <c r="I291" s="697"/>
    </row>
    <row r="292" spans="1:10" x14ac:dyDescent="0.25">
      <c r="A292" s="697"/>
      <c r="B292" s="697"/>
      <c r="C292" s="697"/>
      <c r="D292" s="697"/>
      <c r="E292" s="697"/>
      <c r="F292" s="697"/>
      <c r="G292" s="697"/>
      <c r="H292" s="697"/>
      <c r="I292" s="697"/>
    </row>
    <row r="293" spans="1:10" x14ac:dyDescent="0.25">
      <c r="A293" s="697"/>
      <c r="B293" s="697"/>
      <c r="C293" s="697"/>
      <c r="D293" s="697"/>
      <c r="E293" s="697"/>
      <c r="F293" s="697"/>
      <c r="G293" s="697"/>
      <c r="H293" s="697"/>
      <c r="I293" s="697"/>
    </row>
    <row r="294" spans="1:10" x14ac:dyDescent="0.25">
      <c r="A294" s="697"/>
      <c r="B294" s="697"/>
      <c r="C294" s="697"/>
      <c r="D294" s="697"/>
      <c r="E294" s="697"/>
      <c r="F294" s="697"/>
      <c r="G294" s="697"/>
      <c r="H294" s="697"/>
      <c r="I294" s="697"/>
    </row>
    <row r="296" spans="1:10" x14ac:dyDescent="0.25">
      <c r="A296" s="112" t="s">
        <v>653</v>
      </c>
      <c r="B296" s="112"/>
      <c r="C296" s="112"/>
      <c r="D296" s="112"/>
      <c r="E296" s="112"/>
      <c r="F296" s="113"/>
      <c r="G296" s="113"/>
      <c r="H296" s="113"/>
      <c r="I296" s="112"/>
      <c r="J296" s="112"/>
    </row>
    <row r="297" spans="1:10" x14ac:dyDescent="0.25">
      <c r="A297" s="112"/>
      <c r="B297" s="112"/>
      <c r="C297" s="112"/>
      <c r="D297" s="112"/>
      <c r="E297" s="112"/>
      <c r="F297" s="113"/>
      <c r="G297" s="113"/>
      <c r="H297" s="113"/>
      <c r="I297" s="112"/>
      <c r="J297" s="112"/>
    </row>
    <row r="298" spans="1:10" ht="20.25" x14ac:dyDescent="0.3">
      <c r="A298" s="141"/>
      <c r="B298" s="695" t="s">
        <v>650</v>
      </c>
      <c r="C298" s="695"/>
      <c r="D298" s="695"/>
      <c r="E298" s="695"/>
      <c r="F298" s="695"/>
      <c r="G298" s="695"/>
      <c r="H298" s="695"/>
      <c r="I298" s="140"/>
      <c r="J298" s="112"/>
    </row>
    <row r="299" spans="1:10" x14ac:dyDescent="0.25">
      <c r="A299" s="125"/>
      <c r="B299" s="696" t="s">
        <v>349</v>
      </c>
      <c r="C299" s="696"/>
      <c r="D299" s="696"/>
      <c r="E299" s="696"/>
      <c r="F299" s="696"/>
      <c r="G299" s="696"/>
      <c r="H299" s="696"/>
      <c r="I299" s="139"/>
      <c r="J299" s="112"/>
    </row>
    <row r="300" spans="1:10" x14ac:dyDescent="0.25">
      <c r="A300" s="125"/>
      <c r="B300" s="696" t="s">
        <v>1020</v>
      </c>
      <c r="C300" s="696"/>
      <c r="D300" s="696"/>
      <c r="E300" s="696"/>
      <c r="F300" s="696"/>
      <c r="G300" s="696"/>
      <c r="H300" s="696"/>
      <c r="I300" s="139"/>
      <c r="J300" s="112"/>
    </row>
    <row r="301" spans="1:10" ht="15.75" thickBot="1" x14ac:dyDescent="0.3">
      <c r="A301" s="125"/>
      <c r="B301" s="699" t="s">
        <v>0</v>
      </c>
      <c r="C301" s="699"/>
      <c r="D301" s="699"/>
      <c r="E301" s="699"/>
      <c r="F301" s="699"/>
      <c r="G301" s="699"/>
      <c r="H301" s="699"/>
      <c r="I301" s="139"/>
      <c r="J301" s="112"/>
    </row>
    <row r="302" spans="1:10" ht="15.75" thickTop="1" x14ac:dyDescent="0.25">
      <c r="A302" s="125"/>
      <c r="B302" s="112"/>
      <c r="C302" s="112"/>
      <c r="D302" s="112"/>
      <c r="E302" s="112"/>
      <c r="F302" s="113"/>
      <c r="G302" s="113"/>
      <c r="H302" s="113"/>
      <c r="I302" s="136"/>
      <c r="J302" s="112"/>
    </row>
    <row r="303" spans="1:10" ht="25.5" x14ac:dyDescent="0.25">
      <c r="A303" s="125"/>
      <c r="B303" s="711" t="s">
        <v>30</v>
      </c>
      <c r="C303" s="712"/>
      <c r="D303" s="713"/>
      <c r="E303" s="138"/>
      <c r="F303" s="159" t="s">
        <v>291</v>
      </c>
      <c r="G303" s="137"/>
      <c r="H303" s="165" t="s">
        <v>558</v>
      </c>
      <c r="I303" s="136"/>
      <c r="J303" s="112"/>
    </row>
    <row r="304" spans="1:10" x14ac:dyDescent="0.25">
      <c r="A304" s="125"/>
      <c r="B304" s="112"/>
      <c r="C304" s="112"/>
      <c r="D304" s="112"/>
      <c r="E304" s="112"/>
      <c r="F304" s="113"/>
      <c r="G304" s="113"/>
      <c r="H304" s="113"/>
      <c r="I304" s="136"/>
      <c r="J304" s="112"/>
    </row>
    <row r="305" spans="1:10" x14ac:dyDescent="0.25">
      <c r="A305" s="125"/>
      <c r="B305" s="124" t="s">
        <v>1</v>
      </c>
      <c r="C305" s="124"/>
      <c r="D305" s="124"/>
      <c r="E305" s="124"/>
      <c r="F305" s="123"/>
      <c r="G305" s="123"/>
      <c r="H305" s="123"/>
      <c r="I305" s="135"/>
      <c r="J305" s="112"/>
    </row>
    <row r="306" spans="1:10" x14ac:dyDescent="0.25">
      <c r="A306" s="125"/>
      <c r="B306" s="124"/>
      <c r="C306" s="128" t="s">
        <v>2</v>
      </c>
      <c r="D306" s="128"/>
      <c r="E306" s="128"/>
      <c r="F306" s="132"/>
      <c r="G306" s="132"/>
      <c r="H306" s="133"/>
      <c r="I306" s="121"/>
      <c r="J306" s="112"/>
    </row>
    <row r="307" spans="1:10" x14ac:dyDescent="0.25">
      <c r="A307" s="125"/>
      <c r="B307" s="697" t="s">
        <v>312</v>
      </c>
      <c r="C307" s="697"/>
      <c r="D307" s="124" t="s">
        <v>303</v>
      </c>
      <c r="E307" s="128"/>
      <c r="F307" s="123">
        <v>0</v>
      </c>
      <c r="G307" s="123"/>
      <c r="H307" s="122">
        <f>F307+H246</f>
        <v>0</v>
      </c>
      <c r="I307" s="121"/>
      <c r="J307" s="112"/>
    </row>
    <row r="308" spans="1:10" x14ac:dyDescent="0.25">
      <c r="A308" s="125"/>
      <c r="B308" s="697" t="s">
        <v>313</v>
      </c>
      <c r="C308" s="697"/>
      <c r="D308" s="124" t="s">
        <v>304</v>
      </c>
      <c r="E308" s="128"/>
      <c r="F308" s="123">
        <v>0</v>
      </c>
      <c r="G308" s="123"/>
      <c r="H308" s="122">
        <f>F308+H247</f>
        <v>0</v>
      </c>
      <c r="I308" s="121"/>
      <c r="J308" s="112"/>
    </row>
    <row r="309" spans="1:10" x14ac:dyDescent="0.25">
      <c r="A309" s="125"/>
      <c r="B309" s="697" t="s">
        <v>314</v>
      </c>
      <c r="C309" s="697"/>
      <c r="D309" s="124" t="s">
        <v>315</v>
      </c>
      <c r="E309" s="128"/>
      <c r="F309" s="123">
        <v>0</v>
      </c>
      <c r="G309" s="123"/>
      <c r="H309" s="122">
        <f>F309+H248</f>
        <v>0</v>
      </c>
      <c r="I309" s="121"/>
      <c r="J309" s="112"/>
    </row>
    <row r="310" spans="1:10" x14ac:dyDescent="0.25">
      <c r="A310" s="125"/>
      <c r="B310" s="124"/>
      <c r="C310" s="128"/>
      <c r="D310" s="134" t="s">
        <v>305</v>
      </c>
      <c r="E310" s="128"/>
      <c r="F310" s="155">
        <f>SUM(F307:F309)</f>
        <v>0</v>
      </c>
      <c r="G310" s="132"/>
      <c r="H310" s="156">
        <f>SUM(H307:H309)</f>
        <v>0</v>
      </c>
      <c r="I310" s="121"/>
      <c r="J310" s="112"/>
    </row>
    <row r="311" spans="1:10" x14ac:dyDescent="0.25">
      <c r="A311" s="125"/>
      <c r="B311" s="124"/>
      <c r="C311" s="128" t="s">
        <v>3</v>
      </c>
      <c r="D311" s="124"/>
      <c r="E311" s="124"/>
      <c r="F311" s="123"/>
      <c r="G311" s="123"/>
      <c r="H311" s="122"/>
      <c r="I311" s="121"/>
      <c r="J311" s="112"/>
    </row>
    <row r="312" spans="1:10" x14ac:dyDescent="0.25">
      <c r="A312" s="125"/>
      <c r="B312" s="697" t="s">
        <v>316</v>
      </c>
      <c r="C312" s="697"/>
      <c r="D312" s="124" t="s">
        <v>229</v>
      </c>
      <c r="E312" s="124"/>
      <c r="F312" s="123">
        <v>0</v>
      </c>
      <c r="G312" s="123"/>
      <c r="H312" s="122">
        <f t="shared" ref="H312:H317" si="15">F312+H251</f>
        <v>0</v>
      </c>
      <c r="I312" s="121"/>
      <c r="J312" s="112"/>
    </row>
    <row r="313" spans="1:10" x14ac:dyDescent="0.25">
      <c r="A313" s="125"/>
      <c r="B313" s="697" t="s">
        <v>317</v>
      </c>
      <c r="C313" s="697"/>
      <c r="D313" s="124" t="s">
        <v>232</v>
      </c>
      <c r="E313" s="124"/>
      <c r="F313" s="123"/>
      <c r="G313" s="123"/>
      <c r="H313" s="122">
        <f t="shared" si="15"/>
        <v>0</v>
      </c>
      <c r="I313" s="121"/>
      <c r="J313" s="112"/>
    </row>
    <row r="314" spans="1:10" x14ac:dyDescent="0.25">
      <c r="A314" s="125"/>
      <c r="B314" s="697" t="s">
        <v>318</v>
      </c>
      <c r="C314" s="697"/>
      <c r="D314" s="124" t="s">
        <v>230</v>
      </c>
      <c r="E314" s="124"/>
      <c r="F314" s="123">
        <v>0</v>
      </c>
      <c r="G314" s="123"/>
      <c r="H314" s="122">
        <f t="shared" si="15"/>
        <v>0</v>
      </c>
      <c r="I314" s="121"/>
      <c r="J314" s="112"/>
    </row>
    <row r="315" spans="1:10" x14ac:dyDescent="0.25">
      <c r="A315" s="125"/>
      <c r="B315" s="697" t="s">
        <v>319</v>
      </c>
      <c r="C315" s="697"/>
      <c r="D315" s="124" t="s">
        <v>322</v>
      </c>
      <c r="E315" s="124"/>
      <c r="F315" s="123"/>
      <c r="G315" s="123"/>
      <c r="H315" s="122">
        <f t="shared" si="15"/>
        <v>0</v>
      </c>
      <c r="I315" s="121"/>
      <c r="J315" s="112"/>
    </row>
    <row r="316" spans="1:10" x14ac:dyDescent="0.25">
      <c r="A316" s="125"/>
      <c r="B316" s="697" t="s">
        <v>320</v>
      </c>
      <c r="C316" s="697"/>
      <c r="D316" s="124" t="s">
        <v>323</v>
      </c>
      <c r="E316" s="124"/>
      <c r="F316" s="123"/>
      <c r="G316" s="123"/>
      <c r="H316" s="122">
        <f t="shared" si="15"/>
        <v>0</v>
      </c>
      <c r="I316" s="121"/>
      <c r="J316" s="112"/>
    </row>
    <row r="317" spans="1:10" x14ac:dyDescent="0.25">
      <c r="A317" s="125"/>
      <c r="B317" s="697" t="s">
        <v>321</v>
      </c>
      <c r="C317" s="697"/>
      <c r="D317" s="124" t="s">
        <v>324</v>
      </c>
      <c r="E317" s="124"/>
      <c r="F317" s="123">
        <v>0</v>
      </c>
      <c r="G317" s="123"/>
      <c r="H317" s="122">
        <f t="shared" si="15"/>
        <v>0</v>
      </c>
      <c r="I317" s="121"/>
      <c r="J317" s="112"/>
    </row>
    <row r="318" spans="1:10" x14ac:dyDescent="0.25">
      <c r="A318" s="125"/>
      <c r="B318" s="124"/>
      <c r="C318" s="128"/>
      <c r="D318" s="134" t="s">
        <v>279</v>
      </c>
      <c r="E318" s="128"/>
      <c r="F318" s="157">
        <f>SUM(F312:F317)</f>
        <v>0</v>
      </c>
      <c r="G318" s="132"/>
      <c r="H318" s="158">
        <f>SUM(H312:H317)</f>
        <v>0</v>
      </c>
      <c r="I318" s="121"/>
      <c r="J318" s="112"/>
    </row>
    <row r="319" spans="1:10" ht="15.75" thickBot="1" x14ac:dyDescent="0.3">
      <c r="A319" s="125"/>
      <c r="B319" s="710" t="s">
        <v>4</v>
      </c>
      <c r="C319" s="710"/>
      <c r="D319" s="710"/>
      <c r="E319" s="149" t="e">
        <f>#REF!+E318+E306</f>
        <v>#REF!</v>
      </c>
      <c r="F319" s="131">
        <f>F318+F310</f>
        <v>0</v>
      </c>
      <c r="G319" s="133"/>
      <c r="H319" s="131">
        <f>H318+H310</f>
        <v>0</v>
      </c>
      <c r="I319" s="121"/>
      <c r="J319" s="112"/>
    </row>
    <row r="320" spans="1:10" ht="15.75" thickTop="1" x14ac:dyDescent="0.25">
      <c r="A320" s="125"/>
      <c r="B320" s="128" t="s">
        <v>289</v>
      </c>
      <c r="C320" s="124"/>
      <c r="D320" s="124"/>
      <c r="E320" s="124"/>
      <c r="F320" s="123"/>
      <c r="G320" s="123"/>
      <c r="H320" s="122"/>
      <c r="I320" s="121"/>
      <c r="J320" s="112"/>
    </row>
    <row r="321" spans="1:10" x14ac:dyDescent="0.25">
      <c r="A321" s="125"/>
      <c r="B321" s="124" t="s">
        <v>311</v>
      </c>
      <c r="C321" s="124" t="s">
        <v>289</v>
      </c>
      <c r="D321" s="124"/>
      <c r="E321" s="124"/>
      <c r="F321" s="123"/>
      <c r="G321" s="123"/>
      <c r="H321" s="122"/>
      <c r="I321" s="121"/>
      <c r="J321" s="112"/>
    </row>
    <row r="322" spans="1:10" x14ac:dyDescent="0.25">
      <c r="A322" s="125"/>
      <c r="B322" s="697" t="s">
        <v>325</v>
      </c>
      <c r="C322" s="697"/>
      <c r="D322" s="124" t="s">
        <v>328</v>
      </c>
      <c r="E322" s="124"/>
      <c r="F322" s="123">
        <f>'RINCIAN B. LANGSUNG USAHA'!I32</f>
        <v>0</v>
      </c>
      <c r="G322" s="123"/>
      <c r="H322" s="122">
        <f t="shared" ref="H322:H328" si="16">F322+H261</f>
        <v>0</v>
      </c>
      <c r="I322" s="121"/>
      <c r="J322" s="112"/>
    </row>
    <row r="323" spans="1:10" x14ac:dyDescent="0.25">
      <c r="A323" s="125"/>
      <c r="B323" s="697" t="s">
        <v>326</v>
      </c>
      <c r="C323" s="697"/>
      <c r="D323" s="124" t="s">
        <v>329</v>
      </c>
      <c r="E323" s="124"/>
      <c r="F323" s="123">
        <f>'RINCIAN B. LANGSUNG USAHA'!I67</f>
        <v>0</v>
      </c>
      <c r="G323" s="123"/>
      <c r="H323" s="122">
        <f t="shared" si="16"/>
        <v>0</v>
      </c>
      <c r="I323" s="121"/>
      <c r="J323" s="112"/>
    </row>
    <row r="324" spans="1:10" x14ac:dyDescent="0.25">
      <c r="A324" s="125"/>
      <c r="B324" s="697" t="s">
        <v>327</v>
      </c>
      <c r="C324" s="697"/>
      <c r="D324" s="124" t="s">
        <v>330</v>
      </c>
      <c r="E324" s="124"/>
      <c r="F324" s="123">
        <f>'RINCIAN B. LANGSUNG USAHA'!I98</f>
        <v>0</v>
      </c>
      <c r="G324" s="123"/>
      <c r="H324" s="122">
        <f t="shared" si="16"/>
        <v>0</v>
      </c>
      <c r="I324" s="121"/>
      <c r="J324" s="112"/>
    </row>
    <row r="325" spans="1:10" x14ac:dyDescent="0.25">
      <c r="A325" s="125"/>
      <c r="B325" s="697" t="s">
        <v>331</v>
      </c>
      <c r="C325" s="697"/>
      <c r="D325" s="124" t="s">
        <v>252</v>
      </c>
      <c r="E325" s="124"/>
      <c r="F325" s="123">
        <f>'RINCIAN B. LANGSUNG USAHA'!I33</f>
        <v>0</v>
      </c>
      <c r="G325" s="123"/>
      <c r="H325" s="122">
        <f t="shared" si="16"/>
        <v>0</v>
      </c>
      <c r="I325" s="121"/>
      <c r="J325" s="112"/>
    </row>
    <row r="326" spans="1:10" x14ac:dyDescent="0.25">
      <c r="A326" s="125"/>
      <c r="B326" s="697" t="s">
        <v>332</v>
      </c>
      <c r="C326" s="697"/>
      <c r="D326" s="124" t="s">
        <v>335</v>
      </c>
      <c r="E326" s="124"/>
      <c r="F326" s="123">
        <f>'RINCIAN B. LANGSUNG USAHA'!I68</f>
        <v>0</v>
      </c>
      <c r="G326" s="123"/>
      <c r="H326" s="122">
        <f t="shared" si="16"/>
        <v>0</v>
      </c>
      <c r="I326" s="121"/>
      <c r="J326" s="112"/>
    </row>
    <row r="327" spans="1:10" x14ac:dyDescent="0.25">
      <c r="A327" s="125"/>
      <c r="B327" s="697" t="s">
        <v>333</v>
      </c>
      <c r="C327" s="697"/>
      <c r="D327" s="124" t="s">
        <v>334</v>
      </c>
      <c r="E327" s="124"/>
      <c r="F327" s="123">
        <f>'RINCIAN B. LANGSUNG USAHA'!I99</f>
        <v>0</v>
      </c>
      <c r="G327" s="123"/>
      <c r="H327" s="122">
        <f t="shared" si="16"/>
        <v>0</v>
      </c>
      <c r="I327" s="121"/>
      <c r="J327" s="112"/>
    </row>
    <row r="328" spans="1:10" x14ac:dyDescent="0.25">
      <c r="A328" s="125"/>
      <c r="B328" s="697" t="s">
        <v>337</v>
      </c>
      <c r="C328" s="697"/>
      <c r="D328" s="124" t="s">
        <v>860</v>
      </c>
      <c r="E328" s="124"/>
      <c r="F328" s="123">
        <f>'RINCIAN B. LANGSUNG USAHA'!I101</f>
        <v>0</v>
      </c>
      <c r="G328" s="123"/>
      <c r="H328" s="122">
        <f t="shared" si="16"/>
        <v>0</v>
      </c>
      <c r="I328" s="121"/>
      <c r="J328" s="112"/>
    </row>
    <row r="329" spans="1:10" x14ac:dyDescent="0.25">
      <c r="A329" s="125"/>
      <c r="B329" s="697" t="s">
        <v>888</v>
      </c>
      <c r="C329" s="697"/>
      <c r="D329" s="697"/>
      <c r="E329" s="124"/>
      <c r="F329" s="152">
        <f>SUM(F322:F328)</f>
        <v>0</v>
      </c>
      <c r="G329" s="123"/>
      <c r="H329" s="153">
        <f>SUM(H322:H328)</f>
        <v>0</v>
      </c>
      <c r="I329" s="121"/>
      <c r="J329" s="112"/>
    </row>
    <row r="330" spans="1:10" x14ac:dyDescent="0.25">
      <c r="A330" s="125"/>
      <c r="B330" s="697" t="s">
        <v>343</v>
      </c>
      <c r="C330" s="697"/>
      <c r="D330" s="697"/>
      <c r="E330" s="124"/>
      <c r="F330" s="154">
        <f>F319-F329</f>
        <v>0</v>
      </c>
      <c r="G330" s="123"/>
      <c r="H330" s="154">
        <f>H319-H329</f>
        <v>0</v>
      </c>
      <c r="I330" s="121"/>
      <c r="J330" s="112"/>
    </row>
    <row r="331" spans="1:10" x14ac:dyDescent="0.25">
      <c r="A331" s="125"/>
      <c r="B331" s="124" t="s">
        <v>336</v>
      </c>
      <c r="C331" s="124" t="s">
        <v>882</v>
      </c>
      <c r="D331" s="124"/>
      <c r="E331" s="124"/>
      <c r="F331" s="123"/>
      <c r="G331" s="123"/>
      <c r="H331" s="122"/>
      <c r="I331" s="121"/>
      <c r="J331" s="112"/>
    </row>
    <row r="332" spans="1:10" x14ac:dyDescent="0.25">
      <c r="A332" s="125"/>
      <c r="B332" s="697" t="s">
        <v>337</v>
      </c>
      <c r="C332" s="697"/>
      <c r="D332" s="124" t="s">
        <v>338</v>
      </c>
      <c r="E332" s="124"/>
      <c r="F332" s="123">
        <f>'RINCIAN B. TDK LANGSUNG'!I77</f>
        <v>0</v>
      </c>
      <c r="G332" s="123"/>
      <c r="H332" s="122">
        <f>F332+H271</f>
        <v>0</v>
      </c>
      <c r="I332" s="121"/>
      <c r="J332" s="112"/>
    </row>
    <row r="333" spans="1:10" x14ac:dyDescent="0.25">
      <c r="A333" s="125"/>
      <c r="B333" s="697" t="s">
        <v>339</v>
      </c>
      <c r="C333" s="697"/>
      <c r="D333" s="124" t="s">
        <v>340</v>
      </c>
      <c r="E333" s="124"/>
      <c r="F333" s="123"/>
      <c r="G333" s="123"/>
      <c r="H333" s="122">
        <f>F333+H272</f>
        <v>0</v>
      </c>
      <c r="I333" s="121"/>
      <c r="J333" s="112"/>
    </row>
    <row r="334" spans="1:10" x14ac:dyDescent="0.25">
      <c r="A334" s="125"/>
      <c r="B334" s="697" t="s">
        <v>341</v>
      </c>
      <c r="C334" s="697"/>
      <c r="D334" s="124" t="s">
        <v>342</v>
      </c>
      <c r="E334" s="124"/>
      <c r="F334" s="123">
        <f>'RINCIAN B. TDK LANGSUNG'!I78+'RINCIAN B. TDK LANGSUNG'!I79</f>
        <v>0</v>
      </c>
      <c r="G334" s="123"/>
      <c r="H334" s="122">
        <f>F334+H273</f>
        <v>0</v>
      </c>
      <c r="I334" s="121"/>
      <c r="J334" s="112"/>
    </row>
    <row r="335" spans="1:10" x14ac:dyDescent="0.25">
      <c r="A335" s="125"/>
      <c r="B335" s="697" t="s">
        <v>883</v>
      </c>
      <c r="C335" s="697"/>
      <c r="D335" s="697"/>
      <c r="E335" s="124"/>
      <c r="F335" s="152">
        <f>SUM(F332:F334)</f>
        <v>0</v>
      </c>
      <c r="G335" s="123"/>
      <c r="H335" s="153">
        <f>SUM(H332:H334)</f>
        <v>0</v>
      </c>
      <c r="I335" s="121"/>
      <c r="J335" s="112"/>
    </row>
    <row r="336" spans="1:10" x14ac:dyDescent="0.25">
      <c r="A336" s="125"/>
      <c r="B336" s="697" t="s">
        <v>884</v>
      </c>
      <c r="C336" s="697"/>
      <c r="D336" s="697"/>
      <c r="E336" s="124"/>
      <c r="F336" s="154">
        <f>F330-F335</f>
        <v>0</v>
      </c>
      <c r="G336" s="123"/>
      <c r="H336" s="154">
        <f>H330-H335</f>
        <v>0</v>
      </c>
      <c r="I336" s="121"/>
      <c r="J336" s="112"/>
    </row>
    <row r="337" spans="1:10" x14ac:dyDescent="0.25">
      <c r="A337" s="125"/>
      <c r="B337" s="6" t="s">
        <v>344</v>
      </c>
      <c r="C337" s="151" t="s">
        <v>885</v>
      </c>
      <c r="D337" s="6"/>
      <c r="E337" s="124"/>
      <c r="F337" s="123"/>
      <c r="G337" s="123"/>
      <c r="H337" s="122"/>
      <c r="I337" s="121"/>
      <c r="J337" s="112"/>
    </row>
    <row r="338" spans="1:10" x14ac:dyDescent="0.25">
      <c r="A338" s="125"/>
      <c r="B338" s="697" t="s">
        <v>345</v>
      </c>
      <c r="C338" s="697"/>
      <c r="D338" s="151" t="s">
        <v>5</v>
      </c>
      <c r="E338" s="124"/>
      <c r="F338" s="123">
        <v>0</v>
      </c>
      <c r="G338" s="123"/>
      <c r="H338" s="122">
        <f>F338+H277</f>
        <v>0</v>
      </c>
      <c r="I338" s="121"/>
      <c r="J338" s="112"/>
    </row>
    <row r="339" spans="1:10" x14ac:dyDescent="0.25">
      <c r="A339" s="125"/>
      <c r="B339" s="697" t="s">
        <v>346</v>
      </c>
      <c r="C339" s="697"/>
      <c r="D339" s="151" t="s">
        <v>887</v>
      </c>
      <c r="E339" s="124"/>
      <c r="F339" s="123">
        <v>0</v>
      </c>
      <c r="G339" s="123"/>
      <c r="H339" s="122">
        <f>F339+H278</f>
        <v>0</v>
      </c>
      <c r="I339" s="121"/>
      <c r="J339" s="112"/>
    </row>
    <row r="340" spans="1:10" x14ac:dyDescent="0.25">
      <c r="A340" s="125"/>
      <c r="B340" s="697" t="s">
        <v>886</v>
      </c>
      <c r="C340" s="697"/>
      <c r="D340" s="697"/>
      <c r="E340" s="124"/>
      <c r="F340" s="152">
        <f>F338+F339</f>
        <v>0</v>
      </c>
      <c r="G340" s="123"/>
      <c r="H340" s="152">
        <f>H338+H339</f>
        <v>0</v>
      </c>
      <c r="I340" s="121"/>
      <c r="J340" s="112"/>
    </row>
    <row r="341" spans="1:10" x14ac:dyDescent="0.25">
      <c r="A341" s="125"/>
      <c r="B341" s="697" t="s">
        <v>347</v>
      </c>
      <c r="C341" s="697"/>
      <c r="D341" s="697"/>
      <c r="E341" s="124"/>
      <c r="F341" s="154">
        <f>F336+F340</f>
        <v>0</v>
      </c>
      <c r="G341" s="123"/>
      <c r="H341" s="154">
        <f>H336+H340</f>
        <v>0</v>
      </c>
      <c r="I341" s="121"/>
      <c r="J341" s="112"/>
    </row>
    <row r="342" spans="1:10" x14ac:dyDescent="0.25">
      <c r="A342" s="125"/>
      <c r="B342" s="697" t="s">
        <v>348</v>
      </c>
      <c r="C342" s="697"/>
      <c r="D342" s="697"/>
      <c r="E342" s="124"/>
      <c r="F342" s="123">
        <v>0</v>
      </c>
      <c r="G342" s="123"/>
      <c r="H342" s="123">
        <v>0</v>
      </c>
      <c r="I342" s="121"/>
      <c r="J342" s="112"/>
    </row>
    <row r="343" spans="1:10" ht="27" customHeight="1" x14ac:dyDescent="0.25">
      <c r="A343" s="125"/>
      <c r="B343" s="707" t="s">
        <v>29</v>
      </c>
      <c r="C343" s="708"/>
      <c r="D343" s="709"/>
      <c r="E343" s="142"/>
      <c r="F343" s="160">
        <f>F341-F342</f>
        <v>0</v>
      </c>
      <c r="G343" s="143"/>
      <c r="H343" s="160">
        <f>H341-H342</f>
        <v>0</v>
      </c>
      <c r="I343" s="121"/>
      <c r="J343" s="112"/>
    </row>
    <row r="344" spans="1:10" x14ac:dyDescent="0.25">
      <c r="A344" s="120"/>
      <c r="B344" s="119"/>
      <c r="C344" s="119"/>
      <c r="D344" s="119"/>
      <c r="E344" s="119"/>
      <c r="F344" s="118"/>
      <c r="G344" s="118"/>
      <c r="H344" s="117"/>
      <c r="I344" s="116"/>
      <c r="J344" s="112"/>
    </row>
    <row r="345" spans="1:10" x14ac:dyDescent="0.25">
      <c r="A345" s="115"/>
      <c r="B345" s="112"/>
      <c r="C345" s="112"/>
      <c r="D345" s="112"/>
      <c r="E345" s="112"/>
      <c r="F345" s="114"/>
      <c r="G345" s="114"/>
      <c r="H345" s="113"/>
      <c r="I345" s="112"/>
      <c r="J345" s="112"/>
    </row>
    <row r="346" spans="1:10" x14ac:dyDescent="0.25">
      <c r="A346" s="706" t="s">
        <v>580</v>
      </c>
      <c r="B346" s="706"/>
      <c r="C346" s="706"/>
      <c r="D346" s="706"/>
      <c r="E346" s="13"/>
      <c r="F346" s="698" t="s">
        <v>566</v>
      </c>
      <c r="G346" s="698"/>
      <c r="H346" s="698"/>
      <c r="I346" s="698"/>
    </row>
    <row r="347" spans="1:10" x14ac:dyDescent="0.25">
      <c r="A347" s="706" t="s">
        <v>678</v>
      </c>
      <c r="B347" s="706"/>
      <c r="C347" s="706"/>
      <c r="D347" s="706"/>
      <c r="E347" s="13"/>
      <c r="F347" s="698" t="s">
        <v>680</v>
      </c>
      <c r="G347" s="698"/>
      <c r="H347" s="698"/>
      <c r="I347" s="698"/>
    </row>
    <row r="348" spans="1:10" x14ac:dyDescent="0.25">
      <c r="A348" s="706"/>
      <c r="B348" s="706"/>
      <c r="C348" s="706"/>
      <c r="D348" s="706"/>
      <c r="E348" s="13"/>
      <c r="F348" s="698"/>
      <c r="G348" s="698"/>
      <c r="H348" s="698"/>
      <c r="I348" s="698"/>
    </row>
    <row r="349" spans="1:10" x14ac:dyDescent="0.25">
      <c r="A349" s="706"/>
      <c r="B349" s="706"/>
      <c r="C349" s="706"/>
      <c r="D349" s="706"/>
      <c r="E349" s="13"/>
      <c r="F349" s="698"/>
      <c r="G349" s="698"/>
      <c r="H349" s="698"/>
      <c r="I349" s="698"/>
    </row>
    <row r="350" spans="1:10" x14ac:dyDescent="0.25">
      <c r="A350" s="706" t="s">
        <v>655</v>
      </c>
      <c r="B350" s="706"/>
      <c r="C350" s="706"/>
      <c r="D350" s="706"/>
      <c r="E350" s="13"/>
      <c r="F350" s="698" t="s">
        <v>567</v>
      </c>
      <c r="G350" s="698"/>
      <c r="H350" s="698"/>
      <c r="I350" s="698"/>
    </row>
    <row r="351" spans="1:10" x14ac:dyDescent="0.25">
      <c r="A351" s="697"/>
      <c r="B351" s="697"/>
      <c r="C351" s="697"/>
      <c r="D351" s="697"/>
      <c r="E351" s="697"/>
      <c r="F351" s="697"/>
      <c r="G351" s="697"/>
      <c r="H351" s="697"/>
      <c r="I351" s="697"/>
    </row>
    <row r="352" spans="1:10" x14ac:dyDescent="0.25">
      <c r="A352" s="697"/>
      <c r="B352" s="697"/>
      <c r="C352" s="697"/>
      <c r="D352" s="697"/>
      <c r="E352" s="697"/>
      <c r="F352" s="697"/>
      <c r="G352" s="697"/>
      <c r="H352" s="697"/>
      <c r="I352" s="697"/>
    </row>
    <row r="353" spans="1:9" x14ac:dyDescent="0.25">
      <c r="A353" s="697"/>
      <c r="B353" s="697"/>
      <c r="C353" s="697"/>
      <c r="D353" s="697"/>
      <c r="E353" s="697"/>
      <c r="F353" s="697"/>
      <c r="G353" s="697"/>
      <c r="H353" s="697"/>
      <c r="I353" s="697"/>
    </row>
    <row r="354" spans="1:9" x14ac:dyDescent="0.25">
      <c r="A354" s="697"/>
      <c r="B354" s="697"/>
      <c r="C354" s="697"/>
      <c r="D354" s="697"/>
      <c r="E354" s="697"/>
      <c r="F354" s="697"/>
      <c r="G354" s="697"/>
      <c r="H354" s="697"/>
      <c r="I354" s="697"/>
    </row>
    <row r="355" spans="1:9" x14ac:dyDescent="0.25">
      <c r="A355" s="697"/>
      <c r="B355" s="697"/>
      <c r="C355" s="697"/>
      <c r="D355" s="697"/>
      <c r="E355" s="697"/>
      <c r="F355" s="697"/>
      <c r="G355" s="697"/>
      <c r="H355" s="697"/>
      <c r="I355" s="697"/>
    </row>
    <row r="357" spans="1:9" x14ac:dyDescent="0.25">
      <c r="A357" s="112" t="s">
        <v>653</v>
      </c>
      <c r="B357" s="112"/>
      <c r="C357" s="112"/>
      <c r="D357" s="112"/>
      <c r="E357" s="112"/>
      <c r="F357" s="113"/>
      <c r="G357" s="113"/>
      <c r="H357" s="113"/>
      <c r="I357" s="112"/>
    </row>
    <row r="358" spans="1:9" x14ac:dyDescent="0.25">
      <c r="A358" s="112"/>
      <c r="B358" s="112"/>
      <c r="C358" s="112"/>
      <c r="D358" s="112"/>
      <c r="E358" s="112"/>
      <c r="F358" s="113"/>
      <c r="G358" s="113"/>
      <c r="H358" s="113"/>
      <c r="I358" s="112"/>
    </row>
    <row r="359" spans="1:9" ht="20.25" x14ac:dyDescent="0.3">
      <c r="A359" s="141"/>
      <c r="B359" s="695" t="s">
        <v>650</v>
      </c>
      <c r="C359" s="695"/>
      <c r="D359" s="695"/>
      <c r="E359" s="695"/>
      <c r="F359" s="695"/>
      <c r="G359" s="695"/>
      <c r="H359" s="695"/>
      <c r="I359" s="140"/>
    </row>
    <row r="360" spans="1:9" x14ac:dyDescent="0.25">
      <c r="A360" s="125"/>
      <c r="B360" s="696" t="s">
        <v>349</v>
      </c>
      <c r="C360" s="696"/>
      <c r="D360" s="696"/>
      <c r="E360" s="696"/>
      <c r="F360" s="696"/>
      <c r="G360" s="696"/>
      <c r="H360" s="696"/>
      <c r="I360" s="139"/>
    </row>
    <row r="361" spans="1:9" x14ac:dyDescent="0.25">
      <c r="A361" s="125"/>
      <c r="B361" s="696" t="s">
        <v>1022</v>
      </c>
      <c r="C361" s="696"/>
      <c r="D361" s="696"/>
      <c r="E361" s="696"/>
      <c r="F361" s="696"/>
      <c r="G361" s="696"/>
      <c r="H361" s="696"/>
      <c r="I361" s="139"/>
    </row>
    <row r="362" spans="1:9" ht="15.75" thickBot="1" x14ac:dyDescent="0.3">
      <c r="A362" s="125"/>
      <c r="B362" s="699" t="s">
        <v>0</v>
      </c>
      <c r="C362" s="699"/>
      <c r="D362" s="699"/>
      <c r="E362" s="699"/>
      <c r="F362" s="699"/>
      <c r="G362" s="699"/>
      <c r="H362" s="699"/>
      <c r="I362" s="139"/>
    </row>
    <row r="363" spans="1:9" ht="6.75" customHeight="1" thickTop="1" x14ac:dyDescent="0.25">
      <c r="A363" s="125"/>
      <c r="B363" s="112"/>
      <c r="C363" s="112"/>
      <c r="D363" s="112"/>
      <c r="E363" s="112"/>
      <c r="F363" s="113"/>
      <c r="G363" s="113"/>
      <c r="H363" s="113"/>
      <c r="I363" s="136"/>
    </row>
    <row r="364" spans="1:9" ht="25.5" x14ac:dyDescent="0.25">
      <c r="A364" s="125"/>
      <c r="B364" s="711" t="s">
        <v>30</v>
      </c>
      <c r="C364" s="712"/>
      <c r="D364" s="713"/>
      <c r="E364" s="138"/>
      <c r="F364" s="159" t="s">
        <v>291</v>
      </c>
      <c r="G364" s="137"/>
      <c r="H364" s="165" t="s">
        <v>558</v>
      </c>
      <c r="I364" s="136"/>
    </row>
    <row r="365" spans="1:9" ht="5.25" customHeight="1" x14ac:dyDescent="0.25">
      <c r="A365" s="125"/>
      <c r="B365" s="112"/>
      <c r="C365" s="112"/>
      <c r="D365" s="112"/>
      <c r="E365" s="112"/>
      <c r="F365" s="113"/>
      <c r="G365" s="113"/>
      <c r="H365" s="113"/>
      <c r="I365" s="136"/>
    </row>
    <row r="366" spans="1:9" x14ac:dyDescent="0.25">
      <c r="A366" s="125"/>
      <c r="B366" s="124" t="s">
        <v>1</v>
      </c>
      <c r="C366" s="124"/>
      <c r="D366" s="124"/>
      <c r="E366" s="124"/>
      <c r="F366" s="123"/>
      <c r="G366" s="123"/>
      <c r="H366" s="123"/>
      <c r="I366" s="135"/>
    </row>
    <row r="367" spans="1:9" x14ac:dyDescent="0.25">
      <c r="A367" s="125"/>
      <c r="B367" s="124"/>
      <c r="C367" s="128" t="s">
        <v>2</v>
      </c>
      <c r="D367" s="128"/>
      <c r="E367" s="128"/>
      <c r="F367" s="132"/>
      <c r="G367" s="132"/>
      <c r="H367" s="133"/>
      <c r="I367" s="121"/>
    </row>
    <row r="368" spans="1:9" x14ac:dyDescent="0.25">
      <c r="A368" s="125"/>
      <c r="B368" s="697" t="s">
        <v>312</v>
      </c>
      <c r="C368" s="697"/>
      <c r="D368" s="124" t="s">
        <v>303</v>
      </c>
      <c r="E368" s="128"/>
      <c r="F368" s="123">
        <v>0</v>
      </c>
      <c r="G368" s="123"/>
      <c r="H368" s="122">
        <f>F368+H307</f>
        <v>0</v>
      </c>
      <c r="I368" s="121"/>
    </row>
    <row r="369" spans="1:9" x14ac:dyDescent="0.25">
      <c r="A369" s="125"/>
      <c r="B369" s="697" t="s">
        <v>313</v>
      </c>
      <c r="C369" s="697"/>
      <c r="D369" s="124" t="s">
        <v>304</v>
      </c>
      <c r="E369" s="128"/>
      <c r="F369" s="123">
        <v>0</v>
      </c>
      <c r="G369" s="123"/>
      <c r="H369" s="122">
        <f>F369+H308</f>
        <v>0</v>
      </c>
      <c r="I369" s="121"/>
    </row>
    <row r="370" spans="1:9" x14ac:dyDescent="0.25">
      <c r="A370" s="125"/>
      <c r="B370" s="697" t="s">
        <v>314</v>
      </c>
      <c r="C370" s="697"/>
      <c r="D370" s="124" t="s">
        <v>315</v>
      </c>
      <c r="E370" s="128"/>
      <c r="F370" s="123">
        <v>0</v>
      </c>
      <c r="G370" s="123"/>
      <c r="H370" s="122">
        <f>F370+H309</f>
        <v>0</v>
      </c>
      <c r="I370" s="121"/>
    </row>
    <row r="371" spans="1:9" x14ac:dyDescent="0.25">
      <c r="A371" s="125"/>
      <c r="B371" s="124"/>
      <c r="C371" s="128"/>
      <c r="D371" s="134" t="s">
        <v>305</v>
      </c>
      <c r="E371" s="128"/>
      <c r="F371" s="155">
        <f>SUM(F368:F370)</f>
        <v>0</v>
      </c>
      <c r="G371" s="132"/>
      <c r="H371" s="156">
        <f>SUM(H368:H370)</f>
        <v>0</v>
      </c>
      <c r="I371" s="121"/>
    </row>
    <row r="372" spans="1:9" x14ac:dyDescent="0.25">
      <c r="A372" s="125"/>
      <c r="B372" s="124"/>
      <c r="C372" s="128" t="s">
        <v>3</v>
      </c>
      <c r="D372" s="124"/>
      <c r="E372" s="124"/>
      <c r="F372" s="123"/>
      <c r="G372" s="123"/>
      <c r="H372" s="122"/>
      <c r="I372" s="121"/>
    </row>
    <row r="373" spans="1:9" x14ac:dyDescent="0.25">
      <c r="A373" s="125"/>
      <c r="B373" s="697" t="s">
        <v>316</v>
      </c>
      <c r="C373" s="697"/>
      <c r="D373" s="124" t="s">
        <v>229</v>
      </c>
      <c r="E373" s="124"/>
      <c r="F373" s="123">
        <v>0</v>
      </c>
      <c r="G373" s="123"/>
      <c r="H373" s="122">
        <f t="shared" ref="H373:H378" si="17">F373+H312</f>
        <v>0</v>
      </c>
      <c r="I373" s="121"/>
    </row>
    <row r="374" spans="1:9" x14ac:dyDescent="0.25">
      <c r="A374" s="125"/>
      <c r="B374" s="697" t="s">
        <v>317</v>
      </c>
      <c r="C374" s="697"/>
      <c r="D374" s="124" t="s">
        <v>232</v>
      </c>
      <c r="E374" s="124"/>
      <c r="F374" s="123"/>
      <c r="G374" s="123"/>
      <c r="H374" s="122">
        <f t="shared" si="17"/>
        <v>0</v>
      </c>
      <c r="I374" s="121"/>
    </row>
    <row r="375" spans="1:9" x14ac:dyDescent="0.25">
      <c r="A375" s="125"/>
      <c r="B375" s="697" t="s">
        <v>318</v>
      </c>
      <c r="C375" s="697"/>
      <c r="D375" s="124" t="s">
        <v>230</v>
      </c>
      <c r="E375" s="124"/>
      <c r="F375" s="123">
        <v>0</v>
      </c>
      <c r="G375" s="123"/>
      <c r="H375" s="122">
        <f t="shared" si="17"/>
        <v>0</v>
      </c>
      <c r="I375" s="121"/>
    </row>
    <row r="376" spans="1:9" x14ac:dyDescent="0.25">
      <c r="A376" s="125"/>
      <c r="B376" s="697" t="s">
        <v>319</v>
      </c>
      <c r="C376" s="697"/>
      <c r="D376" s="124" t="s">
        <v>322</v>
      </c>
      <c r="E376" s="124"/>
      <c r="F376" s="123"/>
      <c r="G376" s="123"/>
      <c r="H376" s="122">
        <f t="shared" si="17"/>
        <v>0</v>
      </c>
      <c r="I376" s="121"/>
    </row>
    <row r="377" spans="1:9" x14ac:dyDescent="0.25">
      <c r="A377" s="125"/>
      <c r="B377" s="697" t="s">
        <v>320</v>
      </c>
      <c r="C377" s="697"/>
      <c r="D377" s="124" t="s">
        <v>323</v>
      </c>
      <c r="E377" s="124"/>
      <c r="F377" s="123"/>
      <c r="G377" s="123"/>
      <c r="H377" s="122">
        <f t="shared" si="17"/>
        <v>0</v>
      </c>
      <c r="I377" s="121"/>
    </row>
    <row r="378" spans="1:9" x14ac:dyDescent="0.25">
      <c r="A378" s="125"/>
      <c r="B378" s="697" t="s">
        <v>321</v>
      </c>
      <c r="C378" s="697"/>
      <c r="D378" s="124" t="s">
        <v>324</v>
      </c>
      <c r="E378" s="124"/>
      <c r="F378" s="123">
        <v>0</v>
      </c>
      <c r="G378" s="123"/>
      <c r="H378" s="122">
        <f t="shared" si="17"/>
        <v>0</v>
      </c>
      <c r="I378" s="121"/>
    </row>
    <row r="379" spans="1:9" x14ac:dyDescent="0.25">
      <c r="A379" s="125"/>
      <c r="B379" s="124"/>
      <c r="C379" s="128"/>
      <c r="D379" s="134" t="s">
        <v>279</v>
      </c>
      <c r="E379" s="128"/>
      <c r="F379" s="157">
        <f>SUM(F373:F378)</f>
        <v>0</v>
      </c>
      <c r="G379" s="132"/>
      <c r="H379" s="158">
        <f>SUM(H373:H378)</f>
        <v>0</v>
      </c>
      <c r="I379" s="121"/>
    </row>
    <row r="380" spans="1:9" ht="15.75" thickBot="1" x14ac:dyDescent="0.3">
      <c r="A380" s="125"/>
      <c r="B380" s="710" t="s">
        <v>4</v>
      </c>
      <c r="C380" s="710"/>
      <c r="D380" s="710"/>
      <c r="E380" s="149" t="e">
        <f>#REF!+E379+E367</f>
        <v>#REF!</v>
      </c>
      <c r="F380" s="131">
        <f>F379+F371</f>
        <v>0</v>
      </c>
      <c r="G380" s="133"/>
      <c r="H380" s="131">
        <f>H379+H371</f>
        <v>0</v>
      </c>
      <c r="I380" s="121"/>
    </row>
    <row r="381" spans="1:9" ht="15.75" thickTop="1" x14ac:dyDescent="0.25">
      <c r="A381" s="125"/>
      <c r="B381" s="128" t="s">
        <v>289</v>
      </c>
      <c r="C381" s="124"/>
      <c r="D381" s="124"/>
      <c r="E381" s="124"/>
      <c r="F381" s="123"/>
      <c r="G381" s="123"/>
      <c r="H381" s="122"/>
      <c r="I381" s="121"/>
    </row>
    <row r="382" spans="1:9" x14ac:dyDescent="0.25">
      <c r="A382" s="125"/>
      <c r="B382" s="124" t="s">
        <v>311</v>
      </c>
      <c r="C382" s="124" t="s">
        <v>289</v>
      </c>
      <c r="D382" s="124"/>
      <c r="E382" s="124"/>
      <c r="F382" s="123"/>
      <c r="G382" s="123"/>
      <c r="H382" s="122"/>
      <c r="I382" s="121"/>
    </row>
    <row r="383" spans="1:9" x14ac:dyDescent="0.25">
      <c r="A383" s="125"/>
      <c r="B383" s="697" t="s">
        <v>325</v>
      </c>
      <c r="C383" s="697"/>
      <c r="D383" s="124" t="s">
        <v>328</v>
      </c>
      <c r="E383" s="124"/>
      <c r="F383" s="123">
        <f>'RINCIAN B. LANGSUNG USAHA'!J32</f>
        <v>0</v>
      </c>
      <c r="G383" s="123"/>
      <c r="H383" s="122">
        <f t="shared" ref="H383:H389" si="18">F383+H322</f>
        <v>0</v>
      </c>
      <c r="I383" s="121"/>
    </row>
    <row r="384" spans="1:9" x14ac:dyDescent="0.25">
      <c r="A384" s="125"/>
      <c r="B384" s="697" t="s">
        <v>326</v>
      </c>
      <c r="C384" s="697"/>
      <c r="D384" s="124" t="s">
        <v>329</v>
      </c>
      <c r="E384" s="124"/>
      <c r="F384" s="123">
        <f>'RINCIAN B. LANGSUNG USAHA'!J67</f>
        <v>0</v>
      </c>
      <c r="G384" s="123"/>
      <c r="H384" s="122">
        <f t="shared" si="18"/>
        <v>0</v>
      </c>
      <c r="I384" s="121"/>
    </row>
    <row r="385" spans="1:9" x14ac:dyDescent="0.25">
      <c r="A385" s="125"/>
      <c r="B385" s="697" t="s">
        <v>327</v>
      </c>
      <c r="C385" s="697"/>
      <c r="D385" s="124" t="s">
        <v>330</v>
      </c>
      <c r="E385" s="124"/>
      <c r="F385" s="123">
        <f>'RINCIAN B. LANGSUNG USAHA'!J98</f>
        <v>0</v>
      </c>
      <c r="G385" s="123"/>
      <c r="H385" s="122">
        <f t="shared" si="18"/>
        <v>0</v>
      </c>
      <c r="I385" s="121"/>
    </row>
    <row r="386" spans="1:9" x14ac:dyDescent="0.25">
      <c r="A386" s="125"/>
      <c r="B386" s="697" t="s">
        <v>331</v>
      </c>
      <c r="C386" s="697"/>
      <c r="D386" s="124" t="s">
        <v>252</v>
      </c>
      <c r="E386" s="124"/>
      <c r="F386" s="123">
        <f>'RINCIAN B. LANGSUNG USAHA'!J33</f>
        <v>0</v>
      </c>
      <c r="G386" s="123"/>
      <c r="H386" s="122">
        <f t="shared" si="18"/>
        <v>0</v>
      </c>
      <c r="I386" s="121"/>
    </row>
    <row r="387" spans="1:9" x14ac:dyDescent="0.25">
      <c r="A387" s="125"/>
      <c r="B387" s="697" t="s">
        <v>332</v>
      </c>
      <c r="C387" s="697"/>
      <c r="D387" s="124" t="s">
        <v>335</v>
      </c>
      <c r="E387" s="124"/>
      <c r="F387" s="123">
        <f>'RINCIAN B. LANGSUNG USAHA'!J68</f>
        <v>0</v>
      </c>
      <c r="G387" s="123"/>
      <c r="H387" s="122">
        <f t="shared" si="18"/>
        <v>0</v>
      </c>
      <c r="I387" s="121"/>
    </row>
    <row r="388" spans="1:9" x14ac:dyDescent="0.25">
      <c r="A388" s="125"/>
      <c r="B388" s="697" t="s">
        <v>333</v>
      </c>
      <c r="C388" s="697"/>
      <c r="D388" s="124" t="s">
        <v>334</v>
      </c>
      <c r="E388" s="124"/>
      <c r="F388" s="123">
        <f>'RINCIAN B. LANGSUNG USAHA'!J99</f>
        <v>0</v>
      </c>
      <c r="G388" s="123"/>
      <c r="H388" s="122">
        <f t="shared" si="18"/>
        <v>0</v>
      </c>
      <c r="I388" s="121"/>
    </row>
    <row r="389" spans="1:9" x14ac:dyDescent="0.25">
      <c r="A389" s="125"/>
      <c r="B389" s="697" t="s">
        <v>337</v>
      </c>
      <c r="C389" s="697"/>
      <c r="D389" s="124" t="s">
        <v>860</v>
      </c>
      <c r="E389" s="124"/>
      <c r="F389" s="123">
        <f>'RINCIAN B. LANGSUNG USAHA'!J101</f>
        <v>0</v>
      </c>
      <c r="G389" s="123"/>
      <c r="H389" s="122">
        <f t="shared" si="18"/>
        <v>0</v>
      </c>
      <c r="I389" s="121"/>
    </row>
    <row r="390" spans="1:9" x14ac:dyDescent="0.25">
      <c r="A390" s="125"/>
      <c r="B390" s="697" t="s">
        <v>888</v>
      </c>
      <c r="C390" s="697"/>
      <c r="D390" s="697"/>
      <c r="E390" s="124"/>
      <c r="F390" s="152">
        <f>SUM(F383:F389)</f>
        <v>0</v>
      </c>
      <c r="G390" s="123"/>
      <c r="H390" s="153">
        <f>SUM(H383:H389)</f>
        <v>0</v>
      </c>
      <c r="I390" s="121"/>
    </row>
    <row r="391" spans="1:9" x14ac:dyDescent="0.25">
      <c r="A391" s="125"/>
      <c r="B391" s="697" t="s">
        <v>343</v>
      </c>
      <c r="C391" s="697"/>
      <c r="D391" s="697"/>
      <c r="E391" s="124"/>
      <c r="F391" s="154">
        <f>F380-F390</f>
        <v>0</v>
      </c>
      <c r="G391" s="123"/>
      <c r="H391" s="154">
        <f>H380-H390</f>
        <v>0</v>
      </c>
      <c r="I391" s="121"/>
    </row>
    <row r="392" spans="1:9" x14ac:dyDescent="0.25">
      <c r="A392" s="125"/>
      <c r="B392" s="124" t="s">
        <v>336</v>
      </c>
      <c r="C392" s="124" t="s">
        <v>882</v>
      </c>
      <c r="D392" s="124"/>
      <c r="E392" s="124"/>
      <c r="F392" s="123"/>
      <c r="G392" s="123"/>
      <c r="H392" s="122"/>
      <c r="I392" s="121"/>
    </row>
    <row r="393" spans="1:9" x14ac:dyDescent="0.25">
      <c r="A393" s="125"/>
      <c r="B393" s="697" t="s">
        <v>337</v>
      </c>
      <c r="C393" s="697"/>
      <c r="D393" s="124" t="s">
        <v>338</v>
      </c>
      <c r="E393" s="124"/>
      <c r="F393" s="123">
        <f>'RINCIAN B. TDK LANGSUNG'!J77</f>
        <v>0</v>
      </c>
      <c r="G393" s="123"/>
      <c r="H393" s="122">
        <f>F393+H332</f>
        <v>0</v>
      </c>
      <c r="I393" s="121"/>
    </row>
    <row r="394" spans="1:9" x14ac:dyDescent="0.25">
      <c r="A394" s="125"/>
      <c r="B394" s="697" t="s">
        <v>339</v>
      </c>
      <c r="C394" s="697"/>
      <c r="D394" s="124" t="s">
        <v>340</v>
      </c>
      <c r="E394" s="124"/>
      <c r="F394" s="123"/>
      <c r="G394" s="123"/>
      <c r="H394" s="122">
        <f>F394+H333</f>
        <v>0</v>
      </c>
      <c r="I394" s="121"/>
    </row>
    <row r="395" spans="1:9" x14ac:dyDescent="0.25">
      <c r="A395" s="125"/>
      <c r="B395" s="697" t="s">
        <v>341</v>
      </c>
      <c r="C395" s="697"/>
      <c r="D395" s="124" t="s">
        <v>342</v>
      </c>
      <c r="E395" s="124"/>
      <c r="F395" s="123">
        <f>'RINCIAN B. TDK LANGSUNG'!J78+'RINCIAN B. TDK LANGSUNG'!J79</f>
        <v>0</v>
      </c>
      <c r="G395" s="123"/>
      <c r="H395" s="122">
        <f>F395+H334</f>
        <v>0</v>
      </c>
      <c r="I395" s="121"/>
    </row>
    <row r="396" spans="1:9" x14ac:dyDescent="0.25">
      <c r="A396" s="125"/>
      <c r="B396" s="697" t="s">
        <v>883</v>
      </c>
      <c r="C396" s="697"/>
      <c r="D396" s="697"/>
      <c r="E396" s="124"/>
      <c r="F396" s="152">
        <f>SUM(F393:F395)</f>
        <v>0</v>
      </c>
      <c r="G396" s="123"/>
      <c r="H396" s="153">
        <f>SUM(H393:H395)</f>
        <v>0</v>
      </c>
      <c r="I396" s="121"/>
    </row>
    <row r="397" spans="1:9" x14ac:dyDescent="0.25">
      <c r="A397" s="125"/>
      <c r="B397" s="697" t="s">
        <v>884</v>
      </c>
      <c r="C397" s="697"/>
      <c r="D397" s="697"/>
      <c r="E397" s="124"/>
      <c r="F397" s="154">
        <f>F391-F396</f>
        <v>0</v>
      </c>
      <c r="G397" s="123"/>
      <c r="H397" s="154">
        <f>H391-H396</f>
        <v>0</v>
      </c>
      <c r="I397" s="121"/>
    </row>
    <row r="398" spans="1:9" x14ac:dyDescent="0.25">
      <c r="A398" s="125"/>
      <c r="B398" s="6" t="s">
        <v>344</v>
      </c>
      <c r="C398" s="151" t="s">
        <v>885</v>
      </c>
      <c r="D398" s="6"/>
      <c r="E398" s="124"/>
      <c r="F398" s="123"/>
      <c r="G398" s="123"/>
      <c r="H398" s="122"/>
      <c r="I398" s="121"/>
    </row>
    <row r="399" spans="1:9" x14ac:dyDescent="0.25">
      <c r="A399" s="125"/>
      <c r="B399" s="697" t="s">
        <v>345</v>
      </c>
      <c r="C399" s="697"/>
      <c r="D399" s="151" t="s">
        <v>5</v>
      </c>
      <c r="E399" s="124"/>
      <c r="F399" s="123">
        <v>0</v>
      </c>
      <c r="G399" s="123"/>
      <c r="H399" s="122">
        <f>F399+H338</f>
        <v>0</v>
      </c>
      <c r="I399" s="121"/>
    </row>
    <row r="400" spans="1:9" x14ac:dyDescent="0.25">
      <c r="A400" s="125"/>
      <c r="B400" s="697" t="s">
        <v>346</v>
      </c>
      <c r="C400" s="697"/>
      <c r="D400" s="151" t="s">
        <v>887</v>
      </c>
      <c r="E400" s="124"/>
      <c r="F400" s="123">
        <f>-'B. NON OPERASIONAL'!H14</f>
        <v>0</v>
      </c>
      <c r="G400" s="123"/>
      <c r="H400" s="122">
        <f>F400+H339</f>
        <v>0</v>
      </c>
      <c r="I400" s="121"/>
    </row>
    <row r="401" spans="1:9" x14ac:dyDescent="0.25">
      <c r="A401" s="125"/>
      <c r="B401" s="697" t="s">
        <v>886</v>
      </c>
      <c r="C401" s="697"/>
      <c r="D401" s="697"/>
      <c r="E401" s="124"/>
      <c r="F401" s="152">
        <f>F399+F400</f>
        <v>0</v>
      </c>
      <c r="G401" s="123"/>
      <c r="H401" s="152">
        <f>H399+H400</f>
        <v>0</v>
      </c>
      <c r="I401" s="121"/>
    </row>
    <row r="402" spans="1:9" x14ac:dyDescent="0.25">
      <c r="A402" s="125"/>
      <c r="B402" s="697" t="s">
        <v>347</v>
      </c>
      <c r="C402" s="697"/>
      <c r="D402" s="697"/>
      <c r="E402" s="124"/>
      <c r="F402" s="154">
        <f>F397+F401</f>
        <v>0</v>
      </c>
      <c r="G402" s="123"/>
      <c r="H402" s="154">
        <f>H397+H401</f>
        <v>0</v>
      </c>
      <c r="I402" s="121"/>
    </row>
    <row r="403" spans="1:9" x14ac:dyDescent="0.25">
      <c r="A403" s="125"/>
      <c r="B403" s="697" t="s">
        <v>348</v>
      </c>
      <c r="C403" s="697"/>
      <c r="D403" s="697"/>
      <c r="E403" s="124"/>
      <c r="F403" s="123">
        <v>0</v>
      </c>
      <c r="G403" s="123"/>
      <c r="H403" s="123">
        <v>0</v>
      </c>
      <c r="I403" s="121"/>
    </row>
    <row r="404" spans="1:9" ht="23.25" customHeight="1" x14ac:dyDescent="0.25">
      <c r="A404" s="125"/>
      <c r="B404" s="707" t="s">
        <v>29</v>
      </c>
      <c r="C404" s="708"/>
      <c r="D404" s="709"/>
      <c r="E404" s="142"/>
      <c r="F404" s="160">
        <f>F402-F403</f>
        <v>0</v>
      </c>
      <c r="G404" s="143"/>
      <c r="H404" s="160">
        <f>H402-H403</f>
        <v>0</v>
      </c>
      <c r="I404" s="121"/>
    </row>
    <row r="405" spans="1:9" x14ac:dyDescent="0.25">
      <c r="A405" s="120"/>
      <c r="B405" s="119"/>
      <c r="C405" s="119"/>
      <c r="D405" s="119"/>
      <c r="E405" s="119"/>
      <c r="F405" s="118"/>
      <c r="G405" s="118"/>
      <c r="H405" s="117"/>
      <c r="I405" s="116"/>
    </row>
    <row r="406" spans="1:9" ht="27.75" customHeight="1" x14ac:dyDescent="0.25">
      <c r="A406" s="115"/>
      <c r="B406" s="112"/>
      <c r="C406" s="112"/>
      <c r="D406" s="112"/>
      <c r="E406" s="112"/>
      <c r="F406" s="114"/>
      <c r="G406" s="114"/>
      <c r="H406" s="113"/>
      <c r="I406" s="112"/>
    </row>
    <row r="407" spans="1:9" x14ac:dyDescent="0.25">
      <c r="A407" s="706" t="s">
        <v>580</v>
      </c>
      <c r="B407" s="706"/>
      <c r="C407" s="706"/>
      <c r="D407" s="706"/>
      <c r="E407" s="13"/>
      <c r="F407" s="698" t="s">
        <v>566</v>
      </c>
      <c r="G407" s="698"/>
      <c r="H407" s="698"/>
      <c r="I407" s="698"/>
    </row>
    <row r="408" spans="1:9" x14ac:dyDescent="0.25">
      <c r="A408" s="706" t="s">
        <v>678</v>
      </c>
      <c r="B408" s="706"/>
      <c r="C408" s="706"/>
      <c r="D408" s="706"/>
      <c r="E408" s="13"/>
      <c r="F408" s="698" t="s">
        <v>680</v>
      </c>
      <c r="G408" s="698"/>
      <c r="H408" s="698"/>
      <c r="I408" s="698"/>
    </row>
    <row r="409" spans="1:9" x14ac:dyDescent="0.25">
      <c r="A409" s="706"/>
      <c r="B409" s="706"/>
      <c r="C409" s="706"/>
      <c r="D409" s="706"/>
      <c r="E409" s="13"/>
      <c r="F409" s="698"/>
      <c r="G409" s="698"/>
      <c r="H409" s="698"/>
      <c r="I409" s="698"/>
    </row>
    <row r="410" spans="1:9" x14ac:dyDescent="0.25">
      <c r="A410" s="706"/>
      <c r="B410" s="706"/>
      <c r="C410" s="706"/>
      <c r="D410" s="706"/>
      <c r="E410" s="13"/>
      <c r="F410" s="698"/>
      <c r="G410" s="698"/>
      <c r="H410" s="698"/>
      <c r="I410" s="698"/>
    </row>
    <row r="411" spans="1:9" x14ac:dyDescent="0.25">
      <c r="A411" s="706" t="s">
        <v>655</v>
      </c>
      <c r="B411" s="706"/>
      <c r="C411" s="706"/>
      <c r="D411" s="706"/>
      <c r="E411" s="13"/>
      <c r="F411" s="698" t="s">
        <v>567</v>
      </c>
      <c r="G411" s="698"/>
      <c r="H411" s="698"/>
      <c r="I411" s="698"/>
    </row>
    <row r="412" spans="1:9" x14ac:dyDescent="0.25">
      <c r="A412" s="697"/>
      <c r="B412" s="697"/>
      <c r="C412" s="697"/>
      <c r="D412" s="697"/>
      <c r="E412" s="697"/>
      <c r="F412" s="697"/>
      <c r="G412" s="697"/>
      <c r="H412" s="697"/>
      <c r="I412" s="697"/>
    </row>
    <row r="413" spans="1:9" x14ac:dyDescent="0.25">
      <c r="A413" s="697"/>
      <c r="B413" s="697"/>
      <c r="C413" s="697"/>
      <c r="D413" s="697"/>
      <c r="E413" s="697"/>
      <c r="F413" s="697"/>
      <c r="G413" s="697"/>
      <c r="H413" s="697"/>
      <c r="I413" s="697"/>
    </row>
    <row r="414" spans="1:9" x14ac:dyDescent="0.25">
      <c r="A414" s="697"/>
      <c r="B414" s="697"/>
      <c r="C414" s="697"/>
      <c r="D414" s="697"/>
      <c r="E414" s="697"/>
      <c r="F414" s="697"/>
      <c r="G414" s="697"/>
      <c r="H414" s="697"/>
      <c r="I414" s="697"/>
    </row>
    <row r="415" spans="1:9" x14ac:dyDescent="0.25">
      <c r="A415" s="697"/>
      <c r="B415" s="697"/>
      <c r="C415" s="697"/>
      <c r="D415" s="697"/>
      <c r="E415" s="697"/>
      <c r="F415" s="697"/>
      <c r="G415" s="697"/>
      <c r="H415" s="697"/>
      <c r="I415" s="697"/>
    </row>
    <row r="416" spans="1:9" x14ac:dyDescent="0.25">
      <c r="A416" s="697"/>
      <c r="B416" s="697"/>
      <c r="C416" s="697"/>
      <c r="D416" s="697"/>
      <c r="E416" s="697"/>
      <c r="F416" s="697"/>
      <c r="G416" s="697"/>
      <c r="H416" s="697"/>
      <c r="I416" s="697"/>
    </row>
    <row r="419" spans="1:15" x14ac:dyDescent="0.25">
      <c r="A419" s="112" t="s">
        <v>653</v>
      </c>
      <c r="B419" s="112"/>
      <c r="C419" s="112"/>
      <c r="D419" s="112"/>
      <c r="E419" s="112"/>
      <c r="F419" s="113"/>
      <c r="G419" s="113"/>
      <c r="H419" s="113"/>
      <c r="I419" s="112"/>
    </row>
    <row r="420" spans="1:15" x14ac:dyDescent="0.25">
      <c r="A420" s="112"/>
      <c r="B420" s="112"/>
      <c r="C420" s="112"/>
      <c r="D420" s="112"/>
      <c r="E420" s="112"/>
      <c r="F420" s="113"/>
      <c r="G420" s="113"/>
      <c r="H420" s="113"/>
      <c r="I420" s="112"/>
    </row>
    <row r="421" spans="1:15" ht="20.25" x14ac:dyDescent="0.3">
      <c r="A421" s="141"/>
      <c r="B421" s="695" t="s">
        <v>650</v>
      </c>
      <c r="C421" s="695"/>
      <c r="D421" s="695"/>
      <c r="E421" s="695"/>
      <c r="F421" s="695"/>
      <c r="G421" s="695"/>
      <c r="H421" s="695"/>
      <c r="I421" s="140"/>
    </row>
    <row r="422" spans="1:15" x14ac:dyDescent="0.25">
      <c r="A422" s="125"/>
      <c r="B422" s="696" t="s">
        <v>349</v>
      </c>
      <c r="C422" s="696"/>
      <c r="D422" s="696"/>
      <c r="E422" s="696"/>
      <c r="F422" s="696"/>
      <c r="G422" s="696"/>
      <c r="H422" s="696"/>
      <c r="I422" s="139"/>
    </row>
    <row r="423" spans="1:15" x14ac:dyDescent="0.25">
      <c r="A423" s="125"/>
      <c r="B423" s="696" t="s">
        <v>1025</v>
      </c>
      <c r="C423" s="696"/>
      <c r="D423" s="696"/>
      <c r="E423" s="696"/>
      <c r="F423" s="696"/>
      <c r="G423" s="696"/>
      <c r="H423" s="696"/>
      <c r="I423" s="139"/>
    </row>
    <row r="424" spans="1:15" ht="15.75" thickBot="1" x14ac:dyDescent="0.3">
      <c r="A424" s="125"/>
      <c r="B424" s="699" t="s">
        <v>0</v>
      </c>
      <c r="C424" s="699"/>
      <c r="D424" s="699"/>
      <c r="E424" s="699"/>
      <c r="F424" s="699"/>
      <c r="G424" s="699"/>
      <c r="H424" s="699"/>
      <c r="I424" s="139"/>
    </row>
    <row r="425" spans="1:15" ht="7.5" customHeight="1" thickTop="1" x14ac:dyDescent="0.25">
      <c r="A425" s="125"/>
      <c r="B425" s="112"/>
      <c r="C425" s="112"/>
      <c r="D425" s="112"/>
      <c r="E425" s="112"/>
      <c r="F425" s="113"/>
      <c r="G425" s="113"/>
      <c r="H425" s="113"/>
      <c r="I425" s="136"/>
    </row>
    <row r="426" spans="1:15" ht="25.5" x14ac:dyDescent="0.25">
      <c r="A426" s="125"/>
      <c r="B426" s="711" t="s">
        <v>30</v>
      </c>
      <c r="C426" s="712"/>
      <c r="D426" s="713"/>
      <c r="E426" s="138"/>
      <c r="F426" s="159" t="s">
        <v>291</v>
      </c>
      <c r="G426" s="137"/>
      <c r="H426" s="165" t="s">
        <v>558</v>
      </c>
      <c r="I426" s="136"/>
    </row>
    <row r="427" spans="1:15" ht="7.5" customHeight="1" x14ac:dyDescent="0.25">
      <c r="A427" s="125"/>
      <c r="B427" s="112"/>
      <c r="C427" s="112"/>
      <c r="D427" s="112"/>
      <c r="E427" s="112"/>
      <c r="F427" s="113"/>
      <c r="G427" s="113"/>
      <c r="H427" s="113"/>
      <c r="I427" s="136"/>
    </row>
    <row r="428" spans="1:15" x14ac:dyDescent="0.25">
      <c r="A428" s="125"/>
      <c r="B428" s="124" t="s">
        <v>1</v>
      </c>
      <c r="C428" s="124"/>
      <c r="D428" s="124"/>
      <c r="E428" s="124"/>
      <c r="F428" s="123"/>
      <c r="G428" s="123"/>
      <c r="H428" s="123"/>
      <c r="I428" s="135"/>
    </row>
    <row r="429" spans="1:15" x14ac:dyDescent="0.25">
      <c r="A429" s="125"/>
      <c r="B429" s="124"/>
      <c r="C429" s="128" t="s">
        <v>2</v>
      </c>
      <c r="D429" s="128"/>
      <c r="E429" s="128"/>
      <c r="F429" s="132"/>
      <c r="G429" s="132"/>
      <c r="H429" s="133"/>
      <c r="I429" s="121"/>
    </row>
    <row r="430" spans="1:15" x14ac:dyDescent="0.25">
      <c r="A430" s="125"/>
      <c r="B430" s="697" t="s">
        <v>312</v>
      </c>
      <c r="C430" s="697"/>
      <c r="D430" s="124" t="s">
        <v>303</v>
      </c>
      <c r="E430" s="128"/>
      <c r="F430" s="123">
        <v>0</v>
      </c>
      <c r="G430" s="123"/>
      <c r="H430" s="122">
        <f>F430+H368</f>
        <v>0</v>
      </c>
      <c r="I430" s="121"/>
      <c r="O430" s="147">
        <f t="shared" ref="O430:O445" si="19">H430-M430</f>
        <v>0</v>
      </c>
    </row>
    <row r="431" spans="1:15" x14ac:dyDescent="0.25">
      <c r="A431" s="125"/>
      <c r="B431" s="697" t="s">
        <v>313</v>
      </c>
      <c r="C431" s="697"/>
      <c r="D431" s="124" t="s">
        <v>304</v>
      </c>
      <c r="E431" s="128"/>
      <c r="F431" s="123">
        <v>0</v>
      </c>
      <c r="G431" s="123"/>
      <c r="H431" s="122">
        <f>F431+H369</f>
        <v>0</v>
      </c>
      <c r="I431" s="121"/>
      <c r="O431" s="147">
        <f t="shared" si="19"/>
        <v>0</v>
      </c>
    </row>
    <row r="432" spans="1:15" x14ac:dyDescent="0.25">
      <c r="A432" s="125"/>
      <c r="B432" s="697" t="s">
        <v>314</v>
      </c>
      <c r="C432" s="697"/>
      <c r="D432" s="124" t="s">
        <v>315</v>
      </c>
      <c r="E432" s="128"/>
      <c r="F432" s="123">
        <v>0</v>
      </c>
      <c r="G432" s="123"/>
      <c r="H432" s="122">
        <f>F432+H370</f>
        <v>0</v>
      </c>
      <c r="I432" s="121"/>
      <c r="O432" s="147">
        <f t="shared" si="19"/>
        <v>0</v>
      </c>
    </row>
    <row r="433" spans="1:15" x14ac:dyDescent="0.25">
      <c r="A433" s="125"/>
      <c r="B433" s="124"/>
      <c r="C433" s="128"/>
      <c r="D433" s="134" t="s">
        <v>305</v>
      </c>
      <c r="E433" s="128"/>
      <c r="F433" s="155">
        <f>SUM(F430:F432)</f>
        <v>0</v>
      </c>
      <c r="G433" s="132"/>
      <c r="H433" s="156">
        <f>SUM(H430:H432)</f>
        <v>0</v>
      </c>
      <c r="I433" s="121"/>
      <c r="O433" s="147">
        <f t="shared" si="19"/>
        <v>0</v>
      </c>
    </row>
    <row r="434" spans="1:15" x14ac:dyDescent="0.25">
      <c r="A434" s="125"/>
      <c r="B434" s="124"/>
      <c r="C434" s="128" t="s">
        <v>3</v>
      </c>
      <c r="D434" s="124"/>
      <c r="E434" s="124"/>
      <c r="F434" s="123"/>
      <c r="G434" s="123"/>
      <c r="H434" s="122"/>
      <c r="I434" s="121"/>
      <c r="O434" s="147">
        <f t="shared" si="19"/>
        <v>0</v>
      </c>
    </row>
    <row r="435" spans="1:15" x14ac:dyDescent="0.25">
      <c r="A435" s="125"/>
      <c r="B435" s="697" t="s">
        <v>316</v>
      </c>
      <c r="C435" s="697"/>
      <c r="D435" s="124" t="s">
        <v>229</v>
      </c>
      <c r="E435" s="124"/>
      <c r="F435" s="123">
        <v>0</v>
      </c>
      <c r="G435" s="123"/>
      <c r="H435" s="122">
        <f t="shared" ref="H435:H440" si="20">F435+H373</f>
        <v>0</v>
      </c>
      <c r="I435" s="121"/>
      <c r="O435" s="147">
        <f t="shared" si="19"/>
        <v>0</v>
      </c>
    </row>
    <row r="436" spans="1:15" x14ac:dyDescent="0.25">
      <c r="A436" s="125"/>
      <c r="B436" s="697" t="s">
        <v>317</v>
      </c>
      <c r="C436" s="697"/>
      <c r="D436" s="124" t="s">
        <v>232</v>
      </c>
      <c r="E436" s="124"/>
      <c r="F436" s="123"/>
      <c r="G436" s="123"/>
      <c r="H436" s="122">
        <f t="shared" si="20"/>
        <v>0</v>
      </c>
      <c r="I436" s="121"/>
      <c r="O436" s="147">
        <f t="shared" si="19"/>
        <v>0</v>
      </c>
    </row>
    <row r="437" spans="1:15" x14ac:dyDescent="0.25">
      <c r="A437" s="125"/>
      <c r="B437" s="697" t="s">
        <v>318</v>
      </c>
      <c r="C437" s="697"/>
      <c r="D437" s="124" t="s">
        <v>230</v>
      </c>
      <c r="E437" s="124"/>
      <c r="F437" s="123">
        <v>0</v>
      </c>
      <c r="G437" s="123"/>
      <c r="H437" s="122">
        <f t="shared" si="20"/>
        <v>0</v>
      </c>
      <c r="I437" s="121"/>
      <c r="O437" s="147">
        <f t="shared" si="19"/>
        <v>0</v>
      </c>
    </row>
    <row r="438" spans="1:15" x14ac:dyDescent="0.25">
      <c r="A438" s="125"/>
      <c r="B438" s="697" t="s">
        <v>319</v>
      </c>
      <c r="C438" s="697"/>
      <c r="D438" s="124" t="s">
        <v>322</v>
      </c>
      <c r="E438" s="124"/>
      <c r="F438" s="123"/>
      <c r="G438" s="123"/>
      <c r="H438" s="122">
        <f t="shared" si="20"/>
        <v>0</v>
      </c>
      <c r="I438" s="121"/>
      <c r="O438" s="147">
        <f t="shared" si="19"/>
        <v>0</v>
      </c>
    </row>
    <row r="439" spans="1:15" x14ac:dyDescent="0.25">
      <c r="A439" s="125"/>
      <c r="B439" s="697" t="s">
        <v>320</v>
      </c>
      <c r="C439" s="697"/>
      <c r="D439" s="124" t="s">
        <v>323</v>
      </c>
      <c r="E439" s="124"/>
      <c r="F439" s="123"/>
      <c r="G439" s="123"/>
      <c r="H439" s="122">
        <f t="shared" si="20"/>
        <v>0</v>
      </c>
      <c r="I439" s="121"/>
      <c r="O439" s="147">
        <f t="shared" si="19"/>
        <v>0</v>
      </c>
    </row>
    <row r="440" spans="1:15" x14ac:dyDescent="0.25">
      <c r="A440" s="125"/>
      <c r="B440" s="697" t="s">
        <v>321</v>
      </c>
      <c r="C440" s="697"/>
      <c r="D440" s="124" t="s">
        <v>324</v>
      </c>
      <c r="E440" s="124"/>
      <c r="F440" s="123">
        <v>0</v>
      </c>
      <c r="G440" s="123"/>
      <c r="H440" s="122">
        <f t="shared" si="20"/>
        <v>0</v>
      </c>
      <c r="I440" s="121"/>
      <c r="O440" s="147">
        <f t="shared" si="19"/>
        <v>0</v>
      </c>
    </row>
    <row r="441" spans="1:15" x14ac:dyDescent="0.25">
      <c r="A441" s="125"/>
      <c r="B441" s="124"/>
      <c r="C441" s="128"/>
      <c r="D441" s="134" t="s">
        <v>279</v>
      </c>
      <c r="E441" s="128"/>
      <c r="F441" s="157">
        <f>SUM(F435:F440)</f>
        <v>0</v>
      </c>
      <c r="G441" s="132"/>
      <c r="H441" s="158">
        <f>SUM(H435:H440)</f>
        <v>0</v>
      </c>
      <c r="I441" s="121"/>
      <c r="O441" s="147">
        <f t="shared" si="19"/>
        <v>0</v>
      </c>
    </row>
    <row r="442" spans="1:15" ht="15.75" thickBot="1" x14ac:dyDescent="0.3">
      <c r="A442" s="125"/>
      <c r="B442" s="710" t="s">
        <v>4</v>
      </c>
      <c r="C442" s="710"/>
      <c r="D442" s="710"/>
      <c r="E442" s="149" t="e">
        <f>#REF!+E441+E429</f>
        <v>#REF!</v>
      </c>
      <c r="F442" s="131">
        <f>F441+F433</f>
        <v>0</v>
      </c>
      <c r="G442" s="133"/>
      <c r="H442" s="131">
        <f>H441+H433</f>
        <v>0</v>
      </c>
      <c r="I442" s="121"/>
      <c r="O442" s="147">
        <f t="shared" si="19"/>
        <v>0</v>
      </c>
    </row>
    <row r="443" spans="1:15" ht="15.75" thickTop="1" x14ac:dyDescent="0.25">
      <c r="A443" s="125"/>
      <c r="B443" s="128" t="s">
        <v>289</v>
      </c>
      <c r="C443" s="124"/>
      <c r="D443" s="124"/>
      <c r="E443" s="124"/>
      <c r="F443" s="123"/>
      <c r="G443" s="123"/>
      <c r="H443" s="122"/>
      <c r="I443" s="121"/>
      <c r="O443" s="147">
        <f t="shared" si="19"/>
        <v>0</v>
      </c>
    </row>
    <row r="444" spans="1:15" x14ac:dyDescent="0.25">
      <c r="A444" s="125"/>
      <c r="B444" s="124" t="s">
        <v>311</v>
      </c>
      <c r="C444" s="124" t="s">
        <v>289</v>
      </c>
      <c r="D444" s="124"/>
      <c r="E444" s="124"/>
      <c r="F444" s="123"/>
      <c r="G444" s="123"/>
      <c r="H444" s="122"/>
      <c r="I444" s="121"/>
      <c r="O444" s="147">
        <f t="shared" si="19"/>
        <v>0</v>
      </c>
    </row>
    <row r="445" spans="1:15" x14ac:dyDescent="0.25">
      <c r="A445" s="125"/>
      <c r="B445" s="697" t="s">
        <v>325</v>
      </c>
      <c r="C445" s="697"/>
      <c r="D445" s="124" t="s">
        <v>328</v>
      </c>
      <c r="E445" s="124"/>
      <c r="F445" s="123">
        <f>'RINCIAN B. LANGSUNG USAHA'!K32</f>
        <v>0</v>
      </c>
      <c r="G445" s="123"/>
      <c r="H445" s="122">
        <f t="shared" ref="H445:H451" si="21">F445+H383</f>
        <v>0</v>
      </c>
      <c r="I445" s="121"/>
      <c r="O445" s="147">
        <f t="shared" si="19"/>
        <v>0</v>
      </c>
    </row>
    <row r="446" spans="1:15" x14ac:dyDescent="0.25">
      <c r="A446" s="125"/>
      <c r="B446" s="697" t="s">
        <v>326</v>
      </c>
      <c r="C446" s="697"/>
      <c r="D446" s="124" t="s">
        <v>329</v>
      </c>
      <c r="E446" s="124"/>
      <c r="F446" s="123">
        <f>'RINCIAN B. LANGSUNG USAHA'!K67</f>
        <v>0</v>
      </c>
      <c r="G446" s="123"/>
      <c r="H446" s="122">
        <f t="shared" si="21"/>
        <v>0</v>
      </c>
      <c r="I446" s="121"/>
      <c r="O446" s="147">
        <f>H446-M446</f>
        <v>0</v>
      </c>
    </row>
    <row r="447" spans="1:15" x14ac:dyDescent="0.25">
      <c r="A447" s="125"/>
      <c r="B447" s="697" t="s">
        <v>327</v>
      </c>
      <c r="C447" s="697"/>
      <c r="D447" s="124" t="s">
        <v>330</v>
      </c>
      <c r="E447" s="124"/>
      <c r="F447" s="123">
        <f>'RINCIAN B. LANGSUNG USAHA'!K98</f>
        <v>0</v>
      </c>
      <c r="G447" s="123"/>
      <c r="H447" s="122">
        <f t="shared" si="21"/>
        <v>0</v>
      </c>
      <c r="I447" s="121"/>
      <c r="O447" s="147">
        <f t="shared" ref="O447:O466" si="22">H447-M447</f>
        <v>0</v>
      </c>
    </row>
    <row r="448" spans="1:15" x14ac:dyDescent="0.25">
      <c r="A448" s="125"/>
      <c r="B448" s="697" t="s">
        <v>331</v>
      </c>
      <c r="C448" s="697"/>
      <c r="D448" s="124" t="s">
        <v>252</v>
      </c>
      <c r="E448" s="124"/>
      <c r="F448" s="123">
        <f>'RINCIAN B. LANGSUNG USAHA'!K33</f>
        <v>0</v>
      </c>
      <c r="G448" s="123"/>
      <c r="H448" s="122">
        <f t="shared" si="21"/>
        <v>0</v>
      </c>
      <c r="I448" s="121"/>
      <c r="O448" s="147">
        <f t="shared" si="22"/>
        <v>0</v>
      </c>
    </row>
    <row r="449" spans="1:15" x14ac:dyDescent="0.25">
      <c r="A449" s="125"/>
      <c r="B449" s="697" t="s">
        <v>332</v>
      </c>
      <c r="C449" s="697"/>
      <c r="D449" s="124" t="s">
        <v>335</v>
      </c>
      <c r="E449" s="124"/>
      <c r="F449" s="123">
        <f>'RINCIAN B. LANGSUNG USAHA'!K68</f>
        <v>0</v>
      </c>
      <c r="G449" s="123"/>
      <c r="H449" s="122">
        <f t="shared" si="21"/>
        <v>0</v>
      </c>
      <c r="I449" s="121"/>
      <c r="O449" s="147">
        <f t="shared" si="22"/>
        <v>0</v>
      </c>
    </row>
    <row r="450" spans="1:15" x14ac:dyDescent="0.25">
      <c r="A450" s="125"/>
      <c r="B450" s="697" t="s">
        <v>333</v>
      </c>
      <c r="C450" s="697"/>
      <c r="D450" s="124" t="s">
        <v>334</v>
      </c>
      <c r="E450" s="124"/>
      <c r="F450" s="123">
        <f>'RINCIAN B. LANGSUNG USAHA'!K99</f>
        <v>0</v>
      </c>
      <c r="G450" s="123"/>
      <c r="H450" s="122">
        <f t="shared" si="21"/>
        <v>0</v>
      </c>
      <c r="I450" s="121"/>
      <c r="O450" s="147">
        <f t="shared" si="22"/>
        <v>0</v>
      </c>
    </row>
    <row r="451" spans="1:15" x14ac:dyDescent="0.25">
      <c r="A451" s="125"/>
      <c r="B451" s="697" t="s">
        <v>337</v>
      </c>
      <c r="C451" s="697"/>
      <c r="D451" s="124" t="s">
        <v>860</v>
      </c>
      <c r="E451" s="124"/>
      <c r="F451" s="123">
        <f>'RINCIAN B. LANGSUNG USAHA'!K101</f>
        <v>0</v>
      </c>
      <c r="G451" s="123"/>
      <c r="H451" s="122">
        <f t="shared" si="21"/>
        <v>0</v>
      </c>
      <c r="I451" s="121"/>
      <c r="O451" s="147">
        <f t="shared" si="22"/>
        <v>0</v>
      </c>
    </row>
    <row r="452" spans="1:15" x14ac:dyDescent="0.25">
      <c r="A452" s="125"/>
      <c r="B452" s="697" t="s">
        <v>888</v>
      </c>
      <c r="C452" s="697"/>
      <c r="D452" s="697"/>
      <c r="E452" s="124"/>
      <c r="F452" s="152">
        <f>SUM(F445:F451)</f>
        <v>0</v>
      </c>
      <c r="G452" s="123"/>
      <c r="H452" s="153">
        <f>SUM(H445:H451)</f>
        <v>0</v>
      </c>
      <c r="I452" s="121"/>
      <c r="O452" s="147">
        <f t="shared" si="22"/>
        <v>0</v>
      </c>
    </row>
    <row r="453" spans="1:15" x14ac:dyDescent="0.25">
      <c r="A453" s="125"/>
      <c r="B453" s="697" t="s">
        <v>343</v>
      </c>
      <c r="C453" s="697"/>
      <c r="D453" s="697"/>
      <c r="E453" s="124"/>
      <c r="F453" s="154">
        <f>F442-F452</f>
        <v>0</v>
      </c>
      <c r="G453" s="123"/>
      <c r="H453" s="154">
        <f>H442-H452</f>
        <v>0</v>
      </c>
      <c r="I453" s="121"/>
      <c r="O453" s="147">
        <f t="shared" si="22"/>
        <v>0</v>
      </c>
    </row>
    <row r="454" spans="1:15" x14ac:dyDescent="0.25">
      <c r="A454" s="125"/>
      <c r="B454" s="124" t="s">
        <v>336</v>
      </c>
      <c r="C454" s="124" t="s">
        <v>882</v>
      </c>
      <c r="D454" s="124"/>
      <c r="E454" s="124"/>
      <c r="F454" s="123"/>
      <c r="G454" s="123"/>
      <c r="H454" s="122"/>
      <c r="I454" s="121"/>
      <c r="O454" s="147">
        <f t="shared" si="22"/>
        <v>0</v>
      </c>
    </row>
    <row r="455" spans="1:15" x14ac:dyDescent="0.25">
      <c r="A455" s="125"/>
      <c r="B455" s="697" t="s">
        <v>337</v>
      </c>
      <c r="C455" s="697"/>
      <c r="D455" s="124" t="s">
        <v>338</v>
      </c>
      <c r="E455" s="124"/>
      <c r="F455" s="123">
        <f>'RINCIAN B. TDK LANGSUNG'!K77</f>
        <v>0</v>
      </c>
      <c r="G455" s="123"/>
      <c r="H455" s="122">
        <f>F455+H393</f>
        <v>0</v>
      </c>
      <c r="I455" s="121"/>
      <c r="O455" s="147">
        <f t="shared" si="22"/>
        <v>0</v>
      </c>
    </row>
    <row r="456" spans="1:15" x14ac:dyDescent="0.25">
      <c r="A456" s="125"/>
      <c r="B456" s="697" t="s">
        <v>339</v>
      </c>
      <c r="C456" s="697"/>
      <c r="D456" s="124" t="s">
        <v>340</v>
      </c>
      <c r="E456" s="124"/>
      <c r="F456" s="123"/>
      <c r="G456" s="123"/>
      <c r="H456" s="122">
        <f>F456+H394</f>
        <v>0</v>
      </c>
      <c r="I456" s="121"/>
      <c r="O456" s="147">
        <f t="shared" si="22"/>
        <v>0</v>
      </c>
    </row>
    <row r="457" spans="1:15" x14ac:dyDescent="0.25">
      <c r="A457" s="125"/>
      <c r="B457" s="697" t="s">
        <v>341</v>
      </c>
      <c r="C457" s="697"/>
      <c r="D457" s="124" t="s">
        <v>342</v>
      </c>
      <c r="E457" s="124"/>
      <c r="F457" s="123">
        <f>'RINCIAN B. TDK LANGSUNG'!K78+'RINCIAN B. TDK LANGSUNG'!K79</f>
        <v>0</v>
      </c>
      <c r="G457" s="123"/>
      <c r="H457" s="122">
        <f>F457+H395</f>
        <v>0</v>
      </c>
      <c r="I457" s="121"/>
      <c r="O457" s="147">
        <f t="shared" si="22"/>
        <v>0</v>
      </c>
    </row>
    <row r="458" spans="1:15" x14ac:dyDescent="0.25">
      <c r="A458" s="125"/>
      <c r="B458" s="697" t="s">
        <v>883</v>
      </c>
      <c r="C458" s="697"/>
      <c r="D458" s="697"/>
      <c r="E458" s="124"/>
      <c r="F458" s="152">
        <f>SUM(F455:F457)</f>
        <v>0</v>
      </c>
      <c r="G458" s="123"/>
      <c r="H458" s="153">
        <f>SUM(H455:H457)</f>
        <v>0</v>
      </c>
      <c r="I458" s="121"/>
      <c r="O458" s="147">
        <f t="shared" si="22"/>
        <v>0</v>
      </c>
    </row>
    <row r="459" spans="1:15" x14ac:dyDescent="0.25">
      <c r="A459" s="125"/>
      <c r="B459" s="697" t="s">
        <v>884</v>
      </c>
      <c r="C459" s="697"/>
      <c r="D459" s="697"/>
      <c r="E459" s="124"/>
      <c r="F459" s="154">
        <f>F453-F458</f>
        <v>0</v>
      </c>
      <c r="G459" s="123"/>
      <c r="H459" s="154">
        <f>H453-H458</f>
        <v>0</v>
      </c>
      <c r="I459" s="121"/>
      <c r="O459" s="147">
        <f t="shared" si="22"/>
        <v>0</v>
      </c>
    </row>
    <row r="460" spans="1:15" x14ac:dyDescent="0.25">
      <c r="A460" s="125"/>
      <c r="B460" s="6" t="s">
        <v>344</v>
      </c>
      <c r="C460" s="151" t="s">
        <v>885</v>
      </c>
      <c r="D460" s="6"/>
      <c r="E460" s="124"/>
      <c r="F460" s="123"/>
      <c r="G460" s="123"/>
      <c r="H460" s="122"/>
      <c r="I460" s="121"/>
      <c r="O460" s="147">
        <f t="shared" si="22"/>
        <v>0</v>
      </c>
    </row>
    <row r="461" spans="1:15" x14ac:dyDescent="0.25">
      <c r="A461" s="125"/>
      <c r="B461" s="697" t="s">
        <v>345</v>
      </c>
      <c r="C461" s="697"/>
      <c r="D461" s="151" t="s">
        <v>5</v>
      </c>
      <c r="E461" s="124"/>
      <c r="F461" s="123">
        <v>0</v>
      </c>
      <c r="G461" s="123"/>
      <c r="H461" s="122">
        <f>F461+H399</f>
        <v>0</v>
      </c>
      <c r="I461" s="121"/>
      <c r="O461" s="147">
        <f t="shared" si="22"/>
        <v>0</v>
      </c>
    </row>
    <row r="462" spans="1:15" x14ac:dyDescent="0.25">
      <c r="A462" s="125"/>
      <c r="B462" s="697" t="s">
        <v>346</v>
      </c>
      <c r="C462" s="697"/>
      <c r="D462" s="151" t="s">
        <v>887</v>
      </c>
      <c r="E462" s="124"/>
      <c r="F462" s="123">
        <f>-'B. NON OPERASIONAL'!I14</f>
        <v>0</v>
      </c>
      <c r="G462" s="123"/>
      <c r="H462" s="122">
        <f>F462+H400</f>
        <v>0</v>
      </c>
      <c r="I462" s="121"/>
      <c r="O462" s="147">
        <f t="shared" si="22"/>
        <v>0</v>
      </c>
    </row>
    <row r="463" spans="1:15" x14ac:dyDescent="0.25">
      <c r="A463" s="125"/>
      <c r="B463" s="697" t="s">
        <v>886</v>
      </c>
      <c r="C463" s="697"/>
      <c r="D463" s="697"/>
      <c r="E463" s="124"/>
      <c r="F463" s="152">
        <f>F461+F462</f>
        <v>0</v>
      </c>
      <c r="G463" s="123"/>
      <c r="H463" s="152">
        <f>H461+H462</f>
        <v>0</v>
      </c>
      <c r="I463" s="121"/>
      <c r="O463" s="147">
        <f t="shared" si="22"/>
        <v>0</v>
      </c>
    </row>
    <row r="464" spans="1:15" x14ac:dyDescent="0.25">
      <c r="A464" s="125"/>
      <c r="B464" s="697" t="s">
        <v>347</v>
      </c>
      <c r="C464" s="697"/>
      <c r="D464" s="697"/>
      <c r="E464" s="124"/>
      <c r="F464" s="154">
        <f>F459+F463</f>
        <v>0</v>
      </c>
      <c r="G464" s="123"/>
      <c r="H464" s="154">
        <f>H459+H463</f>
        <v>0</v>
      </c>
      <c r="I464" s="121"/>
      <c r="O464" s="147">
        <f t="shared" si="22"/>
        <v>0</v>
      </c>
    </row>
    <row r="465" spans="1:15" x14ac:dyDescent="0.25">
      <c r="A465" s="125"/>
      <c r="B465" s="697" t="s">
        <v>348</v>
      </c>
      <c r="C465" s="697"/>
      <c r="D465" s="697"/>
      <c r="E465" s="124"/>
      <c r="F465" s="123">
        <v>0</v>
      </c>
      <c r="G465" s="123"/>
      <c r="H465" s="123">
        <v>0</v>
      </c>
      <c r="I465" s="121"/>
      <c r="O465" s="147">
        <f t="shared" si="22"/>
        <v>0</v>
      </c>
    </row>
    <row r="466" spans="1:15" ht="22.5" customHeight="1" x14ac:dyDescent="0.25">
      <c r="A466" s="125"/>
      <c r="B466" s="707" t="s">
        <v>29</v>
      </c>
      <c r="C466" s="708"/>
      <c r="D466" s="709"/>
      <c r="E466" s="142"/>
      <c r="F466" s="160">
        <f>F464-F465</f>
        <v>0</v>
      </c>
      <c r="G466" s="143"/>
      <c r="H466" s="160">
        <f>H464-H465</f>
        <v>0</v>
      </c>
      <c r="I466" s="121"/>
      <c r="O466" s="147">
        <f t="shared" si="22"/>
        <v>0</v>
      </c>
    </row>
    <row r="467" spans="1:15" ht="5.25" customHeight="1" x14ac:dyDescent="0.25">
      <c r="A467" s="120"/>
      <c r="B467" s="119"/>
      <c r="C467" s="119"/>
      <c r="D467" s="119"/>
      <c r="E467" s="119"/>
      <c r="F467" s="118"/>
      <c r="G467" s="118"/>
      <c r="H467" s="117"/>
      <c r="I467" s="116"/>
    </row>
    <row r="468" spans="1:15" ht="19.5" customHeight="1" x14ac:dyDescent="0.25">
      <c r="A468" s="115"/>
      <c r="B468" s="112"/>
      <c r="C468" s="112"/>
      <c r="D468" s="112"/>
      <c r="E468" s="112"/>
      <c r="F468" s="114"/>
      <c r="G468" s="114"/>
      <c r="H468" s="113"/>
      <c r="I468" s="112"/>
    </row>
    <row r="469" spans="1:15" x14ac:dyDescent="0.25">
      <c r="A469" s="706" t="s">
        <v>580</v>
      </c>
      <c r="B469" s="706"/>
      <c r="C469" s="706"/>
      <c r="D469" s="706"/>
      <c r="E469" s="13"/>
      <c r="F469" s="698" t="s">
        <v>566</v>
      </c>
      <c r="G469" s="698"/>
      <c r="H469" s="698"/>
      <c r="I469" s="698"/>
    </row>
    <row r="470" spans="1:15" x14ac:dyDescent="0.25">
      <c r="A470" s="706" t="s">
        <v>678</v>
      </c>
      <c r="B470" s="706"/>
      <c r="C470" s="706"/>
      <c r="D470" s="706"/>
      <c r="E470" s="13"/>
      <c r="F470" s="698" t="s">
        <v>680</v>
      </c>
      <c r="G470" s="698"/>
      <c r="H470" s="698"/>
      <c r="I470" s="698"/>
    </row>
    <row r="471" spans="1:15" x14ac:dyDescent="0.25">
      <c r="A471" s="706"/>
      <c r="B471" s="706"/>
      <c r="C471" s="706"/>
      <c r="D471" s="706"/>
      <c r="E471" s="13"/>
      <c r="F471" s="698"/>
      <c r="G471" s="698"/>
      <c r="H471" s="698"/>
      <c r="I471" s="698"/>
    </row>
    <row r="472" spans="1:15" x14ac:dyDescent="0.25">
      <c r="A472" s="706"/>
      <c r="B472" s="706"/>
      <c r="C472" s="706"/>
      <c r="D472" s="706"/>
      <c r="E472" s="13"/>
      <c r="F472" s="698"/>
      <c r="G472" s="698"/>
      <c r="H472" s="698"/>
      <c r="I472" s="698"/>
    </row>
    <row r="473" spans="1:15" x14ac:dyDescent="0.25">
      <c r="A473" s="706" t="s">
        <v>655</v>
      </c>
      <c r="B473" s="706"/>
      <c r="C473" s="706"/>
      <c r="D473" s="706"/>
      <c r="E473" s="13"/>
      <c r="F473" s="698" t="s">
        <v>567</v>
      </c>
      <c r="G473" s="698"/>
      <c r="H473" s="698"/>
      <c r="I473" s="698"/>
    </row>
    <row r="474" spans="1:15" x14ac:dyDescent="0.25">
      <c r="A474" s="697"/>
      <c r="B474" s="697"/>
      <c r="C474" s="697"/>
      <c r="D474" s="697"/>
      <c r="E474" s="697"/>
      <c r="F474" s="697"/>
      <c r="G474" s="697"/>
      <c r="H474" s="697"/>
      <c r="I474" s="697"/>
    </row>
    <row r="475" spans="1:15" x14ac:dyDescent="0.25">
      <c r="A475" s="697"/>
      <c r="B475" s="697"/>
      <c r="C475" s="697"/>
      <c r="D475" s="697"/>
      <c r="E475" s="697"/>
      <c r="F475" s="697"/>
      <c r="G475" s="697"/>
      <c r="H475" s="697"/>
      <c r="I475" s="697"/>
    </row>
    <row r="476" spans="1:15" x14ac:dyDescent="0.25">
      <c r="A476" s="697"/>
      <c r="B476" s="697"/>
      <c r="C476" s="697"/>
      <c r="D476" s="697"/>
      <c r="E476" s="697"/>
      <c r="F476" s="697"/>
      <c r="G476" s="697"/>
      <c r="H476" s="697"/>
      <c r="I476" s="697"/>
    </row>
    <row r="477" spans="1:15" x14ac:dyDescent="0.25">
      <c r="A477" s="697"/>
      <c r="B477" s="697"/>
      <c r="C477" s="697"/>
      <c r="D477" s="697"/>
      <c r="E477" s="697"/>
      <c r="F477" s="697"/>
      <c r="G477" s="697"/>
      <c r="H477" s="697"/>
      <c r="I477" s="697"/>
    </row>
    <row r="478" spans="1:15" x14ac:dyDescent="0.25">
      <c r="A478" s="697"/>
      <c r="B478" s="697"/>
      <c r="C478" s="697"/>
      <c r="D478" s="697"/>
      <c r="E478" s="697"/>
      <c r="F478" s="697"/>
      <c r="G478" s="697"/>
      <c r="H478" s="697"/>
      <c r="I478" s="697"/>
    </row>
    <row r="482" spans="1:9" x14ac:dyDescent="0.25">
      <c r="A482" s="112" t="s">
        <v>653</v>
      </c>
      <c r="B482" s="112"/>
      <c r="C482" s="112"/>
      <c r="D482" s="112"/>
      <c r="E482" s="112"/>
      <c r="F482" s="113"/>
      <c r="G482" s="113"/>
      <c r="H482" s="113"/>
      <c r="I482" s="112"/>
    </row>
    <row r="483" spans="1:9" x14ac:dyDescent="0.25">
      <c r="A483" s="112"/>
      <c r="B483" s="112"/>
      <c r="C483" s="112"/>
      <c r="D483" s="112"/>
      <c r="E483" s="112"/>
      <c r="F483" s="113"/>
      <c r="G483" s="113"/>
      <c r="H483" s="113"/>
      <c r="I483" s="112"/>
    </row>
    <row r="484" spans="1:9" ht="20.25" x14ac:dyDescent="0.3">
      <c r="A484" s="141"/>
      <c r="B484" s="695" t="s">
        <v>650</v>
      </c>
      <c r="C484" s="695"/>
      <c r="D484" s="695"/>
      <c r="E484" s="695"/>
      <c r="F484" s="695"/>
      <c r="G484" s="695"/>
      <c r="H484" s="695"/>
      <c r="I484" s="140"/>
    </row>
    <row r="485" spans="1:9" x14ac:dyDescent="0.25">
      <c r="A485" s="125"/>
      <c r="B485" s="696" t="s">
        <v>349</v>
      </c>
      <c r="C485" s="696"/>
      <c r="D485" s="696"/>
      <c r="E485" s="696"/>
      <c r="F485" s="696"/>
      <c r="G485" s="696"/>
      <c r="H485" s="696"/>
      <c r="I485" s="139"/>
    </row>
    <row r="486" spans="1:9" x14ac:dyDescent="0.25">
      <c r="A486" s="125"/>
      <c r="B486" s="696" t="s">
        <v>1028</v>
      </c>
      <c r="C486" s="696"/>
      <c r="D486" s="696"/>
      <c r="E486" s="696"/>
      <c r="F486" s="696"/>
      <c r="G486" s="696"/>
      <c r="H486" s="696"/>
      <c r="I486" s="139"/>
    </row>
    <row r="487" spans="1:9" ht="15.75" thickBot="1" x14ac:dyDescent="0.3">
      <c r="A487" s="125"/>
      <c r="B487" s="699" t="s">
        <v>0</v>
      </c>
      <c r="C487" s="699"/>
      <c r="D487" s="699"/>
      <c r="E487" s="699"/>
      <c r="F487" s="699"/>
      <c r="G487" s="699"/>
      <c r="H487" s="699"/>
      <c r="I487" s="139"/>
    </row>
    <row r="488" spans="1:9" ht="15.75" thickTop="1" x14ac:dyDescent="0.25">
      <c r="A488" s="125"/>
      <c r="B488" s="112"/>
      <c r="C488" s="112"/>
      <c r="D488" s="112"/>
      <c r="E488" s="112"/>
      <c r="F488" s="113"/>
      <c r="G488" s="113"/>
      <c r="H488" s="113"/>
      <c r="I488" s="136"/>
    </row>
    <row r="489" spans="1:9" ht="25.5" x14ac:dyDescent="0.25">
      <c r="A489" s="125"/>
      <c r="B489" s="711" t="s">
        <v>30</v>
      </c>
      <c r="C489" s="712"/>
      <c r="D489" s="713"/>
      <c r="E489" s="138"/>
      <c r="F489" s="159" t="s">
        <v>291</v>
      </c>
      <c r="G489" s="137"/>
      <c r="H489" s="165" t="s">
        <v>558</v>
      </c>
      <c r="I489" s="136"/>
    </row>
    <row r="490" spans="1:9" x14ac:dyDescent="0.25">
      <c r="A490" s="125"/>
      <c r="B490" s="112"/>
      <c r="C490" s="112"/>
      <c r="D490" s="112"/>
      <c r="E490" s="112"/>
      <c r="F490" s="113"/>
      <c r="G490" s="113"/>
      <c r="H490" s="113"/>
      <c r="I490" s="136"/>
    </row>
    <row r="491" spans="1:9" x14ac:dyDescent="0.25">
      <c r="A491" s="125"/>
      <c r="B491" s="124" t="s">
        <v>1</v>
      </c>
      <c r="C491" s="124"/>
      <c r="D491" s="124"/>
      <c r="E491" s="124"/>
      <c r="F491" s="123"/>
      <c r="G491" s="123"/>
      <c r="H491" s="123"/>
      <c r="I491" s="135"/>
    </row>
    <row r="492" spans="1:9" x14ac:dyDescent="0.25">
      <c r="A492" s="125"/>
      <c r="B492" s="124"/>
      <c r="C492" s="128" t="s">
        <v>2</v>
      </c>
      <c r="D492" s="128"/>
      <c r="E492" s="128"/>
      <c r="F492" s="132"/>
      <c r="G492" s="132"/>
      <c r="H492" s="133"/>
      <c r="I492" s="121"/>
    </row>
    <row r="493" spans="1:9" x14ac:dyDescent="0.25">
      <c r="A493" s="125"/>
      <c r="B493" s="697" t="s">
        <v>312</v>
      </c>
      <c r="C493" s="697"/>
      <c r="D493" s="124" t="s">
        <v>303</v>
      </c>
      <c r="E493" s="128"/>
      <c r="F493" s="123">
        <v>0</v>
      </c>
      <c r="G493" s="123"/>
      <c r="H493" s="122">
        <f>F493+H430</f>
        <v>0</v>
      </c>
      <c r="I493" s="121"/>
    </row>
    <row r="494" spans="1:9" x14ac:dyDescent="0.25">
      <c r="A494" s="125"/>
      <c r="B494" s="697" t="s">
        <v>313</v>
      </c>
      <c r="C494" s="697"/>
      <c r="D494" s="124" t="s">
        <v>304</v>
      </c>
      <c r="E494" s="128"/>
      <c r="F494" s="123">
        <v>0</v>
      </c>
      <c r="G494" s="123"/>
      <c r="H494" s="122">
        <f>F494+H431</f>
        <v>0</v>
      </c>
      <c r="I494" s="121"/>
    </row>
    <row r="495" spans="1:9" x14ac:dyDescent="0.25">
      <c r="A495" s="125"/>
      <c r="B495" s="697" t="s">
        <v>314</v>
      </c>
      <c r="C495" s="697"/>
      <c r="D495" s="124" t="s">
        <v>315</v>
      </c>
      <c r="E495" s="128"/>
      <c r="F495" s="123">
        <v>0</v>
      </c>
      <c r="G495" s="123"/>
      <c r="H495" s="122">
        <f>F495+H432</f>
        <v>0</v>
      </c>
      <c r="I495" s="121"/>
    </row>
    <row r="496" spans="1:9" x14ac:dyDescent="0.25">
      <c r="A496" s="125"/>
      <c r="B496" s="124"/>
      <c r="C496" s="128"/>
      <c r="D496" s="134" t="s">
        <v>305</v>
      </c>
      <c r="E496" s="128"/>
      <c r="F496" s="155">
        <f>SUM(F493:F495)</f>
        <v>0</v>
      </c>
      <c r="G496" s="132"/>
      <c r="H496" s="156">
        <f>SUM(H493:H495)</f>
        <v>0</v>
      </c>
      <c r="I496" s="121"/>
    </row>
    <row r="497" spans="1:9" x14ac:dyDescent="0.25">
      <c r="A497" s="125"/>
      <c r="B497" s="124"/>
      <c r="C497" s="128" t="s">
        <v>3</v>
      </c>
      <c r="D497" s="124"/>
      <c r="E497" s="124"/>
      <c r="F497" s="123"/>
      <c r="G497" s="123"/>
      <c r="H497" s="122"/>
      <c r="I497" s="121"/>
    </row>
    <row r="498" spans="1:9" x14ac:dyDescent="0.25">
      <c r="A498" s="125"/>
      <c r="B498" s="697" t="s">
        <v>316</v>
      </c>
      <c r="C498" s="697"/>
      <c r="D498" s="124" t="s">
        <v>229</v>
      </c>
      <c r="E498" s="124"/>
      <c r="F498" s="123">
        <v>0</v>
      </c>
      <c r="G498" s="123"/>
      <c r="H498" s="122">
        <f t="shared" ref="H498:H503" si="23">F498+H435</f>
        <v>0</v>
      </c>
      <c r="I498" s="121"/>
    </row>
    <row r="499" spans="1:9" x14ac:dyDescent="0.25">
      <c r="A499" s="125"/>
      <c r="B499" s="697" t="s">
        <v>317</v>
      </c>
      <c r="C499" s="697"/>
      <c r="D499" s="124" t="s">
        <v>232</v>
      </c>
      <c r="E499" s="124"/>
      <c r="F499" s="123"/>
      <c r="G499" s="123"/>
      <c r="H499" s="122">
        <f t="shared" si="23"/>
        <v>0</v>
      </c>
      <c r="I499" s="121"/>
    </row>
    <row r="500" spans="1:9" x14ac:dyDescent="0.25">
      <c r="A500" s="125"/>
      <c r="B500" s="697" t="s">
        <v>318</v>
      </c>
      <c r="C500" s="697"/>
      <c r="D500" s="124" t="s">
        <v>230</v>
      </c>
      <c r="E500" s="124"/>
      <c r="F500" s="123">
        <v>0</v>
      </c>
      <c r="G500" s="123"/>
      <c r="H500" s="122">
        <f t="shared" si="23"/>
        <v>0</v>
      </c>
      <c r="I500" s="121"/>
    </row>
    <row r="501" spans="1:9" x14ac:dyDescent="0.25">
      <c r="A501" s="125"/>
      <c r="B501" s="697" t="s">
        <v>319</v>
      </c>
      <c r="C501" s="697"/>
      <c r="D501" s="124" t="s">
        <v>322</v>
      </c>
      <c r="E501" s="124"/>
      <c r="F501" s="123"/>
      <c r="G501" s="123"/>
      <c r="H501" s="122">
        <f t="shared" si="23"/>
        <v>0</v>
      </c>
      <c r="I501" s="121"/>
    </row>
    <row r="502" spans="1:9" x14ac:dyDescent="0.25">
      <c r="A502" s="125"/>
      <c r="B502" s="697" t="s">
        <v>320</v>
      </c>
      <c r="C502" s="697"/>
      <c r="D502" s="124" t="s">
        <v>323</v>
      </c>
      <c r="E502" s="124"/>
      <c r="F502" s="123"/>
      <c r="G502" s="123"/>
      <c r="H502" s="122">
        <f t="shared" si="23"/>
        <v>0</v>
      </c>
      <c r="I502" s="121"/>
    </row>
    <row r="503" spans="1:9" x14ac:dyDescent="0.25">
      <c r="A503" s="125"/>
      <c r="B503" s="697" t="s">
        <v>321</v>
      </c>
      <c r="C503" s="697"/>
      <c r="D503" s="124" t="s">
        <v>324</v>
      </c>
      <c r="E503" s="124"/>
      <c r="F503" s="123">
        <v>0</v>
      </c>
      <c r="G503" s="123"/>
      <c r="H503" s="122">
        <f t="shared" si="23"/>
        <v>0</v>
      </c>
      <c r="I503" s="121"/>
    </row>
    <row r="504" spans="1:9" x14ac:dyDescent="0.25">
      <c r="A504" s="125"/>
      <c r="B504" s="124"/>
      <c r="C504" s="128"/>
      <c r="D504" s="134" t="s">
        <v>279</v>
      </c>
      <c r="E504" s="128"/>
      <c r="F504" s="157">
        <f>SUM(F498:F503)</f>
        <v>0</v>
      </c>
      <c r="G504" s="132"/>
      <c r="H504" s="158">
        <f>SUM(H498:H503)</f>
        <v>0</v>
      </c>
      <c r="I504" s="121"/>
    </row>
    <row r="505" spans="1:9" ht="15.75" thickBot="1" x14ac:dyDescent="0.3">
      <c r="A505" s="125"/>
      <c r="B505" s="710" t="s">
        <v>4</v>
      </c>
      <c r="C505" s="710"/>
      <c r="D505" s="710"/>
      <c r="E505" s="149" t="e">
        <f>#REF!+E504+E492</f>
        <v>#REF!</v>
      </c>
      <c r="F505" s="131">
        <f>F504+F496</f>
        <v>0</v>
      </c>
      <c r="G505" s="133"/>
      <c r="H505" s="131">
        <f>H504+H496</f>
        <v>0</v>
      </c>
      <c r="I505" s="121"/>
    </row>
    <row r="506" spans="1:9" ht="15.75" thickTop="1" x14ac:dyDescent="0.25">
      <c r="A506" s="125"/>
      <c r="B506" s="128" t="s">
        <v>289</v>
      </c>
      <c r="C506" s="124"/>
      <c r="D506" s="124"/>
      <c r="E506" s="124"/>
      <c r="F506" s="123"/>
      <c r="G506" s="123"/>
      <c r="H506" s="122"/>
      <c r="I506" s="121"/>
    </row>
    <row r="507" spans="1:9" x14ac:dyDescent="0.25">
      <c r="A507" s="125"/>
      <c r="B507" s="124" t="s">
        <v>311</v>
      </c>
      <c r="C507" s="124" t="s">
        <v>289</v>
      </c>
      <c r="D507" s="124"/>
      <c r="E507" s="124"/>
      <c r="F507" s="123"/>
      <c r="G507" s="123"/>
      <c r="H507" s="122"/>
      <c r="I507" s="121"/>
    </row>
    <row r="508" spans="1:9" x14ac:dyDescent="0.25">
      <c r="A508" s="125"/>
      <c r="B508" s="697" t="s">
        <v>325</v>
      </c>
      <c r="C508" s="697"/>
      <c r="D508" s="124" t="s">
        <v>328</v>
      </c>
      <c r="E508" s="124"/>
      <c r="F508" s="123">
        <f>'RINCIAN B. LANGSUNG USAHA'!L32</f>
        <v>0</v>
      </c>
      <c r="G508" s="123"/>
      <c r="H508" s="122">
        <f t="shared" ref="H508:H514" si="24">F508+H445</f>
        <v>0</v>
      </c>
      <c r="I508" s="121"/>
    </row>
    <row r="509" spans="1:9" x14ac:dyDescent="0.25">
      <c r="A509" s="125"/>
      <c r="B509" s="697" t="s">
        <v>326</v>
      </c>
      <c r="C509" s="697"/>
      <c r="D509" s="124" t="s">
        <v>329</v>
      </c>
      <c r="E509" s="124"/>
      <c r="F509" s="123">
        <f>'RINCIAN B. LANGSUNG USAHA'!L67</f>
        <v>0</v>
      </c>
      <c r="G509" s="123"/>
      <c r="H509" s="122">
        <f t="shared" si="24"/>
        <v>0</v>
      </c>
      <c r="I509" s="121"/>
    </row>
    <row r="510" spans="1:9" x14ac:dyDescent="0.25">
      <c r="A510" s="125"/>
      <c r="B510" s="697" t="s">
        <v>327</v>
      </c>
      <c r="C510" s="697"/>
      <c r="D510" s="124" t="s">
        <v>330</v>
      </c>
      <c r="E510" s="124"/>
      <c r="F510" s="123">
        <f>'RINCIAN B. LANGSUNG USAHA'!L98</f>
        <v>0</v>
      </c>
      <c r="G510" s="123"/>
      <c r="H510" s="122">
        <f t="shared" si="24"/>
        <v>0</v>
      </c>
      <c r="I510" s="121"/>
    </row>
    <row r="511" spans="1:9" x14ac:dyDescent="0.25">
      <c r="A511" s="125"/>
      <c r="B511" s="697" t="s">
        <v>331</v>
      </c>
      <c r="C511" s="697"/>
      <c r="D511" s="124" t="s">
        <v>252</v>
      </c>
      <c r="E511" s="124"/>
      <c r="F511" s="123">
        <f>'RINCIAN B. LANGSUNG USAHA'!L33</f>
        <v>0</v>
      </c>
      <c r="G511" s="123"/>
      <c r="H511" s="122">
        <f t="shared" si="24"/>
        <v>0</v>
      </c>
      <c r="I511" s="121"/>
    </row>
    <row r="512" spans="1:9" x14ac:dyDescent="0.25">
      <c r="A512" s="125"/>
      <c r="B512" s="697" t="s">
        <v>332</v>
      </c>
      <c r="C512" s="697"/>
      <c r="D512" s="124" t="s">
        <v>335</v>
      </c>
      <c r="E512" s="124"/>
      <c r="F512" s="123">
        <f>'RINCIAN B. LANGSUNG USAHA'!L68</f>
        <v>0</v>
      </c>
      <c r="G512" s="123"/>
      <c r="H512" s="122">
        <f t="shared" si="24"/>
        <v>0</v>
      </c>
      <c r="I512" s="121"/>
    </row>
    <row r="513" spans="1:9" x14ac:dyDescent="0.25">
      <c r="A513" s="125"/>
      <c r="B513" s="697" t="s">
        <v>333</v>
      </c>
      <c r="C513" s="697"/>
      <c r="D513" s="124" t="s">
        <v>334</v>
      </c>
      <c r="E513" s="124"/>
      <c r="F513" s="123">
        <f>'RINCIAN B. LANGSUNG USAHA'!L99</f>
        <v>0</v>
      </c>
      <c r="G513" s="123"/>
      <c r="H513" s="122">
        <f t="shared" si="24"/>
        <v>0</v>
      </c>
      <c r="I513" s="121"/>
    </row>
    <row r="514" spans="1:9" x14ac:dyDescent="0.25">
      <c r="A514" s="125"/>
      <c r="B514" s="697" t="s">
        <v>337</v>
      </c>
      <c r="C514" s="697"/>
      <c r="D514" s="124" t="s">
        <v>860</v>
      </c>
      <c r="E514" s="124"/>
      <c r="F514" s="123">
        <f>'RINCIAN B. LANGSUNG USAHA'!L101</f>
        <v>0</v>
      </c>
      <c r="G514" s="123"/>
      <c r="H514" s="122">
        <f t="shared" si="24"/>
        <v>0</v>
      </c>
      <c r="I514" s="121"/>
    </row>
    <row r="515" spans="1:9" x14ac:dyDescent="0.25">
      <c r="A515" s="125"/>
      <c r="B515" s="697" t="s">
        <v>888</v>
      </c>
      <c r="C515" s="697"/>
      <c r="D515" s="697"/>
      <c r="E515" s="124"/>
      <c r="F515" s="152">
        <f>SUM(F508:F514)</f>
        <v>0</v>
      </c>
      <c r="G515" s="123"/>
      <c r="H515" s="153">
        <f>SUM(H508:H514)</f>
        <v>0</v>
      </c>
      <c r="I515" s="121"/>
    </row>
    <row r="516" spans="1:9" x14ac:dyDescent="0.25">
      <c r="A516" s="125"/>
      <c r="B516" s="697" t="s">
        <v>343</v>
      </c>
      <c r="C516" s="697"/>
      <c r="D516" s="697"/>
      <c r="E516" s="124"/>
      <c r="F516" s="154">
        <f>F505-F515</f>
        <v>0</v>
      </c>
      <c r="G516" s="123"/>
      <c r="H516" s="154">
        <f>H505-H515</f>
        <v>0</v>
      </c>
      <c r="I516" s="121"/>
    </row>
    <row r="517" spans="1:9" x14ac:dyDescent="0.25">
      <c r="A517" s="125"/>
      <c r="B517" s="124" t="s">
        <v>336</v>
      </c>
      <c r="C517" s="124" t="s">
        <v>882</v>
      </c>
      <c r="D517" s="124"/>
      <c r="E517" s="124"/>
      <c r="F517" s="123"/>
      <c r="G517" s="123"/>
      <c r="H517" s="122"/>
      <c r="I517" s="121"/>
    </row>
    <row r="518" spans="1:9" x14ac:dyDescent="0.25">
      <c r="A518" s="125"/>
      <c r="B518" s="697" t="s">
        <v>337</v>
      </c>
      <c r="C518" s="697"/>
      <c r="D518" s="124" t="s">
        <v>338</v>
      </c>
      <c r="E518" s="124"/>
      <c r="F518" s="123">
        <f>'RINCIAN B. TDK LANGSUNG'!L77</f>
        <v>0</v>
      </c>
      <c r="G518" s="123"/>
      <c r="H518" s="122">
        <f>F518+H455</f>
        <v>0</v>
      </c>
      <c r="I518" s="121"/>
    </row>
    <row r="519" spans="1:9" x14ac:dyDescent="0.25">
      <c r="A519" s="125"/>
      <c r="B519" s="697" t="s">
        <v>339</v>
      </c>
      <c r="C519" s="697"/>
      <c r="D519" s="124" t="s">
        <v>340</v>
      </c>
      <c r="E519" s="124"/>
      <c r="F519" s="123"/>
      <c r="G519" s="123"/>
      <c r="H519" s="122">
        <f>F519+H456</f>
        <v>0</v>
      </c>
      <c r="I519" s="121"/>
    </row>
    <row r="520" spans="1:9" x14ac:dyDescent="0.25">
      <c r="A520" s="125"/>
      <c r="B520" s="697" t="s">
        <v>341</v>
      </c>
      <c r="C520" s="697"/>
      <c r="D520" s="124" t="s">
        <v>342</v>
      </c>
      <c r="E520" s="124"/>
      <c r="F520" s="123">
        <f>'RINCIAN B. TDK LANGSUNG'!L78+'RINCIAN B. TDK LANGSUNG'!L79</f>
        <v>0</v>
      </c>
      <c r="G520" s="123"/>
      <c r="H520" s="122">
        <f>F520+H457</f>
        <v>0</v>
      </c>
      <c r="I520" s="121"/>
    </row>
    <row r="521" spans="1:9" x14ac:dyDescent="0.25">
      <c r="A521" s="125"/>
      <c r="B521" s="697" t="s">
        <v>883</v>
      </c>
      <c r="C521" s="697"/>
      <c r="D521" s="697"/>
      <c r="E521" s="124"/>
      <c r="F521" s="152">
        <f>SUM(F518:F520)</f>
        <v>0</v>
      </c>
      <c r="G521" s="123"/>
      <c r="H521" s="153">
        <f>SUM(H518:H520)</f>
        <v>0</v>
      </c>
      <c r="I521" s="121"/>
    </row>
    <row r="522" spans="1:9" x14ac:dyDescent="0.25">
      <c r="A522" s="125"/>
      <c r="B522" s="697" t="s">
        <v>884</v>
      </c>
      <c r="C522" s="697"/>
      <c r="D522" s="697"/>
      <c r="E522" s="124"/>
      <c r="F522" s="154">
        <f>F516-F521</f>
        <v>0</v>
      </c>
      <c r="G522" s="123"/>
      <c r="H522" s="154">
        <f>H516-H521</f>
        <v>0</v>
      </c>
      <c r="I522" s="121"/>
    </row>
    <row r="523" spans="1:9" x14ac:dyDescent="0.25">
      <c r="A523" s="125"/>
      <c r="B523" s="6" t="s">
        <v>344</v>
      </c>
      <c r="C523" s="151" t="s">
        <v>885</v>
      </c>
      <c r="D523" s="6"/>
      <c r="E523" s="124"/>
      <c r="F523" s="123"/>
      <c r="G523" s="123"/>
      <c r="H523" s="122"/>
      <c r="I523" s="121"/>
    </row>
    <row r="524" spans="1:9" x14ac:dyDescent="0.25">
      <c r="A524" s="125"/>
      <c r="B524" s="697" t="s">
        <v>345</v>
      </c>
      <c r="C524" s="697"/>
      <c r="D524" s="151" t="s">
        <v>5</v>
      </c>
      <c r="E524" s="124"/>
      <c r="F524" s="123">
        <v>0</v>
      </c>
      <c r="G524" s="123"/>
      <c r="H524" s="122">
        <f>F524+H461</f>
        <v>0</v>
      </c>
      <c r="I524" s="121"/>
    </row>
    <row r="525" spans="1:9" x14ac:dyDescent="0.25">
      <c r="A525" s="125"/>
      <c r="B525" s="697" t="s">
        <v>346</v>
      </c>
      <c r="C525" s="697"/>
      <c r="D525" s="151" t="s">
        <v>887</v>
      </c>
      <c r="E525" s="124"/>
      <c r="F525" s="123"/>
      <c r="G525" s="123"/>
      <c r="H525" s="122">
        <f>F525+H462</f>
        <v>0</v>
      </c>
      <c r="I525" s="121"/>
    </row>
    <row r="526" spans="1:9" x14ac:dyDescent="0.25">
      <c r="A526" s="125"/>
      <c r="B526" s="697" t="s">
        <v>886</v>
      </c>
      <c r="C526" s="697"/>
      <c r="D526" s="697"/>
      <c r="E526" s="124"/>
      <c r="F526" s="152">
        <f>F524+F525</f>
        <v>0</v>
      </c>
      <c r="G526" s="123"/>
      <c r="H526" s="152">
        <f>H524+H525</f>
        <v>0</v>
      </c>
      <c r="I526" s="121"/>
    </row>
    <row r="527" spans="1:9" x14ac:dyDescent="0.25">
      <c r="A527" s="125"/>
      <c r="B527" s="697" t="s">
        <v>347</v>
      </c>
      <c r="C527" s="697"/>
      <c r="D527" s="697"/>
      <c r="E527" s="124"/>
      <c r="F527" s="154">
        <f>F522+F526</f>
        <v>0</v>
      </c>
      <c r="G527" s="123"/>
      <c r="H527" s="154">
        <f>H522+H526</f>
        <v>0</v>
      </c>
      <c r="I527" s="121"/>
    </row>
    <row r="528" spans="1:9" x14ac:dyDescent="0.25">
      <c r="A528" s="125"/>
      <c r="B528" s="697" t="s">
        <v>348</v>
      </c>
      <c r="C528" s="697"/>
      <c r="D528" s="697"/>
      <c r="E528" s="124"/>
      <c r="F528" s="123">
        <v>0</v>
      </c>
      <c r="G528" s="123"/>
      <c r="H528" s="123">
        <v>0</v>
      </c>
      <c r="I528" s="121"/>
    </row>
    <row r="529" spans="1:13" ht="24" customHeight="1" x14ac:dyDescent="0.25">
      <c r="A529" s="125"/>
      <c r="B529" s="707" t="s">
        <v>29</v>
      </c>
      <c r="C529" s="708"/>
      <c r="D529" s="709"/>
      <c r="E529" s="142"/>
      <c r="F529" s="160">
        <f>F527-F528</f>
        <v>0</v>
      </c>
      <c r="G529" s="143"/>
      <c r="H529" s="160">
        <f>H527-H528</f>
        <v>0</v>
      </c>
      <c r="I529" s="121"/>
    </row>
    <row r="530" spans="1:13" x14ac:dyDescent="0.25">
      <c r="A530" s="120"/>
      <c r="B530" s="119"/>
      <c r="C530" s="119"/>
      <c r="D530" s="119"/>
      <c r="E530" s="119"/>
      <c r="F530" s="118"/>
      <c r="G530" s="118"/>
      <c r="H530" s="117"/>
      <c r="I530" s="116"/>
    </row>
    <row r="531" spans="1:13" x14ac:dyDescent="0.25">
      <c r="A531" s="115"/>
      <c r="B531" s="112"/>
      <c r="C531" s="112"/>
      <c r="D531" s="112"/>
      <c r="E531" s="112"/>
      <c r="F531" s="114"/>
      <c r="G531" s="114"/>
      <c r="H531" s="113"/>
      <c r="I531" s="112"/>
    </row>
    <row r="532" spans="1:13" x14ac:dyDescent="0.25">
      <c r="A532" s="706" t="s">
        <v>580</v>
      </c>
      <c r="B532" s="706"/>
      <c r="C532" s="706"/>
      <c r="D532" s="706"/>
      <c r="E532" s="13"/>
      <c r="F532" s="698" t="s">
        <v>566</v>
      </c>
      <c r="G532" s="698"/>
      <c r="H532" s="698"/>
      <c r="I532" s="698"/>
    </row>
    <row r="533" spans="1:13" x14ac:dyDescent="0.25">
      <c r="A533" s="706" t="s">
        <v>678</v>
      </c>
      <c r="B533" s="706"/>
      <c r="C533" s="706"/>
      <c r="D533" s="706"/>
      <c r="E533" s="13"/>
      <c r="F533" s="698" t="s">
        <v>649</v>
      </c>
      <c r="G533" s="698"/>
      <c r="H533" s="698"/>
      <c r="I533" s="698"/>
      <c r="M533" s="313"/>
    </row>
    <row r="534" spans="1:13" x14ac:dyDescent="0.25">
      <c r="A534" s="706"/>
      <c r="B534" s="706"/>
      <c r="C534" s="706"/>
      <c r="D534" s="706"/>
      <c r="E534" s="13"/>
      <c r="F534" s="698"/>
      <c r="G534" s="698"/>
      <c r="H534" s="698"/>
      <c r="I534" s="698"/>
      <c r="M534" s="313"/>
    </row>
    <row r="535" spans="1:13" x14ac:dyDescent="0.25">
      <c r="A535" s="706"/>
      <c r="B535" s="706"/>
      <c r="C535" s="706"/>
      <c r="D535" s="706"/>
      <c r="E535" s="13"/>
      <c r="F535" s="698"/>
      <c r="G535" s="698"/>
      <c r="H535" s="698"/>
      <c r="I535" s="698"/>
      <c r="M535" s="313"/>
    </row>
    <row r="536" spans="1:13" x14ac:dyDescent="0.25">
      <c r="A536" s="706" t="s">
        <v>655</v>
      </c>
      <c r="B536" s="706"/>
      <c r="C536" s="706"/>
      <c r="D536" s="706"/>
      <c r="E536" s="13"/>
      <c r="F536" s="698" t="s">
        <v>567</v>
      </c>
      <c r="G536" s="698"/>
      <c r="H536" s="698"/>
      <c r="I536" s="698"/>
      <c r="M536" s="313"/>
    </row>
    <row r="537" spans="1:13" x14ac:dyDescent="0.25">
      <c r="A537" s="697"/>
      <c r="B537" s="697"/>
      <c r="C537" s="697"/>
      <c r="D537" s="697"/>
      <c r="E537" s="697"/>
      <c r="F537" s="697"/>
      <c r="G537" s="697"/>
      <c r="H537" s="697"/>
      <c r="I537" s="697"/>
    </row>
    <row r="538" spans="1:13" x14ac:dyDescent="0.25">
      <c r="A538" s="697"/>
      <c r="B538" s="697"/>
      <c r="C538" s="697"/>
      <c r="D538" s="697"/>
      <c r="E538" s="697"/>
      <c r="F538" s="697"/>
      <c r="G538" s="697"/>
      <c r="H538" s="697"/>
      <c r="I538" s="697"/>
    </row>
    <row r="539" spans="1:13" x14ac:dyDescent="0.25">
      <c r="A539" s="697"/>
      <c r="B539" s="697"/>
      <c r="C539" s="697"/>
      <c r="D539" s="697"/>
      <c r="E539" s="697"/>
      <c r="F539" s="697"/>
      <c r="G539" s="697"/>
      <c r="H539" s="697"/>
      <c r="I539" s="697"/>
    </row>
    <row r="540" spans="1:13" x14ac:dyDescent="0.25">
      <c r="A540" s="697"/>
      <c r="B540" s="697"/>
      <c r="C540" s="697"/>
      <c r="D540" s="697"/>
      <c r="E540" s="697"/>
      <c r="F540" s="697"/>
      <c r="G540" s="697"/>
      <c r="H540" s="697"/>
      <c r="I540" s="697"/>
    </row>
    <row r="541" spans="1:13" x14ac:dyDescent="0.25">
      <c r="A541" s="697"/>
      <c r="B541" s="697"/>
      <c r="C541" s="697"/>
      <c r="D541" s="697"/>
      <c r="E541" s="697"/>
      <c r="F541" s="697"/>
      <c r="G541" s="697"/>
      <c r="H541" s="697"/>
      <c r="I541" s="697"/>
    </row>
    <row r="543" spans="1:13" x14ac:dyDescent="0.25">
      <c r="A543" s="112" t="s">
        <v>653</v>
      </c>
      <c r="B543" s="112"/>
      <c r="C543" s="112"/>
      <c r="D543" s="112"/>
      <c r="E543" s="112"/>
      <c r="F543" s="113"/>
      <c r="G543" s="113"/>
      <c r="H543" s="113"/>
      <c r="I543" s="112"/>
    </row>
    <row r="544" spans="1:13" x14ac:dyDescent="0.25">
      <c r="A544" s="112"/>
      <c r="B544" s="112"/>
      <c r="C544" s="112"/>
      <c r="D544" s="112"/>
      <c r="E544" s="112"/>
      <c r="F544" s="113"/>
      <c r="G544" s="113"/>
      <c r="H544" s="113"/>
      <c r="I544" s="112"/>
    </row>
    <row r="545" spans="1:9" ht="20.25" x14ac:dyDescent="0.3">
      <c r="A545" s="141"/>
      <c r="B545" s="695" t="s">
        <v>650</v>
      </c>
      <c r="C545" s="695"/>
      <c r="D545" s="695"/>
      <c r="E545" s="695"/>
      <c r="F545" s="695"/>
      <c r="G545" s="695"/>
      <c r="H545" s="695"/>
      <c r="I545" s="140"/>
    </row>
    <row r="546" spans="1:9" x14ac:dyDescent="0.25">
      <c r="A546" s="125"/>
      <c r="B546" s="696" t="s">
        <v>349</v>
      </c>
      <c r="C546" s="696"/>
      <c r="D546" s="696"/>
      <c r="E546" s="696"/>
      <c r="F546" s="696"/>
      <c r="G546" s="696"/>
      <c r="H546" s="696"/>
      <c r="I546" s="139"/>
    </row>
    <row r="547" spans="1:9" x14ac:dyDescent="0.25">
      <c r="A547" s="125"/>
      <c r="B547" s="696" t="s">
        <v>687</v>
      </c>
      <c r="C547" s="696"/>
      <c r="D547" s="696"/>
      <c r="E547" s="696"/>
      <c r="F547" s="696"/>
      <c r="G547" s="696"/>
      <c r="H547" s="696"/>
      <c r="I547" s="139"/>
    </row>
    <row r="548" spans="1:9" ht="15.75" thickBot="1" x14ac:dyDescent="0.3">
      <c r="A548" s="125"/>
      <c r="B548" s="699" t="s">
        <v>0</v>
      </c>
      <c r="C548" s="699"/>
      <c r="D548" s="699"/>
      <c r="E548" s="699"/>
      <c r="F548" s="699"/>
      <c r="G548" s="699"/>
      <c r="H548" s="699"/>
      <c r="I548" s="139"/>
    </row>
    <row r="549" spans="1:9" ht="15.75" thickTop="1" x14ac:dyDescent="0.25">
      <c r="A549" s="125"/>
      <c r="B549" s="112"/>
      <c r="C549" s="112"/>
      <c r="D549" s="112"/>
      <c r="E549" s="112"/>
      <c r="F549" s="113"/>
      <c r="G549" s="113"/>
      <c r="H549" s="113"/>
      <c r="I549" s="136"/>
    </row>
    <row r="550" spans="1:9" ht="25.5" x14ac:dyDescent="0.25">
      <c r="A550" s="125"/>
      <c r="B550" s="711" t="s">
        <v>30</v>
      </c>
      <c r="C550" s="712"/>
      <c r="D550" s="713"/>
      <c r="E550" s="138"/>
      <c r="F550" s="159" t="s">
        <v>291</v>
      </c>
      <c r="G550" s="137"/>
      <c r="H550" s="165" t="s">
        <v>558</v>
      </c>
      <c r="I550" s="136"/>
    </row>
    <row r="551" spans="1:9" x14ac:dyDescent="0.25">
      <c r="A551" s="125"/>
      <c r="B551" s="112"/>
      <c r="C551" s="112"/>
      <c r="D551" s="112"/>
      <c r="E551" s="112"/>
      <c r="F551" s="113"/>
      <c r="G551" s="113"/>
      <c r="H551" s="113"/>
      <c r="I551" s="136"/>
    </row>
    <row r="552" spans="1:9" x14ac:dyDescent="0.25">
      <c r="A552" s="125"/>
      <c r="B552" s="124" t="s">
        <v>1</v>
      </c>
      <c r="C552" s="124"/>
      <c r="D552" s="124"/>
      <c r="E552" s="124"/>
      <c r="F552" s="123"/>
      <c r="G552" s="123"/>
      <c r="H552" s="123"/>
      <c r="I552" s="135"/>
    </row>
    <row r="553" spans="1:9" x14ac:dyDescent="0.25">
      <c r="A553" s="125"/>
      <c r="B553" s="124"/>
      <c r="C553" s="128" t="s">
        <v>2</v>
      </c>
      <c r="D553" s="128"/>
      <c r="E553" s="128"/>
      <c r="F553" s="132"/>
      <c r="G553" s="132"/>
      <c r="H553" s="133"/>
      <c r="I553" s="121"/>
    </row>
    <row r="554" spans="1:9" x14ac:dyDescent="0.25">
      <c r="A554" s="125"/>
      <c r="B554" s="697" t="s">
        <v>312</v>
      </c>
      <c r="C554" s="697"/>
      <c r="D554" s="124" t="s">
        <v>303</v>
      </c>
      <c r="E554" s="128"/>
      <c r="F554" s="123">
        <v>0</v>
      </c>
      <c r="G554" s="123"/>
      <c r="H554" s="122">
        <f>F554+H493</f>
        <v>0</v>
      </c>
      <c r="I554" s="121"/>
    </row>
    <row r="555" spans="1:9" x14ac:dyDescent="0.25">
      <c r="A555" s="125"/>
      <c r="B555" s="697" t="s">
        <v>313</v>
      </c>
      <c r="C555" s="697"/>
      <c r="D555" s="124" t="s">
        <v>304</v>
      </c>
      <c r="E555" s="128"/>
      <c r="F555" s="123">
        <v>0</v>
      </c>
      <c r="G555" s="123"/>
      <c r="H555" s="122">
        <f>F555+H494</f>
        <v>0</v>
      </c>
      <c r="I555" s="121"/>
    </row>
    <row r="556" spans="1:9" x14ac:dyDescent="0.25">
      <c r="A556" s="125"/>
      <c r="B556" s="697" t="s">
        <v>314</v>
      </c>
      <c r="C556" s="697"/>
      <c r="D556" s="124" t="s">
        <v>315</v>
      </c>
      <c r="E556" s="128"/>
      <c r="F556" s="123">
        <v>0</v>
      </c>
      <c r="G556" s="123"/>
      <c r="H556" s="122">
        <f>F556+H495</f>
        <v>0</v>
      </c>
      <c r="I556" s="121"/>
    </row>
    <row r="557" spans="1:9" x14ac:dyDescent="0.25">
      <c r="A557" s="125"/>
      <c r="B557" s="124"/>
      <c r="C557" s="128"/>
      <c r="D557" s="134" t="s">
        <v>305</v>
      </c>
      <c r="E557" s="128"/>
      <c r="F557" s="155">
        <f>SUM(F554:F556)</f>
        <v>0</v>
      </c>
      <c r="G557" s="132"/>
      <c r="H557" s="156">
        <f>SUM(H554:H556)</f>
        <v>0</v>
      </c>
      <c r="I557" s="121"/>
    </row>
    <row r="558" spans="1:9" x14ac:dyDescent="0.25">
      <c r="A558" s="125"/>
      <c r="B558" s="124"/>
      <c r="C558" s="128" t="s">
        <v>3</v>
      </c>
      <c r="D558" s="124"/>
      <c r="E558" s="124"/>
      <c r="F558" s="123"/>
      <c r="G558" s="123"/>
      <c r="H558" s="122"/>
      <c r="I558" s="121"/>
    </row>
    <row r="559" spans="1:9" x14ac:dyDescent="0.25">
      <c r="A559" s="125"/>
      <c r="B559" s="697" t="s">
        <v>316</v>
      </c>
      <c r="C559" s="697"/>
      <c r="D559" s="124" t="s">
        <v>229</v>
      </c>
      <c r="E559" s="124"/>
      <c r="F559" s="123">
        <v>0</v>
      </c>
      <c r="G559" s="123"/>
      <c r="H559" s="122">
        <f t="shared" ref="H559:H564" si="25">F559+H498</f>
        <v>0</v>
      </c>
      <c r="I559" s="121"/>
    </row>
    <row r="560" spans="1:9" x14ac:dyDescent="0.25">
      <c r="A560" s="125"/>
      <c r="B560" s="697" t="s">
        <v>317</v>
      </c>
      <c r="C560" s="697"/>
      <c r="D560" s="124" t="s">
        <v>232</v>
      </c>
      <c r="E560" s="124"/>
      <c r="F560" s="123"/>
      <c r="G560" s="123"/>
      <c r="H560" s="122">
        <f t="shared" si="25"/>
        <v>0</v>
      </c>
      <c r="I560" s="121"/>
    </row>
    <row r="561" spans="1:9" x14ac:dyDescent="0.25">
      <c r="A561" s="125"/>
      <c r="B561" s="697" t="s">
        <v>318</v>
      </c>
      <c r="C561" s="697"/>
      <c r="D561" s="124" t="s">
        <v>230</v>
      </c>
      <c r="E561" s="124"/>
      <c r="F561" s="123">
        <v>0</v>
      </c>
      <c r="G561" s="123"/>
      <c r="H561" s="122">
        <f t="shared" si="25"/>
        <v>0</v>
      </c>
      <c r="I561" s="121"/>
    </row>
    <row r="562" spans="1:9" x14ac:dyDescent="0.25">
      <c r="A562" s="125"/>
      <c r="B562" s="697" t="s">
        <v>319</v>
      </c>
      <c r="C562" s="697"/>
      <c r="D562" s="124" t="s">
        <v>322</v>
      </c>
      <c r="E562" s="124"/>
      <c r="F562" s="123"/>
      <c r="G562" s="123"/>
      <c r="H562" s="122">
        <f t="shared" si="25"/>
        <v>0</v>
      </c>
      <c r="I562" s="121"/>
    </row>
    <row r="563" spans="1:9" x14ac:dyDescent="0.25">
      <c r="A563" s="125"/>
      <c r="B563" s="697" t="s">
        <v>320</v>
      </c>
      <c r="C563" s="697"/>
      <c r="D563" s="124" t="s">
        <v>323</v>
      </c>
      <c r="E563" s="124"/>
      <c r="F563" s="123">
        <v>0</v>
      </c>
      <c r="G563" s="123"/>
      <c r="H563" s="122">
        <f t="shared" si="25"/>
        <v>0</v>
      </c>
      <c r="I563" s="121"/>
    </row>
    <row r="564" spans="1:9" x14ac:dyDescent="0.25">
      <c r="A564" s="125"/>
      <c r="B564" s="697" t="s">
        <v>321</v>
      </c>
      <c r="C564" s="697"/>
      <c r="D564" s="124" t="s">
        <v>324</v>
      </c>
      <c r="E564" s="124"/>
      <c r="F564" s="123"/>
      <c r="G564" s="123"/>
      <c r="H564" s="122">
        <f t="shared" si="25"/>
        <v>0</v>
      </c>
      <c r="I564" s="121"/>
    </row>
    <row r="565" spans="1:9" x14ac:dyDescent="0.25">
      <c r="A565" s="125"/>
      <c r="B565" s="124"/>
      <c r="C565" s="128"/>
      <c r="D565" s="134" t="s">
        <v>279</v>
      </c>
      <c r="E565" s="128"/>
      <c r="F565" s="157">
        <f>SUM(F559:F564)</f>
        <v>0</v>
      </c>
      <c r="G565" s="132"/>
      <c r="H565" s="158">
        <f>SUM(H559:H564)</f>
        <v>0</v>
      </c>
      <c r="I565" s="121"/>
    </row>
    <row r="566" spans="1:9" ht="15.75" thickBot="1" x14ac:dyDescent="0.3">
      <c r="A566" s="125"/>
      <c r="B566" s="710" t="s">
        <v>4</v>
      </c>
      <c r="C566" s="710"/>
      <c r="D566" s="710"/>
      <c r="E566" s="149" t="e">
        <f>#REF!+E565+E553</f>
        <v>#REF!</v>
      </c>
      <c r="F566" s="131">
        <f>F565+F557</f>
        <v>0</v>
      </c>
      <c r="G566" s="133"/>
      <c r="H566" s="131">
        <f>H565+H557</f>
        <v>0</v>
      </c>
      <c r="I566" s="121"/>
    </row>
    <row r="567" spans="1:9" ht="15.75" thickTop="1" x14ac:dyDescent="0.25">
      <c r="A567" s="125"/>
      <c r="B567" s="128" t="s">
        <v>289</v>
      </c>
      <c r="C567" s="124"/>
      <c r="D567" s="124"/>
      <c r="E567" s="124"/>
      <c r="F567" s="123"/>
      <c r="G567" s="123"/>
      <c r="H567" s="122"/>
      <c r="I567" s="121"/>
    </row>
    <row r="568" spans="1:9" x14ac:dyDescent="0.25">
      <c r="A568" s="125"/>
      <c r="B568" s="124" t="s">
        <v>311</v>
      </c>
      <c r="C568" s="124" t="s">
        <v>289</v>
      </c>
      <c r="D568" s="124"/>
      <c r="E568" s="124"/>
      <c r="F568" s="123"/>
      <c r="G568" s="123"/>
      <c r="H568" s="122"/>
      <c r="I568" s="121"/>
    </row>
    <row r="569" spans="1:9" x14ac:dyDescent="0.25">
      <c r="A569" s="125"/>
      <c r="B569" s="697" t="s">
        <v>325</v>
      </c>
      <c r="C569" s="697"/>
      <c r="D569" s="124" t="s">
        <v>328</v>
      </c>
      <c r="E569" s="124"/>
      <c r="F569" s="123">
        <f>'RINCIAN B. LANGSUNG USAHA'!M32</f>
        <v>0</v>
      </c>
      <c r="G569" s="123"/>
      <c r="H569" s="122">
        <f t="shared" ref="H569:H575" si="26">F569+H508</f>
        <v>0</v>
      </c>
      <c r="I569" s="121"/>
    </row>
    <row r="570" spans="1:9" x14ac:dyDescent="0.25">
      <c r="A570" s="125"/>
      <c r="B570" s="697" t="s">
        <v>326</v>
      </c>
      <c r="C570" s="697"/>
      <c r="D570" s="124" t="s">
        <v>329</v>
      </c>
      <c r="E570" s="124"/>
      <c r="F570" s="123">
        <f>'RINCIAN B. LANGSUNG USAHA'!M67</f>
        <v>0</v>
      </c>
      <c r="G570" s="123"/>
      <c r="H570" s="122">
        <f t="shared" si="26"/>
        <v>0</v>
      </c>
      <c r="I570" s="121"/>
    </row>
    <row r="571" spans="1:9" x14ac:dyDescent="0.25">
      <c r="A571" s="125"/>
      <c r="B571" s="697" t="s">
        <v>327</v>
      </c>
      <c r="C571" s="697"/>
      <c r="D571" s="124" t="s">
        <v>330</v>
      </c>
      <c r="E571" s="124"/>
      <c r="F571" s="123">
        <f>'RINCIAN B. LANGSUNG USAHA'!M98</f>
        <v>0</v>
      </c>
      <c r="G571" s="123"/>
      <c r="H571" s="122">
        <f t="shared" si="26"/>
        <v>0</v>
      </c>
      <c r="I571" s="121"/>
    </row>
    <row r="572" spans="1:9" x14ac:dyDescent="0.25">
      <c r="A572" s="125"/>
      <c r="B572" s="697" t="s">
        <v>331</v>
      </c>
      <c r="C572" s="697"/>
      <c r="D572" s="124" t="s">
        <v>252</v>
      </c>
      <c r="E572" s="124"/>
      <c r="F572" s="123">
        <f>'RINCIAN B. LANGSUNG USAHA'!M33</f>
        <v>0</v>
      </c>
      <c r="G572" s="123"/>
      <c r="H572" s="122">
        <f t="shared" si="26"/>
        <v>0</v>
      </c>
      <c r="I572" s="121"/>
    </row>
    <row r="573" spans="1:9" x14ac:dyDescent="0.25">
      <c r="A573" s="125"/>
      <c r="B573" s="697" t="s">
        <v>332</v>
      </c>
      <c r="C573" s="697"/>
      <c r="D573" s="124" t="s">
        <v>335</v>
      </c>
      <c r="E573" s="124"/>
      <c r="F573" s="123">
        <f>'RINCIAN B. LANGSUNG USAHA'!M68</f>
        <v>0</v>
      </c>
      <c r="G573" s="123"/>
      <c r="H573" s="122">
        <f t="shared" si="26"/>
        <v>0</v>
      </c>
      <c r="I573" s="121"/>
    </row>
    <row r="574" spans="1:9" x14ac:dyDescent="0.25">
      <c r="A574" s="125"/>
      <c r="B574" s="697" t="s">
        <v>333</v>
      </c>
      <c r="C574" s="697"/>
      <c r="D574" s="124" t="s">
        <v>334</v>
      </c>
      <c r="E574" s="124"/>
      <c r="F574" s="123">
        <f>'RINCIAN B. LANGSUNG USAHA'!M99</f>
        <v>0</v>
      </c>
      <c r="G574" s="123"/>
      <c r="H574" s="122">
        <f t="shared" si="26"/>
        <v>0</v>
      </c>
      <c r="I574" s="121"/>
    </row>
    <row r="575" spans="1:9" x14ac:dyDescent="0.25">
      <c r="A575" s="125"/>
      <c r="B575" s="697" t="s">
        <v>337</v>
      </c>
      <c r="C575" s="697"/>
      <c r="D575" s="124" t="s">
        <v>860</v>
      </c>
      <c r="E575" s="124"/>
      <c r="F575" s="123">
        <f>'RINCIAN B. LANGSUNG USAHA'!M101</f>
        <v>0</v>
      </c>
      <c r="G575" s="123"/>
      <c r="H575" s="122">
        <f t="shared" si="26"/>
        <v>0</v>
      </c>
      <c r="I575" s="121"/>
    </row>
    <row r="576" spans="1:9" x14ac:dyDescent="0.25">
      <c r="A576" s="125"/>
      <c r="B576" s="697" t="s">
        <v>888</v>
      </c>
      <c r="C576" s="697"/>
      <c r="D576" s="697"/>
      <c r="E576" s="124"/>
      <c r="F576" s="152">
        <f>SUM(F569:F575)</f>
        <v>0</v>
      </c>
      <c r="G576" s="123"/>
      <c r="H576" s="153">
        <f>SUM(H569:H575)</f>
        <v>0</v>
      </c>
      <c r="I576" s="121"/>
    </row>
    <row r="577" spans="1:13" x14ac:dyDescent="0.25">
      <c r="A577" s="125"/>
      <c r="B577" s="697" t="s">
        <v>343</v>
      </c>
      <c r="C577" s="697"/>
      <c r="D577" s="697"/>
      <c r="E577" s="124"/>
      <c r="F577" s="154">
        <f>F566-F576</f>
        <v>0</v>
      </c>
      <c r="G577" s="123"/>
      <c r="H577" s="154">
        <f>H566-H576</f>
        <v>0</v>
      </c>
      <c r="I577" s="121"/>
    </row>
    <row r="578" spans="1:13" x14ac:dyDescent="0.25">
      <c r="A578" s="125"/>
      <c r="B578" s="124" t="s">
        <v>336</v>
      </c>
      <c r="C578" s="124" t="s">
        <v>882</v>
      </c>
      <c r="D578" s="124"/>
      <c r="E578" s="124"/>
      <c r="F578" s="123"/>
      <c r="G578" s="123"/>
      <c r="H578" s="122"/>
      <c r="I578" s="121"/>
    </row>
    <row r="579" spans="1:13" x14ac:dyDescent="0.25">
      <c r="A579" s="125"/>
      <c r="B579" s="697" t="s">
        <v>337</v>
      </c>
      <c r="C579" s="697"/>
      <c r="D579" s="124" t="s">
        <v>338</v>
      </c>
      <c r="E579" s="124"/>
      <c r="F579" s="123">
        <f>'RINCIAN B. TDK LANGSUNG'!M77</f>
        <v>0</v>
      </c>
      <c r="G579" s="123"/>
      <c r="H579" s="122">
        <f>F579+H518</f>
        <v>0</v>
      </c>
      <c r="I579" s="121"/>
    </row>
    <row r="580" spans="1:13" x14ac:dyDescent="0.25">
      <c r="A580" s="125"/>
      <c r="B580" s="697" t="s">
        <v>339</v>
      </c>
      <c r="C580" s="697"/>
      <c r="D580" s="124" t="s">
        <v>340</v>
      </c>
      <c r="E580" s="124"/>
      <c r="F580" s="123"/>
      <c r="G580" s="123"/>
      <c r="H580" s="122">
        <f>F580+H519</f>
        <v>0</v>
      </c>
      <c r="I580" s="121"/>
    </row>
    <row r="581" spans="1:13" x14ac:dyDescent="0.25">
      <c r="A581" s="125"/>
      <c r="B581" s="697" t="s">
        <v>341</v>
      </c>
      <c r="C581" s="697"/>
      <c r="D581" s="124" t="s">
        <v>342</v>
      </c>
      <c r="E581" s="124"/>
      <c r="F581" s="123">
        <f>'RINCIAN B. TDK LANGSUNG'!M78+'RINCIAN B. TDK LANGSUNG'!M79</f>
        <v>0</v>
      </c>
      <c r="G581" s="123"/>
      <c r="H581" s="122">
        <f>F581+H520</f>
        <v>0</v>
      </c>
      <c r="I581" s="121"/>
    </row>
    <row r="582" spans="1:13" x14ac:dyDescent="0.25">
      <c r="A582" s="125"/>
      <c r="B582" s="697" t="s">
        <v>883</v>
      </c>
      <c r="C582" s="697"/>
      <c r="D582" s="697"/>
      <c r="E582" s="124"/>
      <c r="F582" s="152">
        <f>SUM(F579:F581)</f>
        <v>0</v>
      </c>
      <c r="G582" s="123"/>
      <c r="H582" s="153">
        <f>SUM(H579:H581)</f>
        <v>0</v>
      </c>
      <c r="I582" s="121"/>
    </row>
    <row r="583" spans="1:13" x14ac:dyDescent="0.25">
      <c r="A583" s="125"/>
      <c r="B583" s="697" t="s">
        <v>884</v>
      </c>
      <c r="C583" s="697"/>
      <c r="D583" s="697"/>
      <c r="E583" s="124"/>
      <c r="F583" s="154">
        <f>F577-F582</f>
        <v>0</v>
      </c>
      <c r="G583" s="123"/>
      <c r="H583" s="154">
        <f>H577-H582</f>
        <v>0</v>
      </c>
      <c r="I583" s="121"/>
    </row>
    <row r="584" spans="1:13" x14ac:dyDescent="0.25">
      <c r="A584" s="125"/>
      <c r="B584" s="6" t="s">
        <v>344</v>
      </c>
      <c r="C584" s="151" t="s">
        <v>885</v>
      </c>
      <c r="D584" s="6"/>
      <c r="E584" s="124"/>
      <c r="F584" s="123"/>
      <c r="G584" s="123"/>
      <c r="H584" s="122"/>
      <c r="I584" s="121"/>
    </row>
    <row r="585" spans="1:13" x14ac:dyDescent="0.25">
      <c r="A585" s="125"/>
      <c r="B585" s="697" t="s">
        <v>345</v>
      </c>
      <c r="C585" s="697"/>
      <c r="D585" s="151" t="s">
        <v>5</v>
      </c>
      <c r="E585" s="124"/>
      <c r="F585" s="123">
        <v>0</v>
      </c>
      <c r="G585" s="123"/>
      <c r="H585" s="122">
        <f>F585+H524</f>
        <v>0</v>
      </c>
      <c r="I585" s="121"/>
    </row>
    <row r="586" spans="1:13" x14ac:dyDescent="0.25">
      <c r="A586" s="125"/>
      <c r="B586" s="697" t="s">
        <v>346</v>
      </c>
      <c r="C586" s="697"/>
      <c r="D586" s="151" t="s">
        <v>887</v>
      </c>
      <c r="E586" s="124"/>
      <c r="F586" s="123">
        <f>-'B. NON OPERASIONAL'!K14</f>
        <v>0</v>
      </c>
      <c r="G586" s="123"/>
      <c r="H586" s="122">
        <f>F586+H525</f>
        <v>0</v>
      </c>
      <c r="I586" s="121"/>
      <c r="M586" s="313"/>
    </row>
    <row r="587" spans="1:13" x14ac:dyDescent="0.25">
      <c r="A587" s="125"/>
      <c r="B587" s="697" t="s">
        <v>886</v>
      </c>
      <c r="C587" s="697"/>
      <c r="D587" s="697"/>
      <c r="E587" s="124"/>
      <c r="F587" s="152">
        <f>F585+F586</f>
        <v>0</v>
      </c>
      <c r="G587" s="123"/>
      <c r="H587" s="152">
        <f>H585+H586</f>
        <v>0</v>
      </c>
      <c r="I587" s="121"/>
      <c r="M587" s="313"/>
    </row>
    <row r="588" spans="1:13" x14ac:dyDescent="0.25">
      <c r="A588" s="125"/>
      <c r="B588" s="697" t="s">
        <v>347</v>
      </c>
      <c r="C588" s="697"/>
      <c r="D588" s="697"/>
      <c r="E588" s="124"/>
      <c r="F588" s="154">
        <f>F583+F587</f>
        <v>0</v>
      </c>
      <c r="G588" s="123"/>
      <c r="H588" s="154">
        <f>H583+H587</f>
        <v>0</v>
      </c>
      <c r="I588" s="121"/>
      <c r="M588" s="313"/>
    </row>
    <row r="589" spans="1:13" x14ac:dyDescent="0.25">
      <c r="A589" s="125"/>
      <c r="B589" s="697" t="s">
        <v>348</v>
      </c>
      <c r="C589" s="697"/>
      <c r="D589" s="697"/>
      <c r="E589" s="124"/>
      <c r="F589" s="123">
        <v>0</v>
      </c>
      <c r="G589" s="123"/>
      <c r="H589" s="123">
        <v>0</v>
      </c>
      <c r="I589" s="121"/>
      <c r="M589" s="313"/>
    </row>
    <row r="590" spans="1:13" ht="23.25" customHeight="1" x14ac:dyDescent="0.25">
      <c r="A590" s="125"/>
      <c r="B590" s="707" t="s">
        <v>29</v>
      </c>
      <c r="C590" s="708"/>
      <c r="D590" s="709"/>
      <c r="E590" s="142"/>
      <c r="F590" s="160">
        <f>F588-F589</f>
        <v>0</v>
      </c>
      <c r="G590" s="143"/>
      <c r="H590" s="160">
        <f>H588-H589</f>
        <v>0</v>
      </c>
      <c r="I590" s="121"/>
      <c r="M590" s="313"/>
    </row>
    <row r="591" spans="1:13" x14ac:dyDescent="0.25">
      <c r="A591" s="120"/>
      <c r="B591" s="119"/>
      <c r="C591" s="119"/>
      <c r="D591" s="119"/>
      <c r="E591" s="119"/>
      <c r="F591" s="118"/>
      <c r="G591" s="118"/>
      <c r="H591" s="117"/>
      <c r="I591" s="116"/>
      <c r="M591" s="313"/>
    </row>
    <row r="592" spans="1:13" ht="19.5" customHeight="1" x14ac:dyDescent="0.25">
      <c r="A592" s="115"/>
      <c r="B592" s="112"/>
      <c r="C592" s="112"/>
      <c r="D592" s="112"/>
      <c r="E592" s="112"/>
      <c r="F592" s="114"/>
      <c r="G592" s="114"/>
      <c r="H592" s="113"/>
      <c r="I592" s="112"/>
      <c r="M592" s="313"/>
    </row>
    <row r="593" spans="1:13" x14ac:dyDescent="0.25">
      <c r="A593" s="706" t="s">
        <v>580</v>
      </c>
      <c r="B593" s="706"/>
      <c r="C593" s="706"/>
      <c r="D593" s="706"/>
      <c r="E593" s="13"/>
      <c r="F593" s="698" t="s">
        <v>566</v>
      </c>
      <c r="G593" s="698"/>
      <c r="H593" s="698"/>
      <c r="I593" s="698"/>
      <c r="M593" s="313"/>
    </row>
    <row r="594" spans="1:13" x14ac:dyDescent="0.25">
      <c r="A594" s="706" t="s">
        <v>678</v>
      </c>
      <c r="B594" s="706"/>
      <c r="C594" s="706"/>
      <c r="D594" s="706"/>
      <c r="E594" s="13"/>
      <c r="F594" s="698" t="s">
        <v>680</v>
      </c>
      <c r="G594" s="698"/>
      <c r="H594" s="698"/>
      <c r="I594" s="698"/>
      <c r="M594" s="313"/>
    </row>
    <row r="595" spans="1:13" x14ac:dyDescent="0.25">
      <c r="A595" s="706"/>
      <c r="B595" s="706"/>
      <c r="C595" s="706"/>
      <c r="D595" s="706"/>
      <c r="E595" s="13"/>
      <c r="F595" s="698"/>
      <c r="G595" s="698"/>
      <c r="H595" s="698"/>
      <c r="I595" s="698"/>
      <c r="M595" s="313"/>
    </row>
    <row r="596" spans="1:13" x14ac:dyDescent="0.25">
      <c r="A596" s="706"/>
      <c r="B596" s="706"/>
      <c r="C596" s="706"/>
      <c r="D596" s="706"/>
      <c r="E596" s="13"/>
      <c r="F596" s="698"/>
      <c r="G596" s="698"/>
      <c r="H596" s="698"/>
      <c r="I596" s="698"/>
      <c r="M596" s="314"/>
    </row>
    <row r="597" spans="1:13" x14ac:dyDescent="0.25">
      <c r="A597" s="706" t="s">
        <v>655</v>
      </c>
      <c r="B597" s="706"/>
      <c r="C597" s="706"/>
      <c r="D597" s="706"/>
      <c r="E597" s="13"/>
      <c r="F597" s="698" t="s">
        <v>567</v>
      </c>
      <c r="G597" s="698"/>
      <c r="H597" s="698"/>
      <c r="I597" s="698"/>
      <c r="M597" s="313"/>
    </row>
    <row r="598" spans="1:13" x14ac:dyDescent="0.25">
      <c r="A598" s="112" t="s">
        <v>653</v>
      </c>
      <c r="B598" s="112"/>
      <c r="C598" s="112"/>
      <c r="D598" s="112"/>
      <c r="E598" s="112"/>
      <c r="F598" s="113"/>
      <c r="G598" s="113"/>
      <c r="H598" s="113"/>
      <c r="I598" s="112"/>
    </row>
    <row r="599" spans="1:13" x14ac:dyDescent="0.25">
      <c r="A599" s="112"/>
      <c r="B599" s="112"/>
      <c r="C599" s="112"/>
      <c r="D599" s="112"/>
      <c r="E599" s="112"/>
      <c r="F599" s="113"/>
      <c r="G599" s="113"/>
      <c r="H599" s="113"/>
      <c r="I599" s="112"/>
    </row>
    <row r="600" spans="1:13" ht="20.25" x14ac:dyDescent="0.3">
      <c r="A600" s="141"/>
      <c r="B600" s="695" t="s">
        <v>650</v>
      </c>
      <c r="C600" s="695"/>
      <c r="D600" s="695"/>
      <c r="E600" s="695"/>
      <c r="F600" s="695"/>
      <c r="G600" s="695"/>
      <c r="H600" s="695"/>
      <c r="I600" s="140"/>
    </row>
    <row r="601" spans="1:13" x14ac:dyDescent="0.25">
      <c r="A601" s="125"/>
      <c r="B601" s="696" t="s">
        <v>349</v>
      </c>
      <c r="C601" s="696"/>
      <c r="D601" s="696"/>
      <c r="E601" s="696"/>
      <c r="F601" s="696"/>
      <c r="G601" s="696"/>
      <c r="H601" s="696"/>
      <c r="I601" s="139"/>
    </row>
    <row r="602" spans="1:13" x14ac:dyDescent="0.25">
      <c r="A602" s="125"/>
      <c r="B602" s="696" t="s">
        <v>1034</v>
      </c>
      <c r="C602" s="696"/>
      <c r="D602" s="696"/>
      <c r="E602" s="696"/>
      <c r="F602" s="696"/>
      <c r="G602" s="696"/>
      <c r="H602" s="696"/>
      <c r="I602" s="139"/>
    </row>
    <row r="603" spans="1:13" ht="15.75" thickBot="1" x14ac:dyDescent="0.3">
      <c r="A603" s="125"/>
      <c r="B603" s="699" t="s">
        <v>0</v>
      </c>
      <c r="C603" s="699"/>
      <c r="D603" s="699"/>
      <c r="E603" s="699"/>
      <c r="F603" s="699"/>
      <c r="G603" s="699"/>
      <c r="H603" s="699"/>
      <c r="I603" s="139"/>
    </row>
    <row r="604" spans="1:13" ht="15.75" thickTop="1" x14ac:dyDescent="0.25">
      <c r="A604" s="125"/>
      <c r="B604" s="112"/>
      <c r="C604" s="112"/>
      <c r="D604" s="112"/>
      <c r="E604" s="112"/>
      <c r="F604" s="113"/>
      <c r="G604" s="113"/>
      <c r="H604" s="113"/>
      <c r="I604" s="136"/>
    </row>
    <row r="605" spans="1:13" ht="25.5" x14ac:dyDescent="0.25">
      <c r="A605" s="125"/>
      <c r="B605" s="711" t="s">
        <v>30</v>
      </c>
      <c r="C605" s="712"/>
      <c r="D605" s="713"/>
      <c r="E605" s="138"/>
      <c r="F605" s="159" t="s">
        <v>291</v>
      </c>
      <c r="G605" s="137"/>
      <c r="H605" s="165" t="s">
        <v>558</v>
      </c>
      <c r="I605" s="136"/>
    </row>
    <row r="606" spans="1:13" x14ac:dyDescent="0.25">
      <c r="A606" s="125"/>
      <c r="B606" s="112"/>
      <c r="C606" s="112"/>
      <c r="D606" s="112"/>
      <c r="E606" s="112"/>
      <c r="F606" s="113"/>
      <c r="G606" s="113"/>
      <c r="H606" s="113"/>
      <c r="I606" s="136"/>
    </row>
    <row r="607" spans="1:13" x14ac:dyDescent="0.25">
      <c r="A607" s="125"/>
      <c r="B607" s="124" t="s">
        <v>1</v>
      </c>
      <c r="C607" s="124"/>
      <c r="D607" s="124"/>
      <c r="E607" s="124"/>
      <c r="F607" s="123"/>
      <c r="G607" s="123"/>
      <c r="H607" s="123"/>
      <c r="I607" s="135"/>
    </row>
    <row r="608" spans="1:13" x14ac:dyDescent="0.25">
      <c r="A608" s="125"/>
      <c r="B608" s="124"/>
      <c r="C608" s="128" t="s">
        <v>2</v>
      </c>
      <c r="D608" s="128"/>
      <c r="E608" s="128"/>
      <c r="F608" s="132"/>
      <c r="G608" s="132"/>
      <c r="H608" s="133"/>
      <c r="I608" s="121"/>
    </row>
    <row r="609" spans="1:9" x14ac:dyDescent="0.25">
      <c r="A609" s="125"/>
      <c r="B609" s="697" t="s">
        <v>312</v>
      </c>
      <c r="C609" s="697"/>
      <c r="D609" s="124" t="s">
        <v>303</v>
      </c>
      <c r="E609" s="128"/>
      <c r="F609" s="123">
        <v>0</v>
      </c>
      <c r="G609" s="123"/>
      <c r="H609" s="122">
        <f>F609+H554</f>
        <v>0</v>
      </c>
      <c r="I609" s="121"/>
    </row>
    <row r="610" spans="1:9" x14ac:dyDescent="0.25">
      <c r="A610" s="125"/>
      <c r="B610" s="697" t="s">
        <v>313</v>
      </c>
      <c r="C610" s="697"/>
      <c r="D610" s="124" t="s">
        <v>304</v>
      </c>
      <c r="E610" s="128"/>
      <c r="F610" s="123">
        <v>0</v>
      </c>
      <c r="G610" s="123"/>
      <c r="H610" s="122">
        <f>F610+H555</f>
        <v>0</v>
      </c>
      <c r="I610" s="121"/>
    </row>
    <row r="611" spans="1:9" x14ac:dyDescent="0.25">
      <c r="A611" s="125"/>
      <c r="B611" s="697" t="s">
        <v>314</v>
      </c>
      <c r="C611" s="697"/>
      <c r="D611" s="124" t="s">
        <v>315</v>
      </c>
      <c r="E611" s="128"/>
      <c r="F611" s="123">
        <v>0</v>
      </c>
      <c r="G611" s="123"/>
      <c r="H611" s="122">
        <f>F611+H556</f>
        <v>0</v>
      </c>
      <c r="I611" s="121"/>
    </row>
    <row r="612" spans="1:9" x14ac:dyDescent="0.25">
      <c r="A612" s="125"/>
      <c r="B612" s="124"/>
      <c r="C612" s="128"/>
      <c r="D612" s="134" t="s">
        <v>305</v>
      </c>
      <c r="E612" s="128"/>
      <c r="F612" s="155">
        <f>SUM(F609:F611)</f>
        <v>0</v>
      </c>
      <c r="G612" s="132"/>
      <c r="H612" s="156">
        <f>SUM(H609:H611)</f>
        <v>0</v>
      </c>
      <c r="I612" s="121"/>
    </row>
    <row r="613" spans="1:9" x14ac:dyDescent="0.25">
      <c r="A613" s="125"/>
      <c r="B613" s="124"/>
      <c r="C613" s="128" t="s">
        <v>3</v>
      </c>
      <c r="D613" s="124"/>
      <c r="E613" s="124"/>
      <c r="F613" s="123"/>
      <c r="G613" s="123"/>
      <c r="H613" s="122"/>
      <c r="I613" s="121"/>
    </row>
    <row r="614" spans="1:9" x14ac:dyDescent="0.25">
      <c r="A614" s="125"/>
      <c r="B614" s="697" t="s">
        <v>316</v>
      </c>
      <c r="C614" s="697"/>
      <c r="D614" s="124" t="s">
        <v>229</v>
      </c>
      <c r="E614" s="124"/>
      <c r="F614" s="123">
        <v>0</v>
      </c>
      <c r="G614" s="123"/>
      <c r="H614" s="122">
        <f t="shared" ref="H614:H619" si="27">F614+H559</f>
        <v>0</v>
      </c>
      <c r="I614" s="121"/>
    </row>
    <row r="615" spans="1:9" x14ac:dyDescent="0.25">
      <c r="A615" s="125"/>
      <c r="B615" s="697" t="s">
        <v>317</v>
      </c>
      <c r="C615" s="697"/>
      <c r="D615" s="124" t="s">
        <v>232</v>
      </c>
      <c r="E615" s="124"/>
      <c r="F615" s="123"/>
      <c r="G615" s="123"/>
      <c r="H615" s="122">
        <f t="shared" si="27"/>
        <v>0</v>
      </c>
      <c r="I615" s="121"/>
    </row>
    <row r="616" spans="1:9" x14ac:dyDescent="0.25">
      <c r="A616" s="125"/>
      <c r="B616" s="697" t="s">
        <v>318</v>
      </c>
      <c r="C616" s="697"/>
      <c r="D616" s="124" t="s">
        <v>230</v>
      </c>
      <c r="E616" s="124"/>
      <c r="F616" s="123">
        <v>0</v>
      </c>
      <c r="G616" s="123"/>
      <c r="H616" s="122">
        <f t="shared" si="27"/>
        <v>0</v>
      </c>
      <c r="I616" s="121"/>
    </row>
    <row r="617" spans="1:9" x14ac:dyDescent="0.25">
      <c r="A617" s="125"/>
      <c r="B617" s="697" t="s">
        <v>319</v>
      </c>
      <c r="C617" s="697"/>
      <c r="D617" s="124" t="s">
        <v>322</v>
      </c>
      <c r="E617" s="124"/>
      <c r="F617" s="123"/>
      <c r="G617" s="123"/>
      <c r="H617" s="122">
        <f t="shared" si="27"/>
        <v>0</v>
      </c>
      <c r="I617" s="121"/>
    </row>
    <row r="618" spans="1:9" x14ac:dyDescent="0.25">
      <c r="A618" s="125"/>
      <c r="B618" s="697" t="s">
        <v>320</v>
      </c>
      <c r="C618" s="697"/>
      <c r="D618" s="124" t="s">
        <v>323</v>
      </c>
      <c r="E618" s="124"/>
      <c r="F618" s="123"/>
      <c r="G618" s="123"/>
      <c r="H618" s="122">
        <f t="shared" si="27"/>
        <v>0</v>
      </c>
      <c r="I618" s="121"/>
    </row>
    <row r="619" spans="1:9" x14ac:dyDescent="0.25">
      <c r="A619" s="125"/>
      <c r="B619" s="697" t="s">
        <v>321</v>
      </c>
      <c r="C619" s="697"/>
      <c r="D619" s="124" t="s">
        <v>324</v>
      </c>
      <c r="E619" s="124"/>
      <c r="F619" s="123">
        <v>0</v>
      </c>
      <c r="G619" s="123"/>
      <c r="H619" s="122">
        <f t="shared" si="27"/>
        <v>0</v>
      </c>
      <c r="I619" s="121"/>
    </row>
    <row r="620" spans="1:9" x14ac:dyDescent="0.25">
      <c r="A620" s="125"/>
      <c r="B620" s="124"/>
      <c r="C620" s="128"/>
      <c r="D620" s="134" t="s">
        <v>279</v>
      </c>
      <c r="E620" s="128"/>
      <c r="F620" s="157">
        <f>SUM(F614:F619)</f>
        <v>0</v>
      </c>
      <c r="G620" s="132"/>
      <c r="H620" s="158">
        <f>SUM(H614:H619)</f>
        <v>0</v>
      </c>
      <c r="I620" s="121"/>
    </row>
    <row r="621" spans="1:9" ht="15.75" thickBot="1" x14ac:dyDescent="0.3">
      <c r="A621" s="125"/>
      <c r="B621" s="710" t="s">
        <v>4</v>
      </c>
      <c r="C621" s="710"/>
      <c r="D621" s="710"/>
      <c r="E621" s="149" t="e">
        <f>#REF!+E620+E608</f>
        <v>#REF!</v>
      </c>
      <c r="F621" s="131">
        <f>F620+F612</f>
        <v>0</v>
      </c>
      <c r="G621" s="133"/>
      <c r="H621" s="131">
        <f>H620+H612</f>
        <v>0</v>
      </c>
      <c r="I621" s="121"/>
    </row>
    <row r="622" spans="1:9" ht="15.75" thickTop="1" x14ac:dyDescent="0.25">
      <c r="A622" s="125"/>
      <c r="B622" s="128" t="s">
        <v>289</v>
      </c>
      <c r="C622" s="124"/>
      <c r="D622" s="124"/>
      <c r="E622" s="124"/>
      <c r="F622" s="123"/>
      <c r="G622" s="123"/>
      <c r="H622" s="122"/>
      <c r="I622" s="121"/>
    </row>
    <row r="623" spans="1:9" x14ac:dyDescent="0.25">
      <c r="A623" s="125"/>
      <c r="B623" s="124" t="s">
        <v>311</v>
      </c>
      <c r="C623" s="124" t="s">
        <v>289</v>
      </c>
      <c r="D623" s="124"/>
      <c r="E623" s="124"/>
      <c r="F623" s="123"/>
      <c r="G623" s="123"/>
      <c r="H623" s="122"/>
      <c r="I623" s="121"/>
    </row>
    <row r="624" spans="1:9" x14ac:dyDescent="0.25">
      <c r="A624" s="125"/>
      <c r="B624" s="697" t="s">
        <v>325</v>
      </c>
      <c r="C624" s="697"/>
      <c r="D624" s="124" t="s">
        <v>328</v>
      </c>
      <c r="E624" s="124"/>
      <c r="F624" s="123">
        <f>'RINCIAN B. LANGSUNG USAHA'!N32</f>
        <v>0</v>
      </c>
      <c r="G624" s="123"/>
      <c r="H624" s="122">
        <f t="shared" ref="H624:H630" si="28">F624+H569</f>
        <v>0</v>
      </c>
      <c r="I624" s="121"/>
    </row>
    <row r="625" spans="1:9" x14ac:dyDescent="0.25">
      <c r="A625" s="125"/>
      <c r="B625" s="697" t="s">
        <v>326</v>
      </c>
      <c r="C625" s="697"/>
      <c r="D625" s="124" t="s">
        <v>329</v>
      </c>
      <c r="E625" s="124"/>
      <c r="F625" s="123">
        <f>'RINCIAN B. LANGSUNG USAHA'!N67</f>
        <v>0</v>
      </c>
      <c r="G625" s="123"/>
      <c r="H625" s="122">
        <f t="shared" si="28"/>
        <v>0</v>
      </c>
      <c r="I625" s="121"/>
    </row>
    <row r="626" spans="1:9" x14ac:dyDescent="0.25">
      <c r="A626" s="125"/>
      <c r="B626" s="697" t="s">
        <v>327</v>
      </c>
      <c r="C626" s="697"/>
      <c r="D626" s="124" t="s">
        <v>330</v>
      </c>
      <c r="E626" s="124"/>
      <c r="F626" s="123">
        <f>'RINCIAN B. LANGSUNG USAHA'!N98</f>
        <v>0</v>
      </c>
      <c r="G626" s="123"/>
      <c r="H626" s="122">
        <f t="shared" si="28"/>
        <v>0</v>
      </c>
      <c r="I626" s="121"/>
    </row>
    <row r="627" spans="1:9" x14ac:dyDescent="0.25">
      <c r="A627" s="125"/>
      <c r="B627" s="697" t="s">
        <v>331</v>
      </c>
      <c r="C627" s="697"/>
      <c r="D627" s="124" t="s">
        <v>252</v>
      </c>
      <c r="E627" s="124"/>
      <c r="F627" s="123">
        <f>'RINCIAN B. LANGSUNG USAHA'!N33</f>
        <v>0</v>
      </c>
      <c r="G627" s="123"/>
      <c r="H627" s="122">
        <f t="shared" si="28"/>
        <v>0</v>
      </c>
      <c r="I627" s="121"/>
    </row>
    <row r="628" spans="1:9" x14ac:dyDescent="0.25">
      <c r="A628" s="125"/>
      <c r="B628" s="697" t="s">
        <v>332</v>
      </c>
      <c r="C628" s="697"/>
      <c r="D628" s="124" t="s">
        <v>335</v>
      </c>
      <c r="E628" s="124"/>
      <c r="F628" s="123">
        <f>'RINCIAN B. LANGSUNG USAHA'!N68</f>
        <v>0</v>
      </c>
      <c r="G628" s="123"/>
      <c r="H628" s="122">
        <f t="shared" si="28"/>
        <v>0</v>
      </c>
      <c r="I628" s="121"/>
    </row>
    <row r="629" spans="1:9" x14ac:dyDescent="0.25">
      <c r="A629" s="125"/>
      <c r="B629" s="697" t="s">
        <v>333</v>
      </c>
      <c r="C629" s="697"/>
      <c r="D629" s="124" t="s">
        <v>334</v>
      </c>
      <c r="E629" s="124"/>
      <c r="F629" s="123">
        <f>'RINCIAN B. LANGSUNG USAHA'!N99</f>
        <v>0</v>
      </c>
      <c r="G629" s="123"/>
      <c r="H629" s="122">
        <f t="shared" si="28"/>
        <v>0</v>
      </c>
      <c r="I629" s="121"/>
    </row>
    <row r="630" spans="1:9" x14ac:dyDescent="0.25">
      <c r="A630" s="125"/>
      <c r="B630" s="697" t="s">
        <v>337</v>
      </c>
      <c r="C630" s="697"/>
      <c r="D630" s="124" t="s">
        <v>860</v>
      </c>
      <c r="E630" s="124"/>
      <c r="F630" s="123">
        <f>'RINCIAN B. LANGSUNG USAHA'!N101</f>
        <v>0</v>
      </c>
      <c r="G630" s="123"/>
      <c r="H630" s="122">
        <f t="shared" si="28"/>
        <v>0</v>
      </c>
      <c r="I630" s="121"/>
    </row>
    <row r="631" spans="1:9" x14ac:dyDescent="0.25">
      <c r="A631" s="125"/>
      <c r="B631" s="697" t="s">
        <v>888</v>
      </c>
      <c r="C631" s="697"/>
      <c r="D631" s="697"/>
      <c r="E631" s="124"/>
      <c r="F631" s="152">
        <f>SUM(F624:F630)</f>
        <v>0</v>
      </c>
      <c r="G631" s="123"/>
      <c r="H631" s="153">
        <f>SUM(H624:H630)</f>
        <v>0</v>
      </c>
      <c r="I631" s="121"/>
    </row>
    <row r="632" spans="1:9" x14ac:dyDescent="0.25">
      <c r="A632" s="125"/>
      <c r="B632" s="697" t="s">
        <v>343</v>
      </c>
      <c r="C632" s="697"/>
      <c r="D632" s="697"/>
      <c r="E632" s="124"/>
      <c r="F632" s="154">
        <f>F621-F631</f>
        <v>0</v>
      </c>
      <c r="G632" s="123"/>
      <c r="H632" s="154">
        <f>H621-H631</f>
        <v>0</v>
      </c>
      <c r="I632" s="121"/>
    </row>
    <row r="633" spans="1:9" x14ac:dyDescent="0.25">
      <c r="A633" s="125"/>
      <c r="B633" s="124" t="s">
        <v>336</v>
      </c>
      <c r="C633" s="124" t="s">
        <v>882</v>
      </c>
      <c r="D633" s="124"/>
      <c r="E633" s="124"/>
      <c r="F633" s="123"/>
      <c r="G633" s="123"/>
      <c r="H633" s="122"/>
      <c r="I633" s="121"/>
    </row>
    <row r="634" spans="1:9" x14ac:dyDescent="0.25">
      <c r="A634" s="125"/>
      <c r="B634" s="697" t="s">
        <v>337</v>
      </c>
      <c r="C634" s="697"/>
      <c r="D634" s="124" t="s">
        <v>338</v>
      </c>
      <c r="E634" s="124"/>
      <c r="F634" s="123">
        <f>'RINCIAN B. TDK LANGSUNG'!N77</f>
        <v>0</v>
      </c>
      <c r="G634" s="123"/>
      <c r="H634" s="122">
        <f>F634+H579</f>
        <v>0</v>
      </c>
      <c r="I634" s="121"/>
    </row>
    <row r="635" spans="1:9" x14ac:dyDescent="0.25">
      <c r="A635" s="125"/>
      <c r="B635" s="697" t="s">
        <v>339</v>
      </c>
      <c r="C635" s="697"/>
      <c r="D635" s="124" t="s">
        <v>340</v>
      </c>
      <c r="E635" s="124"/>
      <c r="F635" s="123"/>
      <c r="G635" s="123"/>
      <c r="H635" s="122">
        <f>F635+H580</f>
        <v>0</v>
      </c>
      <c r="I635" s="121"/>
    </row>
    <row r="636" spans="1:9" x14ac:dyDescent="0.25">
      <c r="A636" s="125"/>
      <c r="B636" s="697" t="s">
        <v>341</v>
      </c>
      <c r="C636" s="697"/>
      <c r="D636" s="124" t="s">
        <v>342</v>
      </c>
      <c r="E636" s="124"/>
      <c r="F636" s="123">
        <f>'RINCIAN B. TDK LANGSUNG'!N78+'RINCIAN B. TDK LANGSUNG'!N79</f>
        <v>0</v>
      </c>
      <c r="G636" s="123"/>
      <c r="H636" s="122">
        <f>F636+H581</f>
        <v>0</v>
      </c>
      <c r="I636" s="121"/>
    </row>
    <row r="637" spans="1:9" x14ac:dyDescent="0.25">
      <c r="A637" s="125"/>
      <c r="B637" s="697" t="s">
        <v>883</v>
      </c>
      <c r="C637" s="697"/>
      <c r="D637" s="697"/>
      <c r="E637" s="124"/>
      <c r="F637" s="152">
        <f>SUM(F634:F636)</f>
        <v>0</v>
      </c>
      <c r="G637" s="123"/>
      <c r="H637" s="153">
        <f>SUM(H634:H636)</f>
        <v>0</v>
      </c>
      <c r="I637" s="121"/>
    </row>
    <row r="638" spans="1:9" x14ac:dyDescent="0.25">
      <c r="A638" s="125"/>
      <c r="B638" s="697" t="s">
        <v>884</v>
      </c>
      <c r="C638" s="697"/>
      <c r="D638" s="697"/>
      <c r="E638" s="124"/>
      <c r="F638" s="154">
        <f>F632-F637</f>
        <v>0</v>
      </c>
      <c r="G638" s="123"/>
      <c r="H638" s="154">
        <f>H632-H637</f>
        <v>0</v>
      </c>
      <c r="I638" s="121"/>
    </row>
    <row r="639" spans="1:9" x14ac:dyDescent="0.25">
      <c r="A639" s="125"/>
      <c r="B639" s="6" t="s">
        <v>344</v>
      </c>
      <c r="C639" s="151" t="s">
        <v>885</v>
      </c>
      <c r="D639" s="6"/>
      <c r="E639" s="124"/>
      <c r="F639" s="123"/>
      <c r="G639" s="123"/>
      <c r="H639" s="122"/>
      <c r="I639" s="121"/>
    </row>
    <row r="640" spans="1:9" x14ac:dyDescent="0.25">
      <c r="A640" s="125"/>
      <c r="B640" s="697" t="s">
        <v>345</v>
      </c>
      <c r="C640" s="697"/>
      <c r="D640" s="151" t="s">
        <v>5</v>
      </c>
      <c r="E640" s="124"/>
      <c r="F640" s="123">
        <v>0</v>
      </c>
      <c r="G640" s="123"/>
      <c r="H640" s="122">
        <f>F640+H585</f>
        <v>0</v>
      </c>
      <c r="I640" s="121"/>
    </row>
    <row r="641" spans="1:9" x14ac:dyDescent="0.25">
      <c r="A641" s="125"/>
      <c r="B641" s="697" t="s">
        <v>346</v>
      </c>
      <c r="C641" s="697"/>
      <c r="D641" s="151" t="s">
        <v>887</v>
      </c>
      <c r="E641" s="124"/>
      <c r="F641" s="123">
        <f>-'[2]98.00'!$D$14</f>
        <v>0</v>
      </c>
      <c r="G641" s="123"/>
      <c r="H641" s="122">
        <f>F641+H586</f>
        <v>0</v>
      </c>
      <c r="I641" s="121"/>
    </row>
    <row r="642" spans="1:9" x14ac:dyDescent="0.25">
      <c r="A642" s="125"/>
      <c r="B642" s="697" t="s">
        <v>886</v>
      </c>
      <c r="C642" s="697"/>
      <c r="D642" s="697"/>
      <c r="E642" s="124"/>
      <c r="F642" s="152">
        <f>F640+F641</f>
        <v>0</v>
      </c>
      <c r="G642" s="123"/>
      <c r="H642" s="152">
        <f>H640+H641</f>
        <v>0</v>
      </c>
      <c r="I642" s="121"/>
    </row>
    <row r="643" spans="1:9" x14ac:dyDescent="0.25">
      <c r="A643" s="125"/>
      <c r="B643" s="697" t="s">
        <v>347</v>
      </c>
      <c r="C643" s="697"/>
      <c r="D643" s="697"/>
      <c r="E643" s="124"/>
      <c r="F643" s="154">
        <f>F638+F642</f>
        <v>0</v>
      </c>
      <c r="G643" s="123"/>
      <c r="H643" s="154">
        <f>H638+H642</f>
        <v>0</v>
      </c>
      <c r="I643" s="121"/>
    </row>
    <row r="644" spans="1:9" x14ac:dyDescent="0.25">
      <c r="A644" s="125"/>
      <c r="B644" s="697" t="s">
        <v>348</v>
      </c>
      <c r="C644" s="697"/>
      <c r="D644" s="697"/>
      <c r="E644" s="124"/>
      <c r="F644" s="123">
        <v>0</v>
      </c>
      <c r="G644" s="123"/>
      <c r="H644" s="123">
        <v>0</v>
      </c>
      <c r="I644" s="121"/>
    </row>
    <row r="645" spans="1:9" ht="26.25" customHeight="1" x14ac:dyDescent="0.25">
      <c r="A645" s="125"/>
      <c r="B645" s="707" t="s">
        <v>29</v>
      </c>
      <c r="C645" s="708"/>
      <c r="D645" s="709"/>
      <c r="E645" s="142"/>
      <c r="F645" s="160">
        <f>F643-F644</f>
        <v>0</v>
      </c>
      <c r="G645" s="143"/>
      <c r="H645" s="160">
        <f>H643-H644</f>
        <v>0</v>
      </c>
      <c r="I645" s="121"/>
    </row>
    <row r="646" spans="1:9" x14ac:dyDescent="0.25">
      <c r="A646" s="120"/>
      <c r="B646" s="119"/>
      <c r="C646" s="119"/>
      <c r="D646" s="119"/>
      <c r="E646" s="119"/>
      <c r="F646" s="118"/>
      <c r="G646" s="118"/>
      <c r="H646" s="117"/>
      <c r="I646" s="116"/>
    </row>
    <row r="647" spans="1:9" x14ac:dyDescent="0.25">
      <c r="A647" s="115"/>
      <c r="B647" s="112"/>
      <c r="C647" s="112"/>
      <c r="D647" s="112"/>
      <c r="E647" s="112"/>
      <c r="F647" s="114"/>
      <c r="G647" s="114"/>
      <c r="H647" s="113"/>
      <c r="I647" s="112"/>
    </row>
    <row r="648" spans="1:9" x14ac:dyDescent="0.25">
      <c r="A648" s="706" t="s">
        <v>580</v>
      </c>
      <c r="B648" s="706"/>
      <c r="C648" s="706"/>
      <c r="D648" s="706"/>
      <c r="E648" s="13"/>
      <c r="F648" s="698" t="s">
        <v>566</v>
      </c>
      <c r="G648" s="698"/>
      <c r="H648" s="698"/>
      <c r="I648" s="698"/>
    </row>
    <row r="649" spans="1:9" x14ac:dyDescent="0.25">
      <c r="A649" s="706" t="s">
        <v>678</v>
      </c>
      <c r="B649" s="706"/>
      <c r="C649" s="706"/>
      <c r="D649" s="706"/>
      <c r="E649" s="13"/>
      <c r="F649" s="698" t="s">
        <v>680</v>
      </c>
      <c r="G649" s="698"/>
      <c r="H649" s="698"/>
      <c r="I649" s="698"/>
    </row>
    <row r="650" spans="1:9" x14ac:dyDescent="0.25">
      <c r="A650" s="706"/>
      <c r="B650" s="706"/>
      <c r="C650" s="706"/>
      <c r="D650" s="706"/>
      <c r="E650" s="13"/>
      <c r="F650" s="698"/>
      <c r="G650" s="698"/>
      <c r="H650" s="698"/>
      <c r="I650" s="698"/>
    </row>
    <row r="651" spans="1:9" x14ac:dyDescent="0.25">
      <c r="A651" s="706"/>
      <c r="B651" s="706"/>
      <c r="C651" s="706"/>
      <c r="D651" s="706"/>
      <c r="E651" s="13"/>
      <c r="F651" s="698"/>
      <c r="G651" s="698"/>
      <c r="H651" s="698"/>
      <c r="I651" s="698"/>
    </row>
    <row r="652" spans="1:9" x14ac:dyDescent="0.25">
      <c r="A652" s="706" t="s">
        <v>655</v>
      </c>
      <c r="B652" s="706"/>
      <c r="C652" s="706"/>
      <c r="D652" s="706"/>
      <c r="E652" s="13"/>
      <c r="F652" s="698" t="s">
        <v>567</v>
      </c>
      <c r="G652" s="698"/>
      <c r="H652" s="698"/>
      <c r="I652" s="698"/>
    </row>
    <row r="653" spans="1:9" x14ac:dyDescent="0.25">
      <c r="A653" s="697"/>
      <c r="B653" s="697"/>
      <c r="C653" s="697"/>
      <c r="D653" s="697"/>
      <c r="E653" s="697"/>
      <c r="F653" s="697"/>
      <c r="G653" s="697"/>
      <c r="H653" s="697"/>
      <c r="I653" s="697"/>
    </row>
    <row r="654" spans="1:9" x14ac:dyDescent="0.25">
      <c r="A654" s="697"/>
      <c r="B654" s="697"/>
      <c r="C654" s="697"/>
      <c r="D654" s="697"/>
      <c r="E654" s="697"/>
      <c r="F654" s="697"/>
      <c r="G654" s="697"/>
      <c r="H654" s="697"/>
      <c r="I654" s="697"/>
    </row>
    <row r="655" spans="1:9" x14ac:dyDescent="0.25">
      <c r="A655" s="697"/>
      <c r="B655" s="697"/>
      <c r="C655" s="697"/>
      <c r="D655" s="697"/>
      <c r="E655" s="697"/>
      <c r="F655" s="697"/>
      <c r="G655" s="697"/>
      <c r="H655" s="697"/>
      <c r="I655" s="697"/>
    </row>
    <row r="656" spans="1:9" x14ac:dyDescent="0.25">
      <c r="A656" s="697"/>
      <c r="B656" s="697"/>
      <c r="C656" s="697"/>
      <c r="D656" s="697"/>
      <c r="E656" s="697"/>
      <c r="F656" s="697"/>
      <c r="G656" s="697"/>
      <c r="H656" s="697"/>
      <c r="I656" s="697"/>
    </row>
    <row r="659" spans="1:9" x14ac:dyDescent="0.25">
      <c r="A659" s="112" t="s">
        <v>653</v>
      </c>
      <c r="B659" s="112"/>
      <c r="C659" s="112"/>
      <c r="D659" s="112"/>
      <c r="E659" s="112"/>
      <c r="F659" s="113"/>
      <c r="G659" s="113"/>
      <c r="H659" s="113"/>
      <c r="I659" s="112"/>
    </row>
    <row r="660" spans="1:9" x14ac:dyDescent="0.25">
      <c r="A660" s="112"/>
      <c r="B660" s="112"/>
      <c r="C660" s="112"/>
      <c r="D660" s="112"/>
      <c r="E660" s="112"/>
      <c r="F660" s="113"/>
      <c r="G660" s="113"/>
      <c r="H660" s="113"/>
      <c r="I660" s="112"/>
    </row>
    <row r="661" spans="1:9" ht="20.25" x14ac:dyDescent="0.3">
      <c r="A661" s="141"/>
      <c r="B661" s="695" t="s">
        <v>650</v>
      </c>
      <c r="C661" s="695"/>
      <c r="D661" s="695"/>
      <c r="E661" s="695"/>
      <c r="F661" s="695"/>
      <c r="G661" s="695"/>
      <c r="H661" s="695"/>
      <c r="I661" s="140"/>
    </row>
    <row r="662" spans="1:9" x14ac:dyDescent="0.25">
      <c r="A662" s="125"/>
      <c r="B662" s="696" t="s">
        <v>349</v>
      </c>
      <c r="C662" s="696"/>
      <c r="D662" s="696"/>
      <c r="E662" s="696"/>
      <c r="F662" s="696"/>
      <c r="G662" s="696"/>
      <c r="H662" s="696"/>
      <c r="I662" s="139"/>
    </row>
    <row r="663" spans="1:9" x14ac:dyDescent="0.25">
      <c r="A663" s="125"/>
      <c r="B663" s="696" t="s">
        <v>1037</v>
      </c>
      <c r="C663" s="696"/>
      <c r="D663" s="696"/>
      <c r="E663" s="696"/>
      <c r="F663" s="696"/>
      <c r="G663" s="696"/>
      <c r="H663" s="696"/>
      <c r="I663" s="139"/>
    </row>
    <row r="664" spans="1:9" ht="15.75" thickBot="1" x14ac:dyDescent="0.3">
      <c r="A664" s="125"/>
      <c r="B664" s="699" t="s">
        <v>0</v>
      </c>
      <c r="C664" s="699"/>
      <c r="D664" s="699"/>
      <c r="E664" s="699"/>
      <c r="F664" s="699"/>
      <c r="G664" s="699"/>
      <c r="H664" s="699"/>
      <c r="I664" s="139"/>
    </row>
    <row r="665" spans="1:9" ht="15.75" thickTop="1" x14ac:dyDescent="0.25">
      <c r="A665" s="125"/>
      <c r="B665" s="112"/>
      <c r="C665" s="112"/>
      <c r="D665" s="112"/>
      <c r="E665" s="112"/>
      <c r="F665" s="113"/>
      <c r="G665" s="113"/>
      <c r="H665" s="113"/>
      <c r="I665" s="136"/>
    </row>
    <row r="666" spans="1:9" ht="25.5" x14ac:dyDescent="0.25">
      <c r="A666" s="125"/>
      <c r="B666" s="711" t="s">
        <v>30</v>
      </c>
      <c r="C666" s="712"/>
      <c r="D666" s="713"/>
      <c r="E666" s="138"/>
      <c r="F666" s="159" t="s">
        <v>291</v>
      </c>
      <c r="G666" s="137"/>
      <c r="H666" s="165" t="s">
        <v>558</v>
      </c>
      <c r="I666" s="136"/>
    </row>
    <row r="667" spans="1:9" x14ac:dyDescent="0.25">
      <c r="A667" s="125"/>
      <c r="B667" s="112"/>
      <c r="C667" s="112"/>
      <c r="D667" s="112"/>
      <c r="E667" s="112"/>
      <c r="F667" s="113"/>
      <c r="G667" s="113"/>
      <c r="H667" s="113"/>
      <c r="I667" s="136"/>
    </row>
    <row r="668" spans="1:9" x14ac:dyDescent="0.25">
      <c r="A668" s="125"/>
      <c r="B668" s="124" t="s">
        <v>1</v>
      </c>
      <c r="C668" s="124"/>
      <c r="D668" s="124"/>
      <c r="E668" s="124"/>
      <c r="F668" s="123"/>
      <c r="G668" s="123"/>
      <c r="H668" s="123"/>
      <c r="I668" s="135"/>
    </row>
    <row r="669" spans="1:9" x14ac:dyDescent="0.25">
      <c r="A669" s="125"/>
      <c r="B669" s="124"/>
      <c r="C669" s="128" t="s">
        <v>2</v>
      </c>
      <c r="D669" s="128"/>
      <c r="E669" s="128"/>
      <c r="F669" s="132"/>
      <c r="G669" s="132"/>
      <c r="H669" s="133"/>
      <c r="I669" s="121"/>
    </row>
    <row r="670" spans="1:9" x14ac:dyDescent="0.25">
      <c r="A670" s="125"/>
      <c r="B670" s="697" t="s">
        <v>312</v>
      </c>
      <c r="C670" s="697"/>
      <c r="D670" s="124" t="s">
        <v>303</v>
      </c>
      <c r="E670" s="128"/>
      <c r="F670" s="123">
        <v>0</v>
      </c>
      <c r="G670" s="123"/>
      <c r="H670" s="122">
        <f>F670+H609</f>
        <v>0</v>
      </c>
      <c r="I670" s="121"/>
    </row>
    <row r="671" spans="1:9" x14ac:dyDescent="0.25">
      <c r="A671" s="125"/>
      <c r="B671" s="697" t="s">
        <v>313</v>
      </c>
      <c r="C671" s="697"/>
      <c r="D671" s="124" t="s">
        <v>304</v>
      </c>
      <c r="E671" s="128"/>
      <c r="F671" s="123">
        <v>0</v>
      </c>
      <c r="G671" s="123"/>
      <c r="H671" s="122">
        <f>F671+H610</f>
        <v>0</v>
      </c>
      <c r="I671" s="121"/>
    </row>
    <row r="672" spans="1:9" x14ac:dyDescent="0.25">
      <c r="A672" s="125"/>
      <c r="B672" s="697" t="s">
        <v>314</v>
      </c>
      <c r="C672" s="697"/>
      <c r="D672" s="124" t="s">
        <v>315</v>
      </c>
      <c r="E672" s="128"/>
      <c r="F672" s="123">
        <v>0</v>
      </c>
      <c r="G672" s="123"/>
      <c r="H672" s="122">
        <f>F672+H611</f>
        <v>0</v>
      </c>
      <c r="I672" s="121"/>
    </row>
    <row r="673" spans="1:9" x14ac:dyDescent="0.25">
      <c r="A673" s="125"/>
      <c r="B673" s="124"/>
      <c r="C673" s="128"/>
      <c r="D673" s="134" t="s">
        <v>305</v>
      </c>
      <c r="E673" s="128"/>
      <c r="F673" s="155">
        <f>SUM(F670:F672)</f>
        <v>0</v>
      </c>
      <c r="G673" s="132"/>
      <c r="H673" s="156">
        <f>SUM(H670:H672)</f>
        <v>0</v>
      </c>
      <c r="I673" s="121"/>
    </row>
    <row r="674" spans="1:9" x14ac:dyDescent="0.25">
      <c r="A674" s="125"/>
      <c r="B674" s="124"/>
      <c r="C674" s="128" t="s">
        <v>3</v>
      </c>
      <c r="D674" s="124"/>
      <c r="E674" s="124"/>
      <c r="F674" s="123"/>
      <c r="G674" s="123"/>
      <c r="H674" s="122"/>
      <c r="I674" s="121"/>
    </row>
    <row r="675" spans="1:9" x14ac:dyDescent="0.25">
      <c r="A675" s="125"/>
      <c r="B675" s="697" t="s">
        <v>316</v>
      </c>
      <c r="C675" s="697"/>
      <c r="D675" s="124" t="s">
        <v>229</v>
      </c>
      <c r="E675" s="124"/>
      <c r="F675" s="123">
        <v>0</v>
      </c>
      <c r="G675" s="123"/>
      <c r="H675" s="122">
        <f t="shared" ref="H675:H680" si="29">F675+H614</f>
        <v>0</v>
      </c>
      <c r="I675" s="121"/>
    </row>
    <row r="676" spans="1:9" x14ac:dyDescent="0.25">
      <c r="A676" s="125"/>
      <c r="B676" s="697" t="s">
        <v>317</v>
      </c>
      <c r="C676" s="697"/>
      <c r="D676" s="124" t="s">
        <v>232</v>
      </c>
      <c r="E676" s="124"/>
      <c r="F676" s="123"/>
      <c r="G676" s="123"/>
      <c r="H676" s="122">
        <f t="shared" si="29"/>
        <v>0</v>
      </c>
      <c r="I676" s="121"/>
    </row>
    <row r="677" spans="1:9" x14ac:dyDescent="0.25">
      <c r="A677" s="125"/>
      <c r="B677" s="697" t="s">
        <v>318</v>
      </c>
      <c r="C677" s="697"/>
      <c r="D677" s="124" t="s">
        <v>230</v>
      </c>
      <c r="E677" s="124"/>
      <c r="F677" s="123">
        <v>0</v>
      </c>
      <c r="G677" s="123"/>
      <c r="H677" s="122">
        <f t="shared" si="29"/>
        <v>0</v>
      </c>
      <c r="I677" s="121"/>
    </row>
    <row r="678" spans="1:9" x14ac:dyDescent="0.25">
      <c r="A678" s="125"/>
      <c r="B678" s="697" t="s">
        <v>319</v>
      </c>
      <c r="C678" s="697"/>
      <c r="D678" s="124" t="s">
        <v>322</v>
      </c>
      <c r="E678" s="124"/>
      <c r="F678" s="123"/>
      <c r="G678" s="123"/>
      <c r="H678" s="122">
        <f t="shared" si="29"/>
        <v>0</v>
      </c>
      <c r="I678" s="121"/>
    </row>
    <row r="679" spans="1:9" x14ac:dyDescent="0.25">
      <c r="A679" s="125"/>
      <c r="B679" s="697" t="s">
        <v>320</v>
      </c>
      <c r="C679" s="697"/>
      <c r="D679" s="124" t="s">
        <v>323</v>
      </c>
      <c r="E679" s="124"/>
      <c r="F679" s="123"/>
      <c r="G679" s="123"/>
      <c r="H679" s="122">
        <f t="shared" si="29"/>
        <v>0</v>
      </c>
      <c r="I679" s="121"/>
    </row>
    <row r="680" spans="1:9" x14ac:dyDescent="0.25">
      <c r="A680" s="125"/>
      <c r="B680" s="697" t="s">
        <v>321</v>
      </c>
      <c r="C680" s="697"/>
      <c r="D680" s="124" t="s">
        <v>324</v>
      </c>
      <c r="E680" s="124"/>
      <c r="F680" s="123"/>
      <c r="G680" s="123"/>
      <c r="H680" s="122">
        <f t="shared" si="29"/>
        <v>0</v>
      </c>
      <c r="I680" s="121"/>
    </row>
    <row r="681" spans="1:9" x14ac:dyDescent="0.25">
      <c r="A681" s="125"/>
      <c r="B681" s="124"/>
      <c r="C681" s="128"/>
      <c r="D681" s="134" t="s">
        <v>279</v>
      </c>
      <c r="E681" s="128"/>
      <c r="F681" s="157">
        <f>SUM(F675:F680)</f>
        <v>0</v>
      </c>
      <c r="G681" s="132"/>
      <c r="H681" s="158">
        <f>SUM(H675:H680)</f>
        <v>0</v>
      </c>
      <c r="I681" s="121"/>
    </row>
    <row r="682" spans="1:9" ht="15.75" thickBot="1" x14ac:dyDescent="0.3">
      <c r="A682" s="125"/>
      <c r="B682" s="710" t="s">
        <v>4</v>
      </c>
      <c r="C682" s="710"/>
      <c r="D682" s="710"/>
      <c r="E682" s="149" t="e">
        <f>#REF!+E681+E669</f>
        <v>#REF!</v>
      </c>
      <c r="F682" s="131">
        <f>F681+F673</f>
        <v>0</v>
      </c>
      <c r="G682" s="133"/>
      <c r="H682" s="131">
        <f>H681+H673</f>
        <v>0</v>
      </c>
      <c r="I682" s="121"/>
    </row>
    <row r="683" spans="1:9" ht="15.75" thickTop="1" x14ac:dyDescent="0.25">
      <c r="A683" s="125"/>
      <c r="B683" s="128" t="s">
        <v>289</v>
      </c>
      <c r="C683" s="124"/>
      <c r="D683" s="124"/>
      <c r="E683" s="124"/>
      <c r="F683" s="123"/>
      <c r="G683" s="123"/>
      <c r="H683" s="122"/>
      <c r="I683" s="121"/>
    </row>
    <row r="684" spans="1:9" x14ac:dyDescent="0.25">
      <c r="A684" s="125"/>
      <c r="B684" s="124" t="s">
        <v>311</v>
      </c>
      <c r="C684" s="124" t="s">
        <v>289</v>
      </c>
      <c r="D684" s="124"/>
      <c r="E684" s="124"/>
      <c r="F684" s="123"/>
      <c r="G684" s="123"/>
      <c r="H684" s="122"/>
      <c r="I684" s="121"/>
    </row>
    <row r="685" spans="1:9" x14ac:dyDescent="0.25">
      <c r="A685" s="125"/>
      <c r="B685" s="697" t="s">
        <v>325</v>
      </c>
      <c r="C685" s="697"/>
      <c r="D685" s="124" t="s">
        <v>328</v>
      </c>
      <c r="E685" s="124"/>
      <c r="F685" s="123">
        <f>'RINCIAN B. LANGSUNG USAHA'!O32</f>
        <v>0</v>
      </c>
      <c r="G685" s="123"/>
      <c r="H685" s="122">
        <f t="shared" ref="H685:H691" si="30">F685+H624</f>
        <v>0</v>
      </c>
      <c r="I685" s="121"/>
    </row>
    <row r="686" spans="1:9" x14ac:dyDescent="0.25">
      <c r="A686" s="125"/>
      <c r="B686" s="697" t="s">
        <v>326</v>
      </c>
      <c r="C686" s="697"/>
      <c r="D686" s="124" t="s">
        <v>329</v>
      </c>
      <c r="E686" s="124"/>
      <c r="F686" s="123">
        <f>'RINCIAN B. LANGSUNG USAHA'!O67</f>
        <v>0</v>
      </c>
      <c r="G686" s="123"/>
      <c r="H686" s="122">
        <f t="shared" si="30"/>
        <v>0</v>
      </c>
      <c r="I686" s="121"/>
    </row>
    <row r="687" spans="1:9" x14ac:dyDescent="0.25">
      <c r="A687" s="125"/>
      <c r="B687" s="697" t="s">
        <v>327</v>
      </c>
      <c r="C687" s="697"/>
      <c r="D687" s="124" t="s">
        <v>330</v>
      </c>
      <c r="E687" s="124"/>
      <c r="F687" s="123">
        <f>'RINCIAN B. LANGSUNG USAHA'!O98</f>
        <v>0</v>
      </c>
      <c r="G687" s="123"/>
      <c r="H687" s="122">
        <f t="shared" si="30"/>
        <v>0</v>
      </c>
      <c r="I687" s="121"/>
    </row>
    <row r="688" spans="1:9" x14ac:dyDescent="0.25">
      <c r="A688" s="125"/>
      <c r="B688" s="697" t="s">
        <v>331</v>
      </c>
      <c r="C688" s="697"/>
      <c r="D688" s="124" t="s">
        <v>252</v>
      </c>
      <c r="E688" s="124"/>
      <c r="F688" s="123">
        <f>'RINCIAN B. LANGSUNG USAHA'!O33</f>
        <v>0</v>
      </c>
      <c r="G688" s="123"/>
      <c r="H688" s="122">
        <f t="shared" si="30"/>
        <v>0</v>
      </c>
      <c r="I688" s="121"/>
    </row>
    <row r="689" spans="1:13" x14ac:dyDescent="0.25">
      <c r="A689" s="125"/>
      <c r="B689" s="697" t="s">
        <v>332</v>
      </c>
      <c r="C689" s="697"/>
      <c r="D689" s="124" t="s">
        <v>335</v>
      </c>
      <c r="E689" s="124"/>
      <c r="F689" s="123">
        <f>'RINCIAN B. LANGSUNG USAHA'!O68</f>
        <v>0</v>
      </c>
      <c r="G689" s="123"/>
      <c r="H689" s="122">
        <f t="shared" si="30"/>
        <v>0</v>
      </c>
      <c r="I689" s="121"/>
    </row>
    <row r="690" spans="1:13" x14ac:dyDescent="0.25">
      <c r="A690" s="125"/>
      <c r="B690" s="697" t="s">
        <v>333</v>
      </c>
      <c r="C690" s="697"/>
      <c r="D690" s="124" t="s">
        <v>334</v>
      </c>
      <c r="E690" s="124"/>
      <c r="F690" s="123">
        <f>'RINCIAN B. LANGSUNG USAHA'!O99</f>
        <v>0</v>
      </c>
      <c r="G690" s="123"/>
      <c r="H690" s="122">
        <f t="shared" si="30"/>
        <v>0</v>
      </c>
      <c r="I690" s="121"/>
      <c r="M690" s="650"/>
    </row>
    <row r="691" spans="1:13" x14ac:dyDescent="0.25">
      <c r="A691" s="125"/>
      <c r="B691" s="697" t="s">
        <v>337</v>
      </c>
      <c r="C691" s="697"/>
      <c r="D691" s="124" t="s">
        <v>860</v>
      </c>
      <c r="E691" s="124"/>
      <c r="F691" s="123">
        <f>'RINCIAN B. LANGSUNG USAHA'!O101</f>
        <v>0</v>
      </c>
      <c r="G691" s="123"/>
      <c r="H691" s="122">
        <f t="shared" si="30"/>
        <v>0</v>
      </c>
      <c r="I691" s="121"/>
      <c r="M691" s="650"/>
    </row>
    <row r="692" spans="1:13" x14ac:dyDescent="0.25">
      <c r="A692" s="125"/>
      <c r="B692" s="697" t="s">
        <v>888</v>
      </c>
      <c r="C692" s="697"/>
      <c r="D692" s="697"/>
      <c r="E692" s="124"/>
      <c r="F692" s="152">
        <f>SUM(F685:F691)</f>
        <v>0</v>
      </c>
      <c r="G692" s="123"/>
      <c r="H692" s="153">
        <f>SUM(H685:H691)</f>
        <v>0</v>
      </c>
      <c r="I692" s="121"/>
      <c r="M692" s="650"/>
    </row>
    <row r="693" spans="1:13" x14ac:dyDescent="0.25">
      <c r="A693" s="125"/>
      <c r="B693" s="697" t="s">
        <v>343</v>
      </c>
      <c r="C693" s="697"/>
      <c r="D693" s="697"/>
      <c r="E693" s="124"/>
      <c r="F693" s="154">
        <f>F682-F692</f>
        <v>0</v>
      </c>
      <c r="G693" s="123"/>
      <c r="H693" s="154">
        <f>H682-H692</f>
        <v>0</v>
      </c>
      <c r="I693" s="121"/>
      <c r="M693" s="650"/>
    </row>
    <row r="694" spans="1:13" x14ac:dyDescent="0.25">
      <c r="A694" s="125"/>
      <c r="B694" s="124" t="s">
        <v>336</v>
      </c>
      <c r="C694" s="124" t="s">
        <v>882</v>
      </c>
      <c r="D694" s="124"/>
      <c r="E694" s="124"/>
      <c r="F694" s="123"/>
      <c r="G694" s="123"/>
      <c r="H694" s="122"/>
      <c r="I694" s="121"/>
      <c r="M694" s="650"/>
    </row>
    <row r="695" spans="1:13" x14ac:dyDescent="0.25">
      <c r="A695" s="125"/>
      <c r="B695" s="697" t="s">
        <v>337</v>
      </c>
      <c r="C695" s="697"/>
      <c r="D695" s="124" t="s">
        <v>338</v>
      </c>
      <c r="E695" s="124"/>
      <c r="F695" s="123">
        <f>'RINCIAN B. TDK LANGSUNG'!O77</f>
        <v>0</v>
      </c>
      <c r="G695" s="123"/>
      <c r="H695" s="122">
        <f>F695+H634</f>
        <v>0</v>
      </c>
      <c r="I695" s="121"/>
      <c r="M695" s="650"/>
    </row>
    <row r="696" spans="1:13" x14ac:dyDescent="0.25">
      <c r="A696" s="125"/>
      <c r="B696" s="697" t="s">
        <v>339</v>
      </c>
      <c r="C696" s="697"/>
      <c r="D696" s="124" t="s">
        <v>340</v>
      </c>
      <c r="E696" s="124"/>
      <c r="F696" s="123"/>
      <c r="G696" s="123"/>
      <c r="H696" s="122">
        <f>F696+H635</f>
        <v>0</v>
      </c>
      <c r="I696" s="121"/>
      <c r="M696" s="651"/>
    </row>
    <row r="697" spans="1:13" x14ac:dyDescent="0.25">
      <c r="A697" s="125"/>
      <c r="B697" s="697" t="s">
        <v>341</v>
      </c>
      <c r="C697" s="697"/>
      <c r="D697" s="124" t="s">
        <v>342</v>
      </c>
      <c r="E697" s="124"/>
      <c r="F697" s="123">
        <f>'RINCIAN B. TDK LANGSUNG'!O78+'RINCIAN B. TDK LANGSUNG'!O79</f>
        <v>0</v>
      </c>
      <c r="G697" s="123"/>
      <c r="H697" s="122">
        <f>F697+H636</f>
        <v>0</v>
      </c>
      <c r="I697" s="121"/>
      <c r="M697" s="650"/>
    </row>
    <row r="698" spans="1:13" x14ac:dyDescent="0.25">
      <c r="A698" s="125"/>
      <c r="B698" s="697" t="s">
        <v>883</v>
      </c>
      <c r="C698" s="697"/>
      <c r="D698" s="697"/>
      <c r="E698" s="124"/>
      <c r="F698" s="152">
        <f>SUM(F695:F697)</f>
        <v>0</v>
      </c>
      <c r="G698" s="123"/>
      <c r="H698" s="153">
        <f>SUM(H695:H697)</f>
        <v>0</v>
      </c>
      <c r="I698" s="121"/>
      <c r="M698" s="650"/>
    </row>
    <row r="699" spans="1:13" x14ac:dyDescent="0.25">
      <c r="A699" s="125"/>
      <c r="B699" s="697" t="s">
        <v>884</v>
      </c>
      <c r="C699" s="697"/>
      <c r="D699" s="697"/>
      <c r="E699" s="124"/>
      <c r="F699" s="154">
        <f>F693-F698</f>
        <v>0</v>
      </c>
      <c r="G699" s="123"/>
      <c r="H699" s="154">
        <f>H693-H698</f>
        <v>0</v>
      </c>
      <c r="I699" s="121"/>
    </row>
    <row r="700" spans="1:13" x14ac:dyDescent="0.25">
      <c r="A700" s="125"/>
      <c r="B700" s="6" t="s">
        <v>344</v>
      </c>
      <c r="C700" s="151" t="s">
        <v>885</v>
      </c>
      <c r="D700" s="6"/>
      <c r="E700" s="124"/>
      <c r="F700" s="123"/>
      <c r="G700" s="123"/>
      <c r="H700" s="122"/>
      <c r="I700" s="121"/>
    </row>
    <row r="701" spans="1:13" x14ac:dyDescent="0.25">
      <c r="A701" s="125"/>
      <c r="B701" s="697" t="s">
        <v>345</v>
      </c>
      <c r="C701" s="697"/>
      <c r="D701" s="151" t="s">
        <v>5</v>
      </c>
      <c r="E701" s="124"/>
      <c r="F701" s="123">
        <v>0</v>
      </c>
      <c r="G701" s="123"/>
      <c r="H701" s="122">
        <f>F701+H640</f>
        <v>0</v>
      </c>
      <c r="I701" s="121"/>
    </row>
    <row r="702" spans="1:13" x14ac:dyDescent="0.25">
      <c r="A702" s="125"/>
      <c r="B702" s="697" t="s">
        <v>346</v>
      </c>
      <c r="C702" s="697"/>
      <c r="D702" s="151" t="s">
        <v>887</v>
      </c>
      <c r="E702" s="124"/>
      <c r="F702" s="123">
        <f>-'B. NON OPERASIONAL'!M12</f>
        <v>0</v>
      </c>
      <c r="G702" s="123"/>
      <c r="H702" s="122">
        <f>F702+H641</f>
        <v>0</v>
      </c>
      <c r="I702" s="121"/>
    </row>
    <row r="703" spans="1:13" x14ac:dyDescent="0.25">
      <c r="A703" s="125"/>
      <c r="B703" s="697" t="s">
        <v>886</v>
      </c>
      <c r="C703" s="697"/>
      <c r="D703" s="697"/>
      <c r="E703" s="124"/>
      <c r="F703" s="152">
        <f>F701+F702</f>
        <v>0</v>
      </c>
      <c r="G703" s="123"/>
      <c r="H703" s="152">
        <f>H701+H702</f>
        <v>0</v>
      </c>
      <c r="I703" s="121"/>
    </row>
    <row r="704" spans="1:13" x14ac:dyDescent="0.25">
      <c r="A704" s="125"/>
      <c r="B704" s="697" t="s">
        <v>347</v>
      </c>
      <c r="C704" s="697"/>
      <c r="D704" s="697"/>
      <c r="E704" s="124"/>
      <c r="F704" s="154">
        <f>F699+F703</f>
        <v>0</v>
      </c>
      <c r="G704" s="123"/>
      <c r="H704" s="154">
        <f>H699+H703</f>
        <v>0</v>
      </c>
      <c r="I704" s="121"/>
    </row>
    <row r="705" spans="1:9" x14ac:dyDescent="0.25">
      <c r="A705" s="125"/>
      <c r="B705" s="697" t="s">
        <v>348</v>
      </c>
      <c r="C705" s="697"/>
      <c r="D705" s="697"/>
      <c r="E705" s="124"/>
      <c r="F705" s="123">
        <v>0</v>
      </c>
      <c r="G705" s="123"/>
      <c r="H705" s="123">
        <v>0</v>
      </c>
      <c r="I705" s="121"/>
    </row>
    <row r="706" spans="1:9" ht="24" customHeight="1" x14ac:dyDescent="0.25">
      <c r="A706" s="125"/>
      <c r="B706" s="707" t="s">
        <v>29</v>
      </c>
      <c r="C706" s="708"/>
      <c r="D706" s="709"/>
      <c r="E706" s="142"/>
      <c r="F706" s="160">
        <f>F704-F705</f>
        <v>0</v>
      </c>
      <c r="G706" s="143"/>
      <c r="H706" s="160">
        <f>H704-H705</f>
        <v>0</v>
      </c>
      <c r="I706" s="121"/>
    </row>
    <row r="707" spans="1:9" x14ac:dyDescent="0.25">
      <c r="A707" s="120"/>
      <c r="B707" s="119"/>
      <c r="C707" s="119"/>
      <c r="D707" s="119"/>
      <c r="E707" s="119"/>
      <c r="F707" s="118"/>
      <c r="G707" s="118"/>
      <c r="H707" s="117"/>
      <c r="I707" s="116"/>
    </row>
    <row r="708" spans="1:9" x14ac:dyDescent="0.25">
      <c r="A708" s="115"/>
      <c r="B708" s="112"/>
      <c r="C708" s="112"/>
      <c r="D708" s="112"/>
      <c r="E708" s="112"/>
      <c r="F708" s="114"/>
      <c r="G708" s="114"/>
      <c r="H708" s="113"/>
      <c r="I708" s="112"/>
    </row>
    <row r="709" spans="1:9" x14ac:dyDescent="0.25">
      <c r="A709" s="706" t="s">
        <v>580</v>
      </c>
      <c r="B709" s="706"/>
      <c r="C709" s="706"/>
      <c r="D709" s="706"/>
      <c r="E709" s="13"/>
      <c r="F709" s="698" t="s">
        <v>566</v>
      </c>
      <c r="G709" s="698"/>
      <c r="H709" s="698"/>
      <c r="I709" s="698"/>
    </row>
    <row r="710" spans="1:9" x14ac:dyDescent="0.25">
      <c r="A710" s="706" t="s">
        <v>678</v>
      </c>
      <c r="B710" s="706"/>
      <c r="C710" s="706"/>
      <c r="D710" s="706"/>
      <c r="E710" s="13"/>
      <c r="F710" s="698" t="s">
        <v>680</v>
      </c>
      <c r="G710" s="698"/>
      <c r="H710" s="698"/>
      <c r="I710" s="698"/>
    </row>
    <row r="711" spans="1:9" x14ac:dyDescent="0.25">
      <c r="A711" s="706"/>
      <c r="B711" s="706"/>
      <c r="C711" s="706"/>
      <c r="D711" s="706"/>
      <c r="E711" s="13"/>
      <c r="F711" s="698"/>
      <c r="G711" s="698"/>
      <c r="H711" s="698"/>
      <c r="I711" s="698"/>
    </row>
    <row r="712" spans="1:9" x14ac:dyDescent="0.25">
      <c r="A712" s="706"/>
      <c r="B712" s="706"/>
      <c r="C712" s="706"/>
      <c r="D712" s="706"/>
      <c r="E712" s="13"/>
      <c r="F712" s="698"/>
      <c r="G712" s="698"/>
      <c r="H712" s="698"/>
      <c r="I712" s="698"/>
    </row>
    <row r="713" spans="1:9" x14ac:dyDescent="0.25">
      <c r="A713" s="706" t="s">
        <v>655</v>
      </c>
      <c r="B713" s="706"/>
      <c r="C713" s="706"/>
      <c r="D713" s="706"/>
      <c r="E713" s="13"/>
      <c r="F713" s="698" t="s">
        <v>567</v>
      </c>
      <c r="G713" s="698"/>
      <c r="H713" s="698"/>
      <c r="I713" s="698"/>
    </row>
    <row r="714" spans="1:9" x14ac:dyDescent="0.25">
      <c r="A714" s="697"/>
      <c r="B714" s="697"/>
      <c r="C714" s="697"/>
      <c r="D714" s="697"/>
      <c r="E714" s="697"/>
      <c r="F714" s="697"/>
      <c r="G714" s="697"/>
      <c r="H714" s="697"/>
      <c r="I714" s="697"/>
    </row>
    <row r="715" spans="1:9" x14ac:dyDescent="0.25">
      <c r="A715" s="697"/>
      <c r="B715" s="697"/>
      <c r="C715" s="697"/>
      <c r="D715" s="697"/>
      <c r="E715" s="697"/>
      <c r="F715" s="697"/>
      <c r="G715" s="697"/>
      <c r="H715" s="697"/>
      <c r="I715" s="697"/>
    </row>
    <row r="716" spans="1:9" x14ac:dyDescent="0.25">
      <c r="A716" s="697"/>
      <c r="B716" s="697"/>
      <c r="C716" s="697"/>
      <c r="D716" s="697"/>
      <c r="E716" s="697"/>
      <c r="F716" s="697"/>
      <c r="G716" s="697"/>
      <c r="H716" s="697"/>
      <c r="I716" s="697"/>
    </row>
    <row r="717" spans="1:9" x14ac:dyDescent="0.25">
      <c r="A717" s="697"/>
      <c r="B717" s="697"/>
      <c r="C717" s="697"/>
      <c r="D717" s="697"/>
      <c r="E717" s="697"/>
      <c r="F717" s="697"/>
      <c r="G717" s="697"/>
      <c r="H717" s="697"/>
      <c r="I717" s="697"/>
    </row>
    <row r="721" spans="1:9" x14ac:dyDescent="0.25">
      <c r="A721" s="112" t="s">
        <v>653</v>
      </c>
      <c r="B721" s="112"/>
      <c r="C721" s="112"/>
      <c r="D721" s="112"/>
      <c r="E721" s="112"/>
      <c r="F721" s="113"/>
      <c r="G721" s="113"/>
      <c r="H721" s="113"/>
      <c r="I721" s="112"/>
    </row>
    <row r="722" spans="1:9" x14ac:dyDescent="0.25">
      <c r="A722" s="112"/>
      <c r="B722" s="112"/>
      <c r="C722" s="112"/>
      <c r="D722" s="112"/>
      <c r="E722" s="112"/>
      <c r="F722" s="113"/>
      <c r="G722" s="113"/>
      <c r="H722" s="113"/>
      <c r="I722" s="112"/>
    </row>
    <row r="723" spans="1:9" ht="20.25" x14ac:dyDescent="0.3">
      <c r="A723" s="141"/>
      <c r="B723" s="695" t="s">
        <v>650</v>
      </c>
      <c r="C723" s="695"/>
      <c r="D723" s="695"/>
      <c r="E723" s="695"/>
      <c r="F723" s="695"/>
      <c r="G723" s="695"/>
      <c r="H723" s="695"/>
      <c r="I723" s="140"/>
    </row>
    <row r="724" spans="1:9" x14ac:dyDescent="0.25">
      <c r="A724" s="125"/>
      <c r="B724" s="696" t="s">
        <v>349</v>
      </c>
      <c r="C724" s="696"/>
      <c r="D724" s="696"/>
      <c r="E724" s="696"/>
      <c r="F724" s="696"/>
      <c r="G724" s="696"/>
      <c r="H724" s="696"/>
      <c r="I724" s="139"/>
    </row>
    <row r="725" spans="1:9" x14ac:dyDescent="0.25">
      <c r="A725" s="125"/>
      <c r="B725" s="696" t="s">
        <v>703</v>
      </c>
      <c r="C725" s="696"/>
      <c r="D725" s="696"/>
      <c r="E725" s="696"/>
      <c r="F725" s="696"/>
      <c r="G725" s="696"/>
      <c r="H725" s="696"/>
      <c r="I725" s="139"/>
    </row>
    <row r="726" spans="1:9" ht="15.75" thickBot="1" x14ac:dyDescent="0.3">
      <c r="A726" s="125"/>
      <c r="B726" s="699" t="s">
        <v>0</v>
      </c>
      <c r="C726" s="699"/>
      <c r="D726" s="699"/>
      <c r="E726" s="699"/>
      <c r="F726" s="699"/>
      <c r="G726" s="699"/>
      <c r="H726" s="699"/>
      <c r="I726" s="139"/>
    </row>
    <row r="727" spans="1:9" ht="15.75" thickTop="1" x14ac:dyDescent="0.25">
      <c r="A727" s="125"/>
      <c r="B727" s="112"/>
      <c r="C727" s="112"/>
      <c r="D727" s="112"/>
      <c r="E727" s="112"/>
      <c r="F727" s="113"/>
      <c r="G727" s="113"/>
      <c r="H727" s="113"/>
      <c r="I727" s="136"/>
    </row>
    <row r="728" spans="1:9" ht="25.5" x14ac:dyDescent="0.25">
      <c r="A728" s="125"/>
      <c r="B728" s="711" t="s">
        <v>30</v>
      </c>
      <c r="C728" s="712"/>
      <c r="D728" s="713"/>
      <c r="E728" s="138"/>
      <c r="F728" s="159" t="s">
        <v>291</v>
      </c>
      <c r="G728" s="137"/>
      <c r="H728" s="165" t="s">
        <v>558</v>
      </c>
      <c r="I728" s="136"/>
    </row>
    <row r="729" spans="1:9" x14ac:dyDescent="0.25">
      <c r="A729" s="125"/>
      <c r="B729" s="112"/>
      <c r="C729" s="112"/>
      <c r="D729" s="112"/>
      <c r="E729" s="112"/>
      <c r="F729" s="113"/>
      <c r="G729" s="113"/>
      <c r="H729" s="113"/>
      <c r="I729" s="136"/>
    </row>
    <row r="730" spans="1:9" x14ac:dyDescent="0.25">
      <c r="A730" s="125"/>
      <c r="B730" s="124" t="s">
        <v>1</v>
      </c>
      <c r="C730" s="124"/>
      <c r="D730" s="124"/>
      <c r="E730" s="124"/>
      <c r="F730" s="123"/>
      <c r="G730" s="123"/>
      <c r="H730" s="123"/>
      <c r="I730" s="135"/>
    </row>
    <row r="731" spans="1:9" x14ac:dyDescent="0.25">
      <c r="A731" s="125"/>
      <c r="B731" s="124"/>
      <c r="C731" s="128" t="s">
        <v>2</v>
      </c>
      <c r="D731" s="128"/>
      <c r="E731" s="128"/>
      <c r="F731" s="132"/>
      <c r="G731" s="132"/>
      <c r="H731" s="133"/>
      <c r="I731" s="121"/>
    </row>
    <row r="732" spans="1:9" x14ac:dyDescent="0.25">
      <c r="A732" s="125"/>
      <c r="B732" s="697" t="s">
        <v>312</v>
      </c>
      <c r="C732" s="697"/>
      <c r="D732" s="124" t="s">
        <v>303</v>
      </c>
      <c r="E732" s="128"/>
      <c r="F732" s="123">
        <v>0</v>
      </c>
      <c r="G732" s="123"/>
      <c r="H732" s="122">
        <f>F732+H670</f>
        <v>0</v>
      </c>
      <c r="I732" s="121"/>
    </row>
    <row r="733" spans="1:9" x14ac:dyDescent="0.25">
      <c r="A733" s="125"/>
      <c r="B733" s="697" t="s">
        <v>313</v>
      </c>
      <c r="C733" s="697"/>
      <c r="D733" s="124" t="s">
        <v>304</v>
      </c>
      <c r="E733" s="128"/>
      <c r="F733" s="123">
        <v>0</v>
      </c>
      <c r="G733" s="123"/>
      <c r="H733" s="122">
        <f>F733+H671</f>
        <v>0</v>
      </c>
      <c r="I733" s="121"/>
    </row>
    <row r="734" spans="1:9" x14ac:dyDescent="0.25">
      <c r="A734" s="125"/>
      <c r="B734" s="697" t="s">
        <v>314</v>
      </c>
      <c r="C734" s="697"/>
      <c r="D734" s="124" t="s">
        <v>315</v>
      </c>
      <c r="E734" s="128"/>
      <c r="F734" s="123">
        <v>0</v>
      </c>
      <c r="G734" s="123"/>
      <c r="H734" s="122">
        <f>F734+H672</f>
        <v>0</v>
      </c>
      <c r="I734" s="121"/>
    </row>
    <row r="735" spans="1:9" x14ac:dyDescent="0.25">
      <c r="A735" s="125"/>
      <c r="B735" s="124"/>
      <c r="C735" s="128"/>
      <c r="D735" s="134" t="s">
        <v>305</v>
      </c>
      <c r="E735" s="128"/>
      <c r="F735" s="155">
        <f>SUM(F732:F734)</f>
        <v>0</v>
      </c>
      <c r="G735" s="132"/>
      <c r="H735" s="156">
        <f>SUM(H732:H734)</f>
        <v>0</v>
      </c>
      <c r="I735" s="121"/>
    </row>
    <row r="736" spans="1:9" x14ac:dyDescent="0.25">
      <c r="A736" s="125"/>
      <c r="B736" s="124"/>
      <c r="C736" s="128" t="s">
        <v>3</v>
      </c>
      <c r="D736" s="124"/>
      <c r="E736" s="124"/>
      <c r="F736" s="123"/>
      <c r="G736" s="123"/>
      <c r="H736" s="122"/>
      <c r="I736" s="121"/>
    </row>
    <row r="737" spans="1:15" x14ac:dyDescent="0.25">
      <c r="A737" s="125"/>
      <c r="B737" s="697" t="s">
        <v>316</v>
      </c>
      <c r="C737" s="697"/>
      <c r="D737" s="124" t="s">
        <v>229</v>
      </c>
      <c r="E737" s="124"/>
      <c r="F737" s="123">
        <v>0</v>
      </c>
      <c r="G737" s="123"/>
      <c r="H737" s="122">
        <f t="shared" ref="H737:H742" si="31">F737+H675</f>
        <v>0</v>
      </c>
      <c r="I737" s="121"/>
    </row>
    <row r="738" spans="1:15" x14ac:dyDescent="0.25">
      <c r="A738" s="125"/>
      <c r="B738" s="697" t="s">
        <v>317</v>
      </c>
      <c r="C738" s="697"/>
      <c r="D738" s="124" t="s">
        <v>232</v>
      </c>
      <c r="E738" s="124"/>
      <c r="F738" s="123"/>
      <c r="G738" s="123"/>
      <c r="H738" s="122">
        <f t="shared" si="31"/>
        <v>0</v>
      </c>
      <c r="I738" s="121"/>
    </row>
    <row r="739" spans="1:15" x14ac:dyDescent="0.25">
      <c r="A739" s="125"/>
      <c r="B739" s="697" t="s">
        <v>318</v>
      </c>
      <c r="C739" s="697"/>
      <c r="D739" s="124" t="s">
        <v>230</v>
      </c>
      <c r="E739" s="124"/>
      <c r="F739" s="123">
        <v>0</v>
      </c>
      <c r="G739" s="123"/>
      <c r="H739" s="122">
        <f t="shared" si="31"/>
        <v>0</v>
      </c>
      <c r="I739" s="121"/>
    </row>
    <row r="740" spans="1:15" x14ac:dyDescent="0.25">
      <c r="A740" s="125"/>
      <c r="B740" s="697" t="s">
        <v>319</v>
      </c>
      <c r="C740" s="697"/>
      <c r="D740" s="124" t="s">
        <v>322</v>
      </c>
      <c r="E740" s="124"/>
      <c r="F740" s="123"/>
      <c r="G740" s="123"/>
      <c r="H740" s="122">
        <f t="shared" si="31"/>
        <v>0</v>
      </c>
      <c r="I740" s="121"/>
    </row>
    <row r="741" spans="1:15" x14ac:dyDescent="0.25">
      <c r="A741" s="125"/>
      <c r="B741" s="697" t="s">
        <v>320</v>
      </c>
      <c r="C741" s="697"/>
      <c r="D741" s="124" t="s">
        <v>323</v>
      </c>
      <c r="E741" s="124"/>
      <c r="F741" s="123"/>
      <c r="G741" s="123"/>
      <c r="H741" s="122">
        <f t="shared" si="31"/>
        <v>0</v>
      </c>
      <c r="I741" s="121"/>
    </row>
    <row r="742" spans="1:15" x14ac:dyDescent="0.25">
      <c r="A742" s="125"/>
      <c r="B742" s="697" t="s">
        <v>321</v>
      </c>
      <c r="C742" s="697"/>
      <c r="D742" s="124" t="s">
        <v>324</v>
      </c>
      <c r="E742" s="124"/>
      <c r="F742" s="123"/>
      <c r="G742" s="123"/>
      <c r="H742" s="122">
        <f t="shared" si="31"/>
        <v>0</v>
      </c>
      <c r="I742" s="121"/>
    </row>
    <row r="743" spans="1:15" x14ac:dyDescent="0.25">
      <c r="A743" s="125"/>
      <c r="B743" s="124"/>
      <c r="C743" s="128"/>
      <c r="D743" s="134" t="s">
        <v>279</v>
      </c>
      <c r="E743" s="128"/>
      <c r="F743" s="157">
        <f>SUM(F737:F742)</f>
        <v>0</v>
      </c>
      <c r="G743" s="132"/>
      <c r="H743" s="158">
        <f>SUM(H737:H742)</f>
        <v>0</v>
      </c>
      <c r="I743" s="121"/>
    </row>
    <row r="744" spans="1:15" ht="15.75" thickBot="1" x14ac:dyDescent="0.3">
      <c r="A744" s="125"/>
      <c r="B744" s="710" t="s">
        <v>4</v>
      </c>
      <c r="C744" s="710"/>
      <c r="D744" s="710"/>
      <c r="E744" s="149" t="e">
        <f>#REF!+E743+E731</f>
        <v>#REF!</v>
      </c>
      <c r="F744" s="131">
        <f>F743+F735</f>
        <v>0</v>
      </c>
      <c r="G744" s="133"/>
      <c r="H744" s="131">
        <f>H743+H735</f>
        <v>0</v>
      </c>
      <c r="I744" s="121"/>
    </row>
    <row r="745" spans="1:15" ht="15.75" thickTop="1" x14ac:dyDescent="0.25">
      <c r="A745" s="125"/>
      <c r="B745" s="128" t="s">
        <v>289</v>
      </c>
      <c r="C745" s="124"/>
      <c r="D745" s="124"/>
      <c r="E745" s="124"/>
      <c r="F745" s="123"/>
      <c r="G745" s="123"/>
      <c r="H745" s="122"/>
      <c r="I745" s="121"/>
    </row>
    <row r="746" spans="1:15" x14ac:dyDescent="0.25">
      <c r="A746" s="125"/>
      <c r="B746" s="124" t="s">
        <v>311</v>
      </c>
      <c r="C746" s="124" t="s">
        <v>289</v>
      </c>
      <c r="D746" s="124"/>
      <c r="E746" s="124"/>
      <c r="F746" s="123"/>
      <c r="G746" s="123"/>
      <c r="H746" s="122"/>
      <c r="I746" s="121"/>
    </row>
    <row r="747" spans="1:15" x14ac:dyDescent="0.25">
      <c r="A747" s="125"/>
      <c r="B747" s="697" t="s">
        <v>325</v>
      </c>
      <c r="C747" s="697"/>
      <c r="D747" s="124" t="s">
        <v>328</v>
      </c>
      <c r="E747" s="124"/>
      <c r="F747" s="123">
        <f>'RINCIAN B. LANGSUNG USAHA'!P32</f>
        <v>0</v>
      </c>
      <c r="G747" s="123"/>
      <c r="H747" s="122">
        <f t="shared" ref="H747:H753" si="32">F747+H685</f>
        <v>0</v>
      </c>
      <c r="I747" s="121"/>
    </row>
    <row r="748" spans="1:15" x14ac:dyDescent="0.25">
      <c r="A748" s="125"/>
      <c r="B748" s="697" t="s">
        <v>326</v>
      </c>
      <c r="C748" s="697"/>
      <c r="D748" s="124" t="s">
        <v>329</v>
      </c>
      <c r="E748" s="124"/>
      <c r="F748" s="123">
        <f>'RINCIAN B. LANGSUNG USAHA'!P67</f>
        <v>0</v>
      </c>
      <c r="G748" s="123"/>
      <c r="H748" s="122">
        <f t="shared" si="32"/>
        <v>0</v>
      </c>
      <c r="I748" s="121"/>
    </row>
    <row r="749" spans="1:15" x14ac:dyDescent="0.25">
      <c r="A749" s="125"/>
      <c r="B749" s="697" t="s">
        <v>327</v>
      </c>
      <c r="C749" s="697"/>
      <c r="D749" s="124" t="s">
        <v>330</v>
      </c>
      <c r="E749" s="124"/>
      <c r="F749" s="123">
        <f>'RINCIAN B. LANGSUNG USAHA'!P98</f>
        <v>0</v>
      </c>
      <c r="G749" s="123"/>
      <c r="H749" s="122">
        <f t="shared" si="32"/>
        <v>0</v>
      </c>
      <c r="I749" s="121"/>
      <c r="O749" s="440"/>
    </row>
    <row r="750" spans="1:15" x14ac:dyDescent="0.25">
      <c r="A750" s="125"/>
      <c r="B750" s="697" t="s">
        <v>331</v>
      </c>
      <c r="C750" s="697"/>
      <c r="D750" s="124" t="s">
        <v>252</v>
      </c>
      <c r="E750" s="124"/>
      <c r="F750" s="123">
        <f>'RINCIAN B. LANGSUNG USAHA'!P33</f>
        <v>0</v>
      </c>
      <c r="G750" s="123"/>
      <c r="H750" s="122">
        <f t="shared" si="32"/>
        <v>0</v>
      </c>
      <c r="I750" s="121"/>
      <c r="O750" s="440"/>
    </row>
    <row r="751" spans="1:15" x14ac:dyDescent="0.25">
      <c r="A751" s="125"/>
      <c r="B751" s="697" t="s">
        <v>332</v>
      </c>
      <c r="C751" s="697"/>
      <c r="D751" s="124" t="s">
        <v>335</v>
      </c>
      <c r="E751" s="124"/>
      <c r="F751" s="123">
        <f>'RINCIAN B. LANGSUNG USAHA'!P68</f>
        <v>0</v>
      </c>
      <c r="G751" s="123"/>
      <c r="H751" s="122">
        <f t="shared" si="32"/>
        <v>0</v>
      </c>
      <c r="I751" s="121"/>
    </row>
    <row r="752" spans="1:15" x14ac:dyDescent="0.25">
      <c r="A752" s="125"/>
      <c r="B752" s="697" t="s">
        <v>333</v>
      </c>
      <c r="C752" s="697"/>
      <c r="D752" s="124" t="s">
        <v>334</v>
      </c>
      <c r="E752" s="124"/>
      <c r="F752" s="123">
        <f>'RINCIAN B. LANGSUNG USAHA'!P99</f>
        <v>0</v>
      </c>
      <c r="G752" s="123"/>
      <c r="H752" s="122">
        <f t="shared" si="32"/>
        <v>0</v>
      </c>
      <c r="I752" s="121"/>
    </row>
    <row r="753" spans="1:15" x14ac:dyDescent="0.25">
      <c r="A753" s="125"/>
      <c r="B753" s="697" t="s">
        <v>337</v>
      </c>
      <c r="C753" s="697"/>
      <c r="D753" s="124" t="s">
        <v>860</v>
      </c>
      <c r="E753" s="124"/>
      <c r="F753" s="123">
        <f>'RINCIAN B. LANGSUNG USAHA'!P101</f>
        <v>0</v>
      </c>
      <c r="G753" s="123"/>
      <c r="H753" s="122">
        <f t="shared" si="32"/>
        <v>0</v>
      </c>
      <c r="I753" s="121"/>
    </row>
    <row r="754" spans="1:15" x14ac:dyDescent="0.25">
      <c r="A754" s="125"/>
      <c r="B754" s="697" t="s">
        <v>888</v>
      </c>
      <c r="C754" s="697"/>
      <c r="D754" s="697"/>
      <c r="E754" s="124"/>
      <c r="F754" s="152">
        <f>SUM(F747:F753)</f>
        <v>0</v>
      </c>
      <c r="G754" s="123"/>
      <c r="H754" s="153">
        <f>SUM(H747:H753)</f>
        <v>0</v>
      </c>
      <c r="I754" s="121"/>
    </row>
    <row r="755" spans="1:15" x14ac:dyDescent="0.25">
      <c r="A755" s="125"/>
      <c r="B755" s="697" t="s">
        <v>343</v>
      </c>
      <c r="C755" s="697"/>
      <c r="D755" s="697"/>
      <c r="E755" s="124"/>
      <c r="F755" s="154">
        <f>F744-F754</f>
        <v>0</v>
      </c>
      <c r="G755" s="123"/>
      <c r="H755" s="154">
        <f>H744-H754</f>
        <v>0</v>
      </c>
      <c r="I755" s="121"/>
      <c r="O755" s="147"/>
    </row>
    <row r="756" spans="1:15" x14ac:dyDescent="0.25">
      <c r="A756" s="125"/>
      <c r="B756" s="124" t="s">
        <v>336</v>
      </c>
      <c r="C756" s="124" t="s">
        <v>882</v>
      </c>
      <c r="D756" s="124"/>
      <c r="E756" s="124"/>
      <c r="F756" s="123"/>
      <c r="G756" s="123"/>
      <c r="H756" s="122"/>
      <c r="I756" s="121"/>
      <c r="O756" s="147"/>
    </row>
    <row r="757" spans="1:15" x14ac:dyDescent="0.25">
      <c r="A757" s="125"/>
      <c r="B757" s="697" t="s">
        <v>337</v>
      </c>
      <c r="C757" s="697"/>
      <c r="D757" s="124" t="s">
        <v>338</v>
      </c>
      <c r="E757" s="124"/>
      <c r="F757" s="123">
        <f>'RINCIAN B. TDK LANGSUNG'!P77-'RINCIAN B. TDK LANGSUNG'!Q62</f>
        <v>0</v>
      </c>
      <c r="G757" s="123"/>
      <c r="H757" s="122">
        <f>F757+H695</f>
        <v>0</v>
      </c>
      <c r="I757" s="121"/>
    </row>
    <row r="758" spans="1:15" x14ac:dyDescent="0.25">
      <c r="A758" s="125"/>
      <c r="B758" s="697" t="s">
        <v>339</v>
      </c>
      <c r="C758" s="697"/>
      <c r="D758" s="124" t="s">
        <v>340</v>
      </c>
      <c r="E758" s="124"/>
      <c r="F758" s="123">
        <f>'RINCIAN B. TDK LANGSUNG'!Q62</f>
        <v>0</v>
      </c>
      <c r="G758" s="123"/>
      <c r="H758" s="122">
        <f>F758+H696</f>
        <v>0</v>
      </c>
      <c r="I758" s="121"/>
    </row>
    <row r="759" spans="1:15" x14ac:dyDescent="0.25">
      <c r="A759" s="125"/>
      <c r="B759" s="697" t="s">
        <v>341</v>
      </c>
      <c r="C759" s="697"/>
      <c r="D759" s="124" t="s">
        <v>342</v>
      </c>
      <c r="E759" s="124"/>
      <c r="F759" s="123">
        <f>'RINCIAN B. TDK LANGSUNG'!P78+'RINCIAN B. TDK LANGSUNG'!P79</f>
        <v>0</v>
      </c>
      <c r="G759" s="123"/>
      <c r="H759" s="122">
        <f>F759+H697</f>
        <v>0</v>
      </c>
      <c r="I759" s="121"/>
    </row>
    <row r="760" spans="1:15" x14ac:dyDescent="0.25">
      <c r="A760" s="125"/>
      <c r="B760" s="697" t="s">
        <v>883</v>
      </c>
      <c r="C760" s="697"/>
      <c r="D760" s="697"/>
      <c r="E760" s="124"/>
      <c r="F760" s="152">
        <f>SUM(F757:F759)</f>
        <v>0</v>
      </c>
      <c r="G760" s="123"/>
      <c r="H760" s="153">
        <f>SUM(H757:H759)</f>
        <v>0</v>
      </c>
      <c r="I760" s="121"/>
    </row>
    <row r="761" spans="1:15" x14ac:dyDescent="0.25">
      <c r="A761" s="125"/>
      <c r="B761" s="697" t="s">
        <v>884</v>
      </c>
      <c r="C761" s="697"/>
      <c r="D761" s="697"/>
      <c r="E761" s="124"/>
      <c r="F761" s="154">
        <f>F755-F760</f>
        <v>0</v>
      </c>
      <c r="G761" s="123"/>
      <c r="H761" s="154">
        <f>H755-H760</f>
        <v>0</v>
      </c>
      <c r="I761" s="121"/>
    </row>
    <row r="762" spans="1:15" x14ac:dyDescent="0.25">
      <c r="A762" s="125"/>
      <c r="B762" s="6" t="s">
        <v>344</v>
      </c>
      <c r="C762" s="151" t="s">
        <v>885</v>
      </c>
      <c r="D762" s="6"/>
      <c r="E762" s="124"/>
      <c r="F762" s="123"/>
      <c r="G762" s="123"/>
      <c r="H762" s="122"/>
      <c r="I762" s="121"/>
    </row>
    <row r="763" spans="1:15" x14ac:dyDescent="0.25">
      <c r="A763" s="125"/>
      <c r="B763" s="697" t="s">
        <v>345</v>
      </c>
      <c r="C763" s="697"/>
      <c r="D763" s="151" t="s">
        <v>5</v>
      </c>
      <c r="E763" s="124"/>
      <c r="F763" s="123">
        <v>0</v>
      </c>
      <c r="G763" s="123"/>
      <c r="H763" s="122">
        <f>F763+H701</f>
        <v>0</v>
      </c>
      <c r="I763" s="121"/>
    </row>
    <row r="764" spans="1:15" x14ac:dyDescent="0.25">
      <c r="A764" s="125"/>
      <c r="B764" s="697" t="s">
        <v>346</v>
      </c>
      <c r="C764" s="697"/>
      <c r="D764" s="151" t="s">
        <v>887</v>
      </c>
      <c r="E764" s="124"/>
      <c r="F764" s="123">
        <f>-'B. NON OPERASIONAL'!N12</f>
        <v>0</v>
      </c>
      <c r="G764" s="123"/>
      <c r="H764" s="122">
        <f>F764+H702</f>
        <v>0</v>
      </c>
      <c r="I764" s="121"/>
    </row>
    <row r="765" spans="1:15" x14ac:dyDescent="0.25">
      <c r="A765" s="125"/>
      <c r="B765" s="697" t="s">
        <v>886</v>
      </c>
      <c r="C765" s="697"/>
      <c r="D765" s="697"/>
      <c r="E765" s="124"/>
      <c r="F765" s="152">
        <f>F763+F764</f>
        <v>0</v>
      </c>
      <c r="G765" s="123"/>
      <c r="H765" s="152">
        <f>H763+H764</f>
        <v>0</v>
      </c>
      <c r="I765" s="121"/>
    </row>
    <row r="766" spans="1:15" x14ac:dyDescent="0.25">
      <c r="A766" s="125"/>
      <c r="B766" s="697" t="s">
        <v>347</v>
      </c>
      <c r="C766" s="697"/>
      <c r="D766" s="697"/>
      <c r="E766" s="124"/>
      <c r="F766" s="154">
        <f>F761+F765</f>
        <v>0</v>
      </c>
      <c r="G766" s="123"/>
      <c r="H766" s="154">
        <f>H761+H765</f>
        <v>0</v>
      </c>
      <c r="I766" s="121"/>
    </row>
    <row r="767" spans="1:15" x14ac:dyDescent="0.25">
      <c r="A767" s="125"/>
      <c r="B767" s="697" t="s">
        <v>348</v>
      </c>
      <c r="C767" s="697"/>
      <c r="D767" s="697"/>
      <c r="E767" s="124"/>
      <c r="F767" s="123">
        <v>0</v>
      </c>
      <c r="G767" s="123"/>
      <c r="H767" s="123">
        <v>0</v>
      </c>
      <c r="I767" s="121"/>
      <c r="M767" s="150">
        <f>M764-M766</f>
        <v>0</v>
      </c>
    </row>
    <row r="768" spans="1:15" ht="26.25" customHeight="1" x14ac:dyDescent="0.25">
      <c r="A768" s="125"/>
      <c r="B768" s="707" t="s">
        <v>29</v>
      </c>
      <c r="C768" s="708"/>
      <c r="D768" s="709"/>
      <c r="E768" s="142"/>
      <c r="F768" s="160">
        <f>F766-F767</f>
        <v>0</v>
      </c>
      <c r="G768" s="143"/>
      <c r="H768" s="160">
        <f>H766-H767</f>
        <v>0</v>
      </c>
      <c r="I768" s="121"/>
    </row>
    <row r="769" spans="1:9" x14ac:dyDescent="0.25">
      <c r="A769" s="120"/>
      <c r="B769" s="119"/>
      <c r="C769" s="119"/>
      <c r="D769" s="119"/>
      <c r="E769" s="119"/>
      <c r="F769" s="118"/>
      <c r="G769" s="118"/>
      <c r="H769" s="117"/>
      <c r="I769" s="116"/>
    </row>
    <row r="770" spans="1:9" x14ac:dyDescent="0.25">
      <c r="A770" s="115"/>
      <c r="B770" s="112"/>
      <c r="C770" s="112"/>
      <c r="D770" s="112"/>
      <c r="E770" s="112"/>
      <c r="F770" s="114"/>
      <c r="G770" s="114"/>
      <c r="H770" s="113"/>
      <c r="I770" s="112"/>
    </row>
    <row r="771" spans="1:9" x14ac:dyDescent="0.25">
      <c r="A771" s="706" t="s">
        <v>580</v>
      </c>
      <c r="B771" s="706"/>
      <c r="C771" s="706"/>
      <c r="D771" s="706"/>
      <c r="E771" s="13"/>
      <c r="F771" s="698" t="s">
        <v>566</v>
      </c>
      <c r="G771" s="698"/>
      <c r="H771" s="698"/>
      <c r="I771" s="698"/>
    </row>
    <row r="772" spans="1:9" x14ac:dyDescent="0.25">
      <c r="A772" s="706" t="s">
        <v>678</v>
      </c>
      <c r="B772" s="706"/>
      <c r="C772" s="706"/>
      <c r="D772" s="706"/>
      <c r="E772" s="13"/>
      <c r="F772" s="698" t="s">
        <v>680</v>
      </c>
      <c r="G772" s="698"/>
      <c r="H772" s="698"/>
      <c r="I772" s="698"/>
    </row>
    <row r="773" spans="1:9" x14ac:dyDescent="0.25">
      <c r="A773" s="706"/>
      <c r="B773" s="706"/>
      <c r="C773" s="706"/>
      <c r="D773" s="706"/>
      <c r="E773" s="13"/>
      <c r="F773" s="698"/>
      <c r="G773" s="698"/>
      <c r="H773" s="698"/>
      <c r="I773" s="698"/>
    </row>
    <row r="774" spans="1:9" x14ac:dyDescent="0.25">
      <c r="A774" s="706"/>
      <c r="B774" s="706"/>
      <c r="C774" s="706"/>
      <c r="D774" s="706"/>
      <c r="E774" s="13"/>
      <c r="F774" s="698"/>
      <c r="G774" s="698"/>
      <c r="H774" s="698"/>
      <c r="I774" s="698"/>
    </row>
    <row r="775" spans="1:9" x14ac:dyDescent="0.25">
      <c r="A775" s="706" t="s">
        <v>655</v>
      </c>
      <c r="B775" s="706"/>
      <c r="C775" s="706"/>
      <c r="D775" s="706"/>
      <c r="E775" s="13"/>
      <c r="F775" s="698" t="s">
        <v>567</v>
      </c>
      <c r="G775" s="698"/>
      <c r="H775" s="698"/>
      <c r="I775" s="698"/>
    </row>
    <row r="776" spans="1:9" x14ac:dyDescent="0.25">
      <c r="A776" s="697"/>
      <c r="B776" s="697"/>
      <c r="C776" s="697"/>
      <c r="D776" s="697"/>
      <c r="E776" s="697"/>
      <c r="F776" s="697"/>
      <c r="G776" s="697"/>
      <c r="H776" s="697"/>
      <c r="I776" s="697"/>
    </row>
    <row r="777" spans="1:9" x14ac:dyDescent="0.25">
      <c r="A777" s="697"/>
      <c r="B777" s="697"/>
      <c r="C777" s="697"/>
      <c r="D777" s="697"/>
      <c r="E777" s="697"/>
      <c r="F777" s="697"/>
      <c r="G777" s="697"/>
      <c r="H777" s="697"/>
      <c r="I777" s="697"/>
    </row>
    <row r="778" spans="1:9" x14ac:dyDescent="0.25">
      <c r="A778" s="697"/>
      <c r="B778" s="697"/>
      <c r="C778" s="697"/>
      <c r="D778" s="697"/>
      <c r="E778" s="697"/>
      <c r="F778" s="697"/>
      <c r="G778" s="697"/>
      <c r="H778" s="697"/>
      <c r="I778" s="697"/>
    </row>
    <row r="779" spans="1:9" x14ac:dyDescent="0.25">
      <c r="A779" s="697"/>
      <c r="B779" s="697"/>
      <c r="C779" s="697"/>
      <c r="D779" s="697"/>
      <c r="E779" s="697"/>
      <c r="F779" s="697"/>
      <c r="G779" s="697"/>
      <c r="H779" s="697"/>
      <c r="I779" s="697"/>
    </row>
  </sheetData>
  <mergeCells count="630">
    <mergeCell ref="A1:B1"/>
    <mergeCell ref="A654:I654"/>
    <mergeCell ref="A655:I655"/>
    <mergeCell ref="A656:I656"/>
    <mergeCell ref="A649:D649"/>
    <mergeCell ref="F649:I649"/>
    <mergeCell ref="A650:D650"/>
    <mergeCell ref="F650:I650"/>
    <mergeCell ref="A651:D651"/>
    <mergeCell ref="F651:I651"/>
    <mergeCell ref="A652:D652"/>
    <mergeCell ref="F652:I652"/>
    <mergeCell ref="A653:I653"/>
    <mergeCell ref="B638:D638"/>
    <mergeCell ref="B640:C640"/>
    <mergeCell ref="B641:C641"/>
    <mergeCell ref="B642:D642"/>
    <mergeCell ref="B643:D643"/>
    <mergeCell ref="B644:D644"/>
    <mergeCell ref="B645:D645"/>
    <mergeCell ref="A648:D648"/>
    <mergeCell ref="F648:I648"/>
    <mergeCell ref="B627:C627"/>
    <mergeCell ref="B628:C628"/>
    <mergeCell ref="B629:C629"/>
    <mergeCell ref="B631:D631"/>
    <mergeCell ref="B632:D632"/>
    <mergeCell ref="B634:C634"/>
    <mergeCell ref="B635:C635"/>
    <mergeCell ref="B636:C636"/>
    <mergeCell ref="B637:D637"/>
    <mergeCell ref="B630:C630"/>
    <mergeCell ref="B615:C615"/>
    <mergeCell ref="B616:C616"/>
    <mergeCell ref="B617:C617"/>
    <mergeCell ref="B618:C618"/>
    <mergeCell ref="B619:C619"/>
    <mergeCell ref="B621:D621"/>
    <mergeCell ref="B624:C624"/>
    <mergeCell ref="B625:C625"/>
    <mergeCell ref="B626:C626"/>
    <mergeCell ref="B600:H600"/>
    <mergeCell ref="B601:H601"/>
    <mergeCell ref="B602:H602"/>
    <mergeCell ref="B603:H603"/>
    <mergeCell ref="B605:D605"/>
    <mergeCell ref="B609:C609"/>
    <mergeCell ref="B610:C610"/>
    <mergeCell ref="B611:C611"/>
    <mergeCell ref="B614:C614"/>
    <mergeCell ref="A594:D594"/>
    <mergeCell ref="F594:I594"/>
    <mergeCell ref="A595:D595"/>
    <mergeCell ref="F595:I595"/>
    <mergeCell ref="A596:D596"/>
    <mergeCell ref="F596:I596"/>
    <mergeCell ref="A597:D597"/>
    <mergeCell ref="F597:I597"/>
    <mergeCell ref="B583:D583"/>
    <mergeCell ref="B585:C585"/>
    <mergeCell ref="B586:C586"/>
    <mergeCell ref="B587:D587"/>
    <mergeCell ref="B588:D588"/>
    <mergeCell ref="B589:D589"/>
    <mergeCell ref="B590:D590"/>
    <mergeCell ref="A593:D593"/>
    <mergeCell ref="F593:I593"/>
    <mergeCell ref="B572:C572"/>
    <mergeCell ref="B573:C573"/>
    <mergeCell ref="B574:C574"/>
    <mergeCell ref="B576:D576"/>
    <mergeCell ref="B577:D577"/>
    <mergeCell ref="B579:C579"/>
    <mergeCell ref="B580:C580"/>
    <mergeCell ref="B581:C581"/>
    <mergeCell ref="B582:D582"/>
    <mergeCell ref="B575:C575"/>
    <mergeCell ref="B560:C560"/>
    <mergeCell ref="B561:C561"/>
    <mergeCell ref="B562:C562"/>
    <mergeCell ref="B563:C563"/>
    <mergeCell ref="B564:C564"/>
    <mergeCell ref="B566:D566"/>
    <mergeCell ref="B569:C569"/>
    <mergeCell ref="B570:C570"/>
    <mergeCell ref="B571:C571"/>
    <mergeCell ref="B545:H545"/>
    <mergeCell ref="B546:H546"/>
    <mergeCell ref="B547:H547"/>
    <mergeCell ref="B548:H548"/>
    <mergeCell ref="B550:D550"/>
    <mergeCell ref="B554:C554"/>
    <mergeCell ref="B555:C555"/>
    <mergeCell ref="B556:C556"/>
    <mergeCell ref="B559:C559"/>
    <mergeCell ref="B464:D464"/>
    <mergeCell ref="B465:D465"/>
    <mergeCell ref="B466:D466"/>
    <mergeCell ref="A469:D469"/>
    <mergeCell ref="F469:I469"/>
    <mergeCell ref="A475:I475"/>
    <mergeCell ref="A476:I476"/>
    <mergeCell ref="A477:I477"/>
    <mergeCell ref="A478:I478"/>
    <mergeCell ref="A470:D470"/>
    <mergeCell ref="F470:I470"/>
    <mergeCell ref="A471:D471"/>
    <mergeCell ref="F471:I471"/>
    <mergeCell ref="A472:D472"/>
    <mergeCell ref="F472:I472"/>
    <mergeCell ref="A473:D473"/>
    <mergeCell ref="F473:I473"/>
    <mergeCell ref="A474:I474"/>
    <mergeCell ref="B455:C455"/>
    <mergeCell ref="B456:C456"/>
    <mergeCell ref="B457:C457"/>
    <mergeCell ref="B458:D458"/>
    <mergeCell ref="B451:C451"/>
    <mergeCell ref="B459:D459"/>
    <mergeCell ref="B461:C461"/>
    <mergeCell ref="B462:C462"/>
    <mergeCell ref="B463:D463"/>
    <mergeCell ref="B442:D442"/>
    <mergeCell ref="B445:C445"/>
    <mergeCell ref="B446:C446"/>
    <mergeCell ref="B447:C447"/>
    <mergeCell ref="B448:C448"/>
    <mergeCell ref="B449:C449"/>
    <mergeCell ref="B450:C450"/>
    <mergeCell ref="B452:D452"/>
    <mergeCell ref="B453:D453"/>
    <mergeCell ref="B430:C430"/>
    <mergeCell ref="B431:C431"/>
    <mergeCell ref="B432:C432"/>
    <mergeCell ref="B435:C435"/>
    <mergeCell ref="B436:C436"/>
    <mergeCell ref="B437:C437"/>
    <mergeCell ref="B438:C438"/>
    <mergeCell ref="B439:C439"/>
    <mergeCell ref="B440:C440"/>
    <mergeCell ref="A177:D177"/>
    <mergeCell ref="F177:I177"/>
    <mergeCell ref="A178:D178"/>
    <mergeCell ref="F178:I178"/>
    <mergeCell ref="B421:H421"/>
    <mergeCell ref="B422:H422"/>
    <mergeCell ref="B423:H423"/>
    <mergeCell ref="B424:H424"/>
    <mergeCell ref="B426:D426"/>
    <mergeCell ref="B181:H181"/>
    <mergeCell ref="B182:H182"/>
    <mergeCell ref="B183:H183"/>
    <mergeCell ref="B184:H184"/>
    <mergeCell ref="B186:D186"/>
    <mergeCell ref="B190:C190"/>
    <mergeCell ref="B191:C191"/>
    <mergeCell ref="B192:C192"/>
    <mergeCell ref="B195:C195"/>
    <mergeCell ref="B196:C196"/>
    <mergeCell ref="B197:C197"/>
    <mergeCell ref="B198:C198"/>
    <mergeCell ref="B199:C199"/>
    <mergeCell ref="B200:C200"/>
    <mergeCell ref="B202:D202"/>
    <mergeCell ref="A121:I121"/>
    <mergeCell ref="A122:I122"/>
    <mergeCell ref="A174:D174"/>
    <mergeCell ref="F174:I174"/>
    <mergeCell ref="A175:D175"/>
    <mergeCell ref="F175:I175"/>
    <mergeCell ref="A176:D176"/>
    <mergeCell ref="F176:I176"/>
    <mergeCell ref="B3:H3"/>
    <mergeCell ref="B4:H4"/>
    <mergeCell ref="B5:H5"/>
    <mergeCell ref="B6:H6"/>
    <mergeCell ref="B8:D8"/>
    <mergeCell ref="B32:C32"/>
    <mergeCell ref="B12:C12"/>
    <mergeCell ref="B13:C13"/>
    <mergeCell ref="B14:C14"/>
    <mergeCell ref="B17:C17"/>
    <mergeCell ref="B18:C18"/>
    <mergeCell ref="B19:C19"/>
    <mergeCell ref="B20:C20"/>
    <mergeCell ref="B24:D24"/>
    <mergeCell ref="B21:C21"/>
    <mergeCell ref="B22:C22"/>
    <mergeCell ref="B27:C27"/>
    <mergeCell ref="B28:C28"/>
    <mergeCell ref="B29:C29"/>
    <mergeCell ref="B30:C30"/>
    <mergeCell ref="B31:C31"/>
    <mergeCell ref="B49:D49"/>
    <mergeCell ref="B34:D34"/>
    <mergeCell ref="B37:C37"/>
    <mergeCell ref="B38:C38"/>
    <mergeCell ref="B39:C39"/>
    <mergeCell ref="B35:D35"/>
    <mergeCell ref="B41:D41"/>
    <mergeCell ref="B40:D40"/>
    <mergeCell ref="B43:C43"/>
    <mergeCell ref="B44:C44"/>
    <mergeCell ref="B45:D45"/>
    <mergeCell ref="B46:D46"/>
    <mergeCell ref="B33:C33"/>
    <mergeCell ref="B74:C74"/>
    <mergeCell ref="B75:C75"/>
    <mergeCell ref="B76:C76"/>
    <mergeCell ref="B79:C79"/>
    <mergeCell ref="B80:C80"/>
    <mergeCell ref="B65:H65"/>
    <mergeCell ref="B66:H66"/>
    <mergeCell ref="B67:H67"/>
    <mergeCell ref="B68:H68"/>
    <mergeCell ref="B70:D70"/>
    <mergeCell ref="B89:C89"/>
    <mergeCell ref="B90:C90"/>
    <mergeCell ref="B91:C91"/>
    <mergeCell ref="B92:C92"/>
    <mergeCell ref="B93:C93"/>
    <mergeCell ref="B81:C81"/>
    <mergeCell ref="B82:C82"/>
    <mergeCell ref="B83:C83"/>
    <mergeCell ref="B84:C84"/>
    <mergeCell ref="B86:D86"/>
    <mergeCell ref="B101:C101"/>
    <mergeCell ref="B102:D102"/>
    <mergeCell ref="B103:D103"/>
    <mergeCell ref="B105:C105"/>
    <mergeCell ref="B106:C106"/>
    <mergeCell ref="B94:C94"/>
    <mergeCell ref="B96:D96"/>
    <mergeCell ref="B97:D97"/>
    <mergeCell ref="B99:C99"/>
    <mergeCell ref="B100:C100"/>
    <mergeCell ref="B95:C95"/>
    <mergeCell ref="B126:H126"/>
    <mergeCell ref="B127:H127"/>
    <mergeCell ref="B128:H128"/>
    <mergeCell ref="B129:H129"/>
    <mergeCell ref="B131:D131"/>
    <mergeCell ref="B107:D107"/>
    <mergeCell ref="B108:D108"/>
    <mergeCell ref="B109:D109"/>
    <mergeCell ref="B110:D110"/>
    <mergeCell ref="A112:D112"/>
    <mergeCell ref="F112:H112"/>
    <mergeCell ref="A113:D113"/>
    <mergeCell ref="A114:D114"/>
    <mergeCell ref="A115:D115"/>
    <mergeCell ref="A116:D116"/>
    <mergeCell ref="A117:D117"/>
    <mergeCell ref="F113:I113"/>
    <mergeCell ref="F114:I114"/>
    <mergeCell ref="F115:I115"/>
    <mergeCell ref="F116:I116"/>
    <mergeCell ref="F117:I117"/>
    <mergeCell ref="A118:I118"/>
    <mergeCell ref="A119:I119"/>
    <mergeCell ref="A120:I120"/>
    <mergeCell ref="B142:C142"/>
    <mergeCell ref="B143:C143"/>
    <mergeCell ref="B144:C144"/>
    <mergeCell ref="B145:C145"/>
    <mergeCell ref="B147:D147"/>
    <mergeCell ref="B135:C135"/>
    <mergeCell ref="B136:C136"/>
    <mergeCell ref="B137:C137"/>
    <mergeCell ref="B140:C140"/>
    <mergeCell ref="B141:C141"/>
    <mergeCell ref="B155:C155"/>
    <mergeCell ref="B157:D157"/>
    <mergeCell ref="B158:D158"/>
    <mergeCell ref="B160:C160"/>
    <mergeCell ref="B161:C161"/>
    <mergeCell ref="B150:C150"/>
    <mergeCell ref="B151:C151"/>
    <mergeCell ref="B152:C152"/>
    <mergeCell ref="B153:C153"/>
    <mergeCell ref="B154:C154"/>
    <mergeCell ref="B156:C156"/>
    <mergeCell ref="B168:D168"/>
    <mergeCell ref="B169:D169"/>
    <mergeCell ref="B170:D170"/>
    <mergeCell ref="B171:D171"/>
    <mergeCell ref="B162:C162"/>
    <mergeCell ref="B163:D163"/>
    <mergeCell ref="B164:D164"/>
    <mergeCell ref="B166:C166"/>
    <mergeCell ref="B167:C167"/>
    <mergeCell ref="B205:C205"/>
    <mergeCell ref="B206:C206"/>
    <mergeCell ref="B207:C207"/>
    <mergeCell ref="B208:C208"/>
    <mergeCell ref="B209:C209"/>
    <mergeCell ref="B210:C210"/>
    <mergeCell ref="B212:D212"/>
    <mergeCell ref="B213:D213"/>
    <mergeCell ref="B215:C215"/>
    <mergeCell ref="B216:C216"/>
    <mergeCell ref="B217:C217"/>
    <mergeCell ref="B218:D218"/>
    <mergeCell ref="B211:C211"/>
    <mergeCell ref="B219:D219"/>
    <mergeCell ref="B221:C221"/>
    <mergeCell ref="B222:C222"/>
    <mergeCell ref="B223:D223"/>
    <mergeCell ref="B224:D224"/>
    <mergeCell ref="B225:D225"/>
    <mergeCell ref="B226:D226"/>
    <mergeCell ref="A229:D229"/>
    <mergeCell ref="F229:I229"/>
    <mergeCell ref="A230:D230"/>
    <mergeCell ref="F230:I230"/>
    <mergeCell ref="A231:D231"/>
    <mergeCell ref="F231:I231"/>
    <mergeCell ref="A232:D232"/>
    <mergeCell ref="F232:I232"/>
    <mergeCell ref="A233:D233"/>
    <mergeCell ref="F233:I233"/>
    <mergeCell ref="A234:I234"/>
    <mergeCell ref="B237:H237"/>
    <mergeCell ref="B238:H238"/>
    <mergeCell ref="B239:H239"/>
    <mergeCell ref="B240:H240"/>
    <mergeCell ref="B242:D242"/>
    <mergeCell ref="B246:C246"/>
    <mergeCell ref="B247:C247"/>
    <mergeCell ref="B248:C248"/>
    <mergeCell ref="B251:C251"/>
    <mergeCell ref="B252:C252"/>
    <mergeCell ref="B253:C253"/>
    <mergeCell ref="B254:C254"/>
    <mergeCell ref="B255:C255"/>
    <mergeCell ref="B256:C256"/>
    <mergeCell ref="B258:D258"/>
    <mergeCell ref="B261:C261"/>
    <mergeCell ref="B262:C262"/>
    <mergeCell ref="B263:C263"/>
    <mergeCell ref="B264:C264"/>
    <mergeCell ref="B265:C265"/>
    <mergeCell ref="B266:C266"/>
    <mergeCell ref="B268:D268"/>
    <mergeCell ref="B269:D269"/>
    <mergeCell ref="B271:C271"/>
    <mergeCell ref="B272:C272"/>
    <mergeCell ref="B273:C273"/>
    <mergeCell ref="B274:D274"/>
    <mergeCell ref="B267:C267"/>
    <mergeCell ref="B275:D275"/>
    <mergeCell ref="B277:C277"/>
    <mergeCell ref="B278:C278"/>
    <mergeCell ref="B279:D279"/>
    <mergeCell ref="B280:D280"/>
    <mergeCell ref="B281:D281"/>
    <mergeCell ref="B282:D282"/>
    <mergeCell ref="A285:D285"/>
    <mergeCell ref="F285:I285"/>
    <mergeCell ref="A291:I291"/>
    <mergeCell ref="A292:I292"/>
    <mergeCell ref="A293:I293"/>
    <mergeCell ref="A294:I294"/>
    <mergeCell ref="A286:D286"/>
    <mergeCell ref="F286:I286"/>
    <mergeCell ref="A287:D287"/>
    <mergeCell ref="F287:I287"/>
    <mergeCell ref="A288:D288"/>
    <mergeCell ref="F288:I288"/>
    <mergeCell ref="A289:D289"/>
    <mergeCell ref="F289:I289"/>
    <mergeCell ref="A290:I290"/>
    <mergeCell ref="B298:H298"/>
    <mergeCell ref="B299:H299"/>
    <mergeCell ref="B300:H300"/>
    <mergeCell ref="B301:H301"/>
    <mergeCell ref="B303:D303"/>
    <mergeCell ref="B307:C307"/>
    <mergeCell ref="B308:C308"/>
    <mergeCell ref="B309:C309"/>
    <mergeCell ref="B312:C312"/>
    <mergeCell ref="B313:C313"/>
    <mergeCell ref="B314:C314"/>
    <mergeCell ref="B315:C315"/>
    <mergeCell ref="B316:C316"/>
    <mergeCell ref="B317:C317"/>
    <mergeCell ref="B319:D319"/>
    <mergeCell ref="B322:C322"/>
    <mergeCell ref="B323:C323"/>
    <mergeCell ref="B324:C324"/>
    <mergeCell ref="B325:C325"/>
    <mergeCell ref="B326:C326"/>
    <mergeCell ref="B327:C327"/>
    <mergeCell ref="B329:D329"/>
    <mergeCell ref="B330:D330"/>
    <mergeCell ref="B332:C332"/>
    <mergeCell ref="B333:C333"/>
    <mergeCell ref="B334:C334"/>
    <mergeCell ref="B335:D335"/>
    <mergeCell ref="B328:C328"/>
    <mergeCell ref="B336:D336"/>
    <mergeCell ref="B338:C338"/>
    <mergeCell ref="B339:C339"/>
    <mergeCell ref="B340:D340"/>
    <mergeCell ref="B341:D341"/>
    <mergeCell ref="B342:D342"/>
    <mergeCell ref="B343:D343"/>
    <mergeCell ref="A346:D346"/>
    <mergeCell ref="F346:I346"/>
    <mergeCell ref="A352:I352"/>
    <mergeCell ref="A353:I353"/>
    <mergeCell ref="A354:I354"/>
    <mergeCell ref="A355:I355"/>
    <mergeCell ref="A347:D347"/>
    <mergeCell ref="F347:I347"/>
    <mergeCell ref="A348:D348"/>
    <mergeCell ref="F348:I348"/>
    <mergeCell ref="A349:D349"/>
    <mergeCell ref="F349:I349"/>
    <mergeCell ref="A350:D350"/>
    <mergeCell ref="F350:I350"/>
    <mergeCell ref="A351:I351"/>
    <mergeCell ref="B359:H359"/>
    <mergeCell ref="B360:H360"/>
    <mergeCell ref="B361:H361"/>
    <mergeCell ref="B362:H362"/>
    <mergeCell ref="B364:D364"/>
    <mergeCell ref="B368:C368"/>
    <mergeCell ref="B369:C369"/>
    <mergeCell ref="B370:C370"/>
    <mergeCell ref="B373:C373"/>
    <mergeCell ref="B374:C374"/>
    <mergeCell ref="B375:C375"/>
    <mergeCell ref="B376:C376"/>
    <mergeCell ref="B377:C377"/>
    <mergeCell ref="B378:C378"/>
    <mergeCell ref="B380:D380"/>
    <mergeCell ref="B383:C383"/>
    <mergeCell ref="B384:C384"/>
    <mergeCell ref="B385:C385"/>
    <mergeCell ref="B386:C386"/>
    <mergeCell ref="B387:C387"/>
    <mergeCell ref="B388:C388"/>
    <mergeCell ref="B390:D390"/>
    <mergeCell ref="B391:D391"/>
    <mergeCell ref="B393:C393"/>
    <mergeCell ref="B394:C394"/>
    <mergeCell ref="B395:C395"/>
    <mergeCell ref="B396:D396"/>
    <mergeCell ref="B389:C389"/>
    <mergeCell ref="B397:D397"/>
    <mergeCell ref="B399:C399"/>
    <mergeCell ref="B400:C400"/>
    <mergeCell ref="B401:D401"/>
    <mergeCell ref="B402:D402"/>
    <mergeCell ref="B403:D403"/>
    <mergeCell ref="B404:D404"/>
    <mergeCell ref="A407:D407"/>
    <mergeCell ref="F407:I407"/>
    <mergeCell ref="A413:I413"/>
    <mergeCell ref="A414:I414"/>
    <mergeCell ref="A415:I415"/>
    <mergeCell ref="A416:I416"/>
    <mergeCell ref="A408:D408"/>
    <mergeCell ref="F408:I408"/>
    <mergeCell ref="A409:D409"/>
    <mergeCell ref="F409:I409"/>
    <mergeCell ref="A410:D410"/>
    <mergeCell ref="F410:I410"/>
    <mergeCell ref="A411:D411"/>
    <mergeCell ref="F411:I411"/>
    <mergeCell ref="A412:I412"/>
    <mergeCell ref="B484:H484"/>
    <mergeCell ref="B485:H485"/>
    <mergeCell ref="B486:H486"/>
    <mergeCell ref="B487:H487"/>
    <mergeCell ref="B489:D489"/>
    <mergeCell ref="B493:C493"/>
    <mergeCell ref="B494:C494"/>
    <mergeCell ref="B495:C495"/>
    <mergeCell ref="B498:C498"/>
    <mergeCell ref="B499:C499"/>
    <mergeCell ref="B500:C500"/>
    <mergeCell ref="B501:C501"/>
    <mergeCell ref="B502:C502"/>
    <mergeCell ref="B503:C503"/>
    <mergeCell ref="B505:D505"/>
    <mergeCell ref="B508:C508"/>
    <mergeCell ref="B509:C509"/>
    <mergeCell ref="B510:C510"/>
    <mergeCell ref="B511:C511"/>
    <mergeCell ref="B512:C512"/>
    <mergeCell ref="B513:C513"/>
    <mergeCell ref="B515:D515"/>
    <mergeCell ref="B516:D516"/>
    <mergeCell ref="B518:C518"/>
    <mergeCell ref="B519:C519"/>
    <mergeCell ref="B520:C520"/>
    <mergeCell ref="B521:D521"/>
    <mergeCell ref="B514:C514"/>
    <mergeCell ref="B522:D522"/>
    <mergeCell ref="B524:C524"/>
    <mergeCell ref="B525:C525"/>
    <mergeCell ref="B526:D526"/>
    <mergeCell ref="B527:D527"/>
    <mergeCell ref="B528:D528"/>
    <mergeCell ref="B529:D529"/>
    <mergeCell ref="A532:D532"/>
    <mergeCell ref="F532:I532"/>
    <mergeCell ref="A538:I538"/>
    <mergeCell ref="A539:I539"/>
    <mergeCell ref="A540:I540"/>
    <mergeCell ref="A541:I541"/>
    <mergeCell ref="A533:D533"/>
    <mergeCell ref="F533:I533"/>
    <mergeCell ref="A534:D534"/>
    <mergeCell ref="F534:I534"/>
    <mergeCell ref="A535:D535"/>
    <mergeCell ref="F535:I535"/>
    <mergeCell ref="A536:D536"/>
    <mergeCell ref="F536:I536"/>
    <mergeCell ref="A537:I537"/>
    <mergeCell ref="B661:H661"/>
    <mergeCell ref="B662:H662"/>
    <mergeCell ref="B663:H663"/>
    <mergeCell ref="B664:H664"/>
    <mergeCell ref="B666:D666"/>
    <mergeCell ref="B670:C670"/>
    <mergeCell ref="B671:C671"/>
    <mergeCell ref="B672:C672"/>
    <mergeCell ref="B675:C675"/>
    <mergeCell ref="B676:C676"/>
    <mergeCell ref="B677:C677"/>
    <mergeCell ref="B678:C678"/>
    <mergeCell ref="B679:C679"/>
    <mergeCell ref="B680:C680"/>
    <mergeCell ref="B682:D682"/>
    <mergeCell ref="B685:C685"/>
    <mergeCell ref="B686:C686"/>
    <mergeCell ref="B687:C687"/>
    <mergeCell ref="B688:C688"/>
    <mergeCell ref="B689:C689"/>
    <mergeCell ref="B690:C690"/>
    <mergeCell ref="B692:D692"/>
    <mergeCell ref="B693:D693"/>
    <mergeCell ref="B695:C695"/>
    <mergeCell ref="B696:C696"/>
    <mergeCell ref="B697:C697"/>
    <mergeCell ref="B698:D698"/>
    <mergeCell ref="B691:C691"/>
    <mergeCell ref="B699:D699"/>
    <mergeCell ref="B701:C701"/>
    <mergeCell ref="B702:C702"/>
    <mergeCell ref="B703:D703"/>
    <mergeCell ref="B704:D704"/>
    <mergeCell ref="B705:D705"/>
    <mergeCell ref="B706:D706"/>
    <mergeCell ref="A709:D709"/>
    <mergeCell ref="F709:I709"/>
    <mergeCell ref="A715:I715"/>
    <mergeCell ref="A716:I716"/>
    <mergeCell ref="A717:I717"/>
    <mergeCell ref="A710:D710"/>
    <mergeCell ref="F710:I710"/>
    <mergeCell ref="A711:D711"/>
    <mergeCell ref="F711:I711"/>
    <mergeCell ref="A712:D712"/>
    <mergeCell ref="F712:I712"/>
    <mergeCell ref="A713:D713"/>
    <mergeCell ref="F713:I713"/>
    <mergeCell ref="A714:I714"/>
    <mergeCell ref="B723:H723"/>
    <mergeCell ref="B724:H724"/>
    <mergeCell ref="B725:H725"/>
    <mergeCell ref="B726:H726"/>
    <mergeCell ref="B728:D728"/>
    <mergeCell ref="B732:C732"/>
    <mergeCell ref="B733:C733"/>
    <mergeCell ref="B734:C734"/>
    <mergeCell ref="B737:C737"/>
    <mergeCell ref="B738:C738"/>
    <mergeCell ref="B739:C739"/>
    <mergeCell ref="B740:C740"/>
    <mergeCell ref="B741:C741"/>
    <mergeCell ref="B742:C742"/>
    <mergeCell ref="B744:D744"/>
    <mergeCell ref="B747:C747"/>
    <mergeCell ref="B748:C748"/>
    <mergeCell ref="B749:C749"/>
    <mergeCell ref="B750:C750"/>
    <mergeCell ref="B751:C751"/>
    <mergeCell ref="B752:C752"/>
    <mergeCell ref="B754:D754"/>
    <mergeCell ref="B755:D755"/>
    <mergeCell ref="B757:C757"/>
    <mergeCell ref="B758:C758"/>
    <mergeCell ref="B759:C759"/>
    <mergeCell ref="B760:D760"/>
    <mergeCell ref="B753:C753"/>
    <mergeCell ref="B761:D761"/>
    <mergeCell ref="B763:C763"/>
    <mergeCell ref="B764:C764"/>
    <mergeCell ref="B765:D765"/>
    <mergeCell ref="B766:D766"/>
    <mergeCell ref="B767:D767"/>
    <mergeCell ref="B768:D768"/>
    <mergeCell ref="A771:D771"/>
    <mergeCell ref="F771:I771"/>
    <mergeCell ref="A777:I777"/>
    <mergeCell ref="A778:I778"/>
    <mergeCell ref="A779:I779"/>
    <mergeCell ref="A772:D772"/>
    <mergeCell ref="F772:I772"/>
    <mergeCell ref="A773:D773"/>
    <mergeCell ref="F773:I773"/>
    <mergeCell ref="A774:D774"/>
    <mergeCell ref="F774:I774"/>
    <mergeCell ref="A775:D775"/>
    <mergeCell ref="F775:I775"/>
    <mergeCell ref="A776:I776"/>
    <mergeCell ref="A52:D52"/>
    <mergeCell ref="F52:I52"/>
    <mergeCell ref="A53:D53"/>
    <mergeCell ref="F53:I53"/>
    <mergeCell ref="A54:D54"/>
    <mergeCell ref="F54:I54"/>
    <mergeCell ref="A55:D55"/>
    <mergeCell ref="F55:I55"/>
    <mergeCell ref="A56:D56"/>
    <mergeCell ref="F56:I56"/>
  </mergeCells>
  <phoneticPr fontId="46" type="noConversion"/>
  <printOptions horizontalCentered="1"/>
  <pageMargins left="0.17" right="0.23" top="0.5" bottom="0.21" header="0.3" footer="0.3"/>
  <pageSetup paperSize="9" scale="103" orientation="portrait" horizontalDpi="4294967293" verticalDpi="300" r:id="rId1"/>
  <rowBreaks count="5" manualBreakCount="5">
    <brk id="62" max="16383" man="1"/>
    <brk id="117" max="16383" man="1"/>
    <brk id="123" max="16383" man="1"/>
    <brk id="178" max="16383" man="1"/>
    <brk id="233" max="16383" man="1"/>
  </rowBreaks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34"/>
  <sheetViews>
    <sheetView view="pageLayout" topLeftCell="A997" workbookViewId="0">
      <selection activeCell="N78" sqref="N78"/>
    </sheetView>
  </sheetViews>
  <sheetFormatPr defaultColWidth="9.140625" defaultRowHeight="12" x14ac:dyDescent="0.2"/>
  <cols>
    <col min="1" max="1" width="1.140625" style="124" customWidth="1"/>
    <col min="2" max="2" width="3.28515625" style="124" customWidth="1"/>
    <col min="3" max="3" width="2.140625" style="124" customWidth="1"/>
    <col min="4" max="4" width="40.140625" style="124" customWidth="1"/>
    <col min="5" max="5" width="1.140625" style="124" customWidth="1"/>
    <col min="6" max="6" width="8.5703125" style="6" customWidth="1"/>
    <col min="7" max="7" width="1.140625" style="124" customWidth="1"/>
    <col min="8" max="8" width="21.42578125" style="123" customWidth="1"/>
    <col min="9" max="9" width="0.7109375" style="123" customWidth="1"/>
    <col min="10" max="10" width="18.5703125" style="501" customWidth="1"/>
    <col min="11" max="11" width="1.140625" style="177" customWidth="1"/>
    <col min="12" max="12" width="19.28515625" style="124" customWidth="1"/>
    <col min="13" max="13" width="18.28515625" style="212" customWidth="1"/>
    <col min="14" max="14" width="19.140625" style="124" customWidth="1"/>
    <col min="15" max="18" width="9.140625" style="124"/>
    <col min="19" max="19" width="9.140625" style="124" customWidth="1"/>
    <col min="20" max="20" width="9.140625" style="124"/>
    <col min="21" max="21" width="19" style="124" bestFit="1" customWidth="1"/>
    <col min="22" max="16384" width="9.140625" style="124"/>
  </cols>
  <sheetData>
    <row r="1" spans="1:14" ht="12.75" x14ac:dyDescent="0.2">
      <c r="B1" s="175"/>
      <c r="C1" s="175"/>
      <c r="D1" s="175"/>
    </row>
    <row r="2" spans="1:14" ht="14.25" x14ac:dyDescent="0.2">
      <c r="A2" s="112" t="s">
        <v>31</v>
      </c>
      <c r="C2" s="112" t="s">
        <v>862</v>
      </c>
      <c r="D2" s="590"/>
    </row>
    <row r="4" spans="1:14" ht="16.5" x14ac:dyDescent="0.25">
      <c r="A4" s="178"/>
      <c r="B4" s="729" t="s">
        <v>650</v>
      </c>
      <c r="C4" s="729"/>
      <c r="D4" s="729"/>
      <c r="E4" s="729"/>
      <c r="F4" s="729"/>
      <c r="G4" s="729"/>
      <c r="H4" s="729"/>
      <c r="I4" s="729"/>
      <c r="J4" s="729"/>
      <c r="K4" s="179"/>
    </row>
    <row r="5" spans="1:14" ht="16.5" x14ac:dyDescent="0.25">
      <c r="A5" s="180"/>
      <c r="B5" s="585" t="s">
        <v>862</v>
      </c>
      <c r="C5" s="586"/>
      <c r="D5" s="586"/>
      <c r="E5" s="586"/>
      <c r="F5" s="586"/>
      <c r="G5" s="586"/>
      <c r="H5" s="587"/>
      <c r="I5" s="587"/>
      <c r="J5" s="588"/>
      <c r="K5" s="182"/>
    </row>
    <row r="6" spans="1:14" ht="16.5" x14ac:dyDescent="0.25">
      <c r="A6" s="180"/>
      <c r="B6" s="719" t="s">
        <v>1050</v>
      </c>
      <c r="C6" s="719"/>
      <c r="D6" s="719"/>
      <c r="E6" s="719"/>
      <c r="F6" s="719"/>
      <c r="G6" s="719"/>
      <c r="H6" s="719"/>
      <c r="I6" s="719"/>
      <c r="J6" s="719"/>
      <c r="K6" s="182"/>
    </row>
    <row r="7" spans="1:14" ht="12.75" thickBot="1" x14ac:dyDescent="0.25">
      <c r="A7" s="688" t="e" cm="1" vm="1">
        <f t="array" aca="1" ref="A7" ca="1">+K7:AA54</f>
        <v>#VALUE!</v>
      </c>
      <c r="B7" s="181"/>
      <c r="C7" s="181"/>
      <c r="D7" s="181"/>
      <c r="E7" s="181"/>
      <c r="G7" s="181"/>
      <c r="H7" s="293"/>
      <c r="I7" s="293"/>
      <c r="J7" s="210"/>
      <c r="K7" s="183"/>
    </row>
    <row r="8" spans="1:14" ht="16.5" customHeight="1" x14ac:dyDescent="0.2">
      <c r="A8" s="180"/>
      <c r="B8" s="720" t="s">
        <v>15</v>
      </c>
      <c r="C8" s="721"/>
      <c r="D8" s="722"/>
      <c r="E8" s="175"/>
      <c r="F8" s="726" t="s">
        <v>13</v>
      </c>
      <c r="G8" s="184"/>
      <c r="H8" s="295" t="s">
        <v>1051</v>
      </c>
      <c r="I8" s="296"/>
      <c r="J8" s="502" t="s">
        <v>861</v>
      </c>
      <c r="K8" s="185"/>
      <c r="L8" s="176"/>
    </row>
    <row r="9" spans="1:14" ht="15.75" customHeight="1" thickBot="1" x14ac:dyDescent="0.25">
      <c r="A9" s="180"/>
      <c r="B9" s="723"/>
      <c r="C9" s="724"/>
      <c r="D9" s="725"/>
      <c r="E9" s="175"/>
      <c r="F9" s="727"/>
      <c r="G9" s="184"/>
      <c r="H9" s="297" t="s">
        <v>22</v>
      </c>
      <c r="I9" s="298"/>
      <c r="J9" s="503" t="s">
        <v>22</v>
      </c>
      <c r="K9" s="186"/>
    </row>
    <row r="10" spans="1:14" x14ac:dyDescent="0.2">
      <c r="A10" s="180"/>
      <c r="B10" s="128" t="s">
        <v>863</v>
      </c>
      <c r="C10" s="128"/>
      <c r="D10" s="128"/>
      <c r="E10" s="128"/>
      <c r="F10" s="134"/>
      <c r="G10" s="134"/>
      <c r="H10" s="299"/>
      <c r="I10" s="299"/>
      <c r="J10" s="504"/>
      <c r="K10" s="187"/>
    </row>
    <row r="11" spans="1:14" x14ac:dyDescent="0.2">
      <c r="A11" s="180"/>
      <c r="B11" s="128" t="s">
        <v>864</v>
      </c>
      <c r="G11" s="6"/>
      <c r="J11" s="210"/>
      <c r="K11" s="183"/>
    </row>
    <row r="12" spans="1:14" x14ac:dyDescent="0.2">
      <c r="A12" s="180"/>
      <c r="B12" s="5" t="s">
        <v>16</v>
      </c>
      <c r="C12" s="124" t="s">
        <v>6</v>
      </c>
      <c r="G12" s="6"/>
      <c r="H12" s="122">
        <v>0</v>
      </c>
      <c r="I12" s="294"/>
      <c r="J12" s="210">
        <v>0</v>
      </c>
      <c r="K12" s="183"/>
      <c r="L12" s="176">
        <f>J12-H12</f>
        <v>0</v>
      </c>
      <c r="N12" s="312"/>
    </row>
    <row r="13" spans="1:14" x14ac:dyDescent="0.2">
      <c r="A13" s="180"/>
      <c r="B13" s="5" t="s">
        <v>16</v>
      </c>
      <c r="C13" s="124" t="s">
        <v>307</v>
      </c>
      <c r="G13" s="6"/>
      <c r="H13" s="122">
        <v>0</v>
      </c>
      <c r="I13" s="294"/>
      <c r="J13" s="210">
        <v>0</v>
      </c>
      <c r="K13" s="183"/>
      <c r="L13" s="176">
        <f t="shared" ref="L13:L19" si="0">J13-H13</f>
        <v>0</v>
      </c>
      <c r="N13" s="312"/>
    </row>
    <row r="14" spans="1:14" x14ac:dyDescent="0.2">
      <c r="A14" s="180"/>
      <c r="B14" s="5" t="s">
        <v>16</v>
      </c>
      <c r="C14" s="124" t="s">
        <v>7</v>
      </c>
      <c r="G14" s="6"/>
      <c r="H14" s="122">
        <v>0</v>
      </c>
      <c r="I14" s="294"/>
      <c r="J14" s="210">
        <v>0</v>
      </c>
      <c r="K14" s="183"/>
      <c r="L14" s="176">
        <f t="shared" si="0"/>
        <v>0</v>
      </c>
      <c r="N14" s="312"/>
    </row>
    <row r="15" spans="1:14" ht="14.25" x14ac:dyDescent="0.35">
      <c r="A15" s="180"/>
      <c r="C15" s="124" t="s">
        <v>84</v>
      </c>
      <c r="G15" s="6"/>
      <c r="H15" s="300">
        <v>0</v>
      </c>
      <c r="I15" s="301"/>
      <c r="J15" s="505">
        <v>0</v>
      </c>
      <c r="K15" s="183"/>
      <c r="L15" s="176">
        <f t="shared" si="0"/>
        <v>0</v>
      </c>
      <c r="N15" s="312"/>
    </row>
    <row r="16" spans="1:14" x14ac:dyDescent="0.2">
      <c r="A16" s="180"/>
      <c r="C16" s="124" t="s">
        <v>8</v>
      </c>
      <c r="G16" s="6"/>
      <c r="H16" s="122">
        <f>SUM(H14:H15)</f>
        <v>0</v>
      </c>
      <c r="I16" s="122"/>
      <c r="J16" s="210">
        <f>SUM(J14:J15)</f>
        <v>0</v>
      </c>
      <c r="K16" s="183"/>
      <c r="L16" s="176">
        <f t="shared" si="0"/>
        <v>0</v>
      </c>
      <c r="N16" s="312"/>
    </row>
    <row r="17" spans="1:14" x14ac:dyDescent="0.2">
      <c r="A17" s="180"/>
      <c r="B17" s="5" t="s">
        <v>16</v>
      </c>
      <c r="C17" s="124" t="s">
        <v>293</v>
      </c>
      <c r="G17" s="6"/>
      <c r="H17" s="122"/>
      <c r="I17" s="122"/>
      <c r="J17" s="210">
        <v>0</v>
      </c>
      <c r="K17" s="183"/>
      <c r="L17" s="200">
        <f t="shared" si="0"/>
        <v>0</v>
      </c>
      <c r="N17" s="312"/>
    </row>
    <row r="18" spans="1:14" x14ac:dyDescent="0.2">
      <c r="A18" s="180"/>
      <c r="B18" s="5" t="s">
        <v>16</v>
      </c>
      <c r="C18" s="124" t="s">
        <v>9</v>
      </c>
      <c r="G18" s="6"/>
      <c r="H18" s="294">
        <v>0</v>
      </c>
      <c r="I18" s="122"/>
      <c r="J18" s="210">
        <v>0</v>
      </c>
      <c r="K18" s="183"/>
      <c r="L18" s="200">
        <f t="shared" si="0"/>
        <v>0</v>
      </c>
      <c r="N18" s="312"/>
    </row>
    <row r="19" spans="1:14" x14ac:dyDescent="0.2">
      <c r="A19" s="180"/>
      <c r="B19" s="5" t="s">
        <v>16</v>
      </c>
      <c r="C19" s="124" t="s">
        <v>280</v>
      </c>
      <c r="G19" s="6"/>
      <c r="H19" s="117"/>
      <c r="I19" s="122"/>
      <c r="J19" s="493">
        <v>0</v>
      </c>
      <c r="K19" s="183"/>
      <c r="L19" s="200">
        <f t="shared" si="0"/>
        <v>0</v>
      </c>
      <c r="N19" s="312"/>
    </row>
    <row r="20" spans="1:14" x14ac:dyDescent="0.2">
      <c r="A20" s="180"/>
      <c r="C20" s="128" t="s">
        <v>946</v>
      </c>
      <c r="G20" s="6"/>
      <c r="H20" s="302">
        <f>H12+H16+H17+H18+H19+H13</f>
        <v>0</v>
      </c>
      <c r="I20" s="122"/>
      <c r="J20" s="506">
        <f>SUM(J16:J19)+J12+J13</f>
        <v>0</v>
      </c>
      <c r="K20" s="183"/>
      <c r="L20" s="200"/>
      <c r="N20" s="312"/>
    </row>
    <row r="21" spans="1:14" x14ac:dyDescent="0.2">
      <c r="A21" s="180"/>
      <c r="G21" s="6"/>
      <c r="H21" s="122"/>
      <c r="I21" s="122"/>
      <c r="J21" s="210"/>
      <c r="K21" s="183"/>
      <c r="L21" s="200">
        <f>J21-H21</f>
        <v>0</v>
      </c>
      <c r="N21" s="312"/>
    </row>
    <row r="22" spans="1:14" x14ac:dyDescent="0.2">
      <c r="A22" s="180"/>
      <c r="B22" s="128" t="s">
        <v>865</v>
      </c>
      <c r="G22" s="6"/>
      <c r="H22" s="122"/>
      <c r="I22" s="122"/>
      <c r="J22" s="210"/>
      <c r="K22" s="183"/>
      <c r="L22" s="200">
        <f>J22-H22</f>
        <v>0</v>
      </c>
      <c r="N22" s="312"/>
    </row>
    <row r="23" spans="1:14" x14ac:dyDescent="0.2">
      <c r="A23" s="180"/>
      <c r="C23" s="124" t="s">
        <v>947</v>
      </c>
      <c r="G23" s="6"/>
      <c r="H23" s="122">
        <v>0</v>
      </c>
      <c r="I23" s="122"/>
      <c r="J23" s="210">
        <v>0</v>
      </c>
      <c r="K23" s="183"/>
      <c r="L23" s="200">
        <f>J23-H23</f>
        <v>0</v>
      </c>
      <c r="N23" s="312"/>
    </row>
    <row r="24" spans="1:14" x14ac:dyDescent="0.2">
      <c r="A24" s="180"/>
      <c r="B24" s="5" t="s">
        <v>16</v>
      </c>
      <c r="C24" s="124" t="s">
        <v>10</v>
      </c>
      <c r="G24" s="6"/>
      <c r="H24" s="294">
        <v>0</v>
      </c>
      <c r="I24" s="122"/>
      <c r="J24" s="210">
        <v>0</v>
      </c>
      <c r="K24" s="183"/>
      <c r="L24" s="200">
        <f>J24-H24</f>
        <v>0</v>
      </c>
      <c r="N24" s="312"/>
    </row>
    <row r="25" spans="1:14" x14ac:dyDescent="0.2">
      <c r="A25" s="180"/>
      <c r="B25" s="5"/>
      <c r="D25" s="124" t="s">
        <v>1052</v>
      </c>
      <c r="G25" s="6"/>
      <c r="H25" s="302">
        <f>SUM(H23:H24)</f>
        <v>0</v>
      </c>
      <c r="I25" s="122"/>
      <c r="J25" s="506">
        <f>SUM(J23:J24)</f>
        <v>0</v>
      </c>
      <c r="K25" s="183"/>
      <c r="L25" s="200">
        <f t="shared" ref="L25:L32" si="1">J25-H25</f>
        <v>0</v>
      </c>
      <c r="N25" s="312"/>
    </row>
    <row r="26" spans="1:14" x14ac:dyDescent="0.2">
      <c r="A26" s="180"/>
      <c r="B26" s="128" t="s">
        <v>866</v>
      </c>
      <c r="G26" s="6"/>
      <c r="H26" s="122"/>
      <c r="I26" s="122"/>
      <c r="J26" s="210"/>
      <c r="K26" s="183"/>
      <c r="L26" s="200">
        <f t="shared" si="1"/>
        <v>0</v>
      </c>
      <c r="N26" s="312"/>
    </row>
    <row r="27" spans="1:14" x14ac:dyDescent="0.2">
      <c r="A27" s="180"/>
      <c r="C27" s="124" t="s">
        <v>948</v>
      </c>
      <c r="G27" s="6"/>
      <c r="H27" s="122">
        <v>0</v>
      </c>
      <c r="I27" s="122"/>
      <c r="J27" s="210">
        <v>0</v>
      </c>
      <c r="K27" s="183"/>
      <c r="L27" s="200">
        <f t="shared" si="1"/>
        <v>0</v>
      </c>
      <c r="N27" s="312"/>
    </row>
    <row r="28" spans="1:14" x14ac:dyDescent="0.2">
      <c r="A28" s="180"/>
      <c r="B28" s="5" t="s">
        <v>16</v>
      </c>
      <c r="C28" s="124" t="s">
        <v>300</v>
      </c>
      <c r="G28" s="6"/>
      <c r="H28" s="122">
        <v>0</v>
      </c>
      <c r="I28" s="122"/>
      <c r="J28" s="210">
        <v>0</v>
      </c>
      <c r="K28" s="183"/>
      <c r="L28" s="200">
        <f t="shared" si="1"/>
        <v>0</v>
      </c>
      <c r="N28" s="312"/>
    </row>
    <row r="29" spans="1:14" x14ac:dyDescent="0.2">
      <c r="A29" s="180"/>
      <c r="C29" s="124" t="s">
        <v>24</v>
      </c>
      <c r="G29" s="6"/>
      <c r="H29" s="654">
        <f>SUM(H27:H28)</f>
        <v>0</v>
      </c>
      <c r="I29" s="122"/>
      <c r="J29" s="506">
        <f>SUM(J27:J28)</f>
        <v>0</v>
      </c>
      <c r="K29" s="183"/>
      <c r="L29" s="200">
        <f t="shared" si="1"/>
        <v>0</v>
      </c>
      <c r="N29" s="312"/>
    </row>
    <row r="30" spans="1:14" x14ac:dyDescent="0.2">
      <c r="A30" s="180"/>
      <c r="B30" s="128" t="s">
        <v>867</v>
      </c>
      <c r="G30" s="6"/>
      <c r="H30" s="122"/>
      <c r="I30" s="122"/>
      <c r="J30" s="210"/>
      <c r="K30" s="183"/>
      <c r="L30" s="200">
        <f t="shared" si="1"/>
        <v>0</v>
      </c>
      <c r="N30" s="312"/>
    </row>
    <row r="31" spans="1:14" x14ac:dyDescent="0.2">
      <c r="A31" s="180"/>
      <c r="B31" s="128"/>
      <c r="C31" s="124" t="s">
        <v>949</v>
      </c>
      <c r="G31" s="6"/>
      <c r="H31" s="655">
        <v>0</v>
      </c>
      <c r="I31" s="122"/>
      <c r="J31" s="506">
        <v>0</v>
      </c>
      <c r="K31" s="183"/>
      <c r="L31" s="200">
        <f t="shared" si="1"/>
        <v>0</v>
      </c>
      <c r="N31" s="312"/>
    </row>
    <row r="32" spans="1:14" x14ac:dyDescent="0.2">
      <c r="A32" s="180"/>
      <c r="B32" s="128" t="s">
        <v>1053</v>
      </c>
      <c r="G32" s="6"/>
      <c r="H32" s="122"/>
      <c r="I32" s="122"/>
      <c r="J32" s="210"/>
      <c r="K32" s="183"/>
      <c r="L32" s="200">
        <f t="shared" si="1"/>
        <v>0</v>
      </c>
      <c r="N32" s="312"/>
    </row>
    <row r="33" spans="1:14" ht="10.7" customHeight="1" x14ac:dyDescent="0.2">
      <c r="A33" s="180"/>
      <c r="C33" s="124" t="s">
        <v>1054</v>
      </c>
      <c r="G33" s="6"/>
      <c r="H33" s="302">
        <v>0</v>
      </c>
      <c r="I33" s="122">
        <v>0</v>
      </c>
      <c r="J33" s="506">
        <v>0</v>
      </c>
      <c r="K33" s="190"/>
      <c r="L33" s="200"/>
      <c r="N33" s="312"/>
    </row>
    <row r="34" spans="1:14" ht="27.95" customHeight="1" thickBot="1" x14ac:dyDescent="0.25">
      <c r="A34" s="180"/>
      <c r="G34" s="6"/>
      <c r="H34" s="122"/>
      <c r="I34" s="122"/>
      <c r="J34" s="210"/>
      <c r="K34" s="183"/>
      <c r="L34" s="200">
        <f t="shared" ref="L34:L40" si="2">J34-H34</f>
        <v>0</v>
      </c>
      <c r="N34" s="312"/>
    </row>
    <row r="35" spans="1:14" ht="26.85" customHeight="1" thickBot="1" x14ac:dyDescent="0.25">
      <c r="A35" s="180"/>
      <c r="B35" s="730" t="s">
        <v>868</v>
      </c>
      <c r="C35" s="731"/>
      <c r="D35" s="732"/>
      <c r="E35" s="188"/>
      <c r="F35" s="189"/>
      <c r="G35" s="188"/>
      <c r="H35" s="303">
        <f>H20+H25+H29+H33</f>
        <v>0</v>
      </c>
      <c r="I35" s="304">
        <f>I20+I25</f>
        <v>0</v>
      </c>
      <c r="J35" s="500">
        <f>J20+J25+J29+J33</f>
        <v>0</v>
      </c>
      <c r="K35" s="183"/>
      <c r="L35" s="200">
        <f t="shared" si="2"/>
        <v>0</v>
      </c>
      <c r="N35" s="312"/>
    </row>
    <row r="36" spans="1:14" x14ac:dyDescent="0.2">
      <c r="A36" s="180"/>
      <c r="H36" s="122"/>
      <c r="I36" s="122"/>
      <c r="J36" s="210"/>
      <c r="K36" s="183"/>
      <c r="L36" s="200">
        <f t="shared" si="2"/>
        <v>0</v>
      </c>
      <c r="N36" s="312"/>
    </row>
    <row r="37" spans="1:14" x14ac:dyDescent="0.2">
      <c r="A37" s="180"/>
      <c r="H37" s="122"/>
      <c r="I37" s="122"/>
      <c r="J37" s="210"/>
      <c r="K37" s="183"/>
      <c r="L37" s="200">
        <f t="shared" si="2"/>
        <v>0</v>
      </c>
      <c r="N37" s="312"/>
    </row>
    <row r="38" spans="1:14" x14ac:dyDescent="0.2">
      <c r="A38" s="180"/>
      <c r="B38" s="151" t="s">
        <v>870</v>
      </c>
      <c r="H38" s="122"/>
      <c r="I38" s="122"/>
      <c r="J38" s="210"/>
      <c r="K38" s="183"/>
      <c r="L38" s="200">
        <f t="shared" si="2"/>
        <v>0</v>
      </c>
      <c r="N38" s="312"/>
    </row>
    <row r="39" spans="1:14" x14ac:dyDescent="0.2">
      <c r="A39" s="180"/>
      <c r="C39" s="6" t="s">
        <v>16</v>
      </c>
      <c r="D39" s="191" t="s">
        <v>869</v>
      </c>
      <c r="H39" s="122"/>
      <c r="I39" s="122"/>
      <c r="J39" s="210"/>
      <c r="K39" s="183"/>
      <c r="L39" s="200">
        <f t="shared" si="2"/>
        <v>0</v>
      </c>
      <c r="N39" s="312"/>
    </row>
    <row r="40" spans="1:14" x14ac:dyDescent="0.2">
      <c r="A40" s="180"/>
      <c r="C40" s="6"/>
      <c r="D40" s="192" t="s">
        <v>871</v>
      </c>
      <c r="H40" s="122"/>
      <c r="I40" s="122"/>
      <c r="J40" s="210"/>
      <c r="K40" s="183"/>
      <c r="L40" s="200">
        <f t="shared" si="2"/>
        <v>0</v>
      </c>
      <c r="N40" s="312"/>
    </row>
    <row r="41" spans="1:14" x14ac:dyDescent="0.2">
      <c r="A41" s="180"/>
      <c r="C41" s="6"/>
      <c r="D41" s="193" t="s">
        <v>1055</v>
      </c>
      <c r="H41" s="122">
        <v>0</v>
      </c>
      <c r="I41" s="122"/>
      <c r="J41" s="210"/>
      <c r="K41" s="183"/>
      <c r="L41" s="200">
        <f>J41-H41</f>
        <v>0</v>
      </c>
      <c r="N41" s="312"/>
    </row>
    <row r="42" spans="1:14" x14ac:dyDescent="0.2">
      <c r="A42" s="180"/>
      <c r="D42" s="193" t="s">
        <v>643</v>
      </c>
      <c r="H42" s="122"/>
      <c r="I42" s="122"/>
      <c r="J42" s="210">
        <v>0</v>
      </c>
      <c r="K42" s="183"/>
      <c r="L42" s="200"/>
      <c r="N42" s="312"/>
    </row>
    <row r="43" spans="1:14" x14ac:dyDescent="0.2">
      <c r="A43" s="180"/>
      <c r="D43" s="193" t="s">
        <v>644</v>
      </c>
      <c r="H43" s="122"/>
      <c r="I43" s="122"/>
      <c r="J43" s="210">
        <v>0</v>
      </c>
      <c r="K43" s="183"/>
      <c r="L43" s="200">
        <f>J43-H43</f>
        <v>0</v>
      </c>
      <c r="N43" s="312"/>
    </row>
    <row r="44" spans="1:14" x14ac:dyDescent="0.2">
      <c r="A44" s="180"/>
      <c r="D44" s="193" t="s">
        <v>645</v>
      </c>
      <c r="H44" s="117">
        <v>0</v>
      </c>
      <c r="I44" s="122"/>
      <c r="J44" s="493">
        <v>0</v>
      </c>
      <c r="K44" s="183"/>
      <c r="L44" s="200">
        <f t="shared" ref="L44:L75" si="3">J44-H44</f>
        <v>0</v>
      </c>
      <c r="N44" s="312"/>
    </row>
    <row r="45" spans="1:14" x14ac:dyDescent="0.2">
      <c r="A45" s="180"/>
      <c r="D45" s="194" t="s">
        <v>950</v>
      </c>
      <c r="H45" s="302">
        <f>SUM(H41:H44)</f>
        <v>0</v>
      </c>
      <c r="I45" s="122"/>
      <c r="J45" s="506">
        <f>SUM(J41:J44)</f>
        <v>0</v>
      </c>
      <c r="K45" s="183"/>
      <c r="L45" s="200">
        <f t="shared" si="3"/>
        <v>0</v>
      </c>
      <c r="N45" s="312"/>
    </row>
    <row r="46" spans="1:14" x14ac:dyDescent="0.2">
      <c r="A46" s="180"/>
      <c r="H46" s="122"/>
      <c r="I46" s="122"/>
      <c r="J46" s="210"/>
      <c r="K46" s="183"/>
      <c r="L46" s="200">
        <f t="shared" si="3"/>
        <v>0</v>
      </c>
      <c r="N46" s="312"/>
    </row>
    <row r="47" spans="1:14" x14ac:dyDescent="0.2">
      <c r="A47" s="180"/>
      <c r="C47" s="6" t="s">
        <v>16</v>
      </c>
      <c r="D47" s="124" t="s">
        <v>872</v>
      </c>
      <c r="H47" s="122"/>
      <c r="I47" s="122"/>
      <c r="J47" s="210"/>
      <c r="K47" s="183"/>
      <c r="L47" s="200">
        <f t="shared" si="3"/>
        <v>0</v>
      </c>
      <c r="N47" s="312"/>
    </row>
    <row r="48" spans="1:14" x14ac:dyDescent="0.2">
      <c r="A48" s="180"/>
      <c r="D48" s="124" t="s">
        <v>266</v>
      </c>
      <c r="H48" s="122">
        <v>0</v>
      </c>
      <c r="I48" s="122"/>
      <c r="J48" s="210">
        <v>0</v>
      </c>
      <c r="K48" s="183"/>
      <c r="L48" s="200">
        <f>J48-H48</f>
        <v>0</v>
      </c>
      <c r="N48" s="312"/>
    </row>
    <row r="49" spans="1:14" x14ac:dyDescent="0.2">
      <c r="A49" s="180"/>
      <c r="D49" s="124" t="s">
        <v>11</v>
      </c>
      <c r="H49" s="122">
        <v>0</v>
      </c>
      <c r="I49" s="122"/>
      <c r="J49" s="210">
        <v>0</v>
      </c>
      <c r="K49" s="183"/>
      <c r="L49" s="200">
        <f t="shared" si="3"/>
        <v>0</v>
      </c>
      <c r="N49" s="312"/>
    </row>
    <row r="50" spans="1:14" x14ac:dyDescent="0.2">
      <c r="A50" s="180"/>
      <c r="D50" s="124" t="s">
        <v>28</v>
      </c>
      <c r="H50" s="122">
        <v>0</v>
      </c>
      <c r="I50" s="122"/>
      <c r="J50" s="210">
        <v>0</v>
      </c>
      <c r="K50" s="183"/>
      <c r="L50" s="200">
        <f>J50+J51-H50</f>
        <v>0</v>
      </c>
      <c r="N50" s="312"/>
    </row>
    <row r="51" spans="1:14" x14ac:dyDescent="0.2">
      <c r="A51" s="180"/>
      <c r="D51" s="124" t="s">
        <v>29</v>
      </c>
      <c r="H51" s="122">
        <v>0</v>
      </c>
      <c r="I51" s="122"/>
      <c r="J51" s="210">
        <v>0</v>
      </c>
      <c r="K51" s="183"/>
      <c r="L51" s="200">
        <f>J51-H51</f>
        <v>0</v>
      </c>
    </row>
    <row r="52" spans="1:14" ht="12.95" customHeight="1" thickBot="1" x14ac:dyDescent="0.25">
      <c r="A52" s="180"/>
      <c r="D52" s="124" t="s">
        <v>298</v>
      </c>
      <c r="H52" s="305">
        <f>SUM(H48:H51)</f>
        <v>0</v>
      </c>
      <c r="I52" s="122"/>
      <c r="J52" s="507">
        <f>SUM(J48:J51)</f>
        <v>0</v>
      </c>
      <c r="K52" s="197"/>
      <c r="L52" s="200">
        <f t="shared" si="3"/>
        <v>0</v>
      </c>
    </row>
    <row r="53" spans="1:14" ht="12.75" thickBot="1" x14ac:dyDescent="0.25">
      <c r="A53" s="180"/>
      <c r="H53" s="122"/>
      <c r="I53" s="122"/>
      <c r="J53" s="210"/>
      <c r="K53" s="199"/>
      <c r="L53" s="200">
        <f t="shared" si="3"/>
        <v>0</v>
      </c>
    </row>
    <row r="54" spans="1:14" ht="26.85" customHeight="1" thickBot="1" x14ac:dyDescent="0.25">
      <c r="A54" s="180"/>
      <c r="B54" s="733" t="s">
        <v>873</v>
      </c>
      <c r="C54" s="734"/>
      <c r="D54" s="735"/>
      <c r="E54" s="195"/>
      <c r="F54" s="196"/>
      <c r="G54" s="195"/>
      <c r="H54" s="306">
        <f>H45+H52</f>
        <v>0</v>
      </c>
      <c r="I54" s="307">
        <f>I45+I52</f>
        <v>0</v>
      </c>
      <c r="J54" s="508">
        <f>J45+J52</f>
        <v>0</v>
      </c>
      <c r="K54" s="309"/>
      <c r="L54" s="200"/>
    </row>
    <row r="55" spans="1:14" x14ac:dyDescent="0.2">
      <c r="H55" s="308"/>
      <c r="I55" s="308"/>
      <c r="L55" s="200">
        <f t="shared" si="3"/>
        <v>0</v>
      </c>
    </row>
    <row r="56" spans="1:14" ht="12.75" x14ac:dyDescent="0.2">
      <c r="A56" s="728"/>
      <c r="B56" s="728"/>
      <c r="C56" s="728"/>
      <c r="D56" s="728"/>
      <c r="E56" s="728"/>
      <c r="F56" s="718"/>
      <c r="G56" s="718"/>
      <c r="H56" s="718"/>
      <c r="I56" s="718"/>
      <c r="J56" s="718"/>
      <c r="K56" s="718"/>
      <c r="L56" s="200">
        <f t="shared" si="3"/>
        <v>0</v>
      </c>
    </row>
    <row r="57" spans="1:14" ht="12.75" x14ac:dyDescent="0.2">
      <c r="A57" s="728" t="s">
        <v>580</v>
      </c>
      <c r="B57" s="728"/>
      <c r="C57" s="728"/>
      <c r="D57" s="728"/>
      <c r="E57" s="728"/>
      <c r="F57" s="718" t="s">
        <v>1062</v>
      </c>
      <c r="G57" s="718"/>
      <c r="H57" s="718"/>
      <c r="I57" s="718"/>
      <c r="J57" s="718"/>
      <c r="K57" s="718"/>
      <c r="L57" s="200">
        <f t="shared" si="3"/>
        <v>0</v>
      </c>
    </row>
    <row r="58" spans="1:14" ht="12.75" x14ac:dyDescent="0.2">
      <c r="A58" s="728" t="s">
        <v>678</v>
      </c>
      <c r="B58" s="728"/>
      <c r="C58" s="728"/>
      <c r="D58" s="728"/>
      <c r="E58" s="728"/>
      <c r="F58" s="718" t="s">
        <v>680</v>
      </c>
      <c r="G58" s="718"/>
      <c r="H58" s="718"/>
      <c r="I58" s="718"/>
      <c r="J58" s="718"/>
      <c r="K58" s="718"/>
      <c r="L58" s="235">
        <f>J33-J52</f>
        <v>0</v>
      </c>
    </row>
    <row r="59" spans="1:14" ht="12.75" x14ac:dyDescent="0.2">
      <c r="A59" s="728"/>
      <c r="B59" s="728"/>
      <c r="C59" s="728"/>
      <c r="D59" s="728"/>
      <c r="E59" s="728"/>
      <c r="F59" s="718"/>
      <c r="G59" s="718"/>
      <c r="H59" s="718"/>
      <c r="I59" s="718"/>
      <c r="J59" s="718"/>
      <c r="K59" s="718"/>
      <c r="L59" s="235">
        <f>H52-H33</f>
        <v>0</v>
      </c>
    </row>
    <row r="60" spans="1:14" ht="12.75" x14ac:dyDescent="0.2">
      <c r="A60" s="728"/>
      <c r="B60" s="728"/>
      <c r="C60" s="728"/>
      <c r="D60" s="728"/>
      <c r="E60" s="728"/>
      <c r="F60" s="718"/>
      <c r="G60" s="718"/>
      <c r="H60" s="718"/>
      <c r="I60" s="718"/>
      <c r="J60" s="718"/>
      <c r="K60" s="718"/>
      <c r="L60" s="200">
        <f t="shared" si="3"/>
        <v>0</v>
      </c>
    </row>
    <row r="61" spans="1:14" ht="12.75" x14ac:dyDescent="0.2">
      <c r="A61" s="728"/>
      <c r="B61" s="728"/>
      <c r="C61" s="728"/>
      <c r="D61" s="728"/>
      <c r="E61" s="728"/>
      <c r="F61" s="718"/>
      <c r="G61" s="718"/>
      <c r="H61" s="718"/>
      <c r="I61" s="718"/>
      <c r="J61" s="718"/>
      <c r="K61" s="718"/>
      <c r="L61" s="200">
        <f t="shared" si="3"/>
        <v>0</v>
      </c>
    </row>
    <row r="62" spans="1:14" ht="15" customHeight="1" x14ac:dyDescent="0.2">
      <c r="A62" s="738" t="s">
        <v>1038</v>
      </c>
      <c r="B62" s="738"/>
      <c r="C62" s="738"/>
      <c r="D62" s="738"/>
      <c r="E62" s="738"/>
      <c r="F62" s="728" t="s">
        <v>1039</v>
      </c>
      <c r="G62" s="728"/>
      <c r="H62" s="728"/>
      <c r="I62" s="728"/>
      <c r="J62" s="728"/>
      <c r="K62" s="728"/>
      <c r="L62" s="200">
        <f t="shared" si="3"/>
        <v>0</v>
      </c>
    </row>
    <row r="63" spans="1:14" x14ac:dyDescent="0.2">
      <c r="A63" s="200" t="e">
        <f>#REF!-#REF!</f>
        <v>#REF!</v>
      </c>
      <c r="F63" s="124"/>
      <c r="J63" s="200"/>
      <c r="K63" s="124"/>
      <c r="L63" s="200">
        <f t="shared" si="3"/>
        <v>0</v>
      </c>
    </row>
    <row r="64" spans="1:14" x14ac:dyDescent="0.2">
      <c r="A64" s="200" t="e">
        <f>#REF!-#REF!</f>
        <v>#REF!</v>
      </c>
      <c r="F64" s="124"/>
      <c r="J64" s="210"/>
      <c r="K64" s="124"/>
      <c r="L64" s="200"/>
    </row>
    <row r="65" spans="1:12" ht="12.75" x14ac:dyDescent="0.2">
      <c r="A65" s="728"/>
      <c r="B65" s="728"/>
      <c r="C65" s="728"/>
      <c r="D65" s="728"/>
      <c r="E65" s="728"/>
      <c r="F65" s="728"/>
      <c r="G65" s="728"/>
      <c r="H65" s="728"/>
      <c r="I65" s="728"/>
      <c r="J65" s="728"/>
      <c r="K65" s="728"/>
      <c r="L65" s="200">
        <f t="shared" si="3"/>
        <v>0</v>
      </c>
    </row>
    <row r="66" spans="1:12" ht="12.75" x14ac:dyDescent="0.2">
      <c r="A66" s="728"/>
      <c r="B66" s="728"/>
      <c r="C66" s="728"/>
      <c r="D66" s="728"/>
      <c r="E66" s="728"/>
      <c r="F66" s="728"/>
      <c r="G66" s="728"/>
      <c r="H66" s="728"/>
      <c r="I66" s="728"/>
      <c r="J66" s="728"/>
      <c r="K66" s="728"/>
      <c r="L66" s="200">
        <f t="shared" si="3"/>
        <v>0</v>
      </c>
    </row>
    <row r="67" spans="1:12" ht="12.75" x14ac:dyDescent="0.2">
      <c r="A67" s="728"/>
      <c r="B67" s="728"/>
      <c r="C67" s="728"/>
      <c r="D67" s="728"/>
      <c r="E67" s="728"/>
      <c r="F67" s="728"/>
      <c r="G67" s="728"/>
      <c r="H67" s="728"/>
      <c r="I67" s="728"/>
      <c r="J67" s="728"/>
      <c r="K67" s="728"/>
      <c r="L67" s="200">
        <f t="shared" si="3"/>
        <v>0</v>
      </c>
    </row>
    <row r="68" spans="1:12" x14ac:dyDescent="0.2">
      <c r="A68" s="697"/>
      <c r="B68" s="697"/>
      <c r="C68" s="697"/>
      <c r="D68" s="697"/>
      <c r="E68" s="697"/>
      <c r="F68" s="697"/>
      <c r="G68" s="697"/>
      <c r="H68" s="697"/>
      <c r="I68" s="697"/>
      <c r="J68" s="697"/>
      <c r="K68" s="697"/>
      <c r="L68" s="200">
        <f t="shared" si="3"/>
        <v>0</v>
      </c>
    </row>
    <row r="69" spans="1:12" ht="14.25" x14ac:dyDescent="0.2">
      <c r="B69" s="112"/>
      <c r="C69" s="112"/>
      <c r="D69" s="112"/>
      <c r="E69" s="112"/>
      <c r="F69" s="112"/>
      <c r="L69" s="200">
        <f t="shared" si="3"/>
        <v>0</v>
      </c>
    </row>
    <row r="70" spans="1:12" ht="14.25" x14ac:dyDescent="0.2">
      <c r="B70" s="112"/>
      <c r="C70" s="112"/>
      <c r="D70" s="112"/>
      <c r="E70" s="112"/>
      <c r="F70" s="112"/>
      <c r="L70" s="200">
        <f t="shared" si="3"/>
        <v>0</v>
      </c>
    </row>
    <row r="71" spans="1:12" ht="14.25" x14ac:dyDescent="0.2">
      <c r="B71" s="112"/>
      <c r="C71" s="112"/>
      <c r="D71" s="112"/>
      <c r="E71" s="112"/>
      <c r="F71" s="112"/>
      <c r="L71" s="200">
        <f t="shared" si="3"/>
        <v>0</v>
      </c>
    </row>
    <row r="72" spans="1:12" ht="14.25" x14ac:dyDescent="0.2">
      <c r="B72" s="112"/>
      <c r="C72" s="112"/>
      <c r="D72" s="112"/>
      <c r="E72" s="112"/>
      <c r="F72" s="112"/>
      <c r="L72" s="200">
        <f t="shared" si="3"/>
        <v>0</v>
      </c>
    </row>
    <row r="73" spans="1:12" x14ac:dyDescent="0.2">
      <c r="H73" s="308"/>
      <c r="I73" s="308"/>
      <c r="L73" s="200">
        <f t="shared" si="3"/>
        <v>0</v>
      </c>
    </row>
    <row r="74" spans="1:12" x14ac:dyDescent="0.2">
      <c r="H74" s="308"/>
      <c r="I74" s="308"/>
      <c r="L74" s="200">
        <f t="shared" si="3"/>
        <v>0</v>
      </c>
    </row>
    <row r="75" spans="1:12" x14ac:dyDescent="0.2">
      <c r="H75" s="308"/>
      <c r="I75" s="308"/>
      <c r="L75" s="200">
        <f t="shared" si="3"/>
        <v>0</v>
      </c>
    </row>
    <row r="76" spans="1:12" x14ac:dyDescent="0.2">
      <c r="A76" s="200"/>
      <c r="F76" s="124"/>
      <c r="J76" s="200"/>
      <c r="K76" s="124"/>
    </row>
    <row r="77" spans="1:12" x14ac:dyDescent="0.2">
      <c r="A77" s="200"/>
      <c r="F77" s="124"/>
      <c r="J77" s="200"/>
      <c r="K77" s="124"/>
    </row>
    <row r="78" spans="1:12" x14ac:dyDescent="0.2">
      <c r="A78" s="200"/>
      <c r="F78" s="124"/>
      <c r="J78" s="200"/>
      <c r="K78" s="124"/>
    </row>
    <row r="79" spans="1:12" x14ac:dyDescent="0.2">
      <c r="A79" s="200"/>
      <c r="F79" s="124"/>
      <c r="J79" s="200"/>
      <c r="K79" s="124"/>
    </row>
    <row r="80" spans="1:12" x14ac:dyDescent="0.2">
      <c r="A80" s="200"/>
      <c r="F80" s="124"/>
      <c r="J80" s="200"/>
      <c r="K80" s="124"/>
    </row>
    <row r="81" spans="1:12" x14ac:dyDescent="0.2">
      <c r="A81" s="200"/>
      <c r="F81" s="124"/>
      <c r="J81" s="200"/>
      <c r="K81" s="124"/>
    </row>
    <row r="82" spans="1:12" ht="11.45" customHeight="1" x14ac:dyDescent="0.2">
      <c r="B82" s="175"/>
      <c r="C82" s="175"/>
      <c r="D82" s="175"/>
    </row>
    <row r="83" spans="1:12" ht="12.95" customHeight="1" x14ac:dyDescent="0.2">
      <c r="A83" s="736" t="s">
        <v>31</v>
      </c>
      <c r="B83" s="737"/>
      <c r="C83" s="667" t="s">
        <v>862</v>
      </c>
      <c r="D83" s="175"/>
    </row>
    <row r="84" spans="1:12" ht="10.7" customHeight="1" x14ac:dyDescent="0.2"/>
    <row r="85" spans="1:12" ht="17.25" customHeight="1" x14ac:dyDescent="0.25">
      <c r="A85" s="178"/>
      <c r="B85" s="729" t="s">
        <v>650</v>
      </c>
      <c r="C85" s="729"/>
      <c r="D85" s="729"/>
      <c r="E85" s="729"/>
      <c r="F85" s="729"/>
      <c r="G85" s="729"/>
      <c r="H85" s="729"/>
      <c r="I85" s="729"/>
      <c r="J85" s="729"/>
      <c r="K85" s="179"/>
    </row>
    <row r="86" spans="1:12" ht="16.5" x14ac:dyDescent="0.25">
      <c r="A86" s="180"/>
      <c r="B86" s="585" t="s">
        <v>862</v>
      </c>
      <c r="C86" s="586"/>
      <c r="D86" s="586"/>
      <c r="E86" s="586"/>
      <c r="F86" s="586"/>
      <c r="G86" s="586"/>
      <c r="H86" s="587"/>
      <c r="I86" s="587"/>
      <c r="J86" s="588"/>
      <c r="K86" s="182"/>
    </row>
    <row r="87" spans="1:12" ht="16.5" x14ac:dyDescent="0.25">
      <c r="A87" s="180"/>
      <c r="B87" s="719" t="s">
        <v>1057</v>
      </c>
      <c r="C87" s="719"/>
      <c r="D87" s="719"/>
      <c r="E87" s="719"/>
      <c r="F87" s="719"/>
      <c r="G87" s="719"/>
      <c r="H87" s="719"/>
      <c r="I87" s="719"/>
      <c r="J87" s="719"/>
      <c r="K87" s="182"/>
    </row>
    <row r="88" spans="1:12" ht="12.75" thickBot="1" x14ac:dyDescent="0.25">
      <c r="A88" s="688" t="e" cm="1" vm="1">
        <f t="array" aca="1" ref="A88" ca="1">+K88:AA135</f>
        <v>#VALUE!</v>
      </c>
      <c r="B88" s="181"/>
      <c r="C88" s="181"/>
      <c r="D88" s="181"/>
      <c r="E88" s="181"/>
      <c r="G88" s="181"/>
      <c r="H88" s="293"/>
      <c r="I88" s="293"/>
      <c r="J88" s="210"/>
      <c r="K88" s="183"/>
    </row>
    <row r="89" spans="1:12" ht="12.75" x14ac:dyDescent="0.2">
      <c r="A89" s="180"/>
      <c r="B89" s="720" t="s">
        <v>15</v>
      </c>
      <c r="C89" s="721"/>
      <c r="D89" s="722"/>
      <c r="E89" s="175"/>
      <c r="F89" s="726" t="s">
        <v>13</v>
      </c>
      <c r="G89" s="184"/>
      <c r="H89" s="295" t="s">
        <v>1051</v>
      </c>
      <c r="I89" s="296"/>
      <c r="J89" s="502" t="s">
        <v>861</v>
      </c>
      <c r="K89" s="185"/>
      <c r="L89" s="176"/>
    </row>
    <row r="90" spans="1:12" ht="13.5" thickBot="1" x14ac:dyDescent="0.25">
      <c r="A90" s="180"/>
      <c r="B90" s="723"/>
      <c r="C90" s="724"/>
      <c r="D90" s="725"/>
      <c r="E90" s="175"/>
      <c r="F90" s="727"/>
      <c r="G90" s="184"/>
      <c r="H90" s="297" t="s">
        <v>22</v>
      </c>
      <c r="I90" s="298"/>
      <c r="J90" s="503" t="s">
        <v>22</v>
      </c>
      <c r="K90" s="186"/>
    </row>
    <row r="91" spans="1:12" x14ac:dyDescent="0.2">
      <c r="A91" s="180"/>
      <c r="B91" s="128" t="s">
        <v>863</v>
      </c>
      <c r="C91" s="128"/>
      <c r="D91" s="128"/>
      <c r="E91" s="128"/>
      <c r="F91" s="134"/>
      <c r="G91" s="134"/>
      <c r="H91" s="299"/>
      <c r="I91" s="299"/>
      <c r="J91" s="504"/>
      <c r="K91" s="187"/>
    </row>
    <row r="92" spans="1:12" x14ac:dyDescent="0.2">
      <c r="A92" s="180"/>
      <c r="B92" s="128" t="s">
        <v>864</v>
      </c>
      <c r="G92" s="6"/>
      <c r="J92" s="210"/>
      <c r="K92" s="183"/>
    </row>
    <row r="93" spans="1:12" x14ac:dyDescent="0.2">
      <c r="A93" s="180"/>
      <c r="B93" s="5" t="s">
        <v>16</v>
      </c>
      <c r="C93" s="124" t="s">
        <v>6</v>
      </c>
      <c r="G93" s="6"/>
      <c r="H93" s="122">
        <v>0</v>
      </c>
      <c r="I93" s="294"/>
      <c r="J93" s="210">
        <v>0</v>
      </c>
      <c r="K93" s="183"/>
      <c r="L93" s="176">
        <f>J93-H93</f>
        <v>0</v>
      </c>
    </row>
    <row r="94" spans="1:12" x14ac:dyDescent="0.2">
      <c r="A94" s="180"/>
      <c r="B94" s="5" t="s">
        <v>16</v>
      </c>
      <c r="C94" s="124" t="s">
        <v>307</v>
      </c>
      <c r="G94" s="6"/>
      <c r="H94" s="122">
        <v>0</v>
      </c>
      <c r="I94" s="294"/>
      <c r="J94" s="210">
        <v>0</v>
      </c>
      <c r="K94" s="183"/>
      <c r="L94" s="176">
        <f t="shared" ref="L94:L137" si="4">J94-H94</f>
        <v>0</v>
      </c>
    </row>
    <row r="95" spans="1:12" x14ac:dyDescent="0.2">
      <c r="A95" s="180"/>
      <c r="B95" s="5" t="s">
        <v>16</v>
      </c>
      <c r="C95" s="124" t="s">
        <v>7</v>
      </c>
      <c r="G95" s="6"/>
      <c r="H95" s="122">
        <v>0</v>
      </c>
      <c r="I95" s="294"/>
      <c r="J95" s="210">
        <v>0</v>
      </c>
      <c r="K95" s="183"/>
      <c r="L95" s="176">
        <f t="shared" si="4"/>
        <v>0</v>
      </c>
    </row>
    <row r="96" spans="1:12" ht="14.25" x14ac:dyDescent="0.35">
      <c r="A96" s="180"/>
      <c r="C96" s="124" t="s">
        <v>84</v>
      </c>
      <c r="G96" s="6"/>
      <c r="H96" s="300">
        <v>0</v>
      </c>
      <c r="I96" s="301"/>
      <c r="J96" s="505">
        <v>0</v>
      </c>
      <c r="K96" s="183"/>
      <c r="L96" s="176">
        <f t="shared" si="4"/>
        <v>0</v>
      </c>
    </row>
    <row r="97" spans="1:12" x14ac:dyDescent="0.2">
      <c r="A97" s="180"/>
      <c r="C97" s="124" t="s">
        <v>8</v>
      </c>
      <c r="G97" s="6"/>
      <c r="H97" s="122">
        <f>SUM(H95:H96)</f>
        <v>0</v>
      </c>
      <c r="I97" s="122"/>
      <c r="J97" s="210">
        <f>SUM(J95:J96)</f>
        <v>0</v>
      </c>
      <c r="K97" s="183"/>
      <c r="L97" s="176">
        <f t="shared" si="4"/>
        <v>0</v>
      </c>
    </row>
    <row r="98" spans="1:12" x14ac:dyDescent="0.2">
      <c r="A98" s="180"/>
      <c r="B98" s="5" t="s">
        <v>16</v>
      </c>
      <c r="C98" s="124" t="s">
        <v>293</v>
      </c>
      <c r="G98" s="6"/>
      <c r="H98" s="122"/>
      <c r="I98" s="122"/>
      <c r="J98" s="210">
        <v>0</v>
      </c>
      <c r="K98" s="183"/>
      <c r="L98" s="176">
        <f t="shared" si="4"/>
        <v>0</v>
      </c>
    </row>
    <row r="99" spans="1:12" x14ac:dyDescent="0.2">
      <c r="A99" s="180"/>
      <c r="B99" s="5" t="s">
        <v>16</v>
      </c>
      <c r="C99" s="124" t="s">
        <v>9</v>
      </c>
      <c r="G99" s="6"/>
      <c r="H99" s="294">
        <v>0</v>
      </c>
      <c r="I99" s="122"/>
      <c r="J99" s="210">
        <v>0</v>
      </c>
      <c r="K99" s="183"/>
      <c r="L99" s="176">
        <f t="shared" si="4"/>
        <v>0</v>
      </c>
    </row>
    <row r="100" spans="1:12" x14ac:dyDescent="0.2">
      <c r="A100" s="180"/>
      <c r="B100" s="5" t="s">
        <v>16</v>
      </c>
      <c r="C100" s="124" t="s">
        <v>280</v>
      </c>
      <c r="G100" s="6"/>
      <c r="H100" s="117"/>
      <c r="I100" s="122"/>
      <c r="J100" s="493">
        <v>0</v>
      </c>
      <c r="K100" s="183"/>
      <c r="L100" s="176">
        <f t="shared" si="4"/>
        <v>0</v>
      </c>
    </row>
    <row r="101" spans="1:12" x14ac:dyDescent="0.2">
      <c r="A101" s="180"/>
      <c r="C101" s="128" t="s">
        <v>946</v>
      </c>
      <c r="G101" s="6"/>
      <c r="H101" s="302">
        <f>H93+H97+H98+H99+H100+H94</f>
        <v>0</v>
      </c>
      <c r="I101" s="122"/>
      <c r="J101" s="506">
        <f>SUM(J97:J100)+J93+J94</f>
        <v>0</v>
      </c>
      <c r="K101" s="183"/>
      <c r="L101" s="176">
        <f t="shared" si="4"/>
        <v>0</v>
      </c>
    </row>
    <row r="102" spans="1:12" x14ac:dyDescent="0.2">
      <c r="A102" s="180"/>
      <c r="G102" s="6"/>
      <c r="H102" s="122"/>
      <c r="I102" s="122"/>
      <c r="J102" s="210"/>
      <c r="K102" s="183"/>
      <c r="L102" s="176">
        <f t="shared" si="4"/>
        <v>0</v>
      </c>
    </row>
    <row r="103" spans="1:12" x14ac:dyDescent="0.2">
      <c r="A103" s="180"/>
      <c r="B103" s="128" t="s">
        <v>865</v>
      </c>
      <c r="G103" s="6"/>
      <c r="H103" s="122"/>
      <c r="I103" s="122"/>
      <c r="J103" s="210"/>
      <c r="K103" s="183"/>
      <c r="L103" s="176">
        <f t="shared" si="4"/>
        <v>0</v>
      </c>
    </row>
    <row r="104" spans="1:12" x14ac:dyDescent="0.2">
      <c r="A104" s="180"/>
      <c r="C104" s="124" t="s">
        <v>947</v>
      </c>
      <c r="G104" s="6"/>
      <c r="H104" s="122">
        <v>0</v>
      </c>
      <c r="I104" s="122"/>
      <c r="J104" s="210">
        <v>0</v>
      </c>
      <c r="K104" s="183"/>
      <c r="L104" s="176">
        <f t="shared" si="4"/>
        <v>0</v>
      </c>
    </row>
    <row r="105" spans="1:12" ht="15" customHeight="1" x14ac:dyDescent="0.2">
      <c r="A105" s="180"/>
      <c r="B105" s="5" t="s">
        <v>16</v>
      </c>
      <c r="C105" s="124" t="s">
        <v>10</v>
      </c>
      <c r="G105" s="6"/>
      <c r="H105" s="294">
        <v>0</v>
      </c>
      <c r="I105" s="122"/>
      <c r="J105" s="210">
        <v>0</v>
      </c>
      <c r="K105" s="183"/>
      <c r="L105" s="176">
        <f t="shared" si="4"/>
        <v>0</v>
      </c>
    </row>
    <row r="106" spans="1:12" ht="12" customHeight="1" x14ac:dyDescent="0.2">
      <c r="A106" s="180"/>
      <c r="B106" s="5"/>
      <c r="D106" s="124" t="s">
        <v>1052</v>
      </c>
      <c r="G106" s="6"/>
      <c r="H106" s="302">
        <f>SUM(H104:H105)</f>
        <v>0</v>
      </c>
      <c r="I106" s="122"/>
      <c r="J106" s="506">
        <f>SUM(J104:J105)</f>
        <v>0</v>
      </c>
      <c r="K106" s="183"/>
      <c r="L106" s="176">
        <f t="shared" si="4"/>
        <v>0</v>
      </c>
    </row>
    <row r="107" spans="1:12" x14ac:dyDescent="0.2">
      <c r="A107" s="180"/>
      <c r="B107" s="128" t="s">
        <v>866</v>
      </c>
      <c r="G107" s="6"/>
      <c r="H107" s="122"/>
      <c r="I107" s="122"/>
      <c r="J107" s="210"/>
      <c r="K107" s="183"/>
      <c r="L107" s="176">
        <f t="shared" si="4"/>
        <v>0</v>
      </c>
    </row>
    <row r="108" spans="1:12" x14ac:dyDescent="0.2">
      <c r="A108" s="180"/>
      <c r="C108" s="124" t="s">
        <v>948</v>
      </c>
      <c r="G108" s="6"/>
      <c r="H108" s="122">
        <v>0</v>
      </c>
      <c r="I108" s="122"/>
      <c r="J108" s="210">
        <v>0</v>
      </c>
      <c r="K108" s="183"/>
      <c r="L108" s="176">
        <f t="shared" si="4"/>
        <v>0</v>
      </c>
    </row>
    <row r="109" spans="1:12" x14ac:dyDescent="0.2">
      <c r="A109" s="180"/>
      <c r="B109" s="5" t="s">
        <v>16</v>
      </c>
      <c r="C109" s="124" t="s">
        <v>300</v>
      </c>
      <c r="G109" s="6"/>
      <c r="H109" s="122">
        <v>0</v>
      </c>
      <c r="I109" s="122"/>
      <c r="J109" s="210">
        <v>0</v>
      </c>
      <c r="K109" s="183"/>
      <c r="L109" s="176">
        <f t="shared" si="4"/>
        <v>0</v>
      </c>
    </row>
    <row r="110" spans="1:12" x14ac:dyDescent="0.2">
      <c r="A110" s="180"/>
      <c r="C110" s="124" t="s">
        <v>24</v>
      </c>
      <c r="G110" s="6"/>
      <c r="H110" s="654">
        <f>SUM(H108:H109)</f>
        <v>0</v>
      </c>
      <c r="I110" s="122"/>
      <c r="J110" s="506">
        <f>SUM(J108:J109)</f>
        <v>0</v>
      </c>
      <c r="K110" s="183"/>
      <c r="L110" s="176">
        <f t="shared" si="4"/>
        <v>0</v>
      </c>
    </row>
    <row r="111" spans="1:12" x14ac:dyDescent="0.2">
      <c r="A111" s="180"/>
      <c r="B111" s="128" t="s">
        <v>867</v>
      </c>
      <c r="G111" s="6"/>
      <c r="H111" s="122"/>
      <c r="I111" s="122"/>
      <c r="J111" s="210"/>
      <c r="K111" s="183"/>
      <c r="L111" s="176">
        <f t="shared" si="4"/>
        <v>0</v>
      </c>
    </row>
    <row r="112" spans="1:12" x14ac:dyDescent="0.2">
      <c r="A112" s="180"/>
      <c r="B112" s="128"/>
      <c r="C112" s="124" t="s">
        <v>949</v>
      </c>
      <c r="G112" s="6"/>
      <c r="H112" s="655">
        <v>0</v>
      </c>
      <c r="I112" s="122"/>
      <c r="J112" s="506">
        <v>0</v>
      </c>
      <c r="K112" s="183"/>
      <c r="L112" s="176">
        <f t="shared" si="4"/>
        <v>0</v>
      </c>
    </row>
    <row r="113" spans="1:12" x14ac:dyDescent="0.2">
      <c r="A113" s="180"/>
      <c r="B113" s="128" t="s">
        <v>1053</v>
      </c>
      <c r="G113" s="6"/>
      <c r="H113" s="122"/>
      <c r="I113" s="122"/>
      <c r="J113" s="210"/>
      <c r="K113" s="183"/>
      <c r="L113" s="176"/>
    </row>
    <row r="114" spans="1:12" ht="12.75" x14ac:dyDescent="0.2">
      <c r="A114" s="180"/>
      <c r="C114" s="124" t="s">
        <v>1054</v>
      </c>
      <c r="G114" s="6"/>
      <c r="H114" s="302">
        <v>0</v>
      </c>
      <c r="I114" s="122">
        <v>0</v>
      </c>
      <c r="J114" s="506">
        <v>0</v>
      </c>
      <c r="K114" s="190"/>
      <c r="L114" s="176"/>
    </row>
    <row r="115" spans="1:12" ht="12.75" thickBot="1" x14ac:dyDescent="0.25">
      <c r="A115" s="180"/>
      <c r="G115" s="6"/>
      <c r="H115" s="122"/>
      <c r="I115" s="122"/>
      <c r="J115" s="210"/>
      <c r="K115" s="183"/>
      <c r="L115" s="176">
        <f t="shared" si="4"/>
        <v>0</v>
      </c>
    </row>
    <row r="116" spans="1:12" ht="29.25" customHeight="1" thickBot="1" x14ac:dyDescent="0.25">
      <c r="A116" s="180"/>
      <c r="B116" s="730" t="s">
        <v>868</v>
      </c>
      <c r="C116" s="731"/>
      <c r="D116" s="732"/>
      <c r="E116" s="188"/>
      <c r="F116" s="189"/>
      <c r="G116" s="188"/>
      <c r="H116" s="303">
        <f>H101+H106+H110+H114</f>
        <v>0</v>
      </c>
      <c r="I116" s="304">
        <f>I101+I106</f>
        <v>0</v>
      </c>
      <c r="J116" s="500">
        <f>J101+J106+J110+J114</f>
        <v>0</v>
      </c>
      <c r="K116" s="183"/>
      <c r="L116" s="176">
        <f t="shared" si="4"/>
        <v>0</v>
      </c>
    </row>
    <row r="117" spans="1:12" x14ac:dyDescent="0.2">
      <c r="A117" s="180"/>
      <c r="H117" s="122"/>
      <c r="I117" s="122"/>
      <c r="J117" s="210"/>
      <c r="K117" s="183"/>
      <c r="L117" s="176">
        <f t="shared" si="4"/>
        <v>0</v>
      </c>
    </row>
    <row r="118" spans="1:12" x14ac:dyDescent="0.2">
      <c r="A118" s="180"/>
      <c r="H118" s="122"/>
      <c r="I118" s="122"/>
      <c r="J118" s="210"/>
      <c r="K118" s="183"/>
      <c r="L118" s="176">
        <f t="shared" si="4"/>
        <v>0</v>
      </c>
    </row>
    <row r="119" spans="1:12" x14ac:dyDescent="0.2">
      <c r="A119" s="180"/>
      <c r="B119" s="151" t="s">
        <v>870</v>
      </c>
      <c r="H119" s="122"/>
      <c r="I119" s="122"/>
      <c r="J119" s="210"/>
      <c r="K119" s="183"/>
      <c r="L119" s="176">
        <f t="shared" si="4"/>
        <v>0</v>
      </c>
    </row>
    <row r="120" spans="1:12" x14ac:dyDescent="0.2">
      <c r="A120" s="180"/>
      <c r="C120" s="6" t="s">
        <v>16</v>
      </c>
      <c r="D120" s="191" t="s">
        <v>869</v>
      </c>
      <c r="H120" s="122"/>
      <c r="I120" s="122"/>
      <c r="J120" s="210"/>
      <c r="K120" s="183"/>
      <c r="L120" s="176">
        <f t="shared" si="4"/>
        <v>0</v>
      </c>
    </row>
    <row r="121" spans="1:12" x14ac:dyDescent="0.2">
      <c r="A121" s="180"/>
      <c r="C121" s="6"/>
      <c r="D121" s="192" t="s">
        <v>871</v>
      </c>
      <c r="H121" s="122"/>
      <c r="I121" s="122"/>
      <c r="J121" s="210"/>
      <c r="K121" s="183"/>
      <c r="L121" s="176">
        <f t="shared" si="4"/>
        <v>0</v>
      </c>
    </row>
    <row r="122" spans="1:12" x14ac:dyDescent="0.2">
      <c r="A122" s="180"/>
      <c r="C122" s="6"/>
      <c r="D122" s="193" t="s">
        <v>1055</v>
      </c>
      <c r="H122" s="122">
        <v>0</v>
      </c>
      <c r="I122" s="122"/>
      <c r="J122" s="210"/>
      <c r="K122" s="183"/>
      <c r="L122" s="176">
        <f t="shared" si="4"/>
        <v>0</v>
      </c>
    </row>
    <row r="123" spans="1:12" x14ac:dyDescent="0.2">
      <c r="A123" s="180"/>
      <c r="D123" s="193" t="s">
        <v>643</v>
      </c>
      <c r="H123" s="122"/>
      <c r="I123" s="122"/>
      <c r="J123" s="210">
        <v>0</v>
      </c>
      <c r="K123" s="183"/>
      <c r="L123" s="176">
        <f t="shared" si="4"/>
        <v>0</v>
      </c>
    </row>
    <row r="124" spans="1:12" x14ac:dyDescent="0.2">
      <c r="A124" s="180"/>
      <c r="D124" s="193" t="s">
        <v>644</v>
      </c>
      <c r="H124" s="122"/>
      <c r="I124" s="122"/>
      <c r="J124" s="210">
        <v>0</v>
      </c>
      <c r="K124" s="183"/>
      <c r="L124" s="176">
        <f t="shared" si="4"/>
        <v>0</v>
      </c>
    </row>
    <row r="125" spans="1:12" x14ac:dyDescent="0.2">
      <c r="A125" s="180"/>
      <c r="D125" s="193" t="s">
        <v>645</v>
      </c>
      <c r="H125" s="117">
        <v>0</v>
      </c>
      <c r="I125" s="122"/>
      <c r="J125" s="493">
        <v>0</v>
      </c>
      <c r="K125" s="183"/>
      <c r="L125" s="176">
        <f t="shared" si="4"/>
        <v>0</v>
      </c>
    </row>
    <row r="126" spans="1:12" x14ac:dyDescent="0.2">
      <c r="A126" s="180"/>
      <c r="D126" s="194" t="s">
        <v>950</v>
      </c>
      <c r="H126" s="302">
        <f>SUM(H122:H125)</f>
        <v>0</v>
      </c>
      <c r="I126" s="122"/>
      <c r="J126" s="506">
        <f>SUM(J122:J125)</f>
        <v>0</v>
      </c>
      <c r="K126" s="183"/>
      <c r="L126" s="176">
        <f t="shared" si="4"/>
        <v>0</v>
      </c>
    </row>
    <row r="127" spans="1:12" x14ac:dyDescent="0.2">
      <c r="A127" s="180"/>
      <c r="H127" s="122"/>
      <c r="I127" s="122"/>
      <c r="J127" s="210"/>
      <c r="K127" s="183"/>
      <c r="L127" s="176">
        <f t="shared" si="4"/>
        <v>0</v>
      </c>
    </row>
    <row r="128" spans="1:12" x14ac:dyDescent="0.2">
      <c r="A128" s="180"/>
      <c r="C128" s="6" t="s">
        <v>16</v>
      </c>
      <c r="D128" s="124" t="s">
        <v>872</v>
      </c>
      <c r="H128" s="122"/>
      <c r="I128" s="122"/>
      <c r="J128" s="210"/>
      <c r="K128" s="183"/>
      <c r="L128" s="176">
        <f t="shared" si="4"/>
        <v>0</v>
      </c>
    </row>
    <row r="129" spans="1:12" x14ac:dyDescent="0.2">
      <c r="A129" s="180"/>
      <c r="D129" s="124" t="s">
        <v>266</v>
      </c>
      <c r="H129" s="122">
        <v>0</v>
      </c>
      <c r="I129" s="122"/>
      <c r="J129" s="210">
        <v>0</v>
      </c>
      <c r="K129" s="183"/>
      <c r="L129" s="176">
        <f t="shared" si="4"/>
        <v>0</v>
      </c>
    </row>
    <row r="130" spans="1:12" x14ac:dyDescent="0.2">
      <c r="A130" s="180"/>
      <c r="D130" s="124" t="s">
        <v>11</v>
      </c>
      <c r="H130" s="122">
        <v>0</v>
      </c>
      <c r="I130" s="122"/>
      <c r="J130" s="210">
        <v>0</v>
      </c>
      <c r="K130" s="183"/>
      <c r="L130" s="176">
        <f t="shared" si="4"/>
        <v>0</v>
      </c>
    </row>
    <row r="131" spans="1:12" x14ac:dyDescent="0.2">
      <c r="A131" s="180"/>
      <c r="D131" s="124" t="s">
        <v>28</v>
      </c>
      <c r="H131" s="122">
        <v>0</v>
      </c>
      <c r="I131" s="122"/>
      <c r="J131" s="210">
        <v>0</v>
      </c>
      <c r="K131" s="183"/>
      <c r="L131" s="200">
        <f>J131+J132-H131</f>
        <v>0</v>
      </c>
    </row>
    <row r="132" spans="1:12" x14ac:dyDescent="0.2">
      <c r="A132" s="180"/>
      <c r="D132" s="124" t="s">
        <v>29</v>
      </c>
      <c r="H132" s="122">
        <v>0</v>
      </c>
      <c r="I132" s="122"/>
      <c r="J132" s="210">
        <v>0</v>
      </c>
      <c r="K132" s="183"/>
      <c r="L132" s="176">
        <f t="shared" si="4"/>
        <v>0</v>
      </c>
    </row>
    <row r="133" spans="1:12" ht="14.25" customHeight="1" thickBot="1" x14ac:dyDescent="0.25">
      <c r="A133" s="180"/>
      <c r="D133" s="124" t="s">
        <v>298</v>
      </c>
      <c r="H133" s="305">
        <f>SUM(H129:H132)</f>
        <v>0</v>
      </c>
      <c r="I133" s="122"/>
      <c r="J133" s="507">
        <f>SUM(J129:J132)</f>
        <v>0</v>
      </c>
      <c r="K133" s="197"/>
      <c r="L133" s="176">
        <f t="shared" si="4"/>
        <v>0</v>
      </c>
    </row>
    <row r="134" spans="1:12" ht="11.25" customHeight="1" thickBot="1" x14ac:dyDescent="0.25">
      <c r="A134" s="180"/>
      <c r="H134" s="122"/>
      <c r="I134" s="122"/>
      <c r="J134" s="210"/>
      <c r="K134" s="199"/>
      <c r="L134" s="176">
        <f t="shared" si="4"/>
        <v>0</v>
      </c>
    </row>
    <row r="135" spans="1:12" ht="29.25" customHeight="1" thickBot="1" x14ac:dyDescent="0.25">
      <c r="A135" s="180"/>
      <c r="B135" s="733" t="s">
        <v>873</v>
      </c>
      <c r="C135" s="734"/>
      <c r="D135" s="735"/>
      <c r="E135" s="195"/>
      <c r="F135" s="196"/>
      <c r="G135" s="195"/>
      <c r="H135" s="306">
        <f>H126+H133</f>
        <v>0</v>
      </c>
      <c r="I135" s="307">
        <f>I126+I133</f>
        <v>0</v>
      </c>
      <c r="J135" s="508">
        <f>J126+J133</f>
        <v>0</v>
      </c>
      <c r="K135" s="309"/>
      <c r="L135" s="176">
        <f t="shared" si="4"/>
        <v>0</v>
      </c>
    </row>
    <row r="136" spans="1:12" x14ac:dyDescent="0.2">
      <c r="A136" s="198"/>
      <c r="B136" s="119"/>
      <c r="C136" s="119"/>
      <c r="D136" s="119"/>
      <c r="E136" s="119"/>
      <c r="F136" s="233"/>
      <c r="G136" s="119"/>
      <c r="H136" s="117"/>
      <c r="I136" s="117"/>
      <c r="J136" s="493"/>
      <c r="K136" s="199"/>
      <c r="L136" s="176"/>
    </row>
    <row r="137" spans="1:12" x14ac:dyDescent="0.2">
      <c r="H137" s="122"/>
      <c r="I137" s="122"/>
      <c r="J137" s="210"/>
      <c r="K137" s="309"/>
      <c r="L137" s="176">
        <f t="shared" si="4"/>
        <v>0</v>
      </c>
    </row>
    <row r="138" spans="1:12" x14ac:dyDescent="0.2">
      <c r="H138" s="308"/>
      <c r="I138" s="308"/>
      <c r="L138" s="200">
        <f t="shared" ref="L138" si="5">J138-H138</f>
        <v>0</v>
      </c>
    </row>
    <row r="139" spans="1:12" ht="12.75" x14ac:dyDescent="0.2">
      <c r="A139" s="728" t="s">
        <v>580</v>
      </c>
      <c r="B139" s="728"/>
      <c r="C139" s="728"/>
      <c r="D139" s="728"/>
      <c r="E139" s="728"/>
      <c r="F139" s="718" t="s">
        <v>1062</v>
      </c>
      <c r="G139" s="718"/>
      <c r="H139" s="718"/>
      <c r="I139" s="718"/>
      <c r="J139" s="718"/>
      <c r="K139" s="718"/>
      <c r="L139" s="235">
        <f>H116-H135</f>
        <v>0</v>
      </c>
    </row>
    <row r="140" spans="1:12" ht="12.75" x14ac:dyDescent="0.2">
      <c r="A140" s="728" t="s">
        <v>678</v>
      </c>
      <c r="B140" s="728"/>
      <c r="C140" s="728"/>
      <c r="D140" s="728"/>
      <c r="E140" s="728"/>
      <c r="F140" s="718" t="s">
        <v>680</v>
      </c>
      <c r="G140" s="718"/>
      <c r="H140" s="718"/>
      <c r="I140" s="718"/>
      <c r="J140" s="718"/>
      <c r="K140" s="718"/>
      <c r="L140" s="442">
        <f>J116-J135</f>
        <v>0</v>
      </c>
    </row>
    <row r="141" spans="1:12" ht="12.75" x14ac:dyDescent="0.2">
      <c r="A141" s="728"/>
      <c r="B141" s="728"/>
      <c r="C141" s="728"/>
      <c r="D141" s="728"/>
      <c r="E141" s="728"/>
      <c r="F141" s="718"/>
      <c r="G141" s="718"/>
      <c r="H141" s="718"/>
      <c r="I141" s="718"/>
      <c r="J141" s="718"/>
      <c r="K141" s="718"/>
      <c r="L141" s="200">
        <f t="shared" ref="L141:L150" si="6">J141-H141</f>
        <v>0</v>
      </c>
    </row>
    <row r="142" spans="1:12" ht="12.75" x14ac:dyDescent="0.2">
      <c r="A142" s="728"/>
      <c r="B142" s="728"/>
      <c r="C142" s="728"/>
      <c r="D142" s="728"/>
      <c r="E142" s="728"/>
      <c r="F142" s="718"/>
      <c r="G142" s="718"/>
      <c r="H142" s="718"/>
      <c r="I142" s="718"/>
      <c r="J142" s="718"/>
      <c r="K142" s="718"/>
      <c r="L142" s="200">
        <f t="shared" si="6"/>
        <v>0</v>
      </c>
    </row>
    <row r="143" spans="1:12" ht="12.75" x14ac:dyDescent="0.2">
      <c r="A143" s="728"/>
      <c r="B143" s="728"/>
      <c r="C143" s="728"/>
      <c r="D143" s="728"/>
      <c r="E143" s="728"/>
      <c r="F143" s="718"/>
      <c r="G143" s="718"/>
      <c r="H143" s="718"/>
      <c r="I143" s="718"/>
      <c r="J143" s="718"/>
      <c r="K143" s="718"/>
      <c r="L143" s="200">
        <f t="shared" si="6"/>
        <v>0</v>
      </c>
    </row>
    <row r="144" spans="1:12" ht="12.75" x14ac:dyDescent="0.2">
      <c r="A144" s="728" t="s">
        <v>1038</v>
      </c>
      <c r="B144" s="728"/>
      <c r="C144" s="728"/>
      <c r="D144" s="728"/>
      <c r="E144" s="728"/>
      <c r="F144" s="718" t="s">
        <v>1039</v>
      </c>
      <c r="G144" s="718"/>
      <c r="H144" s="718"/>
      <c r="I144" s="718"/>
      <c r="J144" s="718"/>
      <c r="K144" s="718"/>
      <c r="L144" s="200">
        <f t="shared" si="6"/>
        <v>0</v>
      </c>
    </row>
    <row r="145" spans="1:12" x14ac:dyDescent="0.2">
      <c r="A145" s="200" t="e">
        <f>#REF!-#REF!</f>
        <v>#REF!</v>
      </c>
      <c r="F145" s="124"/>
      <c r="J145" s="200"/>
      <c r="K145" s="124"/>
      <c r="L145" s="200">
        <f t="shared" si="6"/>
        <v>0</v>
      </c>
    </row>
    <row r="146" spans="1:12" x14ac:dyDescent="0.2">
      <c r="A146" s="200" t="e">
        <f>#REF!-#REF!</f>
        <v>#REF!</v>
      </c>
      <c r="F146" s="124"/>
      <c r="J146" s="200"/>
      <c r="K146" s="124"/>
      <c r="L146" s="200">
        <f t="shared" si="6"/>
        <v>0</v>
      </c>
    </row>
    <row r="147" spans="1:12" ht="12.75" x14ac:dyDescent="0.2">
      <c r="A147" s="728"/>
      <c r="B147" s="728"/>
      <c r="C147" s="728"/>
      <c r="D147" s="728"/>
      <c r="E147" s="728"/>
      <c r="F147" s="728"/>
      <c r="G147" s="728"/>
      <c r="H147" s="728"/>
      <c r="I147" s="728"/>
      <c r="J147" s="728"/>
      <c r="K147" s="728"/>
      <c r="L147" s="200">
        <f t="shared" si="6"/>
        <v>0</v>
      </c>
    </row>
    <row r="148" spans="1:12" ht="12.75" x14ac:dyDescent="0.2">
      <c r="A148" s="728"/>
      <c r="B148" s="728"/>
      <c r="C148" s="728"/>
      <c r="D148" s="728"/>
      <c r="E148" s="728"/>
      <c r="F148" s="728"/>
      <c r="G148" s="728"/>
      <c r="H148" s="728"/>
      <c r="I148" s="728"/>
      <c r="J148" s="728"/>
      <c r="K148" s="728"/>
      <c r="L148" s="200">
        <f t="shared" si="6"/>
        <v>0</v>
      </c>
    </row>
    <row r="149" spans="1:12" ht="12.75" x14ac:dyDescent="0.2">
      <c r="A149" s="728"/>
      <c r="B149" s="728"/>
      <c r="C149" s="728"/>
      <c r="D149" s="728"/>
      <c r="E149" s="728"/>
      <c r="F149" s="728"/>
      <c r="G149" s="728"/>
      <c r="H149" s="728"/>
      <c r="I149" s="728"/>
      <c r="J149" s="728"/>
      <c r="K149" s="728"/>
      <c r="L149" s="200">
        <f t="shared" si="6"/>
        <v>0</v>
      </c>
    </row>
    <row r="150" spans="1:12" ht="14.25" x14ac:dyDescent="0.2">
      <c r="B150" s="112"/>
      <c r="C150" s="112"/>
      <c r="D150" s="112"/>
      <c r="E150" s="112"/>
      <c r="F150" s="112"/>
      <c r="L150" s="200">
        <f t="shared" si="6"/>
        <v>0</v>
      </c>
    </row>
    <row r="151" spans="1:12" x14ac:dyDescent="0.2">
      <c r="A151" s="200"/>
      <c r="F151" s="124"/>
      <c r="J151" s="200"/>
      <c r="K151" s="124"/>
    </row>
    <row r="152" spans="1:12" x14ac:dyDescent="0.2">
      <c r="A152" s="200"/>
      <c r="F152" s="124"/>
      <c r="J152" s="200"/>
      <c r="K152" s="124"/>
    </row>
    <row r="153" spans="1:12" x14ac:dyDescent="0.2">
      <c r="A153" s="200"/>
      <c r="F153" s="124"/>
      <c r="J153" s="200"/>
      <c r="K153" s="124"/>
    </row>
    <row r="154" spans="1:12" x14ac:dyDescent="0.2">
      <c r="A154" s="200"/>
      <c r="F154" s="124"/>
      <c r="J154" s="200"/>
      <c r="K154" s="124"/>
    </row>
    <row r="155" spans="1:12" x14ac:dyDescent="0.2">
      <c r="A155" s="200"/>
      <c r="F155" s="124"/>
      <c r="J155" s="200"/>
      <c r="K155" s="124"/>
    </row>
    <row r="156" spans="1:12" x14ac:dyDescent="0.2">
      <c r="A156" s="200" t="e">
        <f>#REF!-#REF!</f>
        <v>#REF!</v>
      </c>
      <c r="F156" s="124"/>
      <c r="J156" s="200"/>
      <c r="K156" s="124"/>
    </row>
    <row r="157" spans="1:12" x14ac:dyDescent="0.2">
      <c r="A157" s="200" t="e">
        <f>#REF!-#REF!</f>
        <v>#REF!</v>
      </c>
      <c r="F157" s="124"/>
      <c r="J157" s="200"/>
      <c r="K157" s="124"/>
    </row>
    <row r="158" spans="1:12" x14ac:dyDescent="0.2">
      <c r="A158" s="200" t="e">
        <f>#REF!-#REF!</f>
        <v>#REF!</v>
      </c>
      <c r="F158" s="124"/>
      <c r="J158" s="200"/>
      <c r="K158" s="124"/>
    </row>
    <row r="159" spans="1:12" x14ac:dyDescent="0.2">
      <c r="A159" s="200"/>
      <c r="F159" s="124"/>
      <c r="J159" s="200"/>
      <c r="K159" s="124"/>
    </row>
    <row r="160" spans="1:12" x14ac:dyDescent="0.2">
      <c r="A160" s="200"/>
      <c r="F160" s="124"/>
      <c r="J160" s="200"/>
      <c r="K160" s="124"/>
    </row>
    <row r="161" spans="1:12" x14ac:dyDescent="0.2">
      <c r="A161" s="200"/>
      <c r="F161" s="124"/>
      <c r="J161" s="200"/>
      <c r="K161" s="124"/>
    </row>
    <row r="162" spans="1:12" x14ac:dyDescent="0.2">
      <c r="A162" s="200"/>
      <c r="F162" s="124"/>
      <c r="J162" s="200"/>
      <c r="K162" s="124"/>
    </row>
    <row r="163" spans="1:12" x14ac:dyDescent="0.2">
      <c r="A163" s="200"/>
      <c r="F163" s="124"/>
      <c r="J163" s="200"/>
      <c r="K163" s="124"/>
    </row>
    <row r="164" spans="1:12" x14ac:dyDescent="0.2">
      <c r="A164" s="200"/>
      <c r="F164" s="124"/>
      <c r="J164" s="200"/>
      <c r="K164" s="124"/>
    </row>
    <row r="165" spans="1:12" ht="12.75" x14ac:dyDescent="0.2">
      <c r="B165" s="175"/>
      <c r="C165" s="175"/>
      <c r="D165" s="175"/>
    </row>
    <row r="166" spans="1:12" ht="16.5" customHeight="1" x14ac:dyDescent="0.2">
      <c r="A166" s="668" t="s">
        <v>31</v>
      </c>
      <c r="B166" s="195"/>
      <c r="C166" s="667" t="s">
        <v>862</v>
      </c>
      <c r="D166" s="195"/>
    </row>
    <row r="168" spans="1:12" ht="16.5" x14ac:dyDescent="0.25">
      <c r="A168" s="178"/>
      <c r="B168" s="729" t="s">
        <v>650</v>
      </c>
      <c r="C168" s="729"/>
      <c r="D168" s="729"/>
      <c r="E168" s="729"/>
      <c r="F168" s="729"/>
      <c r="G168" s="729"/>
      <c r="H168" s="729"/>
      <c r="I168" s="729"/>
      <c r="J168" s="729"/>
      <c r="K168" s="179"/>
    </row>
    <row r="169" spans="1:12" ht="16.5" x14ac:dyDescent="0.25">
      <c r="A169" s="180"/>
      <c r="B169" s="585" t="s">
        <v>862</v>
      </c>
      <c r="C169" s="586"/>
      <c r="D169" s="586"/>
      <c r="E169" s="586"/>
      <c r="F169" s="586"/>
      <c r="G169" s="586"/>
      <c r="H169" s="587"/>
      <c r="I169" s="587"/>
      <c r="J169" s="588"/>
      <c r="K169" s="182"/>
    </row>
    <row r="170" spans="1:12" ht="16.5" x14ac:dyDescent="0.25">
      <c r="A170" s="180"/>
      <c r="B170" s="719" t="s">
        <v>1063</v>
      </c>
      <c r="C170" s="719"/>
      <c r="D170" s="719"/>
      <c r="E170" s="719"/>
      <c r="F170" s="719"/>
      <c r="G170" s="719"/>
      <c r="H170" s="719"/>
      <c r="I170" s="719"/>
      <c r="J170" s="719"/>
      <c r="K170" s="182"/>
    </row>
    <row r="171" spans="1:12" ht="15" customHeight="1" thickBot="1" x14ac:dyDescent="0.25">
      <c r="A171" s="688" t="e" cm="1" vm="1">
        <f t="array" aca="1" ref="A171" ca="1">+K171:AA218</f>
        <v>#VALUE!</v>
      </c>
      <c r="B171" s="181"/>
      <c r="C171" s="181"/>
      <c r="D171" s="181"/>
      <c r="E171" s="181"/>
      <c r="G171" s="181"/>
      <c r="H171" s="293"/>
      <c r="I171" s="293"/>
      <c r="J171" s="210"/>
      <c r="K171" s="183"/>
    </row>
    <row r="172" spans="1:12" ht="15" customHeight="1" x14ac:dyDescent="0.2">
      <c r="A172" s="180"/>
      <c r="B172" s="720" t="s">
        <v>15</v>
      </c>
      <c r="C172" s="721"/>
      <c r="D172" s="722"/>
      <c r="E172" s="175"/>
      <c r="F172" s="726" t="s">
        <v>13</v>
      </c>
      <c r="G172" s="184"/>
      <c r="H172" s="295" t="s">
        <v>1051</v>
      </c>
      <c r="I172" s="296"/>
      <c r="J172" s="502" t="s">
        <v>861</v>
      </c>
      <c r="K172" s="185"/>
      <c r="L172" s="176"/>
    </row>
    <row r="173" spans="1:12" ht="13.5" thickBot="1" x14ac:dyDescent="0.25">
      <c r="A173" s="180"/>
      <c r="B173" s="723"/>
      <c r="C173" s="724"/>
      <c r="D173" s="725"/>
      <c r="E173" s="175"/>
      <c r="F173" s="727"/>
      <c r="G173" s="184"/>
      <c r="H173" s="297" t="s">
        <v>22</v>
      </c>
      <c r="I173" s="298"/>
      <c r="J173" s="503" t="s">
        <v>22</v>
      </c>
      <c r="K173" s="186"/>
    </row>
    <row r="174" spans="1:12" x14ac:dyDescent="0.2">
      <c r="A174" s="180"/>
      <c r="B174" s="128" t="s">
        <v>863</v>
      </c>
      <c r="C174" s="128"/>
      <c r="D174" s="128"/>
      <c r="E174" s="128"/>
      <c r="F174" s="134"/>
      <c r="G174" s="134"/>
      <c r="H174" s="299"/>
      <c r="I174" s="299"/>
      <c r="J174" s="504"/>
      <c r="K174" s="187"/>
    </row>
    <row r="175" spans="1:12" x14ac:dyDescent="0.2">
      <c r="A175" s="180"/>
      <c r="B175" s="128" t="s">
        <v>864</v>
      </c>
      <c r="G175" s="6"/>
      <c r="J175" s="210"/>
      <c r="K175" s="183"/>
    </row>
    <row r="176" spans="1:12" x14ac:dyDescent="0.2">
      <c r="A176" s="180"/>
      <c r="B176" s="5" t="s">
        <v>16</v>
      </c>
      <c r="C176" s="124" t="s">
        <v>6</v>
      </c>
      <c r="G176" s="6"/>
      <c r="H176" s="122">
        <v>0</v>
      </c>
      <c r="I176" s="294"/>
      <c r="J176" s="210">
        <v>0</v>
      </c>
      <c r="K176" s="183"/>
      <c r="L176" s="176">
        <f t="shared" ref="L176:L183" si="7">J176-H176</f>
        <v>0</v>
      </c>
    </row>
    <row r="177" spans="1:12" x14ac:dyDescent="0.2">
      <c r="A177" s="180"/>
      <c r="B177" s="5" t="s">
        <v>16</v>
      </c>
      <c r="C177" s="124" t="s">
        <v>307</v>
      </c>
      <c r="G177" s="6"/>
      <c r="H177" s="122">
        <v>0</v>
      </c>
      <c r="I177" s="294"/>
      <c r="J177" s="210">
        <v>0</v>
      </c>
      <c r="K177" s="183"/>
      <c r="L177" s="176">
        <f t="shared" si="7"/>
        <v>0</v>
      </c>
    </row>
    <row r="178" spans="1:12" x14ac:dyDescent="0.2">
      <c r="A178" s="180"/>
      <c r="B178" s="5" t="s">
        <v>16</v>
      </c>
      <c r="C178" s="124" t="s">
        <v>7</v>
      </c>
      <c r="G178" s="6"/>
      <c r="H178" s="122">
        <v>0</v>
      </c>
      <c r="I178" s="294"/>
      <c r="J178" s="210">
        <v>0</v>
      </c>
      <c r="K178" s="183"/>
      <c r="L178" s="176">
        <f t="shared" si="7"/>
        <v>0</v>
      </c>
    </row>
    <row r="179" spans="1:12" ht="14.25" x14ac:dyDescent="0.35">
      <c r="A179" s="180"/>
      <c r="C179" s="124" t="s">
        <v>84</v>
      </c>
      <c r="G179" s="6"/>
      <c r="H179" s="300">
        <v>0</v>
      </c>
      <c r="I179" s="301"/>
      <c r="J179" s="505">
        <v>0</v>
      </c>
      <c r="K179" s="183"/>
      <c r="L179" s="176">
        <f t="shared" si="7"/>
        <v>0</v>
      </c>
    </row>
    <row r="180" spans="1:12" x14ac:dyDescent="0.2">
      <c r="A180" s="180"/>
      <c r="C180" s="124" t="s">
        <v>8</v>
      </c>
      <c r="G180" s="6"/>
      <c r="H180" s="122">
        <f>SUM(H178:H179)</f>
        <v>0</v>
      </c>
      <c r="I180" s="122"/>
      <c r="J180" s="210">
        <f>SUM(J178:J179)</f>
        <v>0</v>
      </c>
      <c r="K180" s="183"/>
      <c r="L180" s="176">
        <f t="shared" si="7"/>
        <v>0</v>
      </c>
    </row>
    <row r="181" spans="1:12" x14ac:dyDescent="0.2">
      <c r="A181" s="180"/>
      <c r="B181" s="5" t="s">
        <v>16</v>
      </c>
      <c r="C181" s="124" t="s">
        <v>293</v>
      </c>
      <c r="G181" s="6"/>
      <c r="H181" s="122"/>
      <c r="I181" s="122"/>
      <c r="J181" s="210">
        <v>0</v>
      </c>
      <c r="K181" s="183"/>
      <c r="L181" s="200">
        <f t="shared" si="7"/>
        <v>0</v>
      </c>
    </row>
    <row r="182" spans="1:12" x14ac:dyDescent="0.2">
      <c r="A182" s="180"/>
      <c r="B182" s="5" t="s">
        <v>16</v>
      </c>
      <c r="C182" s="124" t="s">
        <v>9</v>
      </c>
      <c r="G182" s="6"/>
      <c r="H182" s="294">
        <v>0</v>
      </c>
      <c r="I182" s="122"/>
      <c r="J182" s="210">
        <v>0</v>
      </c>
      <c r="K182" s="183"/>
      <c r="L182" s="200">
        <f t="shared" si="7"/>
        <v>0</v>
      </c>
    </row>
    <row r="183" spans="1:12" x14ac:dyDescent="0.2">
      <c r="A183" s="180"/>
      <c r="B183" s="5" t="s">
        <v>16</v>
      </c>
      <c r="C183" s="124" t="s">
        <v>280</v>
      </c>
      <c r="G183" s="6"/>
      <c r="H183" s="117"/>
      <c r="I183" s="122"/>
      <c r="J183" s="493">
        <v>0</v>
      </c>
      <c r="K183" s="183"/>
      <c r="L183" s="200">
        <f t="shared" si="7"/>
        <v>0</v>
      </c>
    </row>
    <row r="184" spans="1:12" x14ac:dyDescent="0.2">
      <c r="A184" s="180"/>
      <c r="C184" s="128" t="s">
        <v>946</v>
      </c>
      <c r="G184" s="6"/>
      <c r="H184" s="302">
        <f>H176+H180+H181+H182+H183+H177</f>
        <v>0</v>
      </c>
      <c r="I184" s="122"/>
      <c r="J184" s="506">
        <f>SUM(J180:J183)+J176+J177</f>
        <v>0</v>
      </c>
      <c r="K184" s="183"/>
      <c r="L184" s="200"/>
    </row>
    <row r="185" spans="1:12" x14ac:dyDescent="0.2">
      <c r="A185" s="180"/>
      <c r="G185" s="6"/>
      <c r="H185" s="122"/>
      <c r="I185" s="122"/>
      <c r="J185" s="210"/>
      <c r="K185" s="183"/>
      <c r="L185" s="200">
        <f>J185-H185</f>
        <v>0</v>
      </c>
    </row>
    <row r="186" spans="1:12" x14ac:dyDescent="0.2">
      <c r="A186" s="180"/>
      <c r="B186" s="128" t="s">
        <v>865</v>
      </c>
      <c r="G186" s="6"/>
      <c r="H186" s="122"/>
      <c r="I186" s="122"/>
      <c r="J186" s="210"/>
      <c r="K186" s="183"/>
      <c r="L186" s="200">
        <f>J186-H186</f>
        <v>0</v>
      </c>
    </row>
    <row r="187" spans="1:12" ht="13.5" customHeight="1" x14ac:dyDescent="0.2">
      <c r="A187" s="180"/>
      <c r="C187" s="124" t="s">
        <v>947</v>
      </c>
      <c r="G187" s="6"/>
      <c r="H187" s="122">
        <v>0</v>
      </c>
      <c r="I187" s="122"/>
      <c r="J187" s="210">
        <v>0</v>
      </c>
      <c r="K187" s="183"/>
      <c r="L187" s="200">
        <f>J187-H187</f>
        <v>0</v>
      </c>
    </row>
    <row r="188" spans="1:12" x14ac:dyDescent="0.2">
      <c r="A188" s="180"/>
      <c r="B188" s="5" t="s">
        <v>16</v>
      </c>
      <c r="C188" s="124" t="s">
        <v>10</v>
      </c>
      <c r="G188" s="6"/>
      <c r="H188" s="294">
        <v>0</v>
      </c>
      <c r="I188" s="122"/>
      <c r="J188" s="210">
        <v>0</v>
      </c>
      <c r="K188" s="183"/>
      <c r="L188" s="200">
        <f>J188-H188</f>
        <v>0</v>
      </c>
    </row>
    <row r="189" spans="1:12" x14ac:dyDescent="0.2">
      <c r="A189" s="180"/>
      <c r="B189" s="5"/>
      <c r="D189" s="124" t="s">
        <v>1052</v>
      </c>
      <c r="G189" s="6"/>
      <c r="H189" s="302">
        <f>SUM(H187:H188)</f>
        <v>0</v>
      </c>
      <c r="I189" s="122"/>
      <c r="J189" s="506">
        <f>SUM(J187:J188)</f>
        <v>0</v>
      </c>
      <c r="K189" s="183"/>
      <c r="L189" s="200">
        <f t="shared" ref="L189:L198" si="8">J189-H189</f>
        <v>0</v>
      </c>
    </row>
    <row r="190" spans="1:12" x14ac:dyDescent="0.2">
      <c r="A190" s="180"/>
      <c r="B190" s="128" t="s">
        <v>866</v>
      </c>
      <c r="G190" s="6"/>
      <c r="H190" s="122"/>
      <c r="I190" s="122"/>
      <c r="J190" s="210"/>
      <c r="K190" s="183"/>
      <c r="L190" s="200">
        <f t="shared" si="8"/>
        <v>0</v>
      </c>
    </row>
    <row r="191" spans="1:12" x14ac:dyDescent="0.2">
      <c r="A191" s="180"/>
      <c r="C191" s="124" t="s">
        <v>948</v>
      </c>
      <c r="G191" s="6"/>
      <c r="H191" s="122">
        <v>0</v>
      </c>
      <c r="I191" s="122"/>
      <c r="J191" s="210">
        <v>0</v>
      </c>
      <c r="K191" s="183"/>
      <c r="L191" s="200">
        <f t="shared" si="8"/>
        <v>0</v>
      </c>
    </row>
    <row r="192" spans="1:12" x14ac:dyDescent="0.2">
      <c r="A192" s="180"/>
      <c r="B192" s="5" t="s">
        <v>16</v>
      </c>
      <c r="C192" s="124" t="s">
        <v>300</v>
      </c>
      <c r="G192" s="6"/>
      <c r="H192" s="122">
        <v>0</v>
      </c>
      <c r="I192" s="122"/>
      <c r="J192" s="210">
        <v>0</v>
      </c>
      <c r="K192" s="183"/>
      <c r="L192" s="200">
        <f t="shared" si="8"/>
        <v>0</v>
      </c>
    </row>
    <row r="193" spans="1:12" ht="12" customHeight="1" x14ac:dyDescent="0.2">
      <c r="A193" s="180"/>
      <c r="C193" s="124" t="s">
        <v>24</v>
      </c>
      <c r="G193" s="6"/>
      <c r="H193" s="654">
        <f>SUM(H191:H192)</f>
        <v>0</v>
      </c>
      <c r="I193" s="122"/>
      <c r="J193" s="506">
        <f>SUM(J191:J192)</f>
        <v>0</v>
      </c>
      <c r="K193" s="183"/>
      <c r="L193" s="200">
        <f t="shared" si="8"/>
        <v>0</v>
      </c>
    </row>
    <row r="194" spans="1:12" x14ac:dyDescent="0.2">
      <c r="A194" s="180"/>
      <c r="B194" s="128" t="s">
        <v>867</v>
      </c>
      <c r="G194" s="6"/>
      <c r="H194" s="122"/>
      <c r="I194" s="122"/>
      <c r="J194" s="210"/>
      <c r="K194" s="183"/>
      <c r="L194" s="200">
        <f t="shared" si="8"/>
        <v>0</v>
      </c>
    </row>
    <row r="195" spans="1:12" x14ac:dyDescent="0.2">
      <c r="A195" s="180"/>
      <c r="B195" s="128"/>
      <c r="C195" s="124" t="s">
        <v>949</v>
      </c>
      <c r="G195" s="6"/>
      <c r="H195" s="655">
        <v>0</v>
      </c>
      <c r="I195" s="122"/>
      <c r="J195" s="506">
        <v>0</v>
      </c>
      <c r="K195" s="183"/>
      <c r="L195" s="200">
        <f t="shared" si="8"/>
        <v>0</v>
      </c>
    </row>
    <row r="196" spans="1:12" x14ac:dyDescent="0.2">
      <c r="A196" s="180"/>
      <c r="B196" s="128" t="s">
        <v>1053</v>
      </c>
      <c r="G196" s="6"/>
      <c r="H196" s="122"/>
      <c r="I196" s="122"/>
      <c r="J196" s="210"/>
      <c r="K196" s="183"/>
      <c r="L196" s="200"/>
    </row>
    <row r="197" spans="1:12" ht="12.75" x14ac:dyDescent="0.2">
      <c r="A197" s="180"/>
      <c r="C197" s="124" t="s">
        <v>1054</v>
      </c>
      <c r="G197" s="6"/>
      <c r="H197" s="302">
        <v>0</v>
      </c>
      <c r="I197" s="122">
        <v>0</v>
      </c>
      <c r="J197" s="506">
        <v>0</v>
      </c>
      <c r="K197" s="190"/>
      <c r="L197" s="200"/>
    </row>
    <row r="198" spans="1:12" ht="12.75" customHeight="1" thickBot="1" x14ac:dyDescent="0.25">
      <c r="A198" s="180"/>
      <c r="G198" s="6"/>
      <c r="H198" s="122"/>
      <c r="I198" s="122"/>
      <c r="J198" s="210"/>
      <c r="K198" s="183"/>
      <c r="L198" s="200">
        <f t="shared" si="8"/>
        <v>0</v>
      </c>
    </row>
    <row r="199" spans="1:12" ht="27.2" customHeight="1" thickBot="1" x14ac:dyDescent="0.25">
      <c r="A199" s="180"/>
      <c r="B199" s="730" t="s">
        <v>868</v>
      </c>
      <c r="C199" s="731"/>
      <c r="D199" s="732"/>
      <c r="E199" s="188"/>
      <c r="F199" s="189"/>
      <c r="G199" s="188"/>
      <c r="H199" s="303">
        <f>H184+H189+H193+H197</f>
        <v>0</v>
      </c>
      <c r="I199" s="304">
        <f>I184+I189</f>
        <v>0</v>
      </c>
      <c r="J199" s="500">
        <f>J184+J189+J193+J197</f>
        <v>0</v>
      </c>
      <c r="K199" s="183"/>
      <c r="L199" s="200"/>
    </row>
    <row r="200" spans="1:12" x14ac:dyDescent="0.2">
      <c r="A200" s="180"/>
      <c r="H200" s="122"/>
      <c r="I200" s="122"/>
      <c r="J200" s="210"/>
      <c r="K200" s="183"/>
      <c r="L200" s="200">
        <f t="shared" ref="L200:L220" si="9">J200-H200</f>
        <v>0</v>
      </c>
    </row>
    <row r="201" spans="1:12" x14ac:dyDescent="0.2">
      <c r="A201" s="180"/>
      <c r="H201" s="122"/>
      <c r="I201" s="122"/>
      <c r="J201" s="210"/>
      <c r="K201" s="183"/>
      <c r="L201" s="200">
        <f t="shared" si="9"/>
        <v>0</v>
      </c>
    </row>
    <row r="202" spans="1:12" x14ac:dyDescent="0.2">
      <c r="A202" s="180"/>
      <c r="B202" s="151" t="s">
        <v>870</v>
      </c>
      <c r="H202" s="122"/>
      <c r="I202" s="122"/>
      <c r="J202" s="210"/>
      <c r="K202" s="183"/>
      <c r="L202" s="200">
        <f t="shared" si="9"/>
        <v>0</v>
      </c>
    </row>
    <row r="203" spans="1:12" x14ac:dyDescent="0.2">
      <c r="A203" s="180"/>
      <c r="C203" s="6" t="s">
        <v>16</v>
      </c>
      <c r="D203" s="191" t="s">
        <v>869</v>
      </c>
      <c r="H203" s="122"/>
      <c r="I203" s="122"/>
      <c r="J203" s="210"/>
      <c r="K203" s="183"/>
      <c r="L203" s="200">
        <f t="shared" si="9"/>
        <v>0</v>
      </c>
    </row>
    <row r="204" spans="1:12" x14ac:dyDescent="0.2">
      <c r="A204" s="180"/>
      <c r="C204" s="6"/>
      <c r="D204" s="192" t="s">
        <v>871</v>
      </c>
      <c r="H204" s="122"/>
      <c r="I204" s="122"/>
      <c r="J204" s="210"/>
      <c r="K204" s="183"/>
      <c r="L204" s="200">
        <f t="shared" si="9"/>
        <v>0</v>
      </c>
    </row>
    <row r="205" spans="1:12" x14ac:dyDescent="0.2">
      <c r="A205" s="180"/>
      <c r="C205" s="6"/>
      <c r="D205" s="193" t="s">
        <v>1055</v>
      </c>
      <c r="H205" s="122">
        <v>0</v>
      </c>
      <c r="I205" s="122"/>
      <c r="J205" s="210"/>
      <c r="K205" s="183"/>
      <c r="L205" s="200">
        <f t="shared" si="9"/>
        <v>0</v>
      </c>
    </row>
    <row r="206" spans="1:12" x14ac:dyDescent="0.2">
      <c r="A206" s="180"/>
      <c r="D206" s="193" t="s">
        <v>643</v>
      </c>
      <c r="H206" s="122"/>
      <c r="I206" s="122"/>
      <c r="J206" s="210">
        <v>0</v>
      </c>
      <c r="K206" s="183"/>
      <c r="L206" s="200">
        <f t="shared" si="9"/>
        <v>0</v>
      </c>
    </row>
    <row r="207" spans="1:12" x14ac:dyDescent="0.2">
      <c r="A207" s="180"/>
      <c r="D207" s="193" t="s">
        <v>644</v>
      </c>
      <c r="H207" s="122"/>
      <c r="I207" s="122"/>
      <c r="J207" s="210">
        <v>0</v>
      </c>
      <c r="K207" s="183"/>
      <c r="L207" s="200">
        <f t="shared" si="9"/>
        <v>0</v>
      </c>
    </row>
    <row r="208" spans="1:12" x14ac:dyDescent="0.2">
      <c r="A208" s="180"/>
      <c r="D208" s="193" t="s">
        <v>645</v>
      </c>
      <c r="H208" s="117">
        <v>0</v>
      </c>
      <c r="I208" s="122"/>
      <c r="J208" s="493">
        <v>0</v>
      </c>
      <c r="K208" s="183"/>
      <c r="L208" s="200">
        <f t="shared" si="9"/>
        <v>0</v>
      </c>
    </row>
    <row r="209" spans="1:12" ht="14.25" customHeight="1" x14ac:dyDescent="0.2">
      <c r="A209" s="180"/>
      <c r="D209" s="194" t="s">
        <v>950</v>
      </c>
      <c r="H209" s="302">
        <f>SUM(H205:H208)</f>
        <v>0</v>
      </c>
      <c r="I209" s="122"/>
      <c r="J209" s="506">
        <f>SUM(J205:J208)</f>
        <v>0</v>
      </c>
      <c r="K209" s="183"/>
      <c r="L209" s="200">
        <f t="shared" si="9"/>
        <v>0</v>
      </c>
    </row>
    <row r="210" spans="1:12" x14ac:dyDescent="0.2">
      <c r="A210" s="180"/>
      <c r="H210" s="122"/>
      <c r="I210" s="122"/>
      <c r="J210" s="210"/>
      <c r="K210" s="183"/>
      <c r="L210" s="200">
        <f t="shared" si="9"/>
        <v>0</v>
      </c>
    </row>
    <row r="211" spans="1:12" x14ac:dyDescent="0.2">
      <c r="A211" s="180"/>
      <c r="C211" s="6" t="s">
        <v>16</v>
      </c>
      <c r="D211" s="124" t="s">
        <v>872</v>
      </c>
      <c r="H211" s="122"/>
      <c r="I211" s="122"/>
      <c r="J211" s="210"/>
      <c r="K211" s="183"/>
      <c r="L211" s="200">
        <f t="shared" si="9"/>
        <v>0</v>
      </c>
    </row>
    <row r="212" spans="1:12" x14ac:dyDescent="0.2">
      <c r="A212" s="180"/>
      <c r="D212" s="124" t="s">
        <v>266</v>
      </c>
      <c r="H212" s="122">
        <v>0</v>
      </c>
      <c r="I212" s="122"/>
      <c r="J212" s="210">
        <v>0</v>
      </c>
      <c r="K212" s="183"/>
      <c r="L212" s="200">
        <f t="shared" si="9"/>
        <v>0</v>
      </c>
    </row>
    <row r="213" spans="1:12" x14ac:dyDescent="0.2">
      <c r="A213" s="180"/>
      <c r="D213" s="124" t="s">
        <v>11</v>
      </c>
      <c r="H213" s="122">
        <v>0</v>
      </c>
      <c r="I213" s="122"/>
      <c r="J213" s="210">
        <v>0</v>
      </c>
      <c r="K213" s="183"/>
      <c r="L213" s="200">
        <f t="shared" si="9"/>
        <v>0</v>
      </c>
    </row>
    <row r="214" spans="1:12" ht="12" customHeight="1" x14ac:dyDescent="0.2">
      <c r="A214" s="180"/>
      <c r="D214" s="124" t="s">
        <v>28</v>
      </c>
      <c r="H214" s="122">
        <v>0</v>
      </c>
      <c r="I214" s="122"/>
      <c r="J214" s="210">
        <v>0</v>
      </c>
      <c r="K214" s="183"/>
      <c r="L214" s="200">
        <f>J214+J215-H214</f>
        <v>0</v>
      </c>
    </row>
    <row r="215" spans="1:12" ht="12" customHeight="1" x14ac:dyDescent="0.2">
      <c r="A215" s="180"/>
      <c r="D215" s="124" t="s">
        <v>29</v>
      </c>
      <c r="H215" s="122">
        <v>0</v>
      </c>
      <c r="I215" s="122"/>
      <c r="J215" s="210">
        <v>0</v>
      </c>
      <c r="K215" s="183"/>
      <c r="L215" s="200">
        <f>J215-H215</f>
        <v>0</v>
      </c>
    </row>
    <row r="216" spans="1:12" ht="12" customHeight="1" thickBot="1" x14ac:dyDescent="0.25">
      <c r="A216" s="180"/>
      <c r="D216" s="124" t="s">
        <v>298</v>
      </c>
      <c r="H216" s="305">
        <f>SUM(H212:H215)</f>
        <v>0</v>
      </c>
      <c r="I216" s="122"/>
      <c r="J216" s="507">
        <f>SUM(J212:J215)</f>
        <v>0</v>
      </c>
      <c r="K216" s="197"/>
      <c r="L216" s="200">
        <f t="shared" si="9"/>
        <v>0</v>
      </c>
    </row>
    <row r="217" spans="1:12" ht="12.75" thickBot="1" x14ac:dyDescent="0.25">
      <c r="A217" s="180"/>
      <c r="H217" s="122"/>
      <c r="I217" s="122"/>
      <c r="J217" s="210"/>
      <c r="K217" s="199"/>
      <c r="L217" s="200">
        <f t="shared" si="9"/>
        <v>0</v>
      </c>
    </row>
    <row r="218" spans="1:12" ht="27.2" customHeight="1" thickBot="1" x14ac:dyDescent="0.25">
      <c r="A218" s="180"/>
      <c r="B218" s="733" t="s">
        <v>873</v>
      </c>
      <c r="C218" s="734"/>
      <c r="D218" s="735"/>
      <c r="E218" s="195"/>
      <c r="F218" s="196"/>
      <c r="G218" s="195"/>
      <c r="H218" s="306">
        <f>H209+H216</f>
        <v>0</v>
      </c>
      <c r="I218" s="307">
        <f>I209+I216</f>
        <v>0</v>
      </c>
      <c r="J218" s="508">
        <f>J209+J216</f>
        <v>0</v>
      </c>
      <c r="K218" s="309"/>
      <c r="L218" s="200">
        <f t="shared" si="9"/>
        <v>0</v>
      </c>
    </row>
    <row r="219" spans="1:12" x14ac:dyDescent="0.2">
      <c r="A219" s="198"/>
      <c r="B219" s="119"/>
      <c r="C219" s="119"/>
      <c r="D219" s="119"/>
      <c r="E219" s="119"/>
      <c r="F219" s="233"/>
      <c r="G219" s="119"/>
      <c r="H219" s="117"/>
      <c r="I219" s="117"/>
      <c r="J219" s="493"/>
      <c r="K219" s="199"/>
      <c r="L219" s="200">
        <f t="shared" si="9"/>
        <v>0</v>
      </c>
    </row>
    <row r="220" spans="1:12" x14ac:dyDescent="0.2">
      <c r="H220" s="122"/>
      <c r="I220" s="122"/>
      <c r="J220" s="210"/>
      <c r="K220" s="309"/>
      <c r="L220" s="200">
        <f t="shared" si="9"/>
        <v>0</v>
      </c>
    </row>
    <row r="221" spans="1:12" x14ac:dyDescent="0.2">
      <c r="H221" s="308"/>
      <c r="I221" s="308"/>
      <c r="L221" s="443">
        <f>J199-J218</f>
        <v>0</v>
      </c>
    </row>
    <row r="222" spans="1:12" ht="12.75" x14ac:dyDescent="0.2">
      <c r="A222" s="728" t="s">
        <v>580</v>
      </c>
      <c r="B222" s="728"/>
      <c r="C222" s="728"/>
      <c r="D222" s="728"/>
      <c r="E222" s="728"/>
      <c r="F222" s="718" t="s">
        <v>1062</v>
      </c>
      <c r="G222" s="718"/>
      <c r="H222" s="718"/>
      <c r="I222" s="718"/>
      <c r="J222" s="718"/>
      <c r="K222" s="718"/>
      <c r="L222" s="235">
        <f>H218-H199</f>
        <v>0</v>
      </c>
    </row>
    <row r="223" spans="1:12" ht="12.75" x14ac:dyDescent="0.2">
      <c r="A223" s="728" t="s">
        <v>678</v>
      </c>
      <c r="B223" s="728"/>
      <c r="C223" s="728"/>
      <c r="D223" s="728"/>
      <c r="E223" s="728"/>
      <c r="F223" s="718" t="s">
        <v>680</v>
      </c>
      <c r="G223" s="718"/>
      <c r="H223" s="718"/>
      <c r="I223" s="718"/>
      <c r="J223" s="718"/>
      <c r="K223" s="718"/>
      <c r="L223" s="200">
        <f t="shared" ref="L223:L226" si="10">J223-H223</f>
        <v>0</v>
      </c>
    </row>
    <row r="224" spans="1:12" ht="12.75" x14ac:dyDescent="0.2">
      <c r="A224" s="728"/>
      <c r="B224" s="728"/>
      <c r="C224" s="728"/>
      <c r="D224" s="728"/>
      <c r="E224" s="728"/>
      <c r="F224" s="718"/>
      <c r="G224" s="718"/>
      <c r="H224" s="718"/>
      <c r="I224" s="718"/>
      <c r="J224" s="718"/>
      <c r="K224" s="718"/>
      <c r="L224" s="200">
        <f t="shared" si="10"/>
        <v>0</v>
      </c>
    </row>
    <row r="225" spans="1:12" ht="12.75" x14ac:dyDescent="0.2">
      <c r="A225" s="728"/>
      <c r="B225" s="728"/>
      <c r="C225" s="728"/>
      <c r="D225" s="728"/>
      <c r="E225" s="728"/>
      <c r="F225" s="718"/>
      <c r="G225" s="718"/>
      <c r="H225" s="718"/>
      <c r="I225" s="718"/>
      <c r="J225" s="718"/>
      <c r="K225" s="718"/>
      <c r="L225" s="200">
        <f t="shared" si="10"/>
        <v>0</v>
      </c>
    </row>
    <row r="226" spans="1:12" ht="12.75" x14ac:dyDescent="0.2">
      <c r="A226" s="728"/>
      <c r="B226" s="728"/>
      <c r="C226" s="728"/>
      <c r="D226" s="728"/>
      <c r="E226" s="728"/>
      <c r="F226" s="718"/>
      <c r="G226" s="718"/>
      <c r="H226" s="718"/>
      <c r="I226" s="718"/>
      <c r="J226" s="718"/>
      <c r="K226" s="718"/>
      <c r="L226" s="200">
        <f t="shared" si="10"/>
        <v>0</v>
      </c>
    </row>
    <row r="227" spans="1:12" ht="12.75" x14ac:dyDescent="0.2">
      <c r="A227" s="728" t="s">
        <v>1038</v>
      </c>
      <c r="B227" s="728"/>
      <c r="C227" s="728"/>
      <c r="D227" s="728"/>
      <c r="E227" s="728"/>
      <c r="F227" s="718" t="s">
        <v>1039</v>
      </c>
      <c r="G227" s="718"/>
      <c r="H227" s="718"/>
      <c r="I227" s="718"/>
      <c r="J227" s="718"/>
      <c r="K227" s="718"/>
      <c r="L227" s="200"/>
    </row>
    <row r="228" spans="1:12" x14ac:dyDescent="0.2">
      <c r="A228" s="200" t="e">
        <f>#REF!-#REF!</f>
        <v>#REF!</v>
      </c>
      <c r="F228" s="124"/>
      <c r="J228" s="200"/>
      <c r="K228" s="124"/>
      <c r="L228" s="200">
        <f t="shared" ref="L228:L238" si="11">J228-H228</f>
        <v>0</v>
      </c>
    </row>
    <row r="229" spans="1:12" x14ac:dyDescent="0.2">
      <c r="A229" s="200" t="e">
        <f>#REF!-#REF!</f>
        <v>#REF!</v>
      </c>
      <c r="F229" s="124"/>
      <c r="J229" s="200"/>
      <c r="K229" s="124"/>
      <c r="L229" s="200">
        <f t="shared" si="11"/>
        <v>0</v>
      </c>
    </row>
    <row r="230" spans="1:12" x14ac:dyDescent="0.2">
      <c r="A230" s="200" t="e">
        <f>#REF!-#REF!</f>
        <v>#REF!</v>
      </c>
      <c r="F230" s="124"/>
      <c r="J230" s="200"/>
      <c r="K230" s="124"/>
      <c r="L230" s="200">
        <f t="shared" si="11"/>
        <v>0</v>
      </c>
    </row>
    <row r="231" spans="1:12" x14ac:dyDescent="0.2">
      <c r="A231" s="200" t="e">
        <f>#REF!-#REF!</f>
        <v>#REF!</v>
      </c>
      <c r="F231" s="124"/>
      <c r="J231" s="200"/>
      <c r="K231" s="124"/>
      <c r="L231" s="200">
        <f t="shared" si="11"/>
        <v>0</v>
      </c>
    </row>
    <row r="232" spans="1:12" ht="14.25" x14ac:dyDescent="0.2">
      <c r="B232" s="112"/>
      <c r="C232" s="112"/>
      <c r="D232" s="112"/>
      <c r="E232" s="112"/>
      <c r="F232" s="112"/>
      <c r="L232" s="200">
        <f t="shared" si="11"/>
        <v>0</v>
      </c>
    </row>
    <row r="233" spans="1:12" ht="14.25" x14ac:dyDescent="0.2">
      <c r="B233" s="112"/>
      <c r="C233" s="112"/>
      <c r="D233" s="112"/>
      <c r="E233" s="112"/>
      <c r="F233" s="112"/>
      <c r="L233" s="200">
        <f t="shared" si="11"/>
        <v>0</v>
      </c>
    </row>
    <row r="234" spans="1:12" ht="14.25" x14ac:dyDescent="0.2">
      <c r="B234" s="112"/>
      <c r="C234" s="112"/>
      <c r="D234" s="112"/>
      <c r="E234" s="112"/>
      <c r="F234" s="112"/>
      <c r="L234" s="200">
        <f t="shared" si="11"/>
        <v>0</v>
      </c>
    </row>
    <row r="235" spans="1:12" ht="14.25" x14ac:dyDescent="0.2">
      <c r="B235" s="112"/>
      <c r="C235" s="112"/>
      <c r="D235" s="112"/>
      <c r="E235" s="112"/>
      <c r="F235" s="112"/>
      <c r="L235" s="200">
        <f t="shared" si="11"/>
        <v>0</v>
      </c>
    </row>
    <row r="236" spans="1:12" x14ac:dyDescent="0.2">
      <c r="H236" s="308"/>
      <c r="I236" s="308"/>
      <c r="L236" s="200">
        <f t="shared" si="11"/>
        <v>0</v>
      </c>
    </row>
    <row r="237" spans="1:12" x14ac:dyDescent="0.2">
      <c r="H237" s="308"/>
      <c r="I237" s="308"/>
      <c r="L237" s="200">
        <f t="shared" si="11"/>
        <v>0</v>
      </c>
    </row>
    <row r="238" spans="1:12" x14ac:dyDescent="0.2">
      <c r="H238" s="308"/>
      <c r="I238" s="308"/>
      <c r="L238" s="200">
        <f t="shared" si="11"/>
        <v>0</v>
      </c>
    </row>
    <row r="239" spans="1:12" x14ac:dyDescent="0.2">
      <c r="H239" s="308"/>
      <c r="I239" s="308"/>
      <c r="L239" s="200"/>
    </row>
    <row r="240" spans="1:12" x14ac:dyDescent="0.2">
      <c r="H240" s="308"/>
      <c r="I240" s="308"/>
      <c r="L240" s="200"/>
    </row>
    <row r="241" spans="1:12" x14ac:dyDescent="0.2">
      <c r="H241" s="308"/>
      <c r="I241" s="308"/>
      <c r="L241" s="200"/>
    </row>
    <row r="242" spans="1:12" x14ac:dyDescent="0.2">
      <c r="H242" s="308"/>
      <c r="I242" s="308"/>
      <c r="L242" s="200"/>
    </row>
    <row r="243" spans="1:12" x14ac:dyDescent="0.2">
      <c r="H243" s="308"/>
      <c r="I243" s="308"/>
      <c r="L243" s="200"/>
    </row>
    <row r="244" spans="1:12" x14ac:dyDescent="0.2">
      <c r="H244" s="308"/>
      <c r="I244" s="308"/>
      <c r="L244" s="200"/>
    </row>
    <row r="245" spans="1:12" ht="12.75" x14ac:dyDescent="0.2">
      <c r="B245" s="175"/>
      <c r="H245" s="308"/>
      <c r="I245" s="308"/>
      <c r="L245" s="200"/>
    </row>
    <row r="246" spans="1:12" ht="12.75" x14ac:dyDescent="0.2">
      <c r="B246" s="175"/>
      <c r="H246" s="308"/>
      <c r="I246" s="308"/>
      <c r="L246" s="200"/>
    </row>
    <row r="247" spans="1:12" ht="12.75" x14ac:dyDescent="0.2">
      <c r="B247" s="175"/>
      <c r="H247" s="308"/>
      <c r="I247" s="308"/>
      <c r="L247" s="200"/>
    </row>
    <row r="248" spans="1:12" ht="12.75" x14ac:dyDescent="0.2">
      <c r="B248" s="175"/>
      <c r="H248" s="308"/>
      <c r="I248" s="308"/>
      <c r="L248" s="200"/>
    </row>
    <row r="249" spans="1:12" ht="12.75" x14ac:dyDescent="0.2">
      <c r="B249" s="175"/>
      <c r="H249" s="308"/>
      <c r="I249" s="308"/>
      <c r="L249" s="200"/>
    </row>
    <row r="250" spans="1:12" ht="12.75" x14ac:dyDescent="0.2">
      <c r="B250" s="175" t="s">
        <v>651</v>
      </c>
      <c r="C250" s="175"/>
      <c r="D250" s="175"/>
    </row>
    <row r="251" spans="1:12" ht="12.75" x14ac:dyDescent="0.2">
      <c r="B251" s="175" t="s">
        <v>31</v>
      </c>
      <c r="C251" s="175" t="s">
        <v>32</v>
      </c>
      <c r="D251" s="175"/>
    </row>
    <row r="253" spans="1:12" ht="16.5" x14ac:dyDescent="0.25">
      <c r="A253" s="178"/>
      <c r="B253" s="729" t="s">
        <v>650</v>
      </c>
      <c r="C253" s="729"/>
      <c r="D253" s="729"/>
      <c r="E253" s="729"/>
      <c r="F253" s="729"/>
      <c r="G253" s="729"/>
      <c r="H253" s="729"/>
      <c r="I253" s="729"/>
      <c r="J253" s="729"/>
      <c r="K253" s="179"/>
    </row>
    <row r="254" spans="1:12" ht="16.5" x14ac:dyDescent="0.25">
      <c r="A254" s="180"/>
      <c r="B254" s="585" t="s">
        <v>862</v>
      </c>
      <c r="C254" s="586"/>
      <c r="D254" s="586"/>
      <c r="E254" s="586"/>
      <c r="F254" s="586"/>
      <c r="G254" s="586"/>
      <c r="H254" s="587"/>
      <c r="I254" s="587"/>
      <c r="J254" s="588"/>
      <c r="K254" s="182"/>
    </row>
    <row r="255" spans="1:12" ht="16.5" x14ac:dyDescent="0.25">
      <c r="A255" s="180"/>
      <c r="B255" s="719" t="s">
        <v>1019</v>
      </c>
      <c r="C255" s="719"/>
      <c r="D255" s="719"/>
      <c r="E255" s="719"/>
      <c r="F255" s="719"/>
      <c r="G255" s="719"/>
      <c r="H255" s="719"/>
      <c r="I255" s="719"/>
      <c r="J255" s="719"/>
      <c r="K255" s="182"/>
    </row>
    <row r="256" spans="1:12" ht="12.75" thickBot="1" x14ac:dyDescent="0.25">
      <c r="A256" s="688" t="e" cm="1" vm="1">
        <f t="array" aca="1" ref="A256" ca="1">+K256:AA303</f>
        <v>#VALUE!</v>
      </c>
      <c r="B256" s="181"/>
      <c r="C256" s="181"/>
      <c r="D256" s="181"/>
      <c r="E256" s="181"/>
      <c r="G256" s="181"/>
      <c r="H256" s="293"/>
      <c r="I256" s="293"/>
      <c r="J256" s="210"/>
      <c r="K256" s="183"/>
    </row>
    <row r="257" spans="1:12" ht="14.25" customHeight="1" x14ac:dyDescent="0.2">
      <c r="A257" s="180"/>
      <c r="B257" s="720" t="s">
        <v>15</v>
      </c>
      <c r="C257" s="721"/>
      <c r="D257" s="722"/>
      <c r="E257" s="175"/>
      <c r="F257" s="726" t="s">
        <v>13</v>
      </c>
      <c r="G257" s="184"/>
      <c r="H257" s="295" t="s">
        <v>1051</v>
      </c>
      <c r="I257" s="296"/>
      <c r="J257" s="502" t="s">
        <v>861</v>
      </c>
      <c r="K257" s="185"/>
      <c r="L257" s="176"/>
    </row>
    <row r="258" spans="1:12" ht="14.25" customHeight="1" thickBot="1" x14ac:dyDescent="0.25">
      <c r="A258" s="180"/>
      <c r="B258" s="723"/>
      <c r="C258" s="724"/>
      <c r="D258" s="725"/>
      <c r="E258" s="175"/>
      <c r="F258" s="727"/>
      <c r="G258" s="184"/>
      <c r="H258" s="297" t="s">
        <v>22</v>
      </c>
      <c r="I258" s="298"/>
      <c r="J258" s="503" t="s">
        <v>22</v>
      </c>
      <c r="K258" s="186"/>
    </row>
    <row r="259" spans="1:12" ht="14.25" customHeight="1" x14ac:dyDescent="0.2">
      <c r="A259" s="180"/>
      <c r="B259" s="128" t="s">
        <v>863</v>
      </c>
      <c r="C259" s="128"/>
      <c r="D259" s="128"/>
      <c r="E259" s="128"/>
      <c r="F259" s="134"/>
      <c r="G259" s="134"/>
      <c r="H259" s="299"/>
      <c r="I259" s="299"/>
      <c r="J259" s="504"/>
      <c r="K259" s="187"/>
    </row>
    <row r="260" spans="1:12" ht="14.25" customHeight="1" x14ac:dyDescent="0.2">
      <c r="A260" s="180"/>
      <c r="B260" s="128" t="s">
        <v>864</v>
      </c>
      <c r="G260" s="6"/>
      <c r="J260" s="210"/>
      <c r="K260" s="183"/>
    </row>
    <row r="261" spans="1:12" ht="14.25" customHeight="1" x14ac:dyDescent="0.2">
      <c r="A261" s="180"/>
      <c r="B261" s="5" t="s">
        <v>16</v>
      </c>
      <c r="C261" s="124" t="s">
        <v>6</v>
      </c>
      <c r="G261" s="6"/>
      <c r="H261" s="122">
        <v>0</v>
      </c>
      <c r="I261" s="294"/>
      <c r="J261" s="210">
        <v>0</v>
      </c>
      <c r="K261" s="183"/>
      <c r="L261" s="176">
        <f t="shared" ref="L261:L303" si="12">J261-H261</f>
        <v>0</v>
      </c>
    </row>
    <row r="262" spans="1:12" ht="14.25" customHeight="1" x14ac:dyDescent="0.2">
      <c r="A262" s="180"/>
      <c r="B262" s="5" t="s">
        <v>16</v>
      </c>
      <c r="C262" s="124" t="s">
        <v>307</v>
      </c>
      <c r="G262" s="6"/>
      <c r="H262" s="122">
        <v>0</v>
      </c>
      <c r="I262" s="294"/>
      <c r="J262" s="210">
        <v>0</v>
      </c>
      <c r="K262" s="183"/>
      <c r="L262" s="176">
        <f t="shared" si="12"/>
        <v>0</v>
      </c>
    </row>
    <row r="263" spans="1:12" ht="14.25" customHeight="1" x14ac:dyDescent="0.2">
      <c r="A263" s="180"/>
      <c r="B263" s="5" t="s">
        <v>16</v>
      </c>
      <c r="C263" s="124" t="s">
        <v>7</v>
      </c>
      <c r="G263" s="6"/>
      <c r="H263" s="122">
        <v>0</v>
      </c>
      <c r="I263" s="294"/>
      <c r="J263" s="210">
        <v>0</v>
      </c>
      <c r="K263" s="183"/>
      <c r="L263" s="176">
        <f t="shared" si="12"/>
        <v>0</v>
      </c>
    </row>
    <row r="264" spans="1:12" ht="14.25" customHeight="1" x14ac:dyDescent="0.35">
      <c r="A264" s="180"/>
      <c r="C264" s="124" t="s">
        <v>84</v>
      </c>
      <c r="G264" s="6"/>
      <c r="H264" s="300">
        <v>0</v>
      </c>
      <c r="I264" s="301"/>
      <c r="J264" s="505">
        <v>0</v>
      </c>
      <c r="K264" s="183"/>
      <c r="L264" s="176">
        <f t="shared" si="12"/>
        <v>0</v>
      </c>
    </row>
    <row r="265" spans="1:12" ht="14.25" customHeight="1" x14ac:dyDescent="0.2">
      <c r="A265" s="180"/>
      <c r="C265" s="124" t="s">
        <v>8</v>
      </c>
      <c r="G265" s="6"/>
      <c r="H265" s="122">
        <f>SUM(H263:H264)</f>
        <v>0</v>
      </c>
      <c r="I265" s="122"/>
      <c r="J265" s="210">
        <f>SUM(J263:J264)</f>
        <v>0</v>
      </c>
      <c r="K265" s="183"/>
      <c r="L265" s="176">
        <f t="shared" si="12"/>
        <v>0</v>
      </c>
    </row>
    <row r="266" spans="1:12" ht="14.25" customHeight="1" x14ac:dyDescent="0.2">
      <c r="A266" s="180"/>
      <c r="B266" s="5" t="s">
        <v>16</v>
      </c>
      <c r="C266" s="124" t="s">
        <v>293</v>
      </c>
      <c r="G266" s="6"/>
      <c r="H266" s="122"/>
      <c r="I266" s="122"/>
      <c r="J266" s="210">
        <v>0</v>
      </c>
      <c r="K266" s="183"/>
      <c r="L266" s="176">
        <f t="shared" si="12"/>
        <v>0</v>
      </c>
    </row>
    <row r="267" spans="1:12" ht="14.25" customHeight="1" x14ac:dyDescent="0.2">
      <c r="A267" s="180"/>
      <c r="B267" s="5" t="s">
        <v>16</v>
      </c>
      <c r="C267" s="124" t="s">
        <v>9</v>
      </c>
      <c r="G267" s="6"/>
      <c r="H267" s="294">
        <v>0</v>
      </c>
      <c r="I267" s="122"/>
      <c r="J267" s="210">
        <v>0</v>
      </c>
      <c r="K267" s="183"/>
      <c r="L267" s="176">
        <f t="shared" si="12"/>
        <v>0</v>
      </c>
    </row>
    <row r="268" spans="1:12" ht="14.25" customHeight="1" x14ac:dyDescent="0.2">
      <c r="A268" s="180"/>
      <c r="B268" s="5" t="s">
        <v>16</v>
      </c>
      <c r="C268" s="124" t="s">
        <v>280</v>
      </c>
      <c r="G268" s="6"/>
      <c r="H268" s="117"/>
      <c r="I268" s="122"/>
      <c r="J268" s="493">
        <v>0</v>
      </c>
      <c r="K268" s="183"/>
      <c r="L268" s="176">
        <f t="shared" si="12"/>
        <v>0</v>
      </c>
    </row>
    <row r="269" spans="1:12" ht="14.25" customHeight="1" x14ac:dyDescent="0.2">
      <c r="A269" s="180"/>
      <c r="C269" s="128" t="s">
        <v>946</v>
      </c>
      <c r="G269" s="6"/>
      <c r="H269" s="302">
        <f>H261+H265+H266+H267+H268+H262</f>
        <v>0</v>
      </c>
      <c r="I269" s="122"/>
      <c r="J269" s="506">
        <f>SUM(J265:J268)+J261+J262</f>
        <v>0</v>
      </c>
      <c r="K269" s="183"/>
      <c r="L269" s="176">
        <f t="shared" si="12"/>
        <v>0</v>
      </c>
    </row>
    <row r="270" spans="1:12" ht="4.5" customHeight="1" x14ac:dyDescent="0.2">
      <c r="A270" s="180"/>
      <c r="G270" s="6"/>
      <c r="H270" s="122"/>
      <c r="I270" s="122"/>
      <c r="J270" s="210"/>
      <c r="K270" s="183"/>
      <c r="L270" s="176">
        <f t="shared" si="12"/>
        <v>0</v>
      </c>
    </row>
    <row r="271" spans="1:12" ht="14.25" customHeight="1" x14ac:dyDescent="0.2">
      <c r="A271" s="180"/>
      <c r="B271" s="128" t="s">
        <v>865</v>
      </c>
      <c r="G271" s="6"/>
      <c r="H271" s="122"/>
      <c r="I271" s="122"/>
      <c r="J271" s="210"/>
      <c r="K271" s="183"/>
      <c r="L271" s="176">
        <f t="shared" si="12"/>
        <v>0</v>
      </c>
    </row>
    <row r="272" spans="1:12" ht="14.25" customHeight="1" x14ac:dyDescent="0.2">
      <c r="A272" s="180"/>
      <c r="C272" s="124" t="s">
        <v>947</v>
      </c>
      <c r="G272" s="6"/>
      <c r="H272" s="122">
        <v>0</v>
      </c>
      <c r="I272" s="122"/>
      <c r="J272" s="210">
        <v>0</v>
      </c>
      <c r="K272" s="183"/>
      <c r="L272" s="176">
        <f t="shared" si="12"/>
        <v>0</v>
      </c>
    </row>
    <row r="273" spans="1:12" ht="14.25" customHeight="1" x14ac:dyDescent="0.2">
      <c r="A273" s="180"/>
      <c r="B273" s="5" t="s">
        <v>16</v>
      </c>
      <c r="C273" s="124" t="s">
        <v>10</v>
      </c>
      <c r="G273" s="6"/>
      <c r="H273" s="294">
        <v>0</v>
      </c>
      <c r="I273" s="122"/>
      <c r="J273" s="210">
        <v>0</v>
      </c>
      <c r="K273" s="183"/>
      <c r="L273" s="176">
        <f t="shared" si="12"/>
        <v>0</v>
      </c>
    </row>
    <row r="274" spans="1:12" ht="14.25" customHeight="1" x14ac:dyDescent="0.2">
      <c r="A274" s="180"/>
      <c r="B274" s="5"/>
      <c r="D274" s="124" t="s">
        <v>1052</v>
      </c>
      <c r="G274" s="6"/>
      <c r="H274" s="302">
        <f>SUM(H272:H273)</f>
        <v>0</v>
      </c>
      <c r="I274" s="122"/>
      <c r="J274" s="506">
        <f>SUM(J272:J273)</f>
        <v>0</v>
      </c>
      <c r="K274" s="183"/>
      <c r="L274" s="176">
        <f t="shared" si="12"/>
        <v>0</v>
      </c>
    </row>
    <row r="275" spans="1:12" ht="14.25" customHeight="1" x14ac:dyDescent="0.2">
      <c r="A275" s="180"/>
      <c r="B275" s="128" t="s">
        <v>866</v>
      </c>
      <c r="G275" s="6"/>
      <c r="H275" s="122"/>
      <c r="I275" s="122"/>
      <c r="J275" s="210"/>
      <c r="K275" s="183"/>
      <c r="L275" s="176">
        <f t="shared" si="12"/>
        <v>0</v>
      </c>
    </row>
    <row r="276" spans="1:12" ht="14.25" customHeight="1" x14ac:dyDescent="0.2">
      <c r="A276" s="180"/>
      <c r="C276" s="124" t="s">
        <v>948</v>
      </c>
      <c r="G276" s="6"/>
      <c r="H276" s="122">
        <v>0</v>
      </c>
      <c r="I276" s="122"/>
      <c r="J276" s="210">
        <v>0</v>
      </c>
      <c r="K276" s="183"/>
      <c r="L276" s="176">
        <f t="shared" si="12"/>
        <v>0</v>
      </c>
    </row>
    <row r="277" spans="1:12" ht="14.25" customHeight="1" x14ac:dyDescent="0.2">
      <c r="A277" s="180"/>
      <c r="B277" s="5" t="s">
        <v>16</v>
      </c>
      <c r="C277" s="124" t="s">
        <v>300</v>
      </c>
      <c r="G277" s="6"/>
      <c r="H277" s="122">
        <v>0</v>
      </c>
      <c r="I277" s="122"/>
      <c r="J277" s="210">
        <v>0</v>
      </c>
      <c r="K277" s="183"/>
      <c r="L277" s="176">
        <f t="shared" si="12"/>
        <v>0</v>
      </c>
    </row>
    <row r="278" spans="1:12" ht="14.25" customHeight="1" x14ac:dyDescent="0.2">
      <c r="A278" s="180"/>
      <c r="C278" s="124" t="s">
        <v>24</v>
      </c>
      <c r="G278" s="6"/>
      <c r="H278" s="654">
        <f>SUM(H276:H277)</f>
        <v>0</v>
      </c>
      <c r="I278" s="122"/>
      <c r="J278" s="506">
        <f>SUM(J276:J277)</f>
        <v>0</v>
      </c>
      <c r="K278" s="183"/>
      <c r="L278" s="176">
        <f t="shared" si="12"/>
        <v>0</v>
      </c>
    </row>
    <row r="279" spans="1:12" ht="15" customHeight="1" x14ac:dyDescent="0.2">
      <c r="A279" s="180"/>
      <c r="B279" s="128" t="s">
        <v>867</v>
      </c>
      <c r="G279" s="6"/>
      <c r="H279" s="122"/>
      <c r="I279" s="122"/>
      <c r="J279" s="210"/>
      <c r="K279" s="183"/>
      <c r="L279" s="176">
        <f t="shared" si="12"/>
        <v>0</v>
      </c>
    </row>
    <row r="280" spans="1:12" ht="12.95" customHeight="1" x14ac:dyDescent="0.2">
      <c r="A280" s="180"/>
      <c r="B280" s="128"/>
      <c r="C280" s="124" t="s">
        <v>949</v>
      </c>
      <c r="G280" s="6"/>
      <c r="H280" s="655">
        <v>0</v>
      </c>
      <c r="I280" s="122"/>
      <c r="J280" s="506">
        <v>0</v>
      </c>
      <c r="K280" s="183"/>
      <c r="L280" s="176">
        <f t="shared" si="12"/>
        <v>0</v>
      </c>
    </row>
    <row r="281" spans="1:12" ht="12.95" customHeight="1" x14ac:dyDescent="0.2">
      <c r="A281" s="180"/>
      <c r="B281" s="128" t="s">
        <v>1053</v>
      </c>
      <c r="G281" s="6"/>
      <c r="H281" s="122"/>
      <c r="I281" s="122"/>
      <c r="J281" s="210"/>
      <c r="K281" s="183"/>
      <c r="L281" s="176">
        <f t="shared" si="12"/>
        <v>0</v>
      </c>
    </row>
    <row r="282" spans="1:12" ht="12.95" customHeight="1" x14ac:dyDescent="0.2">
      <c r="A282" s="180"/>
      <c r="C282" s="124" t="s">
        <v>1054</v>
      </c>
      <c r="G282" s="6"/>
      <c r="H282" s="302">
        <v>0</v>
      </c>
      <c r="I282" s="122">
        <v>0</v>
      </c>
      <c r="J282" s="506">
        <v>0</v>
      </c>
      <c r="K282" s="190"/>
      <c r="L282" s="176">
        <f t="shared" si="12"/>
        <v>0</v>
      </c>
    </row>
    <row r="283" spans="1:12" ht="12.95" customHeight="1" thickBot="1" x14ac:dyDescent="0.25">
      <c r="A283" s="180"/>
      <c r="G283" s="6"/>
      <c r="H283" s="122"/>
      <c r="I283" s="122"/>
      <c r="J283" s="210"/>
      <c r="K283" s="183"/>
      <c r="L283" s="176">
        <f t="shared" si="12"/>
        <v>0</v>
      </c>
    </row>
    <row r="284" spans="1:12" ht="14.25" customHeight="1" thickBot="1" x14ac:dyDescent="0.25">
      <c r="A284" s="180"/>
      <c r="B284" s="730" t="s">
        <v>868</v>
      </c>
      <c r="C284" s="731"/>
      <c r="D284" s="732"/>
      <c r="E284" s="188"/>
      <c r="F284" s="189"/>
      <c r="G284" s="188"/>
      <c r="H284" s="303">
        <f>H269+H274+H278+H282</f>
        <v>0</v>
      </c>
      <c r="I284" s="304">
        <f>I269+I274</f>
        <v>0</v>
      </c>
      <c r="J284" s="500">
        <f>J269+J274+J278+J282</f>
        <v>0</v>
      </c>
      <c r="K284" s="183"/>
      <c r="L284" s="176">
        <f t="shared" si="12"/>
        <v>0</v>
      </c>
    </row>
    <row r="285" spans="1:12" ht="14.25" customHeight="1" x14ac:dyDescent="0.2">
      <c r="A285" s="180"/>
      <c r="H285" s="122"/>
      <c r="I285" s="122"/>
      <c r="J285" s="210"/>
      <c r="K285" s="183"/>
      <c r="L285" s="176">
        <f t="shared" si="12"/>
        <v>0</v>
      </c>
    </row>
    <row r="286" spans="1:12" ht="14.25" customHeight="1" x14ac:dyDescent="0.2">
      <c r="A286" s="180"/>
      <c r="H286" s="122"/>
      <c r="I286" s="122"/>
      <c r="J286" s="210"/>
      <c r="K286" s="183"/>
      <c r="L286" s="176">
        <f t="shared" si="12"/>
        <v>0</v>
      </c>
    </row>
    <row r="287" spans="1:12" ht="14.25" customHeight="1" x14ac:dyDescent="0.2">
      <c r="A287" s="180"/>
      <c r="B287" s="151" t="s">
        <v>870</v>
      </c>
      <c r="H287" s="122"/>
      <c r="I287" s="122"/>
      <c r="J287" s="210"/>
      <c r="K287" s="183"/>
      <c r="L287" s="176">
        <f t="shared" si="12"/>
        <v>0</v>
      </c>
    </row>
    <row r="288" spans="1:12" ht="14.25" customHeight="1" x14ac:dyDescent="0.2">
      <c r="A288" s="180"/>
      <c r="C288" s="6" t="s">
        <v>16</v>
      </c>
      <c r="D288" s="191" t="s">
        <v>869</v>
      </c>
      <c r="H288" s="122"/>
      <c r="I288" s="122"/>
      <c r="J288" s="210"/>
      <c r="K288" s="183"/>
      <c r="L288" s="176">
        <f t="shared" si="12"/>
        <v>0</v>
      </c>
    </row>
    <row r="289" spans="1:12" ht="14.25" customHeight="1" x14ac:dyDescent="0.2">
      <c r="A289" s="180"/>
      <c r="C289" s="6"/>
      <c r="D289" s="192" t="s">
        <v>871</v>
      </c>
      <c r="H289" s="122"/>
      <c r="I289" s="122"/>
      <c r="J289" s="210"/>
      <c r="K289" s="183"/>
      <c r="L289" s="176">
        <f t="shared" si="12"/>
        <v>0</v>
      </c>
    </row>
    <row r="290" spans="1:12" ht="14.25" customHeight="1" x14ac:dyDescent="0.2">
      <c r="A290" s="180"/>
      <c r="C290" s="6"/>
      <c r="D290" s="193" t="s">
        <v>1055</v>
      </c>
      <c r="H290" s="122">
        <v>0</v>
      </c>
      <c r="I290" s="122"/>
      <c r="J290" s="210"/>
      <c r="K290" s="183"/>
      <c r="L290" s="176">
        <f t="shared" si="12"/>
        <v>0</v>
      </c>
    </row>
    <row r="291" spans="1:12" ht="14.25" customHeight="1" x14ac:dyDescent="0.2">
      <c r="A291" s="180"/>
      <c r="D291" s="193" t="s">
        <v>643</v>
      </c>
      <c r="H291" s="122"/>
      <c r="I291" s="122"/>
      <c r="J291" s="210">
        <v>0</v>
      </c>
      <c r="K291" s="183"/>
      <c r="L291" s="176">
        <f t="shared" si="12"/>
        <v>0</v>
      </c>
    </row>
    <row r="292" spans="1:12" ht="14.25" customHeight="1" x14ac:dyDescent="0.2">
      <c r="A292" s="180"/>
      <c r="D292" s="193" t="s">
        <v>644</v>
      </c>
      <c r="H292" s="122"/>
      <c r="I292" s="122"/>
      <c r="J292" s="210">
        <v>0</v>
      </c>
      <c r="K292" s="183"/>
      <c r="L292" s="176">
        <f t="shared" si="12"/>
        <v>0</v>
      </c>
    </row>
    <row r="293" spans="1:12" ht="12.75" customHeight="1" x14ac:dyDescent="0.2">
      <c r="A293" s="180"/>
      <c r="D293" s="193" t="s">
        <v>645</v>
      </c>
      <c r="H293" s="117">
        <v>0</v>
      </c>
      <c r="I293" s="122"/>
      <c r="J293" s="493">
        <v>0</v>
      </c>
      <c r="K293" s="183"/>
      <c r="L293" s="176">
        <f t="shared" si="12"/>
        <v>0</v>
      </c>
    </row>
    <row r="294" spans="1:12" ht="14.25" customHeight="1" x14ac:dyDescent="0.2">
      <c r="A294" s="180"/>
      <c r="D294" s="194" t="s">
        <v>950</v>
      </c>
      <c r="H294" s="302">
        <f>SUM(H290:H293)</f>
        <v>0</v>
      </c>
      <c r="I294" s="122"/>
      <c r="J294" s="506">
        <f>SUM(J290:J293)</f>
        <v>0</v>
      </c>
      <c r="K294" s="183"/>
      <c r="L294" s="176">
        <f t="shared" si="12"/>
        <v>0</v>
      </c>
    </row>
    <row r="295" spans="1:12" ht="13.5" customHeight="1" x14ac:dyDescent="0.2">
      <c r="A295" s="180"/>
      <c r="H295" s="122"/>
      <c r="I295" s="122"/>
      <c r="J295" s="210"/>
      <c r="K295" s="183"/>
      <c r="L295" s="176">
        <f t="shared" si="12"/>
        <v>0</v>
      </c>
    </row>
    <row r="296" spans="1:12" ht="13.5" customHeight="1" x14ac:dyDescent="0.2">
      <c r="A296" s="180"/>
      <c r="C296" s="6" t="s">
        <v>16</v>
      </c>
      <c r="D296" s="124" t="s">
        <v>872</v>
      </c>
      <c r="H296" s="122"/>
      <c r="I296" s="122"/>
      <c r="J296" s="210"/>
      <c r="K296" s="183"/>
      <c r="L296" s="176">
        <f t="shared" si="12"/>
        <v>0</v>
      </c>
    </row>
    <row r="297" spans="1:12" ht="13.5" customHeight="1" x14ac:dyDescent="0.2">
      <c r="A297" s="180"/>
      <c r="D297" s="124" t="s">
        <v>266</v>
      </c>
      <c r="H297" s="122">
        <v>0</v>
      </c>
      <c r="I297" s="122"/>
      <c r="J297" s="210">
        <v>0</v>
      </c>
      <c r="K297" s="183"/>
      <c r="L297" s="200">
        <f>J297+J298-H297</f>
        <v>0</v>
      </c>
    </row>
    <row r="298" spans="1:12" ht="13.5" customHeight="1" x14ac:dyDescent="0.2">
      <c r="A298" s="180"/>
      <c r="D298" s="124" t="s">
        <v>11</v>
      </c>
      <c r="H298" s="122">
        <v>0</v>
      </c>
      <c r="I298" s="122"/>
      <c r="J298" s="210">
        <v>0</v>
      </c>
      <c r="K298" s="183"/>
      <c r="L298" s="176">
        <f t="shared" si="12"/>
        <v>0</v>
      </c>
    </row>
    <row r="299" spans="1:12" ht="13.5" customHeight="1" x14ac:dyDescent="0.2">
      <c r="A299" s="180"/>
      <c r="D299" s="124" t="s">
        <v>28</v>
      </c>
      <c r="H299" s="122">
        <v>0</v>
      </c>
      <c r="I299" s="122"/>
      <c r="J299" s="210">
        <v>0</v>
      </c>
      <c r="K299" s="183"/>
      <c r="L299" s="176">
        <f t="shared" si="12"/>
        <v>0</v>
      </c>
    </row>
    <row r="300" spans="1:12" x14ac:dyDescent="0.2">
      <c r="A300" s="180"/>
      <c r="D300" s="124" t="s">
        <v>29</v>
      </c>
      <c r="H300" s="122">
        <v>0</v>
      </c>
      <c r="I300" s="122"/>
      <c r="J300" s="210">
        <v>0</v>
      </c>
      <c r="K300" s="183"/>
      <c r="L300" s="176">
        <f t="shared" si="12"/>
        <v>0</v>
      </c>
    </row>
    <row r="301" spans="1:12" ht="27" customHeight="1" thickBot="1" x14ac:dyDescent="0.25">
      <c r="A301" s="180"/>
      <c r="D301" s="124" t="s">
        <v>298</v>
      </c>
      <c r="H301" s="305">
        <f>SUM(H297:H300)</f>
        <v>0</v>
      </c>
      <c r="I301" s="122"/>
      <c r="J301" s="507">
        <f>SUM(J297:J300)</f>
        <v>0</v>
      </c>
      <c r="K301" s="197"/>
      <c r="L301" s="176">
        <f t="shared" si="12"/>
        <v>0</v>
      </c>
    </row>
    <row r="302" spans="1:12" ht="12.75" thickBot="1" x14ac:dyDescent="0.25">
      <c r="A302" s="180"/>
      <c r="H302" s="122"/>
      <c r="I302" s="122"/>
      <c r="J302" s="210"/>
      <c r="K302" s="199"/>
      <c r="L302" s="176">
        <f t="shared" si="12"/>
        <v>0</v>
      </c>
    </row>
    <row r="303" spans="1:12" ht="30.75" customHeight="1" thickBot="1" x14ac:dyDescent="0.25">
      <c r="A303" s="180"/>
      <c r="B303" s="733" t="s">
        <v>873</v>
      </c>
      <c r="C303" s="734"/>
      <c r="D303" s="735"/>
      <c r="E303" s="195"/>
      <c r="F303" s="196"/>
      <c r="G303" s="195"/>
      <c r="H303" s="306">
        <f>H294+H301</f>
        <v>0</v>
      </c>
      <c r="I303" s="307">
        <f>I294+I301</f>
        <v>0</v>
      </c>
      <c r="J303" s="508">
        <f>J294+J301</f>
        <v>0</v>
      </c>
      <c r="K303" s="309"/>
      <c r="L303" s="200">
        <f t="shared" si="12"/>
        <v>0</v>
      </c>
    </row>
    <row r="304" spans="1:12" ht="12.75" x14ac:dyDescent="0.2">
      <c r="A304" s="728" t="s">
        <v>580</v>
      </c>
      <c r="B304" s="728"/>
      <c r="C304" s="728"/>
      <c r="D304" s="728"/>
      <c r="E304" s="728"/>
      <c r="F304" s="718" t="s">
        <v>566</v>
      </c>
      <c r="G304" s="718"/>
      <c r="H304" s="718"/>
      <c r="I304" s="718"/>
      <c r="J304" s="718"/>
      <c r="K304" s="718"/>
      <c r="L304" s="235">
        <f>J282-J301</f>
        <v>0</v>
      </c>
    </row>
    <row r="305" spans="1:12" ht="14.25" customHeight="1" x14ac:dyDescent="0.2">
      <c r="A305" s="728" t="s">
        <v>678</v>
      </c>
      <c r="B305" s="728"/>
      <c r="C305" s="728"/>
      <c r="D305" s="728"/>
      <c r="E305" s="728"/>
      <c r="F305" s="718" t="s">
        <v>680</v>
      </c>
      <c r="G305" s="718"/>
      <c r="H305" s="718"/>
      <c r="I305" s="718"/>
      <c r="J305" s="718"/>
      <c r="K305" s="718"/>
      <c r="L305" s="444">
        <f>H282-H301</f>
        <v>0</v>
      </c>
    </row>
    <row r="306" spans="1:12" ht="12.75" x14ac:dyDescent="0.2">
      <c r="A306" s="728"/>
      <c r="B306" s="728"/>
      <c r="C306" s="728"/>
      <c r="D306" s="728"/>
      <c r="E306" s="728"/>
      <c r="F306" s="718"/>
      <c r="G306" s="718"/>
      <c r="H306" s="718"/>
      <c r="I306" s="718"/>
      <c r="J306" s="718"/>
      <c r="K306" s="718"/>
      <c r="L306" s="200">
        <f t="shared" ref="L306:L315" si="13">J306-H306</f>
        <v>0</v>
      </c>
    </row>
    <row r="307" spans="1:12" ht="12.75" x14ac:dyDescent="0.2">
      <c r="A307" s="728"/>
      <c r="B307" s="728"/>
      <c r="C307" s="728"/>
      <c r="D307" s="728"/>
      <c r="E307" s="728"/>
      <c r="F307" s="718"/>
      <c r="G307" s="718"/>
      <c r="H307" s="718"/>
      <c r="I307" s="718"/>
      <c r="J307" s="718"/>
      <c r="K307" s="718"/>
      <c r="L307" s="200">
        <f t="shared" si="13"/>
        <v>0</v>
      </c>
    </row>
    <row r="308" spans="1:12" ht="12.75" x14ac:dyDescent="0.2">
      <c r="A308" s="728"/>
      <c r="B308" s="728"/>
      <c r="C308" s="728"/>
      <c r="D308" s="728"/>
      <c r="E308" s="728"/>
      <c r="F308" s="718"/>
      <c r="G308" s="718"/>
      <c r="H308" s="718"/>
      <c r="I308" s="718"/>
      <c r="J308" s="718"/>
      <c r="K308" s="718"/>
      <c r="L308" s="200">
        <f t="shared" si="13"/>
        <v>0</v>
      </c>
    </row>
    <row r="309" spans="1:12" ht="12.75" x14ac:dyDescent="0.2">
      <c r="A309" s="728" t="s">
        <v>655</v>
      </c>
      <c r="B309" s="728"/>
      <c r="C309" s="728"/>
      <c r="D309" s="728"/>
      <c r="E309" s="728"/>
      <c r="F309" s="718" t="s">
        <v>567</v>
      </c>
      <c r="G309" s="718"/>
      <c r="H309" s="718"/>
      <c r="I309" s="718"/>
      <c r="J309" s="718"/>
      <c r="K309" s="718"/>
      <c r="L309" s="200">
        <f t="shared" si="13"/>
        <v>0</v>
      </c>
    </row>
    <row r="310" spans="1:12" x14ac:dyDescent="0.2">
      <c r="A310" s="200" t="e">
        <f>#REF!-#REF!</f>
        <v>#REF!</v>
      </c>
      <c r="F310" s="124"/>
      <c r="J310" s="200"/>
      <c r="K310" s="124"/>
      <c r="L310" s="200">
        <f t="shared" si="13"/>
        <v>0</v>
      </c>
    </row>
    <row r="311" spans="1:12" x14ac:dyDescent="0.2">
      <c r="A311" s="200" t="e">
        <f>#REF!-#REF!</f>
        <v>#REF!</v>
      </c>
      <c r="F311" s="124"/>
      <c r="J311" s="200"/>
      <c r="K311" s="124"/>
      <c r="L311" s="200">
        <f t="shared" si="13"/>
        <v>0</v>
      </c>
    </row>
    <row r="312" spans="1:12" x14ac:dyDescent="0.2">
      <c r="A312" s="200" t="e">
        <f>#REF!-#REF!</f>
        <v>#REF!</v>
      </c>
      <c r="F312" s="124"/>
      <c r="J312" s="200"/>
      <c r="K312" s="124"/>
      <c r="L312" s="200">
        <f t="shared" si="13"/>
        <v>0</v>
      </c>
    </row>
    <row r="313" spans="1:12" x14ac:dyDescent="0.2">
      <c r="A313" s="200" t="e">
        <f>#REF!-#REF!</f>
        <v>#REF!</v>
      </c>
      <c r="F313" s="124"/>
      <c r="J313" s="200"/>
      <c r="K313" s="124"/>
      <c r="L313" s="200">
        <f t="shared" si="13"/>
        <v>0</v>
      </c>
    </row>
    <row r="314" spans="1:12" x14ac:dyDescent="0.2">
      <c r="A314" s="200" t="e">
        <f>#REF!-#REF!</f>
        <v>#REF!</v>
      </c>
      <c r="F314" s="124"/>
      <c r="J314" s="200"/>
      <c r="K314" s="124"/>
      <c r="L314" s="200">
        <f t="shared" si="13"/>
        <v>0</v>
      </c>
    </row>
    <row r="315" spans="1:12" x14ac:dyDescent="0.2">
      <c r="A315" s="200" t="e">
        <f>#REF!-#REF!</f>
        <v>#REF!</v>
      </c>
      <c r="F315" s="124"/>
      <c r="J315" s="200"/>
      <c r="K315" s="124"/>
      <c r="L315" s="200">
        <f t="shared" si="13"/>
        <v>0</v>
      </c>
    </row>
    <row r="316" spans="1:12" x14ac:dyDescent="0.2">
      <c r="A316" s="200" t="e">
        <f>#REF!-#REF!</f>
        <v>#REF!</v>
      </c>
      <c r="F316" s="124"/>
      <c r="J316" s="200"/>
      <c r="K316" s="124"/>
    </row>
    <row r="317" spans="1:12" x14ac:dyDescent="0.2">
      <c r="A317" s="200" t="e">
        <f>#REF!-#REF!</f>
        <v>#REF!</v>
      </c>
      <c r="F317" s="124"/>
      <c r="J317" s="200"/>
      <c r="K317" s="124"/>
    </row>
    <row r="318" spans="1:12" x14ac:dyDescent="0.2">
      <c r="A318" s="200" t="e">
        <f>#REF!-#REF!</f>
        <v>#REF!</v>
      </c>
      <c r="F318" s="124"/>
      <c r="J318" s="200"/>
      <c r="K318" s="124"/>
    </row>
    <row r="319" spans="1:12" x14ac:dyDescent="0.2">
      <c r="A319" s="200"/>
      <c r="F319" s="124"/>
      <c r="J319" s="200"/>
      <c r="K319" s="124"/>
    </row>
    <row r="320" spans="1:12" x14ac:dyDescent="0.2">
      <c r="A320" s="200"/>
      <c r="F320" s="124"/>
      <c r="J320" s="200"/>
      <c r="K320" s="124"/>
    </row>
    <row r="321" spans="1:12" x14ac:dyDescent="0.2">
      <c r="A321" s="200"/>
      <c r="F321" s="124"/>
      <c r="J321" s="200"/>
      <c r="K321" s="124"/>
    </row>
    <row r="322" spans="1:12" x14ac:dyDescent="0.2">
      <c r="A322" s="200"/>
      <c r="F322" s="124"/>
      <c r="J322" s="200"/>
      <c r="K322" s="124"/>
    </row>
    <row r="323" spans="1:12" x14ac:dyDescent="0.2">
      <c r="A323" s="200"/>
      <c r="F323" s="124"/>
      <c r="J323" s="200"/>
      <c r="K323" s="124"/>
    </row>
    <row r="324" spans="1:12" x14ac:dyDescent="0.2">
      <c r="A324" s="200"/>
      <c r="F324" s="124"/>
      <c r="J324" s="200"/>
      <c r="K324" s="124"/>
    </row>
    <row r="325" spans="1:12" x14ac:dyDescent="0.2">
      <c r="A325" s="200"/>
      <c r="F325" s="124"/>
      <c r="J325" s="200"/>
      <c r="K325" s="124"/>
    </row>
    <row r="326" spans="1:12" x14ac:dyDescent="0.2">
      <c r="A326" s="200"/>
      <c r="F326" s="124"/>
      <c r="J326" s="200"/>
      <c r="K326" s="124"/>
    </row>
    <row r="327" spans="1:12" x14ac:dyDescent="0.2">
      <c r="A327" s="200"/>
      <c r="F327" s="124"/>
      <c r="J327" s="200"/>
      <c r="K327" s="124"/>
    </row>
    <row r="328" spans="1:12" x14ac:dyDescent="0.2">
      <c r="A328" s="200"/>
      <c r="F328" s="124"/>
      <c r="J328" s="200"/>
      <c r="K328" s="124"/>
    </row>
    <row r="329" spans="1:12" ht="12.75" x14ac:dyDescent="0.2">
      <c r="B329" s="175" t="s">
        <v>651</v>
      </c>
      <c r="C329" s="175"/>
      <c r="D329" s="175"/>
    </row>
    <row r="330" spans="1:12" ht="12.75" x14ac:dyDescent="0.2">
      <c r="B330" s="175" t="s">
        <v>31</v>
      </c>
      <c r="C330" s="175" t="s">
        <v>32</v>
      </c>
      <c r="D330" s="175"/>
    </row>
    <row r="332" spans="1:12" ht="16.5" x14ac:dyDescent="0.25">
      <c r="A332" s="178"/>
      <c r="B332" s="729" t="s">
        <v>650</v>
      </c>
      <c r="C332" s="729"/>
      <c r="D332" s="729"/>
      <c r="E332" s="729"/>
      <c r="F332" s="729"/>
      <c r="G332" s="729"/>
      <c r="H332" s="729"/>
      <c r="I332" s="729"/>
      <c r="J332" s="729"/>
      <c r="K332" s="179"/>
    </row>
    <row r="333" spans="1:12" ht="16.5" x14ac:dyDescent="0.25">
      <c r="A333" s="180"/>
      <c r="B333" s="585" t="s">
        <v>862</v>
      </c>
      <c r="C333" s="586"/>
      <c r="D333" s="586"/>
      <c r="E333" s="586"/>
      <c r="F333" s="586"/>
      <c r="G333" s="586"/>
      <c r="H333" s="587"/>
      <c r="I333" s="587"/>
      <c r="J333" s="588"/>
      <c r="K333" s="182"/>
    </row>
    <row r="334" spans="1:12" ht="16.5" x14ac:dyDescent="0.25">
      <c r="A334" s="180"/>
      <c r="B334" s="719" t="s">
        <v>880</v>
      </c>
      <c r="C334" s="719"/>
      <c r="D334" s="719"/>
      <c r="E334" s="719"/>
      <c r="F334" s="719"/>
      <c r="G334" s="719"/>
      <c r="H334" s="719"/>
      <c r="I334" s="719"/>
      <c r="J334" s="719"/>
      <c r="K334" s="182"/>
    </row>
    <row r="335" spans="1:12" ht="12.75" thickBot="1" x14ac:dyDescent="0.25">
      <c r="A335" s="688" t="e" cm="1" vm="1">
        <f t="array" aca="1" ref="A335" ca="1">+K335:AA382</f>
        <v>#VALUE!</v>
      </c>
      <c r="B335" s="181"/>
      <c r="C335" s="181"/>
      <c r="D335" s="181"/>
      <c r="E335" s="181"/>
      <c r="G335" s="181"/>
      <c r="H335" s="293"/>
      <c r="I335" s="293"/>
      <c r="J335" s="210"/>
      <c r="K335" s="183"/>
    </row>
    <row r="336" spans="1:12" ht="12.75" x14ac:dyDescent="0.2">
      <c r="A336" s="180"/>
      <c r="B336" s="720" t="s">
        <v>15</v>
      </c>
      <c r="C336" s="721"/>
      <c r="D336" s="722"/>
      <c r="E336" s="175"/>
      <c r="F336" s="726" t="s">
        <v>13</v>
      </c>
      <c r="G336" s="184"/>
      <c r="H336" s="295" t="s">
        <v>1051</v>
      </c>
      <c r="I336" s="296"/>
      <c r="J336" s="502" t="s">
        <v>861</v>
      </c>
      <c r="K336" s="185"/>
      <c r="L336" s="176"/>
    </row>
    <row r="337" spans="1:12" ht="13.5" thickBot="1" x14ac:dyDescent="0.25">
      <c r="A337" s="180"/>
      <c r="B337" s="723"/>
      <c r="C337" s="724"/>
      <c r="D337" s="725"/>
      <c r="E337" s="175"/>
      <c r="F337" s="727"/>
      <c r="G337" s="184"/>
      <c r="H337" s="297" t="s">
        <v>22</v>
      </c>
      <c r="I337" s="298"/>
      <c r="J337" s="503" t="s">
        <v>22</v>
      </c>
      <c r="K337" s="186"/>
    </row>
    <row r="338" spans="1:12" x14ac:dyDescent="0.2">
      <c r="A338" s="180"/>
      <c r="B338" s="128" t="s">
        <v>863</v>
      </c>
      <c r="C338" s="128"/>
      <c r="D338" s="128"/>
      <c r="E338" s="128"/>
      <c r="F338" s="134"/>
      <c r="G338" s="134"/>
      <c r="H338" s="299"/>
      <c r="I338" s="299"/>
      <c r="J338" s="504"/>
      <c r="K338" s="187"/>
    </row>
    <row r="339" spans="1:12" x14ac:dyDescent="0.2">
      <c r="A339" s="180"/>
      <c r="B339" s="128" t="s">
        <v>864</v>
      </c>
      <c r="G339" s="6"/>
      <c r="J339" s="210"/>
      <c r="K339" s="183"/>
    </row>
    <row r="340" spans="1:12" x14ac:dyDescent="0.2">
      <c r="A340" s="180"/>
      <c r="B340" s="5" t="s">
        <v>16</v>
      </c>
      <c r="C340" s="124" t="s">
        <v>6</v>
      </c>
      <c r="G340" s="6"/>
      <c r="H340" s="122">
        <v>0</v>
      </c>
      <c r="I340" s="294"/>
      <c r="J340" s="210">
        <v>0</v>
      </c>
      <c r="K340" s="183"/>
      <c r="L340" s="176">
        <f>J340-H340</f>
        <v>0</v>
      </c>
    </row>
    <row r="341" spans="1:12" x14ac:dyDescent="0.2">
      <c r="A341" s="180"/>
      <c r="B341" s="5" t="s">
        <v>16</v>
      </c>
      <c r="C341" s="124" t="s">
        <v>307</v>
      </c>
      <c r="G341" s="6"/>
      <c r="H341" s="122">
        <v>0</v>
      </c>
      <c r="I341" s="294"/>
      <c r="J341" s="210">
        <v>0</v>
      </c>
      <c r="K341" s="183"/>
      <c r="L341" s="176">
        <f t="shared" ref="L341:L373" si="14">J341-H341</f>
        <v>0</v>
      </c>
    </row>
    <row r="342" spans="1:12" ht="14.25" customHeight="1" x14ac:dyDescent="0.2">
      <c r="A342" s="180"/>
      <c r="B342" s="5" t="s">
        <v>16</v>
      </c>
      <c r="C342" s="124" t="s">
        <v>7</v>
      </c>
      <c r="G342" s="6"/>
      <c r="H342" s="122">
        <v>0</v>
      </c>
      <c r="I342" s="294"/>
      <c r="J342" s="210">
        <v>0</v>
      </c>
      <c r="K342" s="183"/>
      <c r="L342" s="176">
        <f t="shared" si="14"/>
        <v>0</v>
      </c>
    </row>
    <row r="343" spans="1:12" ht="14.25" customHeight="1" x14ac:dyDescent="0.35">
      <c r="A343" s="180"/>
      <c r="C343" s="124" t="s">
        <v>84</v>
      </c>
      <c r="G343" s="6"/>
      <c r="H343" s="300">
        <v>0</v>
      </c>
      <c r="I343" s="301"/>
      <c r="J343" s="505">
        <v>0</v>
      </c>
      <c r="K343" s="183"/>
      <c r="L343" s="176">
        <f t="shared" si="14"/>
        <v>0</v>
      </c>
    </row>
    <row r="344" spans="1:12" x14ac:dyDescent="0.2">
      <c r="A344" s="180"/>
      <c r="C344" s="124" t="s">
        <v>8</v>
      </c>
      <c r="G344" s="6"/>
      <c r="H344" s="122">
        <f>SUM(H342:H343)</f>
        <v>0</v>
      </c>
      <c r="I344" s="122"/>
      <c r="J344" s="210">
        <f>SUM(J342:J343)</f>
        <v>0</v>
      </c>
      <c r="K344" s="183"/>
      <c r="L344" s="176">
        <f t="shared" si="14"/>
        <v>0</v>
      </c>
    </row>
    <row r="345" spans="1:12" x14ac:dyDescent="0.2">
      <c r="A345" s="180"/>
      <c r="B345" s="5" t="s">
        <v>16</v>
      </c>
      <c r="C345" s="124" t="s">
        <v>293</v>
      </c>
      <c r="G345" s="6"/>
      <c r="H345" s="122"/>
      <c r="I345" s="122"/>
      <c r="J345" s="210">
        <v>0</v>
      </c>
      <c r="K345" s="183"/>
      <c r="L345" s="176">
        <f t="shared" si="14"/>
        <v>0</v>
      </c>
    </row>
    <row r="346" spans="1:12" x14ac:dyDescent="0.2">
      <c r="A346" s="180"/>
      <c r="B346" s="5" t="s">
        <v>16</v>
      </c>
      <c r="C346" s="124" t="s">
        <v>9</v>
      </c>
      <c r="G346" s="6"/>
      <c r="H346" s="294">
        <v>0</v>
      </c>
      <c r="I346" s="122"/>
      <c r="J346" s="210">
        <v>0</v>
      </c>
      <c r="K346" s="183"/>
      <c r="L346" s="176">
        <f t="shared" si="14"/>
        <v>0</v>
      </c>
    </row>
    <row r="347" spans="1:12" x14ac:dyDescent="0.2">
      <c r="A347" s="180"/>
      <c r="B347" s="5" t="s">
        <v>16</v>
      </c>
      <c r="C347" s="124" t="s">
        <v>280</v>
      </c>
      <c r="G347" s="6"/>
      <c r="H347" s="117"/>
      <c r="I347" s="122"/>
      <c r="J347" s="493">
        <v>0</v>
      </c>
      <c r="K347" s="183"/>
      <c r="L347" s="176">
        <f t="shared" si="14"/>
        <v>0</v>
      </c>
    </row>
    <row r="348" spans="1:12" x14ac:dyDescent="0.2">
      <c r="A348" s="180"/>
      <c r="C348" s="128" t="s">
        <v>946</v>
      </c>
      <c r="G348" s="6"/>
      <c r="H348" s="302">
        <f>H340+H344+H345+H346+H347+H341</f>
        <v>0</v>
      </c>
      <c r="I348" s="122"/>
      <c r="J348" s="506">
        <f>SUM(J344:J347)+J340+J341</f>
        <v>0</v>
      </c>
      <c r="K348" s="183"/>
      <c r="L348" s="176">
        <f t="shared" si="14"/>
        <v>0</v>
      </c>
    </row>
    <row r="349" spans="1:12" ht="17.25" customHeight="1" x14ac:dyDescent="0.2">
      <c r="A349" s="180"/>
      <c r="G349" s="6"/>
      <c r="H349" s="122"/>
      <c r="I349" s="122"/>
      <c r="J349" s="210"/>
      <c r="K349" s="183"/>
      <c r="L349" s="176">
        <f t="shared" si="14"/>
        <v>0</v>
      </c>
    </row>
    <row r="350" spans="1:12" x14ac:dyDescent="0.2">
      <c r="A350" s="180"/>
      <c r="B350" s="128" t="s">
        <v>865</v>
      </c>
      <c r="G350" s="6"/>
      <c r="H350" s="122"/>
      <c r="I350" s="122"/>
      <c r="J350" s="210"/>
      <c r="K350" s="183"/>
      <c r="L350" s="176">
        <f t="shared" si="14"/>
        <v>0</v>
      </c>
    </row>
    <row r="351" spans="1:12" x14ac:dyDescent="0.2">
      <c r="A351" s="180"/>
      <c r="C351" s="124" t="s">
        <v>947</v>
      </c>
      <c r="G351" s="6"/>
      <c r="H351" s="122">
        <v>0</v>
      </c>
      <c r="I351" s="122"/>
      <c r="J351" s="210">
        <v>0</v>
      </c>
      <c r="K351" s="183"/>
      <c r="L351" s="176">
        <f t="shared" si="14"/>
        <v>0</v>
      </c>
    </row>
    <row r="352" spans="1:12" x14ac:dyDescent="0.2">
      <c r="A352" s="180"/>
      <c r="B352" s="5" t="s">
        <v>16</v>
      </c>
      <c r="C352" s="124" t="s">
        <v>10</v>
      </c>
      <c r="G352" s="6"/>
      <c r="H352" s="294">
        <v>0</v>
      </c>
      <c r="I352" s="122"/>
      <c r="J352" s="210">
        <v>0</v>
      </c>
      <c r="K352" s="183"/>
      <c r="L352" s="176">
        <f t="shared" si="14"/>
        <v>0</v>
      </c>
    </row>
    <row r="353" spans="1:12" ht="12" customHeight="1" x14ac:dyDescent="0.2">
      <c r="A353" s="180"/>
      <c r="B353" s="5"/>
      <c r="D353" s="124" t="s">
        <v>1052</v>
      </c>
      <c r="G353" s="6"/>
      <c r="H353" s="302">
        <f>SUM(H351:H352)</f>
        <v>0</v>
      </c>
      <c r="I353" s="122"/>
      <c r="J353" s="506">
        <f>SUM(J351:J352)</f>
        <v>0</v>
      </c>
      <c r="K353" s="183"/>
      <c r="L353" s="176">
        <f t="shared" si="14"/>
        <v>0</v>
      </c>
    </row>
    <row r="354" spans="1:12" x14ac:dyDescent="0.2">
      <c r="A354" s="180"/>
      <c r="B354" s="128" t="s">
        <v>866</v>
      </c>
      <c r="G354" s="6"/>
      <c r="H354" s="122"/>
      <c r="I354" s="122"/>
      <c r="J354" s="210"/>
      <c r="K354" s="183"/>
      <c r="L354" s="176">
        <f t="shared" si="14"/>
        <v>0</v>
      </c>
    </row>
    <row r="355" spans="1:12" x14ac:dyDescent="0.2">
      <c r="A355" s="180"/>
      <c r="C355" s="124" t="s">
        <v>948</v>
      </c>
      <c r="G355" s="6"/>
      <c r="H355" s="122">
        <v>0</v>
      </c>
      <c r="I355" s="122"/>
      <c r="J355" s="210">
        <v>0</v>
      </c>
      <c r="K355" s="183"/>
      <c r="L355" s="176">
        <f t="shared" si="14"/>
        <v>0</v>
      </c>
    </row>
    <row r="356" spans="1:12" x14ac:dyDescent="0.2">
      <c r="A356" s="180"/>
      <c r="B356" s="5" t="s">
        <v>16</v>
      </c>
      <c r="C356" s="124" t="s">
        <v>300</v>
      </c>
      <c r="G356" s="6"/>
      <c r="H356" s="122">
        <v>0</v>
      </c>
      <c r="I356" s="122"/>
      <c r="J356" s="210">
        <v>0</v>
      </c>
      <c r="K356" s="183"/>
      <c r="L356" s="176">
        <f t="shared" si="14"/>
        <v>0</v>
      </c>
    </row>
    <row r="357" spans="1:12" x14ac:dyDescent="0.2">
      <c r="A357" s="180"/>
      <c r="C357" s="124" t="s">
        <v>24</v>
      </c>
      <c r="G357" s="6"/>
      <c r="H357" s="654">
        <f>SUM(H355:H356)</f>
        <v>0</v>
      </c>
      <c r="I357" s="122"/>
      <c r="J357" s="506">
        <f>SUM(J355:J356)</f>
        <v>0</v>
      </c>
      <c r="K357" s="183"/>
      <c r="L357" s="176">
        <f t="shared" si="14"/>
        <v>0</v>
      </c>
    </row>
    <row r="358" spans="1:12" x14ac:dyDescent="0.2">
      <c r="A358" s="180"/>
      <c r="B358" s="128" t="s">
        <v>867</v>
      </c>
      <c r="G358" s="6"/>
      <c r="H358" s="122"/>
      <c r="I358" s="122"/>
      <c r="J358" s="210"/>
      <c r="K358" s="183"/>
      <c r="L358" s="176">
        <f t="shared" si="14"/>
        <v>0</v>
      </c>
    </row>
    <row r="359" spans="1:12" ht="14.25" customHeight="1" x14ac:dyDescent="0.2">
      <c r="A359" s="180"/>
      <c r="B359" s="128"/>
      <c r="C359" s="124" t="s">
        <v>949</v>
      </c>
      <c r="G359" s="6"/>
      <c r="H359" s="655">
        <v>0</v>
      </c>
      <c r="I359" s="122"/>
      <c r="J359" s="506">
        <v>0</v>
      </c>
      <c r="K359" s="183"/>
      <c r="L359" s="176">
        <f t="shared" si="14"/>
        <v>0</v>
      </c>
    </row>
    <row r="360" spans="1:12" x14ac:dyDescent="0.2">
      <c r="A360" s="180"/>
      <c r="B360" s="128" t="s">
        <v>1053</v>
      </c>
      <c r="G360" s="6"/>
      <c r="H360" s="122"/>
      <c r="I360" s="122"/>
      <c r="J360" s="210"/>
      <c r="K360" s="183"/>
      <c r="L360" s="176">
        <f t="shared" si="14"/>
        <v>0</v>
      </c>
    </row>
    <row r="361" spans="1:12" ht="23.25" customHeight="1" x14ac:dyDescent="0.2">
      <c r="A361" s="180"/>
      <c r="C361" s="124" t="s">
        <v>1054</v>
      </c>
      <c r="G361" s="6"/>
      <c r="H361" s="302">
        <v>0</v>
      </c>
      <c r="I361" s="122">
        <v>0</v>
      </c>
      <c r="J361" s="506">
        <v>0</v>
      </c>
      <c r="K361" s="190"/>
      <c r="L361" s="176">
        <f t="shared" si="14"/>
        <v>0</v>
      </c>
    </row>
    <row r="362" spans="1:12" ht="11.25" customHeight="1" thickBot="1" x14ac:dyDescent="0.25">
      <c r="A362" s="180"/>
      <c r="G362" s="6"/>
      <c r="H362" s="122"/>
      <c r="I362" s="122"/>
      <c r="J362" s="210"/>
      <c r="K362" s="183"/>
      <c r="L362" s="176">
        <f t="shared" si="14"/>
        <v>0</v>
      </c>
    </row>
    <row r="363" spans="1:12" ht="13.5" thickBot="1" x14ac:dyDescent="0.25">
      <c r="A363" s="180"/>
      <c r="B363" s="730" t="s">
        <v>868</v>
      </c>
      <c r="C363" s="731"/>
      <c r="D363" s="732"/>
      <c r="E363" s="188"/>
      <c r="F363" s="189"/>
      <c r="G363" s="188"/>
      <c r="H363" s="303">
        <f>H348+H353+H357+H361</f>
        <v>0</v>
      </c>
      <c r="I363" s="304">
        <f>I348+I353</f>
        <v>0</v>
      </c>
      <c r="J363" s="500">
        <f>J348+J353+J357+J361</f>
        <v>0</v>
      </c>
      <c r="K363" s="183"/>
      <c r="L363" s="176">
        <f t="shared" si="14"/>
        <v>0</v>
      </c>
    </row>
    <row r="364" spans="1:12" x14ac:dyDescent="0.2">
      <c r="A364" s="180"/>
      <c r="H364" s="122"/>
      <c r="I364" s="122"/>
      <c r="J364" s="210"/>
      <c r="K364" s="183"/>
      <c r="L364" s="176">
        <f t="shared" si="14"/>
        <v>0</v>
      </c>
    </row>
    <row r="365" spans="1:12" x14ac:dyDescent="0.2">
      <c r="A365" s="180"/>
      <c r="H365" s="122"/>
      <c r="I365" s="122"/>
      <c r="J365" s="210"/>
      <c r="K365" s="183"/>
      <c r="L365" s="176">
        <f t="shared" si="14"/>
        <v>0</v>
      </c>
    </row>
    <row r="366" spans="1:12" x14ac:dyDescent="0.2">
      <c r="A366" s="180"/>
      <c r="B366" s="151" t="s">
        <v>870</v>
      </c>
      <c r="H366" s="122"/>
      <c r="I366" s="122"/>
      <c r="J366" s="210"/>
      <c r="K366" s="183"/>
      <c r="L366" s="176">
        <f t="shared" si="14"/>
        <v>0</v>
      </c>
    </row>
    <row r="367" spans="1:12" x14ac:dyDescent="0.2">
      <c r="A367" s="180"/>
      <c r="C367" s="6" t="s">
        <v>16</v>
      </c>
      <c r="D367" s="191" t="s">
        <v>869</v>
      </c>
      <c r="H367" s="122"/>
      <c r="I367" s="122"/>
      <c r="J367" s="210"/>
      <c r="K367" s="183"/>
      <c r="L367" s="176">
        <f t="shared" si="14"/>
        <v>0</v>
      </c>
    </row>
    <row r="368" spans="1:12" ht="14.25" customHeight="1" x14ac:dyDescent="0.2">
      <c r="A368" s="180"/>
      <c r="C368" s="6"/>
      <c r="D368" s="192" t="s">
        <v>871</v>
      </c>
      <c r="H368" s="122"/>
      <c r="I368" s="122"/>
      <c r="J368" s="210"/>
      <c r="K368" s="183"/>
      <c r="L368" s="176">
        <f t="shared" si="14"/>
        <v>0</v>
      </c>
    </row>
    <row r="369" spans="1:12" x14ac:dyDescent="0.2">
      <c r="A369" s="180"/>
      <c r="C369" s="6"/>
      <c r="D369" s="193" t="s">
        <v>1055</v>
      </c>
      <c r="H369" s="122">
        <v>0</v>
      </c>
      <c r="I369" s="122"/>
      <c r="J369" s="210"/>
      <c r="K369" s="183"/>
      <c r="L369" s="176">
        <f t="shared" si="14"/>
        <v>0</v>
      </c>
    </row>
    <row r="370" spans="1:12" x14ac:dyDescent="0.2">
      <c r="A370" s="180"/>
      <c r="D370" s="193" t="s">
        <v>643</v>
      </c>
      <c r="H370" s="122"/>
      <c r="I370" s="122"/>
      <c r="J370" s="210">
        <v>0</v>
      </c>
      <c r="K370" s="183"/>
      <c r="L370" s="176">
        <f t="shared" si="14"/>
        <v>0</v>
      </c>
    </row>
    <row r="371" spans="1:12" x14ac:dyDescent="0.2">
      <c r="A371" s="180"/>
      <c r="D371" s="193" t="s">
        <v>644</v>
      </c>
      <c r="H371" s="122"/>
      <c r="I371" s="122"/>
      <c r="J371" s="210">
        <v>0</v>
      </c>
      <c r="K371" s="183"/>
      <c r="L371" s="176">
        <f t="shared" si="14"/>
        <v>0</v>
      </c>
    </row>
    <row r="372" spans="1:12" x14ac:dyDescent="0.2">
      <c r="A372" s="180"/>
      <c r="D372" s="193" t="s">
        <v>645</v>
      </c>
      <c r="H372" s="117">
        <v>0</v>
      </c>
      <c r="I372" s="122"/>
      <c r="J372" s="493">
        <v>0</v>
      </c>
      <c r="K372" s="183"/>
      <c r="L372" s="176">
        <f t="shared" si="14"/>
        <v>0</v>
      </c>
    </row>
    <row r="373" spans="1:12" x14ac:dyDescent="0.2">
      <c r="A373" s="180"/>
      <c r="D373" s="194" t="s">
        <v>950</v>
      </c>
      <c r="H373" s="302">
        <f>SUM(H369:H372)</f>
        <v>0</v>
      </c>
      <c r="I373" s="122"/>
      <c r="J373" s="506">
        <f>SUM(J369:J372)</f>
        <v>0</v>
      </c>
      <c r="K373" s="183"/>
      <c r="L373" s="176">
        <f t="shared" si="14"/>
        <v>0</v>
      </c>
    </row>
    <row r="374" spans="1:12" x14ac:dyDescent="0.2">
      <c r="A374" s="180"/>
      <c r="H374" s="122"/>
      <c r="I374" s="122"/>
      <c r="J374" s="210"/>
      <c r="K374" s="183"/>
      <c r="L374" s="176"/>
    </row>
    <row r="375" spans="1:12" ht="13.5" customHeight="1" x14ac:dyDescent="0.2">
      <c r="A375" s="180"/>
      <c r="C375" s="6" t="s">
        <v>16</v>
      </c>
      <c r="D375" s="124" t="s">
        <v>872</v>
      </c>
      <c r="H375" s="122"/>
      <c r="I375" s="122"/>
      <c r="J375" s="210"/>
      <c r="K375" s="183"/>
      <c r="L375" s="176">
        <f>J375-H375</f>
        <v>0</v>
      </c>
    </row>
    <row r="376" spans="1:12" x14ac:dyDescent="0.2">
      <c r="A376" s="180"/>
      <c r="D376" s="124" t="s">
        <v>266</v>
      </c>
      <c r="H376" s="122">
        <v>0</v>
      </c>
      <c r="I376" s="122"/>
      <c r="J376" s="210">
        <v>0</v>
      </c>
      <c r="K376" s="183"/>
      <c r="L376" s="176">
        <f>J376+J377-H376</f>
        <v>0</v>
      </c>
    </row>
    <row r="377" spans="1:12" x14ac:dyDescent="0.2">
      <c r="A377" s="180"/>
      <c r="D377" s="124" t="s">
        <v>11</v>
      </c>
      <c r="H377" s="122">
        <v>0</v>
      </c>
      <c r="I377" s="122"/>
      <c r="J377" s="210">
        <v>0</v>
      </c>
      <c r="K377" s="183"/>
      <c r="L377" s="235">
        <f>H361-H378</f>
        <v>0</v>
      </c>
    </row>
    <row r="378" spans="1:12" ht="18.75" customHeight="1" x14ac:dyDescent="0.2">
      <c r="A378" s="180"/>
      <c r="D378" s="124" t="s">
        <v>28</v>
      </c>
      <c r="H378" s="122">
        <v>0</v>
      </c>
      <c r="I378" s="122"/>
      <c r="J378" s="210">
        <v>0</v>
      </c>
      <c r="K378" s="183"/>
    </row>
    <row r="379" spans="1:12" ht="6" customHeight="1" x14ac:dyDescent="0.2">
      <c r="A379" s="180"/>
      <c r="D379" s="124" t="s">
        <v>29</v>
      </c>
      <c r="H379" s="122">
        <v>0</v>
      </c>
      <c r="I379" s="122"/>
      <c r="J379" s="210">
        <v>0</v>
      </c>
      <c r="K379" s="183"/>
      <c r="L379" s="219"/>
    </row>
    <row r="380" spans="1:12" ht="27" customHeight="1" thickBot="1" x14ac:dyDescent="0.25">
      <c r="A380" s="180"/>
      <c r="D380" s="124" t="s">
        <v>298</v>
      </c>
      <c r="H380" s="305">
        <f>SUM(H376:H379)</f>
        <v>0</v>
      </c>
      <c r="I380" s="122"/>
      <c r="J380" s="507">
        <f>SUM(J376:J379)</f>
        <v>0</v>
      </c>
      <c r="K380" s="197"/>
      <c r="L380" s="448">
        <f>J380-J361</f>
        <v>0</v>
      </c>
    </row>
    <row r="381" spans="1:12" ht="12.75" thickBot="1" x14ac:dyDescent="0.25">
      <c r="A381" s="180"/>
      <c r="H381" s="122"/>
      <c r="I381" s="122"/>
      <c r="J381" s="210"/>
      <c r="K381" s="199"/>
      <c r="L381" s="448">
        <f>H361-H380</f>
        <v>0</v>
      </c>
    </row>
    <row r="382" spans="1:12" ht="25.5" customHeight="1" thickBot="1" x14ac:dyDescent="0.25">
      <c r="A382" s="180"/>
      <c r="B382" s="733" t="s">
        <v>873</v>
      </c>
      <c r="C382" s="734"/>
      <c r="D382" s="735"/>
      <c r="E382" s="195"/>
      <c r="F382" s="196"/>
      <c r="G382" s="195"/>
      <c r="H382" s="306">
        <f>H373+H380</f>
        <v>0</v>
      </c>
      <c r="I382" s="307">
        <f>I373+I380</f>
        <v>0</v>
      </c>
      <c r="J382" s="508">
        <f>J373+J380</f>
        <v>0</v>
      </c>
      <c r="K382" s="309"/>
    </row>
    <row r="383" spans="1:12" ht="12.75" x14ac:dyDescent="0.2">
      <c r="A383" s="728" t="s">
        <v>580</v>
      </c>
      <c r="B383" s="728"/>
      <c r="C383" s="728"/>
      <c r="D383" s="728"/>
      <c r="E383" s="728"/>
      <c r="F383" s="718" t="s">
        <v>566</v>
      </c>
      <c r="G383" s="718"/>
      <c r="H383" s="718"/>
      <c r="I383" s="718"/>
      <c r="J383" s="718"/>
      <c r="K383" s="718"/>
    </row>
    <row r="384" spans="1:12" ht="12.75" x14ac:dyDescent="0.2">
      <c r="A384" s="728" t="s">
        <v>678</v>
      </c>
      <c r="B384" s="728"/>
      <c r="C384" s="728"/>
      <c r="D384" s="728"/>
      <c r="E384" s="728"/>
      <c r="F384" s="718" t="s">
        <v>680</v>
      </c>
      <c r="G384" s="718"/>
      <c r="H384" s="718"/>
      <c r="I384" s="718"/>
      <c r="J384" s="718"/>
      <c r="K384" s="718"/>
    </row>
    <row r="385" spans="1:11" ht="12.75" x14ac:dyDescent="0.2">
      <c r="A385" s="728"/>
      <c r="B385" s="728"/>
      <c r="C385" s="728"/>
      <c r="D385" s="728"/>
      <c r="E385" s="728"/>
      <c r="F385" s="718"/>
      <c r="G385" s="718"/>
      <c r="H385" s="718"/>
      <c r="I385" s="718"/>
      <c r="J385" s="718"/>
      <c r="K385" s="718"/>
    </row>
    <row r="386" spans="1:11" ht="12.75" x14ac:dyDescent="0.2">
      <c r="A386" s="728"/>
      <c r="B386" s="728"/>
      <c r="C386" s="728"/>
      <c r="D386" s="728"/>
      <c r="E386" s="728"/>
      <c r="F386" s="718"/>
      <c r="G386" s="718"/>
      <c r="H386" s="718"/>
      <c r="I386" s="718"/>
      <c r="J386" s="718"/>
      <c r="K386" s="718"/>
    </row>
    <row r="387" spans="1:11" ht="12.75" x14ac:dyDescent="0.2">
      <c r="A387" s="728"/>
      <c r="B387" s="728"/>
      <c r="C387" s="728"/>
      <c r="D387" s="728"/>
      <c r="E387" s="728"/>
      <c r="F387" s="718"/>
      <c r="G387" s="718"/>
      <c r="H387" s="718"/>
      <c r="I387" s="718"/>
      <c r="J387" s="718"/>
      <c r="K387" s="718"/>
    </row>
    <row r="388" spans="1:11" ht="12.75" x14ac:dyDescent="0.2">
      <c r="A388" s="728" t="s">
        <v>655</v>
      </c>
      <c r="B388" s="728"/>
      <c r="C388" s="728"/>
      <c r="D388" s="728"/>
      <c r="E388" s="728"/>
      <c r="F388" s="718" t="s">
        <v>567</v>
      </c>
      <c r="G388" s="718"/>
      <c r="H388" s="718"/>
      <c r="I388" s="718"/>
      <c r="J388" s="718"/>
      <c r="K388" s="718"/>
    </row>
    <row r="389" spans="1:11" x14ac:dyDescent="0.2">
      <c r="A389" s="200" t="e">
        <f>#REF!-#REF!</f>
        <v>#REF!</v>
      </c>
      <c r="F389" s="124"/>
      <c r="J389" s="200"/>
      <c r="K389" s="124"/>
    </row>
    <row r="390" spans="1:11" x14ac:dyDescent="0.2">
      <c r="A390" s="200" t="e">
        <f>#REF!-#REF!</f>
        <v>#REF!</v>
      </c>
      <c r="F390" s="124"/>
      <c r="J390" s="200"/>
      <c r="K390" s="124"/>
    </row>
    <row r="391" spans="1:11" x14ac:dyDescent="0.2">
      <c r="A391" s="200" t="e">
        <f>#REF!-#REF!</f>
        <v>#REF!</v>
      </c>
      <c r="F391" s="124"/>
      <c r="J391" s="200"/>
      <c r="K391" s="124"/>
    </row>
    <row r="392" spans="1:11" x14ac:dyDescent="0.2">
      <c r="A392" s="200" t="e">
        <f>#REF!-#REF!</f>
        <v>#REF!</v>
      </c>
      <c r="F392" s="124"/>
      <c r="J392" s="200"/>
      <c r="K392" s="124"/>
    </row>
    <row r="393" spans="1:11" x14ac:dyDescent="0.2">
      <c r="A393" s="200" t="e">
        <f>#REF!-#REF!</f>
        <v>#REF!</v>
      </c>
      <c r="F393" s="124"/>
      <c r="J393" s="200"/>
      <c r="K393" s="124"/>
    </row>
    <row r="394" spans="1:11" x14ac:dyDescent="0.2">
      <c r="A394" s="200" t="e">
        <f>#REF!-#REF!</f>
        <v>#REF!</v>
      </c>
      <c r="F394" s="124"/>
      <c r="J394" s="200"/>
      <c r="K394" s="124"/>
    </row>
    <row r="395" spans="1:11" x14ac:dyDescent="0.2">
      <c r="A395" s="200" t="e">
        <f>#REF!-#REF!</f>
        <v>#REF!</v>
      </c>
      <c r="F395" s="124"/>
      <c r="J395" s="200"/>
      <c r="K395" s="124"/>
    </row>
    <row r="396" spans="1:11" x14ac:dyDescent="0.2">
      <c r="A396" s="200"/>
      <c r="F396" s="124"/>
      <c r="J396" s="200"/>
      <c r="K396" s="124"/>
    </row>
    <row r="397" spans="1:11" x14ac:dyDescent="0.2">
      <c r="A397" s="200"/>
      <c r="F397" s="124"/>
      <c r="J397" s="200"/>
      <c r="K397" s="124"/>
    </row>
    <row r="398" spans="1:11" x14ac:dyDescent="0.2">
      <c r="A398" s="200"/>
      <c r="F398" s="124"/>
      <c r="J398" s="200"/>
      <c r="K398" s="124"/>
    </row>
    <row r="399" spans="1:11" x14ac:dyDescent="0.2">
      <c r="A399" s="200"/>
      <c r="F399" s="124"/>
      <c r="J399" s="200"/>
      <c r="K399" s="124"/>
    </row>
    <row r="400" spans="1:11" x14ac:dyDescent="0.2">
      <c r="A400" s="200"/>
      <c r="F400" s="124"/>
      <c r="J400" s="200"/>
      <c r="K400" s="124"/>
    </row>
    <row r="401" spans="1:11" x14ac:dyDescent="0.2">
      <c r="A401" s="200"/>
      <c r="F401" s="124"/>
      <c r="J401" s="200"/>
      <c r="K401" s="124"/>
    </row>
    <row r="402" spans="1:11" x14ac:dyDescent="0.2">
      <c r="A402" s="200"/>
      <c r="F402" s="124"/>
      <c r="J402" s="200"/>
      <c r="K402" s="124"/>
    </row>
    <row r="403" spans="1:11" x14ac:dyDescent="0.2">
      <c r="A403" s="200"/>
      <c r="F403" s="124"/>
      <c r="J403" s="200"/>
      <c r="K403" s="124"/>
    </row>
    <row r="404" spans="1:11" x14ac:dyDescent="0.2">
      <c r="A404" s="200"/>
      <c r="F404" s="124"/>
      <c r="J404" s="200"/>
      <c r="K404" s="124"/>
    </row>
    <row r="405" spans="1:11" x14ac:dyDescent="0.2">
      <c r="A405" s="200"/>
      <c r="F405" s="124"/>
      <c r="J405" s="200"/>
      <c r="K405" s="124"/>
    </row>
    <row r="406" spans="1:11" x14ac:dyDescent="0.2">
      <c r="A406" s="200"/>
      <c r="F406" s="124"/>
      <c r="J406" s="200"/>
      <c r="K406" s="124"/>
    </row>
    <row r="407" spans="1:11" x14ac:dyDescent="0.2">
      <c r="A407" s="200"/>
      <c r="F407" s="124"/>
      <c r="J407" s="200"/>
      <c r="K407" s="124"/>
    </row>
    <row r="408" spans="1:11" x14ac:dyDescent="0.2">
      <c r="A408" s="200"/>
      <c r="F408" s="124"/>
      <c r="J408" s="200"/>
      <c r="K408" s="124"/>
    </row>
    <row r="409" spans="1:11" x14ac:dyDescent="0.2">
      <c r="A409" s="200"/>
      <c r="F409" s="124"/>
      <c r="J409" s="200"/>
      <c r="K409" s="124"/>
    </row>
    <row r="410" spans="1:11" x14ac:dyDescent="0.2">
      <c r="A410" s="200"/>
      <c r="F410" s="124"/>
      <c r="J410" s="200"/>
      <c r="K410" s="124"/>
    </row>
    <row r="411" spans="1:11" x14ac:dyDescent="0.2">
      <c r="A411" s="200"/>
      <c r="F411" s="124"/>
      <c r="J411" s="200"/>
      <c r="K411" s="124"/>
    </row>
    <row r="412" spans="1:11" ht="12.75" x14ac:dyDescent="0.2">
      <c r="B412" s="175" t="s">
        <v>651</v>
      </c>
      <c r="C412" s="175"/>
      <c r="D412" s="175"/>
    </row>
    <row r="413" spans="1:11" ht="12.75" x14ac:dyDescent="0.2">
      <c r="B413" s="175" t="s">
        <v>31</v>
      </c>
      <c r="C413" s="175" t="s">
        <v>32</v>
      </c>
      <c r="D413" s="175"/>
    </row>
    <row r="415" spans="1:11" ht="16.5" x14ac:dyDescent="0.25">
      <c r="A415" s="178"/>
      <c r="B415" s="729" t="s">
        <v>650</v>
      </c>
      <c r="C415" s="729"/>
      <c r="D415" s="729"/>
      <c r="E415" s="729"/>
      <c r="F415" s="729"/>
      <c r="G415" s="729"/>
      <c r="H415" s="729"/>
      <c r="I415" s="729"/>
      <c r="J415" s="729"/>
      <c r="K415" s="179"/>
    </row>
    <row r="416" spans="1:11" ht="16.5" x14ac:dyDescent="0.25">
      <c r="A416" s="180"/>
      <c r="B416" s="585" t="s">
        <v>862</v>
      </c>
      <c r="C416" s="586"/>
      <c r="D416" s="586"/>
      <c r="E416" s="586"/>
      <c r="F416" s="586"/>
      <c r="G416" s="586"/>
      <c r="H416" s="587"/>
      <c r="I416" s="587"/>
      <c r="J416" s="588"/>
      <c r="K416" s="182"/>
    </row>
    <row r="417" spans="1:12" ht="16.5" x14ac:dyDescent="0.25">
      <c r="A417" s="180"/>
      <c r="B417" s="719" t="s">
        <v>879</v>
      </c>
      <c r="C417" s="719"/>
      <c r="D417" s="719"/>
      <c r="E417" s="719"/>
      <c r="F417" s="719"/>
      <c r="G417" s="719"/>
      <c r="H417" s="719"/>
      <c r="I417" s="719"/>
      <c r="J417" s="719"/>
      <c r="K417" s="182"/>
    </row>
    <row r="418" spans="1:12" ht="12.75" thickBot="1" x14ac:dyDescent="0.25">
      <c r="A418" s="688" t="e" cm="1" vm="1">
        <f t="array" aca="1" ref="A418" ca="1">+K418:AA465</f>
        <v>#VALUE!</v>
      </c>
      <c r="B418" s="181"/>
      <c r="C418" s="181"/>
      <c r="D418" s="181"/>
      <c r="E418" s="181"/>
      <c r="G418" s="181"/>
      <c r="H418" s="293"/>
      <c r="I418" s="293"/>
      <c r="J418" s="210"/>
      <c r="K418" s="183"/>
    </row>
    <row r="419" spans="1:12" ht="15" customHeight="1" x14ac:dyDescent="0.2">
      <c r="A419" s="180"/>
      <c r="B419" s="720" t="s">
        <v>15</v>
      </c>
      <c r="C419" s="721"/>
      <c r="D419" s="722"/>
      <c r="E419" s="175"/>
      <c r="F419" s="726" t="s">
        <v>13</v>
      </c>
      <c r="G419" s="184"/>
      <c r="H419" s="295" t="s">
        <v>1051</v>
      </c>
      <c r="I419" s="296"/>
      <c r="J419" s="502" t="s">
        <v>861</v>
      </c>
      <c r="K419" s="185"/>
      <c r="L419" s="176"/>
    </row>
    <row r="420" spans="1:12" ht="14.25" customHeight="1" thickBot="1" x14ac:dyDescent="0.25">
      <c r="A420" s="180"/>
      <c r="B420" s="723"/>
      <c r="C420" s="724"/>
      <c r="D420" s="725"/>
      <c r="E420" s="175"/>
      <c r="F420" s="727"/>
      <c r="G420" s="184"/>
      <c r="H420" s="297" t="s">
        <v>22</v>
      </c>
      <c r="I420" s="298"/>
      <c r="J420" s="503" t="s">
        <v>22</v>
      </c>
      <c r="K420" s="186"/>
    </row>
    <row r="421" spans="1:12" x14ac:dyDescent="0.2">
      <c r="A421" s="180"/>
      <c r="B421" s="128" t="s">
        <v>863</v>
      </c>
      <c r="C421" s="128"/>
      <c r="D421" s="128"/>
      <c r="E421" s="128"/>
      <c r="F421" s="134"/>
      <c r="G421" s="134"/>
      <c r="H421" s="299"/>
      <c r="I421" s="299"/>
      <c r="J421" s="504"/>
      <c r="K421" s="187"/>
    </row>
    <row r="422" spans="1:12" x14ac:dyDescent="0.2">
      <c r="A422" s="180"/>
      <c r="B422" s="128" t="s">
        <v>864</v>
      </c>
      <c r="G422" s="6"/>
      <c r="J422" s="210"/>
      <c r="K422" s="183"/>
    </row>
    <row r="423" spans="1:12" x14ac:dyDescent="0.2">
      <c r="A423" s="180"/>
      <c r="B423" s="5" t="s">
        <v>16</v>
      </c>
      <c r="C423" s="124" t="s">
        <v>6</v>
      </c>
      <c r="G423" s="6"/>
      <c r="H423" s="122">
        <v>0</v>
      </c>
      <c r="I423" s="294"/>
      <c r="J423" s="210">
        <v>0</v>
      </c>
      <c r="K423" s="183"/>
      <c r="L423" s="176">
        <f>J423-H423</f>
        <v>0</v>
      </c>
    </row>
    <row r="424" spans="1:12" x14ac:dyDescent="0.2">
      <c r="A424" s="180"/>
      <c r="B424" s="5" t="s">
        <v>16</v>
      </c>
      <c r="C424" s="124" t="s">
        <v>307</v>
      </c>
      <c r="G424" s="6"/>
      <c r="H424" s="122">
        <v>0</v>
      </c>
      <c r="I424" s="294"/>
      <c r="J424" s="210">
        <v>0</v>
      </c>
      <c r="K424" s="183"/>
      <c r="L424" s="176">
        <f t="shared" ref="L424:L458" si="15">J424-H424</f>
        <v>0</v>
      </c>
    </row>
    <row r="425" spans="1:12" x14ac:dyDescent="0.2">
      <c r="A425" s="180"/>
      <c r="B425" s="5" t="s">
        <v>16</v>
      </c>
      <c r="C425" s="124" t="s">
        <v>7</v>
      </c>
      <c r="G425" s="6"/>
      <c r="H425" s="122">
        <v>0</v>
      </c>
      <c r="I425" s="294"/>
      <c r="J425" s="210">
        <v>0</v>
      </c>
      <c r="K425" s="183"/>
      <c r="L425" s="176">
        <f t="shared" si="15"/>
        <v>0</v>
      </c>
    </row>
    <row r="426" spans="1:12" ht="14.25" x14ac:dyDescent="0.35">
      <c r="A426" s="180"/>
      <c r="C426" s="124" t="s">
        <v>84</v>
      </c>
      <c r="G426" s="6"/>
      <c r="H426" s="300">
        <v>0</v>
      </c>
      <c r="I426" s="301"/>
      <c r="J426" s="505">
        <v>0</v>
      </c>
      <c r="K426" s="183"/>
      <c r="L426" s="176">
        <f t="shared" si="15"/>
        <v>0</v>
      </c>
    </row>
    <row r="427" spans="1:12" x14ac:dyDescent="0.2">
      <c r="A427" s="180"/>
      <c r="C427" s="124" t="s">
        <v>8</v>
      </c>
      <c r="G427" s="6"/>
      <c r="H427" s="122">
        <f>SUM(H425:H426)</f>
        <v>0</v>
      </c>
      <c r="I427" s="122"/>
      <c r="J427" s="210">
        <f>SUM(J425:J426)</f>
        <v>0</v>
      </c>
      <c r="K427" s="183"/>
      <c r="L427" s="176">
        <f t="shared" si="15"/>
        <v>0</v>
      </c>
    </row>
    <row r="428" spans="1:12" x14ac:dyDescent="0.2">
      <c r="A428" s="180"/>
      <c r="B428" s="5" t="s">
        <v>16</v>
      </c>
      <c r="C428" s="124" t="s">
        <v>293</v>
      </c>
      <c r="G428" s="6"/>
      <c r="H428" s="122"/>
      <c r="I428" s="122"/>
      <c r="J428" s="210">
        <v>0</v>
      </c>
      <c r="K428" s="183"/>
      <c r="L428" s="176">
        <f t="shared" si="15"/>
        <v>0</v>
      </c>
    </row>
    <row r="429" spans="1:12" x14ac:dyDescent="0.2">
      <c r="A429" s="180"/>
      <c r="B429" s="5" t="s">
        <v>16</v>
      </c>
      <c r="C429" s="124" t="s">
        <v>9</v>
      </c>
      <c r="G429" s="6"/>
      <c r="H429" s="294">
        <v>0</v>
      </c>
      <c r="I429" s="122"/>
      <c r="J429" s="210">
        <v>0</v>
      </c>
      <c r="K429" s="183"/>
      <c r="L429" s="176">
        <f t="shared" si="15"/>
        <v>0</v>
      </c>
    </row>
    <row r="430" spans="1:12" x14ac:dyDescent="0.2">
      <c r="A430" s="180"/>
      <c r="B430" s="5" t="s">
        <v>16</v>
      </c>
      <c r="C430" s="124" t="s">
        <v>280</v>
      </c>
      <c r="G430" s="6"/>
      <c r="H430" s="117"/>
      <c r="I430" s="122"/>
      <c r="J430" s="493">
        <v>0</v>
      </c>
      <c r="K430" s="183"/>
      <c r="L430" s="176">
        <f t="shared" si="15"/>
        <v>0</v>
      </c>
    </row>
    <row r="431" spans="1:12" x14ac:dyDescent="0.2">
      <c r="A431" s="180"/>
      <c r="C431" s="128" t="s">
        <v>946</v>
      </c>
      <c r="G431" s="6"/>
      <c r="H431" s="302">
        <f>H423+H427+H428+H429+H430+H424</f>
        <v>0</v>
      </c>
      <c r="I431" s="122"/>
      <c r="J431" s="506">
        <f>SUM(J427:J430)+J423+J424</f>
        <v>0</v>
      </c>
      <c r="K431" s="183"/>
      <c r="L431" s="176">
        <f t="shared" si="15"/>
        <v>0</v>
      </c>
    </row>
    <row r="432" spans="1:12" x14ac:dyDescent="0.2">
      <c r="A432" s="180"/>
      <c r="G432" s="6"/>
      <c r="H432" s="122"/>
      <c r="I432" s="122"/>
      <c r="J432" s="210"/>
      <c r="K432" s="183"/>
      <c r="L432" s="176">
        <f t="shared" si="15"/>
        <v>0</v>
      </c>
    </row>
    <row r="433" spans="1:12" ht="15.75" customHeight="1" x14ac:dyDescent="0.2">
      <c r="A433" s="180"/>
      <c r="B433" s="128" t="s">
        <v>865</v>
      </c>
      <c r="G433" s="6"/>
      <c r="H433" s="122"/>
      <c r="I433" s="122"/>
      <c r="J433" s="210"/>
      <c r="K433" s="183"/>
      <c r="L433" s="176">
        <f t="shared" si="15"/>
        <v>0</v>
      </c>
    </row>
    <row r="434" spans="1:12" x14ac:dyDescent="0.2">
      <c r="A434" s="180"/>
      <c r="C434" s="124" t="s">
        <v>947</v>
      </c>
      <c r="G434" s="6"/>
      <c r="H434" s="122">
        <v>0</v>
      </c>
      <c r="I434" s="122"/>
      <c r="J434" s="210">
        <v>0</v>
      </c>
      <c r="K434" s="183"/>
      <c r="L434" s="176">
        <f t="shared" si="15"/>
        <v>0</v>
      </c>
    </row>
    <row r="435" spans="1:12" x14ac:dyDescent="0.2">
      <c r="A435" s="180"/>
      <c r="B435" s="5" t="s">
        <v>16</v>
      </c>
      <c r="C435" s="124" t="s">
        <v>10</v>
      </c>
      <c r="G435" s="6"/>
      <c r="H435" s="294">
        <v>0</v>
      </c>
      <c r="I435" s="122"/>
      <c r="J435" s="210">
        <v>0</v>
      </c>
      <c r="K435" s="183"/>
      <c r="L435" s="176">
        <f t="shared" si="15"/>
        <v>0</v>
      </c>
    </row>
    <row r="436" spans="1:12" x14ac:dyDescent="0.2">
      <c r="A436" s="180"/>
      <c r="B436" s="5"/>
      <c r="D436" s="124" t="s">
        <v>1052</v>
      </c>
      <c r="G436" s="6"/>
      <c r="H436" s="302">
        <f>SUM(H434:H435)</f>
        <v>0</v>
      </c>
      <c r="I436" s="122"/>
      <c r="J436" s="506">
        <f>SUM(J434:J435)</f>
        <v>0</v>
      </c>
      <c r="K436" s="183"/>
      <c r="L436" s="176">
        <f t="shared" si="15"/>
        <v>0</v>
      </c>
    </row>
    <row r="437" spans="1:12" x14ac:dyDescent="0.2">
      <c r="A437" s="180"/>
      <c r="B437" s="128" t="s">
        <v>866</v>
      </c>
      <c r="G437" s="6"/>
      <c r="H437" s="122"/>
      <c r="I437" s="122"/>
      <c r="J437" s="210"/>
      <c r="K437" s="183"/>
      <c r="L437" s="176">
        <f t="shared" si="15"/>
        <v>0</v>
      </c>
    </row>
    <row r="438" spans="1:12" x14ac:dyDescent="0.2">
      <c r="A438" s="180"/>
      <c r="C438" s="124" t="s">
        <v>948</v>
      </c>
      <c r="G438" s="6"/>
      <c r="H438" s="122">
        <v>0</v>
      </c>
      <c r="I438" s="122"/>
      <c r="J438" s="210">
        <v>0</v>
      </c>
      <c r="K438" s="183"/>
      <c r="L438" s="176">
        <f t="shared" si="15"/>
        <v>0</v>
      </c>
    </row>
    <row r="439" spans="1:12" x14ac:dyDescent="0.2">
      <c r="A439" s="180"/>
      <c r="B439" s="5" t="s">
        <v>16</v>
      </c>
      <c r="C439" s="124" t="s">
        <v>300</v>
      </c>
      <c r="G439" s="6"/>
      <c r="H439" s="122">
        <v>0</v>
      </c>
      <c r="I439" s="122"/>
      <c r="J439" s="210">
        <v>0</v>
      </c>
      <c r="K439" s="183"/>
      <c r="L439" s="176">
        <f t="shared" si="15"/>
        <v>0</v>
      </c>
    </row>
    <row r="440" spans="1:12" x14ac:dyDescent="0.2">
      <c r="A440" s="180"/>
      <c r="C440" s="124" t="s">
        <v>24</v>
      </c>
      <c r="G440" s="6"/>
      <c r="H440" s="654">
        <f>SUM(H438:H439)</f>
        <v>0</v>
      </c>
      <c r="I440" s="122"/>
      <c r="J440" s="506">
        <f>SUM(J438:J439)</f>
        <v>0</v>
      </c>
      <c r="K440" s="183"/>
      <c r="L440" s="176">
        <f t="shared" si="15"/>
        <v>0</v>
      </c>
    </row>
    <row r="441" spans="1:12" x14ac:dyDescent="0.2">
      <c r="A441" s="180"/>
      <c r="B441" s="128" t="s">
        <v>867</v>
      </c>
      <c r="G441" s="6"/>
      <c r="H441" s="122"/>
      <c r="I441" s="122"/>
      <c r="J441" s="210"/>
      <c r="K441" s="183"/>
      <c r="L441" s="176">
        <f t="shared" si="15"/>
        <v>0</v>
      </c>
    </row>
    <row r="442" spans="1:12" ht="15" customHeight="1" x14ac:dyDescent="0.2">
      <c r="A442" s="180"/>
      <c r="B442" s="128"/>
      <c r="C442" s="124" t="s">
        <v>949</v>
      </c>
      <c r="G442" s="6"/>
      <c r="H442" s="655">
        <v>0</v>
      </c>
      <c r="I442" s="122"/>
      <c r="J442" s="506">
        <v>0</v>
      </c>
      <c r="K442" s="183"/>
      <c r="L442" s="176">
        <f t="shared" si="15"/>
        <v>0</v>
      </c>
    </row>
    <row r="443" spans="1:12" ht="12.75" customHeight="1" x14ac:dyDescent="0.2">
      <c r="A443" s="180"/>
      <c r="B443" s="128" t="s">
        <v>1053</v>
      </c>
      <c r="G443" s="6"/>
      <c r="H443" s="122"/>
      <c r="I443" s="122"/>
      <c r="J443" s="210"/>
      <c r="K443" s="183"/>
      <c r="L443" s="176">
        <f t="shared" si="15"/>
        <v>0</v>
      </c>
    </row>
    <row r="444" spans="1:12" ht="27" customHeight="1" x14ac:dyDescent="0.2">
      <c r="A444" s="180"/>
      <c r="C444" s="124" t="s">
        <v>1054</v>
      </c>
      <c r="G444" s="6"/>
      <c r="H444" s="302">
        <v>0</v>
      </c>
      <c r="I444" s="122">
        <v>0</v>
      </c>
      <c r="J444" s="506">
        <v>0</v>
      </c>
      <c r="K444" s="190"/>
      <c r="L444" s="176">
        <f t="shared" si="15"/>
        <v>0</v>
      </c>
    </row>
    <row r="445" spans="1:12" ht="12.75" thickBot="1" x14ac:dyDescent="0.25">
      <c r="A445" s="180"/>
      <c r="G445" s="6"/>
      <c r="H445" s="122"/>
      <c r="I445" s="122"/>
      <c r="J445" s="210"/>
      <c r="K445" s="183"/>
      <c r="L445" s="176">
        <f t="shared" si="15"/>
        <v>0</v>
      </c>
    </row>
    <row r="446" spans="1:12" ht="13.5" thickBot="1" x14ac:dyDescent="0.25">
      <c r="A446" s="180"/>
      <c r="B446" s="730" t="s">
        <v>868</v>
      </c>
      <c r="C446" s="731"/>
      <c r="D446" s="732"/>
      <c r="E446" s="188"/>
      <c r="F446" s="189"/>
      <c r="G446" s="188"/>
      <c r="H446" s="303">
        <f>H431+H436+H440+H444</f>
        <v>0</v>
      </c>
      <c r="I446" s="304">
        <f>I431+I436</f>
        <v>0</v>
      </c>
      <c r="J446" s="500">
        <f>J431+J436+J440+J444</f>
        <v>0</v>
      </c>
      <c r="K446" s="183"/>
      <c r="L446" s="176">
        <f t="shared" si="15"/>
        <v>0</v>
      </c>
    </row>
    <row r="447" spans="1:12" x14ac:dyDescent="0.2">
      <c r="A447" s="180"/>
      <c r="H447" s="122"/>
      <c r="I447" s="122"/>
      <c r="J447" s="210"/>
      <c r="K447" s="183"/>
      <c r="L447" s="176">
        <f t="shared" si="15"/>
        <v>0</v>
      </c>
    </row>
    <row r="448" spans="1:12" x14ac:dyDescent="0.2">
      <c r="A448" s="180"/>
      <c r="H448" s="122"/>
      <c r="I448" s="122"/>
      <c r="J448" s="210"/>
      <c r="K448" s="183"/>
      <c r="L448" s="176">
        <f t="shared" si="15"/>
        <v>0</v>
      </c>
    </row>
    <row r="449" spans="1:12" x14ac:dyDescent="0.2">
      <c r="A449" s="180"/>
      <c r="B449" s="151" t="s">
        <v>870</v>
      </c>
      <c r="H449" s="122"/>
      <c r="I449" s="122"/>
      <c r="J449" s="210"/>
      <c r="K449" s="183"/>
      <c r="L449" s="176">
        <f t="shared" si="15"/>
        <v>0</v>
      </c>
    </row>
    <row r="450" spans="1:12" ht="13.5" customHeight="1" x14ac:dyDescent="0.2">
      <c r="A450" s="180"/>
      <c r="C450" s="6" t="s">
        <v>16</v>
      </c>
      <c r="D450" s="191" t="s">
        <v>869</v>
      </c>
      <c r="H450" s="122"/>
      <c r="I450" s="122"/>
      <c r="J450" s="210"/>
      <c r="K450" s="183"/>
      <c r="L450" s="176">
        <f t="shared" si="15"/>
        <v>0</v>
      </c>
    </row>
    <row r="451" spans="1:12" x14ac:dyDescent="0.2">
      <c r="A451" s="180"/>
      <c r="C451" s="6"/>
      <c r="D451" s="192" t="s">
        <v>871</v>
      </c>
      <c r="H451" s="122"/>
      <c r="I451" s="122"/>
      <c r="J451" s="210"/>
      <c r="K451" s="183"/>
      <c r="L451" s="176">
        <f t="shared" si="15"/>
        <v>0</v>
      </c>
    </row>
    <row r="452" spans="1:12" x14ac:dyDescent="0.2">
      <c r="A452" s="180"/>
      <c r="C452" s="6"/>
      <c r="D452" s="193" t="s">
        <v>1055</v>
      </c>
      <c r="H452" s="122">
        <v>0</v>
      </c>
      <c r="I452" s="122"/>
      <c r="J452" s="210"/>
      <c r="K452" s="183"/>
      <c r="L452" s="176">
        <f t="shared" si="15"/>
        <v>0</v>
      </c>
    </row>
    <row r="453" spans="1:12" x14ac:dyDescent="0.2">
      <c r="A453" s="180"/>
      <c r="D453" s="193" t="s">
        <v>643</v>
      </c>
      <c r="H453" s="122"/>
      <c r="I453" s="122"/>
      <c r="J453" s="210">
        <v>0</v>
      </c>
      <c r="K453" s="183"/>
      <c r="L453" s="176">
        <f t="shared" si="15"/>
        <v>0</v>
      </c>
    </row>
    <row r="454" spans="1:12" ht="17.25" customHeight="1" x14ac:dyDescent="0.2">
      <c r="A454" s="180"/>
      <c r="D454" s="193" t="s">
        <v>644</v>
      </c>
      <c r="H454" s="122"/>
      <c r="I454" s="122"/>
      <c r="J454" s="210">
        <v>0</v>
      </c>
      <c r="K454" s="183"/>
      <c r="L454" s="176">
        <f t="shared" si="15"/>
        <v>0</v>
      </c>
    </row>
    <row r="455" spans="1:12" x14ac:dyDescent="0.2">
      <c r="A455" s="180"/>
      <c r="D455" s="193" t="s">
        <v>645</v>
      </c>
      <c r="H455" s="117">
        <v>0</v>
      </c>
      <c r="I455" s="122"/>
      <c r="J455" s="493">
        <v>0</v>
      </c>
      <c r="K455" s="183"/>
      <c r="L455" s="176">
        <f t="shared" si="15"/>
        <v>0</v>
      </c>
    </row>
    <row r="456" spans="1:12" x14ac:dyDescent="0.2">
      <c r="A456" s="180"/>
      <c r="D456" s="194" t="s">
        <v>950</v>
      </c>
      <c r="H456" s="302">
        <f>SUM(H452:H455)</f>
        <v>0</v>
      </c>
      <c r="I456" s="122"/>
      <c r="J456" s="506">
        <f>SUM(J452:J455)</f>
        <v>0</v>
      </c>
      <c r="K456" s="183"/>
      <c r="L456" s="176">
        <f t="shared" si="15"/>
        <v>0</v>
      </c>
    </row>
    <row r="457" spans="1:12" ht="13.5" customHeight="1" x14ac:dyDescent="0.2">
      <c r="A457" s="180"/>
      <c r="H457" s="122"/>
      <c r="I457" s="122"/>
      <c r="J457" s="210"/>
      <c r="K457" s="183"/>
      <c r="L457" s="176">
        <f t="shared" si="15"/>
        <v>0</v>
      </c>
    </row>
    <row r="458" spans="1:12" x14ac:dyDescent="0.2">
      <c r="A458" s="180"/>
      <c r="C458" s="6" t="s">
        <v>16</v>
      </c>
      <c r="D458" s="124" t="s">
        <v>872</v>
      </c>
      <c r="H458" s="122"/>
      <c r="I458" s="122"/>
      <c r="J458" s="210"/>
      <c r="K458" s="183"/>
      <c r="L458" s="176">
        <f t="shared" si="15"/>
        <v>0</v>
      </c>
    </row>
    <row r="459" spans="1:12" x14ac:dyDescent="0.2">
      <c r="A459" s="180"/>
      <c r="D459" s="124" t="s">
        <v>266</v>
      </c>
      <c r="H459" s="122">
        <v>0</v>
      </c>
      <c r="I459" s="122"/>
      <c r="J459" s="210">
        <v>0</v>
      </c>
      <c r="K459" s="183"/>
      <c r="L459" s="176">
        <f>J460+J459-H459</f>
        <v>0</v>
      </c>
    </row>
    <row r="460" spans="1:12" ht="13.5" customHeight="1" x14ac:dyDescent="0.2">
      <c r="A460" s="180"/>
      <c r="D460" s="124" t="s">
        <v>11</v>
      </c>
      <c r="H460" s="122">
        <v>0</v>
      </c>
      <c r="I460" s="122"/>
      <c r="J460" s="210">
        <v>0</v>
      </c>
      <c r="K460" s="183"/>
      <c r="L460" s="176">
        <f>J460-H460</f>
        <v>0</v>
      </c>
    </row>
    <row r="461" spans="1:12" ht="11.25" customHeight="1" x14ac:dyDescent="0.2">
      <c r="A461" s="180"/>
      <c r="D461" s="124" t="s">
        <v>28</v>
      </c>
      <c r="H461" s="122">
        <v>0</v>
      </c>
      <c r="I461" s="122"/>
      <c r="J461" s="210">
        <v>0</v>
      </c>
      <c r="K461" s="183"/>
      <c r="L461" s="176"/>
    </row>
    <row r="462" spans="1:12" x14ac:dyDescent="0.2">
      <c r="A462" s="180"/>
      <c r="D462" s="124" t="s">
        <v>29</v>
      </c>
      <c r="H462" s="122">
        <v>0</v>
      </c>
      <c r="I462" s="122"/>
      <c r="J462" s="210">
        <v>0</v>
      </c>
      <c r="K462" s="183"/>
    </row>
    <row r="463" spans="1:12" ht="27" customHeight="1" thickBot="1" x14ac:dyDescent="0.25">
      <c r="A463" s="180"/>
      <c r="D463" s="124" t="s">
        <v>298</v>
      </c>
      <c r="H463" s="305">
        <f>SUM(H459:H462)</f>
        <v>0</v>
      </c>
      <c r="I463" s="122"/>
      <c r="J463" s="507">
        <f>SUM(J459:J462)</f>
        <v>0</v>
      </c>
      <c r="K463" s="197"/>
      <c r="L463" s="444">
        <f>J444-J463</f>
        <v>0</v>
      </c>
    </row>
    <row r="464" spans="1:12" ht="13.5" customHeight="1" thickBot="1" x14ac:dyDescent="0.25">
      <c r="A464" s="180"/>
      <c r="H464" s="122"/>
      <c r="I464" s="122"/>
      <c r="J464" s="210"/>
      <c r="K464" s="199"/>
      <c r="L464" s="509">
        <f>H444-H463</f>
        <v>0</v>
      </c>
    </row>
    <row r="465" spans="1:12" ht="35.25" customHeight="1" thickBot="1" x14ac:dyDescent="0.25">
      <c r="A465" s="180"/>
      <c r="B465" s="733" t="s">
        <v>873</v>
      </c>
      <c r="C465" s="734"/>
      <c r="D465" s="735"/>
      <c r="E465" s="195"/>
      <c r="F465" s="196"/>
      <c r="G465" s="195"/>
      <c r="H465" s="306">
        <f>H456+H463</f>
        <v>0</v>
      </c>
      <c r="I465" s="307">
        <f>I456+I463</f>
        <v>0</v>
      </c>
      <c r="J465" s="508">
        <f>J456+J463</f>
        <v>0</v>
      </c>
      <c r="K465" s="309"/>
      <c r="L465" s="444"/>
    </row>
    <row r="466" spans="1:12" ht="12.75" x14ac:dyDescent="0.2">
      <c r="A466" s="728" t="s">
        <v>580</v>
      </c>
      <c r="B466" s="728"/>
      <c r="C466" s="728"/>
      <c r="D466" s="728"/>
      <c r="E466" s="728"/>
      <c r="F466" s="718" t="s">
        <v>566</v>
      </c>
      <c r="G466" s="718"/>
      <c r="H466" s="718"/>
      <c r="I466" s="718"/>
      <c r="J466" s="718"/>
      <c r="K466" s="718"/>
    </row>
    <row r="467" spans="1:12" ht="12.75" x14ac:dyDescent="0.2">
      <c r="A467" s="728" t="s">
        <v>678</v>
      </c>
      <c r="B467" s="728"/>
      <c r="C467" s="728"/>
      <c r="D467" s="728"/>
      <c r="E467" s="728"/>
      <c r="F467" s="718" t="s">
        <v>680</v>
      </c>
      <c r="G467" s="718"/>
      <c r="H467" s="718"/>
      <c r="I467" s="718"/>
      <c r="J467" s="718"/>
      <c r="K467" s="718"/>
    </row>
    <row r="468" spans="1:12" ht="12.75" x14ac:dyDescent="0.2">
      <c r="A468" s="728"/>
      <c r="B468" s="728"/>
      <c r="C468" s="728"/>
      <c r="D468" s="728"/>
      <c r="E468" s="728"/>
      <c r="F468" s="718"/>
      <c r="G468" s="718"/>
      <c r="H468" s="718"/>
      <c r="I468" s="718"/>
      <c r="J468" s="718"/>
      <c r="K468" s="718"/>
    </row>
    <row r="469" spans="1:12" ht="12.75" x14ac:dyDescent="0.2">
      <c r="A469" s="728"/>
      <c r="B469" s="728"/>
      <c r="C469" s="728"/>
      <c r="D469" s="728"/>
      <c r="E469" s="728"/>
      <c r="F469" s="718"/>
      <c r="G469" s="718"/>
      <c r="H469" s="718"/>
      <c r="I469" s="718"/>
      <c r="J469" s="718"/>
      <c r="K469" s="718"/>
    </row>
    <row r="470" spans="1:12" ht="12.75" x14ac:dyDescent="0.2">
      <c r="A470" s="728"/>
      <c r="B470" s="728"/>
      <c r="C470" s="728"/>
      <c r="D470" s="728"/>
      <c r="E470" s="728"/>
      <c r="F470" s="718"/>
      <c r="G470" s="718"/>
      <c r="H470" s="718"/>
      <c r="I470" s="718"/>
      <c r="J470" s="718"/>
      <c r="K470" s="718"/>
      <c r="L470" s="234"/>
    </row>
    <row r="471" spans="1:12" ht="12.75" x14ac:dyDescent="0.2">
      <c r="A471" s="728" t="s">
        <v>655</v>
      </c>
      <c r="B471" s="728"/>
      <c r="C471" s="728"/>
      <c r="D471" s="728"/>
      <c r="E471" s="728"/>
      <c r="F471" s="718" t="s">
        <v>567</v>
      </c>
      <c r="G471" s="718"/>
      <c r="H471" s="718"/>
      <c r="I471" s="718"/>
      <c r="J471" s="718"/>
      <c r="K471" s="718"/>
    </row>
    <row r="472" spans="1:12" x14ac:dyDescent="0.2">
      <c r="A472" s="200" t="e">
        <f>#REF!-#REF!</f>
        <v>#REF!</v>
      </c>
      <c r="F472" s="124"/>
      <c r="J472" s="200"/>
      <c r="K472" s="124"/>
    </row>
    <row r="473" spans="1:12" x14ac:dyDescent="0.2">
      <c r="A473" s="200" t="e">
        <f>#REF!-#REF!</f>
        <v>#REF!</v>
      </c>
      <c r="F473" s="124"/>
      <c r="J473" s="200"/>
      <c r="K473" s="124"/>
    </row>
    <row r="474" spans="1:12" x14ac:dyDescent="0.2">
      <c r="A474" s="200" t="e">
        <f>#REF!-#REF!</f>
        <v>#REF!</v>
      </c>
      <c r="F474" s="124"/>
      <c r="J474" s="200"/>
      <c r="K474" s="124"/>
    </row>
    <row r="475" spans="1:12" x14ac:dyDescent="0.2">
      <c r="A475" s="200" t="e">
        <f>#REF!-#REF!</f>
        <v>#REF!</v>
      </c>
      <c r="F475" s="124"/>
      <c r="J475" s="200"/>
      <c r="K475" s="124"/>
    </row>
    <row r="476" spans="1:12" x14ac:dyDescent="0.2">
      <c r="A476" s="200" t="e">
        <f>#REF!-#REF!</f>
        <v>#REF!</v>
      </c>
      <c r="F476" s="124"/>
      <c r="J476" s="200"/>
      <c r="K476" s="124"/>
    </row>
    <row r="477" spans="1:12" x14ac:dyDescent="0.2">
      <c r="A477" s="200" t="e">
        <f>#REF!-#REF!</f>
        <v>#REF!</v>
      </c>
      <c r="F477" s="124"/>
      <c r="J477" s="200"/>
      <c r="K477" s="124"/>
    </row>
    <row r="478" spans="1:12" x14ac:dyDescent="0.2">
      <c r="A478" s="200" t="e">
        <f>#REF!-#REF!</f>
        <v>#REF!</v>
      </c>
      <c r="F478" s="124"/>
      <c r="J478" s="200"/>
      <c r="K478" s="124"/>
    </row>
    <row r="479" spans="1:12" x14ac:dyDescent="0.2">
      <c r="A479" s="200" t="e">
        <f>#REF!-#REF!</f>
        <v>#REF!</v>
      </c>
      <c r="F479" s="124"/>
      <c r="J479" s="200"/>
      <c r="K479" s="124"/>
    </row>
    <row r="480" spans="1:12" x14ac:dyDescent="0.2">
      <c r="A480" s="200" t="e">
        <f>#REF!-#REF!</f>
        <v>#REF!</v>
      </c>
      <c r="F480" s="124"/>
      <c r="J480" s="200"/>
      <c r="K480" s="124"/>
    </row>
    <row r="481" spans="1:11" x14ac:dyDescent="0.2">
      <c r="A481" s="200"/>
      <c r="F481" s="124"/>
      <c r="J481" s="200"/>
      <c r="K481" s="124"/>
    </row>
    <row r="482" spans="1:11" x14ac:dyDescent="0.2">
      <c r="A482" s="200"/>
      <c r="F482" s="124"/>
      <c r="J482" s="200"/>
      <c r="K482" s="124"/>
    </row>
    <row r="483" spans="1:11" x14ac:dyDescent="0.2">
      <c r="A483" s="200"/>
      <c r="F483" s="124"/>
      <c r="J483" s="200"/>
      <c r="K483" s="124"/>
    </row>
    <row r="484" spans="1:11" x14ac:dyDescent="0.2">
      <c r="A484" s="200"/>
      <c r="F484" s="124"/>
      <c r="J484" s="200"/>
      <c r="K484" s="124"/>
    </row>
    <row r="485" spans="1:11" x14ac:dyDescent="0.2">
      <c r="A485" s="200"/>
      <c r="F485" s="124"/>
      <c r="J485" s="200"/>
      <c r="K485" s="124"/>
    </row>
    <row r="486" spans="1:11" x14ac:dyDescent="0.2">
      <c r="A486" s="200"/>
      <c r="F486" s="124"/>
      <c r="J486" s="200"/>
      <c r="K486" s="124"/>
    </row>
    <row r="487" spans="1:11" x14ac:dyDescent="0.2">
      <c r="A487" s="200"/>
      <c r="F487" s="124"/>
      <c r="J487" s="200"/>
      <c r="K487" s="124"/>
    </row>
    <row r="488" spans="1:11" x14ac:dyDescent="0.2">
      <c r="A488" s="200"/>
      <c r="F488" s="124"/>
      <c r="J488" s="200"/>
      <c r="K488" s="124"/>
    </row>
    <row r="489" spans="1:11" x14ac:dyDescent="0.2">
      <c r="A489" s="200"/>
      <c r="F489" s="124"/>
      <c r="J489" s="200"/>
      <c r="K489" s="124"/>
    </row>
    <row r="490" spans="1:11" x14ac:dyDescent="0.2">
      <c r="A490" s="200"/>
      <c r="F490" s="124"/>
      <c r="J490" s="200"/>
      <c r="K490" s="124"/>
    </row>
    <row r="491" spans="1:11" x14ac:dyDescent="0.2">
      <c r="A491" s="200"/>
      <c r="F491" s="124"/>
      <c r="J491" s="200"/>
      <c r="K491" s="124"/>
    </row>
    <row r="492" spans="1:11" ht="12.75" x14ac:dyDescent="0.2">
      <c r="B492" s="175" t="s">
        <v>651</v>
      </c>
      <c r="C492" s="175"/>
      <c r="D492" s="175"/>
    </row>
    <row r="493" spans="1:11" ht="12.75" x14ac:dyDescent="0.2">
      <c r="B493" s="175" t="s">
        <v>31</v>
      </c>
      <c r="C493" s="175" t="s">
        <v>32</v>
      </c>
      <c r="D493" s="175"/>
    </row>
    <row r="495" spans="1:11" ht="16.5" x14ac:dyDescent="0.25">
      <c r="A495" s="178"/>
      <c r="B495" s="729" t="s">
        <v>650</v>
      </c>
      <c r="C495" s="729"/>
      <c r="D495" s="729"/>
      <c r="E495" s="729"/>
      <c r="F495" s="729"/>
      <c r="G495" s="729"/>
      <c r="H495" s="729"/>
      <c r="I495" s="729"/>
      <c r="J495" s="729"/>
      <c r="K495" s="179"/>
    </row>
    <row r="496" spans="1:11" ht="16.5" x14ac:dyDescent="0.25">
      <c r="A496" s="180"/>
      <c r="B496" s="585" t="s">
        <v>862</v>
      </c>
      <c r="C496" s="586"/>
      <c r="D496" s="586"/>
      <c r="E496" s="586"/>
      <c r="F496" s="586"/>
      <c r="G496" s="586"/>
      <c r="H496" s="587"/>
      <c r="I496" s="587"/>
      <c r="J496" s="588"/>
      <c r="K496" s="182"/>
    </row>
    <row r="497" spans="1:14" ht="16.5" x14ac:dyDescent="0.25">
      <c r="A497" s="180"/>
      <c r="B497" s="719" t="s">
        <v>878</v>
      </c>
      <c r="C497" s="719"/>
      <c r="D497" s="719"/>
      <c r="E497" s="719"/>
      <c r="F497" s="719"/>
      <c r="G497" s="719"/>
      <c r="H497" s="719"/>
      <c r="I497" s="719"/>
      <c r="J497" s="719"/>
      <c r="K497" s="182"/>
    </row>
    <row r="498" spans="1:14" ht="6" customHeight="1" thickBot="1" x14ac:dyDescent="0.25">
      <c r="A498" s="688" t="e" cm="1" vm="1">
        <f t="array" aca="1" ref="A498" ca="1">+K498:AA545</f>
        <v>#VALUE!</v>
      </c>
      <c r="B498" s="181"/>
      <c r="C498" s="181"/>
      <c r="D498" s="181"/>
      <c r="E498" s="181"/>
      <c r="G498" s="181"/>
      <c r="H498" s="293"/>
      <c r="I498" s="293"/>
      <c r="J498" s="210"/>
      <c r="K498" s="183"/>
    </row>
    <row r="499" spans="1:14" ht="12.75" x14ac:dyDescent="0.2">
      <c r="A499" s="180"/>
      <c r="B499" s="720" t="s">
        <v>15</v>
      </c>
      <c r="C499" s="721"/>
      <c r="D499" s="722"/>
      <c r="E499" s="175"/>
      <c r="F499" s="726" t="s">
        <v>13</v>
      </c>
      <c r="G499" s="184"/>
      <c r="H499" s="295" t="s">
        <v>1051</v>
      </c>
      <c r="I499" s="296"/>
      <c r="J499" s="502" t="s">
        <v>861</v>
      </c>
      <c r="K499" s="185"/>
      <c r="L499" s="176"/>
    </row>
    <row r="500" spans="1:14" ht="13.5" thickBot="1" x14ac:dyDescent="0.25">
      <c r="A500" s="180"/>
      <c r="B500" s="723"/>
      <c r="C500" s="724"/>
      <c r="D500" s="725"/>
      <c r="E500" s="175"/>
      <c r="F500" s="727"/>
      <c r="G500" s="184"/>
      <c r="H500" s="297" t="s">
        <v>22</v>
      </c>
      <c r="I500" s="298"/>
      <c r="J500" s="503" t="s">
        <v>22</v>
      </c>
      <c r="K500" s="186"/>
    </row>
    <row r="501" spans="1:14" x14ac:dyDescent="0.2">
      <c r="A501" s="180"/>
      <c r="B501" s="128" t="s">
        <v>863</v>
      </c>
      <c r="C501" s="128"/>
      <c r="D501" s="128"/>
      <c r="E501" s="128"/>
      <c r="F501" s="134"/>
      <c r="G501" s="134"/>
      <c r="H501" s="299"/>
      <c r="I501" s="299"/>
      <c r="J501" s="504"/>
      <c r="K501" s="187"/>
    </row>
    <row r="502" spans="1:14" ht="13.5" customHeight="1" x14ac:dyDescent="0.2">
      <c r="A502" s="180"/>
      <c r="B502" s="128" t="s">
        <v>864</v>
      </c>
      <c r="G502" s="6"/>
      <c r="J502" s="210"/>
      <c r="K502" s="183"/>
    </row>
    <row r="503" spans="1:14" ht="13.5" customHeight="1" x14ac:dyDescent="0.2">
      <c r="A503" s="180"/>
      <c r="B503" s="5" t="s">
        <v>16</v>
      </c>
      <c r="C503" s="124" t="s">
        <v>6</v>
      </c>
      <c r="G503" s="6"/>
      <c r="H503" s="122">
        <v>0</v>
      </c>
      <c r="I503" s="294"/>
      <c r="J503" s="210">
        <v>0</v>
      </c>
      <c r="K503" s="183"/>
      <c r="L503" s="176">
        <f>J503-H503</f>
        <v>0</v>
      </c>
    </row>
    <row r="504" spans="1:14" ht="13.5" customHeight="1" x14ac:dyDescent="0.2">
      <c r="A504" s="180"/>
      <c r="B504" s="5" t="s">
        <v>16</v>
      </c>
      <c r="C504" s="124" t="s">
        <v>307</v>
      </c>
      <c r="G504" s="6"/>
      <c r="H504" s="122">
        <v>0</v>
      </c>
      <c r="I504" s="294"/>
      <c r="J504" s="210">
        <v>0</v>
      </c>
      <c r="K504" s="183"/>
      <c r="L504" s="176">
        <f t="shared" ref="L504:L538" si="16">J504-H504</f>
        <v>0</v>
      </c>
    </row>
    <row r="505" spans="1:14" ht="13.5" customHeight="1" x14ac:dyDescent="0.2">
      <c r="A505" s="180"/>
      <c r="B505" s="5" t="s">
        <v>16</v>
      </c>
      <c r="C505" s="124" t="s">
        <v>7</v>
      </c>
      <c r="G505" s="6"/>
      <c r="H505" s="122">
        <v>0</v>
      </c>
      <c r="I505" s="294"/>
      <c r="J505" s="210">
        <v>0</v>
      </c>
      <c r="K505" s="183"/>
      <c r="L505" s="176">
        <f t="shared" si="16"/>
        <v>0</v>
      </c>
    </row>
    <row r="506" spans="1:14" ht="13.5" customHeight="1" x14ac:dyDescent="0.35">
      <c r="A506" s="180"/>
      <c r="C506" s="124" t="s">
        <v>84</v>
      </c>
      <c r="G506" s="6"/>
      <c r="H506" s="300">
        <v>0</v>
      </c>
      <c r="I506" s="301"/>
      <c r="J506" s="505">
        <v>0</v>
      </c>
      <c r="K506" s="183"/>
      <c r="L506" s="176">
        <f t="shared" si="16"/>
        <v>0</v>
      </c>
    </row>
    <row r="507" spans="1:14" ht="13.5" customHeight="1" x14ac:dyDescent="0.2">
      <c r="A507" s="180"/>
      <c r="C507" s="124" t="s">
        <v>8</v>
      </c>
      <c r="G507" s="6"/>
      <c r="H507" s="122">
        <f>SUM(H505:H506)</f>
        <v>0</v>
      </c>
      <c r="I507" s="122"/>
      <c r="J507" s="210">
        <f>SUM(J505:J506)</f>
        <v>0</v>
      </c>
      <c r="K507" s="183"/>
      <c r="L507" s="176">
        <f t="shared" si="16"/>
        <v>0</v>
      </c>
    </row>
    <row r="508" spans="1:14" ht="13.5" customHeight="1" x14ac:dyDescent="0.2">
      <c r="A508" s="180"/>
      <c r="B508" s="5" t="s">
        <v>16</v>
      </c>
      <c r="C508" s="124" t="s">
        <v>293</v>
      </c>
      <c r="G508" s="6"/>
      <c r="H508" s="122"/>
      <c r="I508" s="122"/>
      <c r="J508" s="210">
        <v>0</v>
      </c>
      <c r="K508" s="183"/>
      <c r="L508" s="176">
        <f t="shared" si="16"/>
        <v>0</v>
      </c>
    </row>
    <row r="509" spans="1:14" ht="13.5" customHeight="1" x14ac:dyDescent="0.2">
      <c r="A509" s="180"/>
      <c r="B509" s="5" t="s">
        <v>16</v>
      </c>
      <c r="C509" s="124" t="s">
        <v>9</v>
      </c>
      <c r="G509" s="6"/>
      <c r="H509" s="294">
        <v>0</v>
      </c>
      <c r="I509" s="122"/>
      <c r="J509" s="210">
        <v>0</v>
      </c>
      <c r="K509" s="183"/>
      <c r="L509" s="176">
        <f t="shared" si="16"/>
        <v>0</v>
      </c>
    </row>
    <row r="510" spans="1:14" ht="13.5" customHeight="1" x14ac:dyDescent="0.2">
      <c r="A510" s="180"/>
      <c r="B510" s="5" t="s">
        <v>16</v>
      </c>
      <c r="C510" s="124" t="s">
        <v>280</v>
      </c>
      <c r="G510" s="6"/>
      <c r="H510" s="117"/>
      <c r="I510" s="122"/>
      <c r="J510" s="493">
        <v>0</v>
      </c>
      <c r="K510" s="183"/>
      <c r="L510" s="176">
        <f t="shared" si="16"/>
        <v>0</v>
      </c>
    </row>
    <row r="511" spans="1:14" ht="13.5" customHeight="1" x14ac:dyDescent="0.2">
      <c r="A511" s="180"/>
      <c r="C511" s="128" t="s">
        <v>946</v>
      </c>
      <c r="G511" s="6"/>
      <c r="H511" s="302">
        <f>H503+H507+H508+H509+H510+H504</f>
        <v>0</v>
      </c>
      <c r="I511" s="122"/>
      <c r="J511" s="506">
        <f>SUM(J507:J510)+J503+J504</f>
        <v>0</v>
      </c>
      <c r="K511" s="183"/>
      <c r="L511" s="176">
        <f t="shared" si="16"/>
        <v>0</v>
      </c>
      <c r="N511" s="176" t="s">
        <v>273</v>
      </c>
    </row>
    <row r="512" spans="1:14" ht="6" customHeight="1" x14ac:dyDescent="0.2">
      <c r="A512" s="180"/>
      <c r="G512" s="6"/>
      <c r="H512" s="122"/>
      <c r="I512" s="122"/>
      <c r="J512" s="210"/>
      <c r="K512" s="183"/>
      <c r="L512" s="176">
        <f t="shared" si="16"/>
        <v>0</v>
      </c>
    </row>
    <row r="513" spans="1:12" ht="13.5" customHeight="1" x14ac:dyDescent="0.2">
      <c r="A513" s="180"/>
      <c r="B513" s="128" t="s">
        <v>865</v>
      </c>
      <c r="G513" s="6"/>
      <c r="H513" s="122"/>
      <c r="I513" s="122"/>
      <c r="J513" s="210"/>
      <c r="K513" s="183"/>
      <c r="L513" s="176">
        <f t="shared" si="16"/>
        <v>0</v>
      </c>
    </row>
    <row r="514" spans="1:12" ht="13.5" customHeight="1" x14ac:dyDescent="0.2">
      <c r="A514" s="180"/>
      <c r="C514" s="124" t="s">
        <v>947</v>
      </c>
      <c r="G514" s="6"/>
      <c r="H514" s="122">
        <v>0</v>
      </c>
      <c r="I514" s="122"/>
      <c r="J514" s="210">
        <v>0</v>
      </c>
      <c r="K514" s="183"/>
      <c r="L514" s="176">
        <f t="shared" si="16"/>
        <v>0</v>
      </c>
    </row>
    <row r="515" spans="1:12" ht="13.5" customHeight="1" x14ac:dyDescent="0.2">
      <c r="A515" s="180"/>
      <c r="B515" s="5" t="s">
        <v>16</v>
      </c>
      <c r="C515" s="124" t="s">
        <v>10</v>
      </c>
      <c r="G515" s="6"/>
      <c r="H515" s="294">
        <v>0</v>
      </c>
      <c r="I515" s="122"/>
      <c r="J515" s="210">
        <v>0</v>
      </c>
      <c r="K515" s="183"/>
      <c r="L515" s="176">
        <f t="shared" si="16"/>
        <v>0</v>
      </c>
    </row>
    <row r="516" spans="1:12" ht="13.5" customHeight="1" x14ac:dyDescent="0.2">
      <c r="A516" s="180"/>
      <c r="B516" s="5"/>
      <c r="D516" s="124" t="s">
        <v>1052</v>
      </c>
      <c r="G516" s="6"/>
      <c r="H516" s="302">
        <f>SUM(H514:H515)</f>
        <v>0</v>
      </c>
      <c r="I516" s="122"/>
      <c r="J516" s="506">
        <f>SUM(J514:J515)</f>
        <v>0</v>
      </c>
      <c r="K516" s="183"/>
      <c r="L516" s="176">
        <f t="shared" si="16"/>
        <v>0</v>
      </c>
    </row>
    <row r="517" spans="1:12" ht="13.5" customHeight="1" x14ac:dyDescent="0.2">
      <c r="A517" s="180"/>
      <c r="B517" s="128" t="s">
        <v>866</v>
      </c>
      <c r="G517" s="6"/>
      <c r="H517" s="122"/>
      <c r="I517" s="122"/>
      <c r="J517" s="210"/>
      <c r="K517" s="183"/>
      <c r="L517" s="176">
        <f t="shared" si="16"/>
        <v>0</v>
      </c>
    </row>
    <row r="518" spans="1:12" x14ac:dyDescent="0.2">
      <c r="A518" s="180"/>
      <c r="C518" s="124" t="s">
        <v>948</v>
      </c>
      <c r="G518" s="6"/>
      <c r="H518" s="122">
        <v>0</v>
      </c>
      <c r="I518" s="122"/>
      <c r="J518" s="210">
        <v>0</v>
      </c>
      <c r="K518" s="183"/>
      <c r="L518" s="176">
        <f t="shared" si="16"/>
        <v>0</v>
      </c>
    </row>
    <row r="519" spans="1:12" x14ac:dyDescent="0.2">
      <c r="A519" s="180"/>
      <c r="B519" s="5" t="s">
        <v>16</v>
      </c>
      <c r="C519" s="124" t="s">
        <v>300</v>
      </c>
      <c r="G519" s="6"/>
      <c r="H519" s="122">
        <v>0</v>
      </c>
      <c r="I519" s="122"/>
      <c r="J519" s="210">
        <v>0</v>
      </c>
      <c r="K519" s="183"/>
      <c r="L519" s="176">
        <f t="shared" si="16"/>
        <v>0</v>
      </c>
    </row>
    <row r="520" spans="1:12" x14ac:dyDescent="0.2">
      <c r="A520" s="180"/>
      <c r="C520" s="124" t="s">
        <v>24</v>
      </c>
      <c r="G520" s="6"/>
      <c r="H520" s="654">
        <f>SUM(H518:H519)</f>
        <v>0</v>
      </c>
      <c r="I520" s="122"/>
      <c r="J520" s="506">
        <f>SUM(J518:J519)</f>
        <v>0</v>
      </c>
      <c r="K520" s="183"/>
      <c r="L520" s="176">
        <f t="shared" si="16"/>
        <v>0</v>
      </c>
    </row>
    <row r="521" spans="1:12" x14ac:dyDescent="0.2">
      <c r="A521" s="180"/>
      <c r="B521" s="128" t="s">
        <v>867</v>
      </c>
      <c r="G521" s="6"/>
      <c r="H521" s="122"/>
      <c r="I521" s="122"/>
      <c r="J521" s="210"/>
      <c r="K521" s="183"/>
      <c r="L521" s="176">
        <f t="shared" si="16"/>
        <v>0</v>
      </c>
    </row>
    <row r="522" spans="1:12" ht="12" customHeight="1" x14ac:dyDescent="0.2">
      <c r="A522" s="180"/>
      <c r="B522" s="128"/>
      <c r="C522" s="124" t="s">
        <v>949</v>
      </c>
      <c r="G522" s="6"/>
      <c r="H522" s="655">
        <v>0</v>
      </c>
      <c r="I522" s="122"/>
      <c r="J522" s="506">
        <v>0</v>
      </c>
      <c r="K522" s="183"/>
      <c r="L522" s="176">
        <f t="shared" si="16"/>
        <v>0</v>
      </c>
    </row>
    <row r="523" spans="1:12" ht="3" customHeight="1" x14ac:dyDescent="0.2">
      <c r="A523" s="180"/>
      <c r="B523" s="128" t="s">
        <v>1053</v>
      </c>
      <c r="G523" s="6"/>
      <c r="H523" s="122"/>
      <c r="I523" s="122"/>
      <c r="J523" s="210"/>
      <c r="K523" s="183"/>
      <c r="L523" s="176">
        <f t="shared" si="16"/>
        <v>0</v>
      </c>
    </row>
    <row r="524" spans="1:12" ht="22.5" customHeight="1" x14ac:dyDescent="0.2">
      <c r="A524" s="180"/>
      <c r="C524" s="124" t="s">
        <v>1054</v>
      </c>
      <c r="G524" s="6"/>
      <c r="H524" s="302">
        <v>0</v>
      </c>
      <c r="I524" s="122">
        <v>0</v>
      </c>
      <c r="J524" s="506">
        <v>0</v>
      </c>
      <c r="K524" s="190"/>
      <c r="L524" s="176">
        <f t="shared" si="16"/>
        <v>0</v>
      </c>
    </row>
    <row r="525" spans="1:12" ht="4.5" customHeight="1" thickBot="1" x14ac:dyDescent="0.25">
      <c r="A525" s="180"/>
      <c r="G525" s="6"/>
      <c r="H525" s="122"/>
      <c r="I525" s="122"/>
      <c r="J525" s="210"/>
      <c r="K525" s="183"/>
      <c r="L525" s="176">
        <f t="shared" si="16"/>
        <v>0</v>
      </c>
    </row>
    <row r="526" spans="1:12" ht="13.5" thickBot="1" x14ac:dyDescent="0.25">
      <c r="A526" s="180"/>
      <c r="B526" s="730" t="s">
        <v>868</v>
      </c>
      <c r="C526" s="731"/>
      <c r="D526" s="732"/>
      <c r="E526" s="188"/>
      <c r="F526" s="189"/>
      <c r="G526" s="188"/>
      <c r="H526" s="303">
        <f>H511+H516+H520+H524</f>
        <v>0</v>
      </c>
      <c r="I526" s="304">
        <f>I511+I516</f>
        <v>0</v>
      </c>
      <c r="J526" s="500">
        <f>J511+J516+J520+J524</f>
        <v>0</v>
      </c>
      <c r="K526" s="183"/>
      <c r="L526" s="176">
        <f t="shared" si="16"/>
        <v>0</v>
      </c>
    </row>
    <row r="527" spans="1:12" x14ac:dyDescent="0.2">
      <c r="A527" s="180"/>
      <c r="H527" s="122"/>
      <c r="I527" s="122"/>
      <c r="J527" s="210"/>
      <c r="K527" s="183"/>
      <c r="L527" s="176">
        <f t="shared" si="16"/>
        <v>0</v>
      </c>
    </row>
    <row r="528" spans="1:12" x14ac:dyDescent="0.2">
      <c r="A528" s="180"/>
      <c r="H528" s="122"/>
      <c r="I528" s="122"/>
      <c r="J528" s="210"/>
      <c r="K528" s="183"/>
      <c r="L528" s="176">
        <f t="shared" si="16"/>
        <v>0</v>
      </c>
    </row>
    <row r="529" spans="1:12" x14ac:dyDescent="0.2">
      <c r="A529" s="180"/>
      <c r="B529" s="151" t="s">
        <v>870</v>
      </c>
      <c r="H529" s="122"/>
      <c r="I529" s="122"/>
      <c r="J529" s="210"/>
      <c r="K529" s="183"/>
      <c r="L529" s="176">
        <f t="shared" si="16"/>
        <v>0</v>
      </c>
    </row>
    <row r="530" spans="1:12" x14ac:dyDescent="0.2">
      <c r="A530" s="180"/>
      <c r="C530" s="6" t="s">
        <v>16</v>
      </c>
      <c r="D530" s="191" t="s">
        <v>869</v>
      </c>
      <c r="H530" s="122"/>
      <c r="I530" s="122"/>
      <c r="J530" s="210"/>
      <c r="K530" s="183"/>
      <c r="L530" s="176">
        <f t="shared" si="16"/>
        <v>0</v>
      </c>
    </row>
    <row r="531" spans="1:12" ht="12.75" customHeight="1" x14ac:dyDescent="0.2">
      <c r="A531" s="180"/>
      <c r="C531" s="6"/>
      <c r="D531" s="192" t="s">
        <v>871</v>
      </c>
      <c r="H531" s="122"/>
      <c r="I531" s="122"/>
      <c r="J531" s="210"/>
      <c r="K531" s="183"/>
      <c r="L531" s="176">
        <f t="shared" si="16"/>
        <v>0</v>
      </c>
    </row>
    <row r="532" spans="1:12" x14ac:dyDescent="0.2">
      <c r="A532" s="180"/>
      <c r="C532" s="6"/>
      <c r="D532" s="193" t="s">
        <v>1055</v>
      </c>
      <c r="H532" s="122">
        <v>0</v>
      </c>
      <c r="I532" s="122"/>
      <c r="J532" s="210"/>
      <c r="K532" s="183"/>
      <c r="L532" s="176">
        <f t="shared" si="16"/>
        <v>0</v>
      </c>
    </row>
    <row r="533" spans="1:12" x14ac:dyDescent="0.2">
      <c r="A533" s="180"/>
      <c r="D533" s="193" t="s">
        <v>643</v>
      </c>
      <c r="H533" s="122"/>
      <c r="I533" s="122"/>
      <c r="J533" s="210">
        <v>0</v>
      </c>
      <c r="K533" s="183"/>
      <c r="L533" s="176">
        <f t="shared" si="16"/>
        <v>0</v>
      </c>
    </row>
    <row r="534" spans="1:12" x14ac:dyDescent="0.2">
      <c r="A534" s="180"/>
      <c r="D534" s="193" t="s">
        <v>644</v>
      </c>
      <c r="H534" s="122"/>
      <c r="I534" s="122"/>
      <c r="J534" s="210">
        <v>0</v>
      </c>
      <c r="K534" s="183"/>
      <c r="L534" s="176">
        <f t="shared" si="16"/>
        <v>0</v>
      </c>
    </row>
    <row r="535" spans="1:12" ht="6" customHeight="1" x14ac:dyDescent="0.2">
      <c r="A535" s="180"/>
      <c r="D535" s="193" t="s">
        <v>645</v>
      </c>
      <c r="H535" s="117">
        <v>0</v>
      </c>
      <c r="I535" s="122"/>
      <c r="J535" s="493">
        <v>0</v>
      </c>
      <c r="K535" s="183"/>
      <c r="L535" s="176">
        <f t="shared" si="16"/>
        <v>0</v>
      </c>
    </row>
    <row r="536" spans="1:12" x14ac:dyDescent="0.2">
      <c r="A536" s="180"/>
      <c r="D536" s="194" t="s">
        <v>950</v>
      </c>
      <c r="H536" s="302">
        <f>SUM(H532:H535)</f>
        <v>0</v>
      </c>
      <c r="I536" s="122"/>
      <c r="J536" s="506">
        <f>SUM(J532:J535)</f>
        <v>0</v>
      </c>
      <c r="K536" s="183"/>
      <c r="L536" s="176">
        <f t="shared" si="16"/>
        <v>0</v>
      </c>
    </row>
    <row r="537" spans="1:12" ht="13.5" customHeight="1" x14ac:dyDescent="0.2">
      <c r="A537" s="180"/>
      <c r="H537" s="122"/>
      <c r="I537" s="122"/>
      <c r="J537" s="210"/>
      <c r="K537" s="183"/>
      <c r="L537" s="176">
        <f t="shared" si="16"/>
        <v>0</v>
      </c>
    </row>
    <row r="538" spans="1:12" x14ac:dyDescent="0.2">
      <c r="A538" s="180"/>
      <c r="C538" s="6" t="s">
        <v>16</v>
      </c>
      <c r="D538" s="124" t="s">
        <v>872</v>
      </c>
      <c r="H538" s="122"/>
      <c r="I538" s="122"/>
      <c r="J538" s="210"/>
      <c r="K538" s="183"/>
      <c r="L538" s="176">
        <f t="shared" si="16"/>
        <v>0</v>
      </c>
    </row>
    <row r="539" spans="1:12" x14ac:dyDescent="0.2">
      <c r="A539" s="180"/>
      <c r="D539" s="124" t="s">
        <v>266</v>
      </c>
      <c r="H539" s="122">
        <v>0</v>
      </c>
      <c r="I539" s="122"/>
      <c r="J539" s="210">
        <v>0</v>
      </c>
      <c r="K539" s="183"/>
      <c r="L539" s="176">
        <f>J540+J539-H539</f>
        <v>0</v>
      </c>
    </row>
    <row r="540" spans="1:12" x14ac:dyDescent="0.2">
      <c r="A540" s="180"/>
      <c r="D540" s="124" t="s">
        <v>11</v>
      </c>
      <c r="H540" s="122">
        <v>0</v>
      </c>
      <c r="I540" s="122"/>
      <c r="J540" s="210">
        <v>0</v>
      </c>
      <c r="K540" s="183"/>
      <c r="L540" s="176">
        <f>J541+J540-H540</f>
        <v>0</v>
      </c>
    </row>
    <row r="541" spans="1:12" ht="14.25" customHeight="1" x14ac:dyDescent="0.2">
      <c r="A541" s="180"/>
      <c r="D541" s="124" t="s">
        <v>28</v>
      </c>
      <c r="H541" s="122">
        <v>0</v>
      </c>
      <c r="I541" s="122"/>
      <c r="J541" s="210">
        <v>0</v>
      </c>
      <c r="K541" s="183"/>
      <c r="L541" s="176">
        <f>J541-H541</f>
        <v>0</v>
      </c>
    </row>
    <row r="542" spans="1:12" ht="2.25" customHeight="1" x14ac:dyDescent="0.2">
      <c r="A542" s="180"/>
      <c r="D542" s="124" t="s">
        <v>29</v>
      </c>
      <c r="H542" s="122">
        <v>0</v>
      </c>
      <c r="I542" s="122"/>
      <c r="J542" s="210">
        <v>0</v>
      </c>
      <c r="K542" s="183"/>
    </row>
    <row r="543" spans="1:12" ht="27" customHeight="1" thickBot="1" x14ac:dyDescent="0.25">
      <c r="A543" s="180"/>
      <c r="D543" s="124" t="s">
        <v>298</v>
      </c>
      <c r="H543" s="305">
        <f>SUM(H539:H542)</f>
        <v>0</v>
      </c>
      <c r="I543" s="122"/>
      <c r="J543" s="507">
        <f>SUM(J539:J542)</f>
        <v>0</v>
      </c>
      <c r="K543" s="197"/>
      <c r="L543" s="235">
        <f>J543-J524</f>
        <v>0</v>
      </c>
    </row>
    <row r="544" spans="1:12" ht="12.75" thickBot="1" x14ac:dyDescent="0.25">
      <c r="A544" s="180"/>
      <c r="H544" s="122"/>
      <c r="I544" s="122"/>
      <c r="J544" s="210"/>
      <c r="K544" s="199"/>
      <c r="L544" s="444">
        <f>H543-H524</f>
        <v>0</v>
      </c>
    </row>
    <row r="545" spans="1:12" ht="25.5" customHeight="1" thickBot="1" x14ac:dyDescent="0.25">
      <c r="A545" s="180"/>
      <c r="B545" s="733" t="s">
        <v>873</v>
      </c>
      <c r="C545" s="734"/>
      <c r="D545" s="735"/>
      <c r="E545" s="195"/>
      <c r="F545" s="196"/>
      <c r="G545" s="195"/>
      <c r="H545" s="306">
        <f>H536+H543</f>
        <v>0</v>
      </c>
      <c r="I545" s="307">
        <f>I536+I543</f>
        <v>0</v>
      </c>
      <c r="J545" s="508">
        <f>J536+J543</f>
        <v>0</v>
      </c>
      <c r="K545" s="309"/>
    </row>
    <row r="546" spans="1:12" ht="12.75" x14ac:dyDescent="0.2">
      <c r="A546" s="728" t="s">
        <v>580</v>
      </c>
      <c r="B546" s="728"/>
      <c r="C546" s="728"/>
      <c r="D546" s="728"/>
      <c r="E546" s="728"/>
      <c r="F546" s="718" t="s">
        <v>566</v>
      </c>
      <c r="G546" s="718"/>
      <c r="H546" s="718"/>
      <c r="I546" s="718"/>
      <c r="J546" s="718"/>
      <c r="K546" s="718"/>
    </row>
    <row r="547" spans="1:12" ht="12.75" x14ac:dyDescent="0.2">
      <c r="A547" s="728" t="s">
        <v>678</v>
      </c>
      <c r="B547" s="728"/>
      <c r="C547" s="728"/>
      <c r="D547" s="728"/>
      <c r="E547" s="728"/>
      <c r="F547" s="718" t="s">
        <v>680</v>
      </c>
      <c r="G547" s="718"/>
      <c r="H547" s="718"/>
      <c r="I547" s="718"/>
      <c r="J547" s="718"/>
      <c r="K547" s="718"/>
    </row>
    <row r="548" spans="1:12" ht="12.75" x14ac:dyDescent="0.2">
      <c r="A548" s="728"/>
      <c r="B548" s="728"/>
      <c r="C548" s="728"/>
      <c r="D548" s="728"/>
      <c r="E548" s="728"/>
      <c r="F548" s="718"/>
      <c r="G548" s="718"/>
      <c r="H548" s="718"/>
      <c r="I548" s="718"/>
      <c r="J548" s="718"/>
      <c r="K548" s="718"/>
    </row>
    <row r="549" spans="1:12" ht="12.75" x14ac:dyDescent="0.2">
      <c r="A549" s="728"/>
      <c r="B549" s="728"/>
      <c r="C549" s="728"/>
      <c r="D549" s="728"/>
      <c r="E549" s="728"/>
      <c r="F549" s="718"/>
      <c r="G549" s="718"/>
      <c r="H549" s="718"/>
      <c r="I549" s="718"/>
      <c r="J549" s="718"/>
      <c r="K549" s="718"/>
    </row>
    <row r="550" spans="1:12" ht="12.75" x14ac:dyDescent="0.2">
      <c r="A550" s="728"/>
      <c r="B550" s="728"/>
      <c r="C550" s="728"/>
      <c r="D550" s="728"/>
      <c r="E550" s="728"/>
      <c r="F550" s="718"/>
      <c r="G550" s="718"/>
      <c r="H550" s="718"/>
      <c r="I550" s="718"/>
      <c r="J550" s="718"/>
      <c r="K550" s="718"/>
      <c r="L550" s="123">
        <f>J543-J524</f>
        <v>0</v>
      </c>
    </row>
    <row r="551" spans="1:12" ht="12.75" x14ac:dyDescent="0.2">
      <c r="A551" s="728" t="s">
        <v>655</v>
      </c>
      <c r="B551" s="728"/>
      <c r="C551" s="728"/>
      <c r="D551" s="728"/>
      <c r="E551" s="728"/>
      <c r="F551" s="718" t="s">
        <v>567</v>
      </c>
      <c r="G551" s="718"/>
      <c r="H551" s="718"/>
      <c r="I551" s="718"/>
      <c r="J551" s="718"/>
      <c r="K551" s="718"/>
      <c r="L551" s="311">
        <f>H543-H524</f>
        <v>0</v>
      </c>
    </row>
    <row r="552" spans="1:12" x14ac:dyDescent="0.2">
      <c r="A552" s="200" t="e">
        <f>#REF!-#REF!</f>
        <v>#REF!</v>
      </c>
      <c r="F552" s="124"/>
      <c r="J552" s="200"/>
      <c r="K552" s="124"/>
    </row>
    <row r="553" spans="1:12" x14ac:dyDescent="0.2">
      <c r="A553" s="200" t="e">
        <f>#REF!-#REF!</f>
        <v>#REF!</v>
      </c>
      <c r="F553" s="124"/>
      <c r="J553" s="200"/>
      <c r="K553" s="124"/>
    </row>
    <row r="554" spans="1:12" x14ac:dyDescent="0.2">
      <c r="A554" s="200" t="e">
        <f>#REF!-#REF!</f>
        <v>#REF!</v>
      </c>
      <c r="F554" s="124"/>
      <c r="J554" s="200"/>
      <c r="K554" s="124"/>
    </row>
    <row r="555" spans="1:12" x14ac:dyDescent="0.2">
      <c r="A555" s="200" t="e">
        <f>#REF!-#REF!</f>
        <v>#REF!</v>
      </c>
      <c r="F555" s="124"/>
      <c r="J555" s="200"/>
      <c r="K555" s="124"/>
    </row>
    <row r="556" spans="1:12" x14ac:dyDescent="0.2">
      <c r="A556" s="200" t="e">
        <f>#REF!-#REF!</f>
        <v>#REF!</v>
      </c>
      <c r="F556" s="124"/>
      <c r="J556" s="200"/>
      <c r="K556" s="124"/>
    </row>
    <row r="557" spans="1:12" x14ac:dyDescent="0.2">
      <c r="A557" s="200" t="e">
        <f>#REF!-#REF!</f>
        <v>#REF!</v>
      </c>
      <c r="F557" s="124"/>
      <c r="J557" s="200"/>
      <c r="K557" s="124"/>
    </row>
    <row r="558" spans="1:12" x14ac:dyDescent="0.2">
      <c r="A558" s="200" t="e">
        <f>#REF!-#REF!</f>
        <v>#REF!</v>
      </c>
      <c r="F558" s="124"/>
      <c r="J558" s="200"/>
      <c r="K558" s="124"/>
    </row>
    <row r="559" spans="1:12" x14ac:dyDescent="0.2">
      <c r="A559" s="200" t="e">
        <f>#REF!-#REF!</f>
        <v>#REF!</v>
      </c>
      <c r="F559" s="124"/>
      <c r="J559" s="200"/>
      <c r="K559" s="124"/>
    </row>
    <row r="560" spans="1:12" x14ac:dyDescent="0.2">
      <c r="A560" s="200" t="e">
        <f>#REF!-#REF!</f>
        <v>#REF!</v>
      </c>
      <c r="F560" s="124"/>
      <c r="J560" s="200"/>
      <c r="K560" s="124"/>
    </row>
    <row r="561" spans="1:11" x14ac:dyDescent="0.2">
      <c r="A561" s="200" t="e">
        <f>#REF!-#REF!</f>
        <v>#REF!</v>
      </c>
      <c r="F561" s="124"/>
      <c r="J561" s="200"/>
      <c r="K561" s="124"/>
    </row>
    <row r="562" spans="1:11" x14ac:dyDescent="0.2">
      <c r="A562" s="200"/>
      <c r="F562" s="124"/>
      <c r="J562" s="200"/>
      <c r="K562" s="124"/>
    </row>
    <row r="563" spans="1:11" x14ac:dyDescent="0.2">
      <c r="A563" s="200"/>
      <c r="F563" s="124"/>
      <c r="J563" s="200"/>
      <c r="K563" s="124"/>
    </row>
    <row r="564" spans="1:11" x14ac:dyDescent="0.2">
      <c r="A564" s="200"/>
      <c r="F564" s="124"/>
      <c r="J564" s="200"/>
      <c r="K564" s="124"/>
    </row>
    <row r="565" spans="1:11" x14ac:dyDescent="0.2">
      <c r="A565" s="200"/>
      <c r="F565" s="124"/>
      <c r="J565" s="200"/>
      <c r="K565" s="124"/>
    </row>
    <row r="566" spans="1:11" x14ac:dyDescent="0.2">
      <c r="A566" s="200"/>
      <c r="F566" s="124"/>
      <c r="J566" s="200"/>
      <c r="K566" s="124"/>
    </row>
    <row r="567" spans="1:11" x14ac:dyDescent="0.2">
      <c r="A567" s="200"/>
      <c r="F567" s="124"/>
      <c r="J567" s="200"/>
      <c r="K567" s="124"/>
    </row>
    <row r="568" spans="1:11" x14ac:dyDescent="0.2">
      <c r="A568" s="200"/>
      <c r="F568" s="124"/>
      <c r="J568" s="200"/>
      <c r="K568" s="124"/>
    </row>
    <row r="569" spans="1:11" x14ac:dyDescent="0.2">
      <c r="A569" s="200"/>
      <c r="F569" s="124"/>
      <c r="J569" s="200"/>
      <c r="K569" s="124"/>
    </row>
    <row r="570" spans="1:11" x14ac:dyDescent="0.2">
      <c r="A570" s="200"/>
      <c r="F570" s="124"/>
      <c r="J570" s="200"/>
      <c r="K570" s="124"/>
    </row>
    <row r="571" spans="1:11" x14ac:dyDescent="0.2">
      <c r="A571" s="200"/>
      <c r="F571" s="124"/>
      <c r="J571" s="200"/>
      <c r="K571" s="124"/>
    </row>
    <row r="572" spans="1:11" x14ac:dyDescent="0.2">
      <c r="A572" s="200"/>
      <c r="F572" s="124"/>
      <c r="J572" s="200"/>
      <c r="K572" s="124"/>
    </row>
    <row r="573" spans="1:11" x14ac:dyDescent="0.2">
      <c r="A573" s="200"/>
      <c r="F573" s="124"/>
      <c r="J573" s="200"/>
      <c r="K573" s="124"/>
    </row>
    <row r="574" spans="1:11" x14ac:dyDescent="0.2">
      <c r="A574" s="200"/>
      <c r="F574" s="124"/>
      <c r="J574" s="200"/>
      <c r="K574" s="124"/>
    </row>
    <row r="575" spans="1:11" x14ac:dyDescent="0.2">
      <c r="A575" s="200"/>
      <c r="F575" s="124"/>
      <c r="J575" s="200"/>
      <c r="K575" s="124"/>
    </row>
    <row r="576" spans="1:11" x14ac:dyDescent="0.2">
      <c r="A576" s="200"/>
      <c r="F576" s="124"/>
      <c r="J576" s="200"/>
      <c r="K576" s="124"/>
    </row>
    <row r="577" spans="1:12" ht="12.75" x14ac:dyDescent="0.2">
      <c r="B577" s="175" t="s">
        <v>651</v>
      </c>
      <c r="C577" s="175"/>
      <c r="D577" s="175"/>
    </row>
    <row r="578" spans="1:12" ht="12.75" x14ac:dyDescent="0.2">
      <c r="B578" s="175" t="s">
        <v>31</v>
      </c>
      <c r="C578" s="175" t="s">
        <v>32</v>
      </c>
      <c r="D578" s="175"/>
    </row>
    <row r="580" spans="1:12" ht="16.5" x14ac:dyDescent="0.25">
      <c r="A580" s="178"/>
      <c r="B580" s="729" t="s">
        <v>650</v>
      </c>
      <c r="C580" s="729"/>
      <c r="D580" s="729"/>
      <c r="E580" s="729"/>
      <c r="F580" s="729"/>
      <c r="G580" s="729"/>
      <c r="H580" s="729"/>
      <c r="I580" s="729"/>
      <c r="J580" s="729"/>
      <c r="K580" s="179"/>
    </row>
    <row r="581" spans="1:12" ht="16.5" x14ac:dyDescent="0.25">
      <c r="A581" s="180"/>
      <c r="B581" s="585" t="s">
        <v>862</v>
      </c>
      <c r="C581" s="586"/>
      <c r="D581" s="586"/>
      <c r="E581" s="586"/>
      <c r="F581" s="586"/>
      <c r="G581" s="586"/>
      <c r="H581" s="587"/>
      <c r="I581" s="587"/>
      <c r="J581" s="588"/>
      <c r="K581" s="182"/>
    </row>
    <row r="582" spans="1:12" ht="16.5" x14ac:dyDescent="0.25">
      <c r="A582" s="180"/>
      <c r="B582" s="719" t="s">
        <v>876</v>
      </c>
      <c r="C582" s="719"/>
      <c r="D582" s="719"/>
      <c r="E582" s="719"/>
      <c r="F582" s="719"/>
      <c r="G582" s="719"/>
      <c r="H582" s="719"/>
      <c r="I582" s="719"/>
      <c r="J582" s="719"/>
      <c r="K582" s="182"/>
    </row>
    <row r="583" spans="1:12" ht="12.75" thickBot="1" x14ac:dyDescent="0.25">
      <c r="A583" s="688" t="e" cm="1" vm="1">
        <f t="array" aca="1" ref="A583" ca="1">+K583:AA630</f>
        <v>#VALUE!</v>
      </c>
      <c r="B583" s="181"/>
      <c r="C583" s="181"/>
      <c r="D583" s="181"/>
      <c r="E583" s="181"/>
      <c r="G583" s="181"/>
      <c r="H583" s="293"/>
      <c r="I583" s="293"/>
      <c r="J583" s="210"/>
      <c r="K583" s="183"/>
    </row>
    <row r="584" spans="1:12" ht="12.75" x14ac:dyDescent="0.2">
      <c r="A584" s="180"/>
      <c r="B584" s="720" t="s">
        <v>15</v>
      </c>
      <c r="C584" s="721"/>
      <c r="D584" s="722"/>
      <c r="E584" s="175"/>
      <c r="F584" s="726" t="s">
        <v>13</v>
      </c>
      <c r="G584" s="184"/>
      <c r="H584" s="295" t="s">
        <v>1051</v>
      </c>
      <c r="I584" s="296"/>
      <c r="J584" s="502" t="s">
        <v>861</v>
      </c>
      <c r="K584" s="185"/>
      <c r="L584" s="176"/>
    </row>
    <row r="585" spans="1:12" ht="13.5" thickBot="1" x14ac:dyDescent="0.25">
      <c r="A585" s="180"/>
      <c r="B585" s="723"/>
      <c r="C585" s="724"/>
      <c r="D585" s="725"/>
      <c r="E585" s="175"/>
      <c r="F585" s="727"/>
      <c r="G585" s="184"/>
      <c r="H585" s="297" t="s">
        <v>22</v>
      </c>
      <c r="I585" s="298"/>
      <c r="J585" s="503" t="s">
        <v>22</v>
      </c>
      <c r="K585" s="186"/>
    </row>
    <row r="586" spans="1:12" x14ac:dyDescent="0.2">
      <c r="A586" s="180"/>
      <c r="B586" s="128" t="s">
        <v>863</v>
      </c>
      <c r="C586" s="128"/>
      <c r="D586" s="128"/>
      <c r="E586" s="128"/>
      <c r="F586" s="134"/>
      <c r="G586" s="134"/>
      <c r="H586" s="299"/>
      <c r="I586" s="299"/>
      <c r="J586" s="504"/>
      <c r="K586" s="187"/>
    </row>
    <row r="587" spans="1:12" x14ac:dyDescent="0.2">
      <c r="A587" s="180"/>
      <c r="B587" s="128" t="s">
        <v>864</v>
      </c>
      <c r="G587" s="6"/>
      <c r="J587" s="210"/>
      <c r="K587" s="183"/>
    </row>
    <row r="588" spans="1:12" x14ac:dyDescent="0.2">
      <c r="A588" s="180"/>
      <c r="B588" s="5" t="s">
        <v>16</v>
      </c>
      <c r="C588" s="124" t="s">
        <v>6</v>
      </c>
      <c r="G588" s="6"/>
      <c r="H588" s="122">
        <v>0</v>
      </c>
      <c r="I588" s="294"/>
      <c r="J588" s="210">
        <v>0</v>
      </c>
      <c r="K588" s="183"/>
      <c r="L588" s="176">
        <f>J588-H588</f>
        <v>0</v>
      </c>
    </row>
    <row r="589" spans="1:12" x14ac:dyDescent="0.2">
      <c r="A589" s="180"/>
      <c r="B589" s="5" t="s">
        <v>16</v>
      </c>
      <c r="C589" s="124" t="s">
        <v>307</v>
      </c>
      <c r="G589" s="6"/>
      <c r="H589" s="122">
        <v>0</v>
      </c>
      <c r="I589" s="294"/>
      <c r="J589" s="210">
        <v>0</v>
      </c>
      <c r="K589" s="183"/>
      <c r="L589" s="176">
        <f t="shared" ref="L589:L623" si="17">J589-H589</f>
        <v>0</v>
      </c>
    </row>
    <row r="590" spans="1:12" x14ac:dyDescent="0.2">
      <c r="A590" s="180"/>
      <c r="B590" s="5" t="s">
        <v>16</v>
      </c>
      <c r="C590" s="124" t="s">
        <v>7</v>
      </c>
      <c r="G590" s="6"/>
      <c r="H590" s="122">
        <v>0</v>
      </c>
      <c r="I590" s="294"/>
      <c r="J590" s="210">
        <v>0</v>
      </c>
      <c r="K590" s="183"/>
      <c r="L590" s="176">
        <f t="shared" si="17"/>
        <v>0</v>
      </c>
    </row>
    <row r="591" spans="1:12" ht="14.25" x14ac:dyDescent="0.35">
      <c r="A591" s="180"/>
      <c r="C591" s="124" t="s">
        <v>84</v>
      </c>
      <c r="G591" s="6"/>
      <c r="H591" s="300">
        <v>0</v>
      </c>
      <c r="I591" s="301"/>
      <c r="J591" s="505">
        <v>0</v>
      </c>
      <c r="K591" s="183"/>
      <c r="L591" s="176">
        <f t="shared" si="17"/>
        <v>0</v>
      </c>
    </row>
    <row r="592" spans="1:12" x14ac:dyDescent="0.2">
      <c r="A592" s="180"/>
      <c r="C592" s="124" t="s">
        <v>8</v>
      </c>
      <c r="G592" s="6"/>
      <c r="H592" s="122">
        <f>SUM(H590:H591)</f>
        <v>0</v>
      </c>
      <c r="I592" s="122"/>
      <c r="J592" s="210">
        <f>SUM(J590:J591)</f>
        <v>0</v>
      </c>
      <c r="K592" s="183"/>
      <c r="L592" s="176">
        <f t="shared" si="17"/>
        <v>0</v>
      </c>
    </row>
    <row r="593" spans="1:12" x14ac:dyDescent="0.2">
      <c r="A593" s="180"/>
      <c r="B593" s="5" t="s">
        <v>16</v>
      </c>
      <c r="C593" s="124" t="s">
        <v>293</v>
      </c>
      <c r="G593" s="6"/>
      <c r="H593" s="122"/>
      <c r="I593" s="122"/>
      <c r="J593" s="210">
        <v>0</v>
      </c>
      <c r="K593" s="183"/>
      <c r="L593" s="176">
        <f t="shared" si="17"/>
        <v>0</v>
      </c>
    </row>
    <row r="594" spans="1:12" x14ac:dyDescent="0.2">
      <c r="A594" s="180"/>
      <c r="B594" s="5" t="s">
        <v>16</v>
      </c>
      <c r="C594" s="124" t="s">
        <v>9</v>
      </c>
      <c r="G594" s="6"/>
      <c r="H594" s="294">
        <v>0</v>
      </c>
      <c r="I594" s="122"/>
      <c r="J594" s="210">
        <v>0</v>
      </c>
      <c r="K594" s="183"/>
      <c r="L594" s="176">
        <f t="shared" si="17"/>
        <v>0</v>
      </c>
    </row>
    <row r="595" spans="1:12" x14ac:dyDescent="0.2">
      <c r="A595" s="180"/>
      <c r="B595" s="5" t="s">
        <v>16</v>
      </c>
      <c r="C595" s="124" t="s">
        <v>280</v>
      </c>
      <c r="G595" s="6"/>
      <c r="H595" s="117"/>
      <c r="I595" s="122"/>
      <c r="J595" s="493">
        <v>0</v>
      </c>
      <c r="K595" s="183"/>
      <c r="L595" s="176">
        <f t="shared" si="17"/>
        <v>0</v>
      </c>
    </row>
    <row r="596" spans="1:12" x14ac:dyDescent="0.2">
      <c r="A596" s="180"/>
      <c r="C596" s="128" t="s">
        <v>946</v>
      </c>
      <c r="G596" s="6"/>
      <c r="H596" s="302">
        <f>H588+H592+H593+H594+H595+H589</f>
        <v>0</v>
      </c>
      <c r="I596" s="122"/>
      <c r="J596" s="506">
        <f>SUM(J592:J595)+J588+J589</f>
        <v>0</v>
      </c>
      <c r="K596" s="183"/>
      <c r="L596" s="176">
        <f t="shared" si="17"/>
        <v>0</v>
      </c>
    </row>
    <row r="597" spans="1:12" ht="6.75" customHeight="1" x14ac:dyDescent="0.2">
      <c r="A597" s="180"/>
      <c r="G597" s="6"/>
      <c r="H597" s="122"/>
      <c r="I597" s="122"/>
      <c r="J597" s="210"/>
      <c r="K597" s="183"/>
      <c r="L597" s="176">
        <f t="shared" si="17"/>
        <v>0</v>
      </c>
    </row>
    <row r="598" spans="1:12" x14ac:dyDescent="0.2">
      <c r="A598" s="180"/>
      <c r="B598" s="128" t="s">
        <v>865</v>
      </c>
      <c r="G598" s="6"/>
      <c r="H598" s="122"/>
      <c r="I598" s="122"/>
      <c r="J598" s="210"/>
      <c r="K598" s="183"/>
      <c r="L598" s="176">
        <f t="shared" si="17"/>
        <v>0</v>
      </c>
    </row>
    <row r="599" spans="1:12" x14ac:dyDescent="0.2">
      <c r="A599" s="180"/>
      <c r="C599" s="124" t="s">
        <v>947</v>
      </c>
      <c r="G599" s="6"/>
      <c r="H599" s="122">
        <v>0</v>
      </c>
      <c r="I599" s="122"/>
      <c r="J599" s="210">
        <v>0</v>
      </c>
      <c r="K599" s="183"/>
      <c r="L599" s="176">
        <f t="shared" si="17"/>
        <v>0</v>
      </c>
    </row>
    <row r="600" spans="1:12" x14ac:dyDescent="0.2">
      <c r="A600" s="180"/>
      <c r="B600" s="5" t="s">
        <v>16</v>
      </c>
      <c r="C600" s="124" t="s">
        <v>10</v>
      </c>
      <c r="G600" s="6"/>
      <c r="H600" s="294">
        <v>0</v>
      </c>
      <c r="I600" s="122"/>
      <c r="J600" s="210">
        <v>0</v>
      </c>
      <c r="K600" s="183"/>
      <c r="L600" s="176">
        <f t="shared" si="17"/>
        <v>0</v>
      </c>
    </row>
    <row r="601" spans="1:12" x14ac:dyDescent="0.2">
      <c r="A601" s="180"/>
      <c r="B601" s="5"/>
      <c r="D601" s="124" t="s">
        <v>1052</v>
      </c>
      <c r="G601" s="6"/>
      <c r="H601" s="302">
        <f>SUM(H599:H600)</f>
        <v>0</v>
      </c>
      <c r="I601" s="122"/>
      <c r="J601" s="506">
        <f>SUM(J599:J600)</f>
        <v>0</v>
      </c>
      <c r="K601" s="183"/>
      <c r="L601" s="176">
        <f t="shared" si="17"/>
        <v>0</v>
      </c>
    </row>
    <row r="602" spans="1:12" x14ac:dyDescent="0.2">
      <c r="A602" s="180"/>
      <c r="B602" s="128" t="s">
        <v>866</v>
      </c>
      <c r="G602" s="6"/>
      <c r="H602" s="122"/>
      <c r="I602" s="122"/>
      <c r="J602" s="210"/>
      <c r="K602" s="183"/>
      <c r="L602" s="176">
        <f t="shared" si="17"/>
        <v>0</v>
      </c>
    </row>
    <row r="603" spans="1:12" ht="14.25" customHeight="1" x14ac:dyDescent="0.2">
      <c r="A603" s="180"/>
      <c r="C603" s="124" t="s">
        <v>948</v>
      </c>
      <c r="G603" s="6"/>
      <c r="H603" s="122">
        <v>0</v>
      </c>
      <c r="I603" s="122"/>
      <c r="J603" s="210">
        <v>0</v>
      </c>
      <c r="K603" s="183"/>
      <c r="L603" s="176">
        <f t="shared" si="17"/>
        <v>0</v>
      </c>
    </row>
    <row r="604" spans="1:12" x14ac:dyDescent="0.2">
      <c r="A604" s="180"/>
      <c r="B604" s="5" t="s">
        <v>16</v>
      </c>
      <c r="C604" s="124" t="s">
        <v>300</v>
      </c>
      <c r="G604" s="6"/>
      <c r="H604" s="122">
        <v>0</v>
      </c>
      <c r="I604" s="122"/>
      <c r="J604" s="210">
        <v>0</v>
      </c>
      <c r="K604" s="183"/>
      <c r="L604" s="176">
        <f t="shared" si="17"/>
        <v>0</v>
      </c>
    </row>
    <row r="605" spans="1:12" x14ac:dyDescent="0.2">
      <c r="A605" s="180"/>
      <c r="C605" s="124" t="s">
        <v>24</v>
      </c>
      <c r="G605" s="6"/>
      <c r="H605" s="654">
        <f>SUM(H603:H604)</f>
        <v>0</v>
      </c>
      <c r="I605" s="122"/>
      <c r="J605" s="506">
        <f>SUM(J603:J604)</f>
        <v>0</v>
      </c>
      <c r="K605" s="183"/>
      <c r="L605" s="176">
        <f t="shared" si="17"/>
        <v>0</v>
      </c>
    </row>
    <row r="606" spans="1:12" x14ac:dyDescent="0.2">
      <c r="A606" s="180"/>
      <c r="B606" s="128" t="s">
        <v>867</v>
      </c>
      <c r="G606" s="6"/>
      <c r="H606" s="122"/>
      <c r="I606" s="122"/>
      <c r="J606" s="210"/>
      <c r="K606" s="183"/>
      <c r="L606" s="176">
        <f t="shared" si="17"/>
        <v>0</v>
      </c>
    </row>
    <row r="607" spans="1:12" ht="12.75" customHeight="1" x14ac:dyDescent="0.2">
      <c r="A607" s="180"/>
      <c r="B607" s="128"/>
      <c r="C607" s="124" t="s">
        <v>949</v>
      </c>
      <c r="G607" s="6"/>
      <c r="H607" s="655">
        <v>0</v>
      </c>
      <c r="I607" s="122"/>
      <c r="J607" s="506">
        <v>0</v>
      </c>
      <c r="K607" s="183"/>
      <c r="L607" s="176">
        <f t="shared" si="17"/>
        <v>0</v>
      </c>
    </row>
    <row r="608" spans="1:12" ht="6.75" customHeight="1" x14ac:dyDescent="0.2">
      <c r="A608" s="180"/>
      <c r="B608" s="128" t="s">
        <v>1053</v>
      </c>
      <c r="G608" s="6"/>
      <c r="H608" s="122"/>
      <c r="I608" s="122"/>
      <c r="J608" s="210"/>
      <c r="K608" s="183"/>
      <c r="L608" s="176">
        <f t="shared" si="17"/>
        <v>0</v>
      </c>
    </row>
    <row r="609" spans="1:12" ht="25.5" customHeight="1" x14ac:dyDescent="0.2">
      <c r="A609" s="180"/>
      <c r="C609" s="124" t="s">
        <v>1054</v>
      </c>
      <c r="G609" s="6"/>
      <c r="H609" s="302">
        <v>0</v>
      </c>
      <c r="I609" s="122">
        <v>0</v>
      </c>
      <c r="J609" s="506">
        <v>0</v>
      </c>
      <c r="K609" s="190"/>
      <c r="L609" s="176">
        <f t="shared" si="17"/>
        <v>0</v>
      </c>
    </row>
    <row r="610" spans="1:12" ht="6.75" customHeight="1" thickBot="1" x14ac:dyDescent="0.25">
      <c r="A610" s="180"/>
      <c r="G610" s="6"/>
      <c r="H610" s="122"/>
      <c r="I610" s="122"/>
      <c r="J610" s="210"/>
      <c r="K610" s="183"/>
      <c r="L610" s="176">
        <f t="shared" si="17"/>
        <v>0</v>
      </c>
    </row>
    <row r="611" spans="1:12" ht="13.5" thickBot="1" x14ac:dyDescent="0.25">
      <c r="A611" s="180"/>
      <c r="B611" s="730" t="s">
        <v>868</v>
      </c>
      <c r="C611" s="731"/>
      <c r="D611" s="732"/>
      <c r="E611" s="188"/>
      <c r="F611" s="189"/>
      <c r="G611" s="188"/>
      <c r="H611" s="303">
        <f>H596+H601+H605+H609</f>
        <v>0</v>
      </c>
      <c r="I611" s="304">
        <f>I596+I601</f>
        <v>0</v>
      </c>
      <c r="J611" s="500">
        <f>J596+J601+J605+J609</f>
        <v>0</v>
      </c>
      <c r="K611" s="183"/>
      <c r="L611" s="176">
        <f t="shared" si="17"/>
        <v>0</v>
      </c>
    </row>
    <row r="612" spans="1:12" x14ac:dyDescent="0.2">
      <c r="A612" s="180"/>
      <c r="H612" s="122"/>
      <c r="I612" s="122"/>
      <c r="J612" s="210"/>
      <c r="K612" s="183"/>
      <c r="L612" s="176">
        <f t="shared" si="17"/>
        <v>0</v>
      </c>
    </row>
    <row r="613" spans="1:12" x14ac:dyDescent="0.2">
      <c r="A613" s="180"/>
      <c r="H613" s="122"/>
      <c r="I613" s="122"/>
      <c r="J613" s="210"/>
      <c r="K613" s="183"/>
      <c r="L613" s="176">
        <f t="shared" si="17"/>
        <v>0</v>
      </c>
    </row>
    <row r="614" spans="1:12" x14ac:dyDescent="0.2">
      <c r="A614" s="180"/>
      <c r="B614" s="151" t="s">
        <v>870</v>
      </c>
      <c r="H614" s="122"/>
      <c r="I614" s="122"/>
      <c r="J614" s="210"/>
      <c r="K614" s="183"/>
      <c r="L614" s="176">
        <f t="shared" si="17"/>
        <v>0</v>
      </c>
    </row>
    <row r="615" spans="1:12" x14ac:dyDescent="0.2">
      <c r="A615" s="180"/>
      <c r="C615" s="6" t="s">
        <v>16</v>
      </c>
      <c r="D615" s="191" t="s">
        <v>869</v>
      </c>
      <c r="H615" s="122"/>
      <c r="I615" s="122"/>
      <c r="J615" s="210"/>
      <c r="K615" s="183"/>
      <c r="L615" s="176">
        <f t="shared" si="17"/>
        <v>0</v>
      </c>
    </row>
    <row r="616" spans="1:12" x14ac:dyDescent="0.2">
      <c r="A616" s="180"/>
      <c r="C616" s="6"/>
      <c r="D616" s="192" t="s">
        <v>871</v>
      </c>
      <c r="H616" s="122"/>
      <c r="I616" s="122"/>
      <c r="J616" s="210"/>
      <c r="K616" s="183"/>
      <c r="L616" s="176">
        <f t="shared" si="17"/>
        <v>0</v>
      </c>
    </row>
    <row r="617" spans="1:12" x14ac:dyDescent="0.2">
      <c r="A617" s="180"/>
      <c r="C617" s="6"/>
      <c r="D617" s="193" t="s">
        <v>1055</v>
      </c>
      <c r="H617" s="122">
        <v>0</v>
      </c>
      <c r="I617" s="122"/>
      <c r="J617" s="210"/>
      <c r="K617" s="183"/>
      <c r="L617" s="176">
        <f t="shared" si="17"/>
        <v>0</v>
      </c>
    </row>
    <row r="618" spans="1:12" ht="12" customHeight="1" x14ac:dyDescent="0.2">
      <c r="A618" s="180"/>
      <c r="D618" s="193" t="s">
        <v>643</v>
      </c>
      <c r="H618" s="122"/>
      <c r="I618" s="122"/>
      <c r="J618" s="210">
        <v>0</v>
      </c>
      <c r="K618" s="183"/>
      <c r="L618" s="176">
        <f t="shared" si="17"/>
        <v>0</v>
      </c>
    </row>
    <row r="619" spans="1:12" x14ac:dyDescent="0.2">
      <c r="A619" s="180"/>
      <c r="D619" s="193" t="s">
        <v>644</v>
      </c>
      <c r="H619" s="122"/>
      <c r="I619" s="122"/>
      <c r="J619" s="210">
        <v>0</v>
      </c>
      <c r="K619" s="183"/>
      <c r="L619" s="176">
        <f t="shared" si="17"/>
        <v>0</v>
      </c>
    </row>
    <row r="620" spans="1:12" x14ac:dyDescent="0.2">
      <c r="A620" s="180"/>
      <c r="D620" s="193" t="s">
        <v>645</v>
      </c>
      <c r="H620" s="117">
        <v>0</v>
      </c>
      <c r="I620" s="122"/>
      <c r="J620" s="493">
        <v>0</v>
      </c>
      <c r="K620" s="183"/>
      <c r="L620" s="176">
        <f t="shared" si="17"/>
        <v>0</v>
      </c>
    </row>
    <row r="621" spans="1:12" x14ac:dyDescent="0.2">
      <c r="A621" s="180"/>
      <c r="D621" s="194" t="s">
        <v>950</v>
      </c>
      <c r="H621" s="302">
        <f>SUM(H617:H620)</f>
        <v>0</v>
      </c>
      <c r="I621" s="122"/>
      <c r="J621" s="506">
        <f>SUM(J617:J620)</f>
        <v>0</v>
      </c>
      <c r="K621" s="183"/>
      <c r="L621" s="176">
        <f t="shared" si="17"/>
        <v>0</v>
      </c>
    </row>
    <row r="622" spans="1:12" ht="11.25" customHeight="1" x14ac:dyDescent="0.2">
      <c r="A622" s="180"/>
      <c r="H622" s="122"/>
      <c r="I622" s="122"/>
      <c r="J622" s="210"/>
      <c r="K622" s="183"/>
      <c r="L622" s="176">
        <f t="shared" si="17"/>
        <v>0</v>
      </c>
    </row>
    <row r="623" spans="1:12" ht="13.5" customHeight="1" x14ac:dyDescent="0.2">
      <c r="A623" s="180"/>
      <c r="C623" s="6" t="s">
        <v>16</v>
      </c>
      <c r="D623" s="124" t="s">
        <v>872</v>
      </c>
      <c r="H623" s="122"/>
      <c r="I623" s="122"/>
      <c r="J623" s="210"/>
      <c r="K623" s="183"/>
      <c r="L623" s="176">
        <f t="shared" si="17"/>
        <v>0</v>
      </c>
    </row>
    <row r="624" spans="1:12" x14ac:dyDescent="0.2">
      <c r="A624" s="180"/>
      <c r="D624" s="124" t="s">
        <v>266</v>
      </c>
      <c r="H624" s="122">
        <v>0</v>
      </c>
      <c r="I624" s="122"/>
      <c r="J624" s="210">
        <v>0</v>
      </c>
      <c r="K624" s="183"/>
      <c r="L624" s="176">
        <f>J625+J624-H624</f>
        <v>0</v>
      </c>
    </row>
    <row r="625" spans="1:12" ht="13.5" customHeight="1" x14ac:dyDescent="0.2">
      <c r="A625" s="180"/>
      <c r="D625" s="124" t="s">
        <v>11</v>
      </c>
      <c r="H625" s="122">
        <v>0</v>
      </c>
      <c r="I625" s="122"/>
      <c r="J625" s="210">
        <v>0</v>
      </c>
      <c r="K625" s="183"/>
      <c r="L625" s="176">
        <f>J625-H625</f>
        <v>0</v>
      </c>
    </row>
    <row r="626" spans="1:12" ht="12.75" customHeight="1" x14ac:dyDescent="0.2">
      <c r="A626" s="180"/>
      <c r="D626" s="124" t="s">
        <v>28</v>
      </c>
      <c r="H626" s="122">
        <v>0</v>
      </c>
      <c r="I626" s="122"/>
      <c r="J626" s="210">
        <v>0</v>
      </c>
      <c r="K626" s="183"/>
      <c r="L626" s="176">
        <f t="shared" ref="L626" si="18">J626-H626</f>
        <v>0</v>
      </c>
    </row>
    <row r="627" spans="1:12" ht="9.75" customHeight="1" x14ac:dyDescent="0.2">
      <c r="A627" s="180"/>
      <c r="D627" s="124" t="s">
        <v>29</v>
      </c>
      <c r="H627" s="122">
        <v>0</v>
      </c>
      <c r="I627" s="122"/>
      <c r="J627" s="210">
        <v>0</v>
      </c>
      <c r="K627" s="183"/>
      <c r="L627" s="176"/>
    </row>
    <row r="628" spans="1:12" ht="27" customHeight="1" thickBot="1" x14ac:dyDescent="0.25">
      <c r="A628" s="180"/>
      <c r="D628" s="124" t="s">
        <v>298</v>
      </c>
      <c r="H628" s="305">
        <f>SUM(H624:H627)</f>
        <v>0</v>
      </c>
      <c r="I628" s="122"/>
      <c r="J628" s="507">
        <f>SUM(J624:J627)</f>
        <v>0</v>
      </c>
      <c r="K628" s="197"/>
      <c r="L628" s="235">
        <f>J628-J609</f>
        <v>0</v>
      </c>
    </row>
    <row r="629" spans="1:12" ht="12.75" thickBot="1" x14ac:dyDescent="0.25">
      <c r="A629" s="180"/>
      <c r="H629" s="122"/>
      <c r="I629" s="122"/>
      <c r="J629" s="210"/>
      <c r="K629" s="199"/>
      <c r="L629" s="509">
        <f>H628-H609</f>
        <v>0</v>
      </c>
    </row>
    <row r="630" spans="1:12" ht="26.25" customHeight="1" thickBot="1" x14ac:dyDescent="0.25">
      <c r="A630" s="180"/>
      <c r="B630" s="733" t="s">
        <v>873</v>
      </c>
      <c r="C630" s="734"/>
      <c r="D630" s="735"/>
      <c r="E630" s="195"/>
      <c r="F630" s="196"/>
      <c r="G630" s="195"/>
      <c r="H630" s="306">
        <f>H621+H628</f>
        <v>0</v>
      </c>
      <c r="I630" s="307">
        <f>I621+I628</f>
        <v>0</v>
      </c>
      <c r="J630" s="508">
        <f>J621+J628</f>
        <v>0</v>
      </c>
      <c r="K630" s="309"/>
    </row>
    <row r="631" spans="1:12" ht="12.75" x14ac:dyDescent="0.2">
      <c r="A631" s="728" t="s">
        <v>580</v>
      </c>
      <c r="B631" s="728"/>
      <c r="C631" s="728"/>
      <c r="D631" s="728"/>
      <c r="E631" s="728"/>
      <c r="F631" s="718" t="s">
        <v>566</v>
      </c>
      <c r="G631" s="718"/>
      <c r="H631" s="718"/>
      <c r="I631" s="718"/>
      <c r="J631" s="718"/>
      <c r="K631" s="718"/>
    </row>
    <row r="632" spans="1:12" ht="12.75" x14ac:dyDescent="0.2">
      <c r="A632" s="728" t="s">
        <v>678</v>
      </c>
      <c r="B632" s="728"/>
      <c r="C632" s="728"/>
      <c r="D632" s="728"/>
      <c r="E632" s="728"/>
      <c r="F632" s="718" t="s">
        <v>680</v>
      </c>
      <c r="G632" s="718"/>
      <c r="H632" s="718"/>
      <c r="I632" s="718"/>
      <c r="J632" s="718"/>
      <c r="K632" s="718"/>
    </row>
    <row r="633" spans="1:12" ht="12.75" x14ac:dyDescent="0.2">
      <c r="A633" s="728"/>
      <c r="B633" s="728"/>
      <c r="C633" s="728"/>
      <c r="D633" s="728"/>
      <c r="E633" s="728"/>
      <c r="F633" s="718"/>
      <c r="G633" s="718"/>
      <c r="H633" s="718"/>
      <c r="I633" s="718"/>
      <c r="J633" s="718"/>
      <c r="K633" s="718"/>
    </row>
    <row r="634" spans="1:12" ht="12.75" x14ac:dyDescent="0.2">
      <c r="A634" s="728"/>
      <c r="B634" s="728"/>
      <c r="C634" s="728"/>
      <c r="D634" s="728"/>
      <c r="E634" s="728"/>
      <c r="F634" s="718"/>
      <c r="G634" s="718"/>
      <c r="H634" s="718"/>
      <c r="I634" s="718"/>
      <c r="J634" s="718"/>
      <c r="K634" s="718"/>
    </row>
    <row r="635" spans="1:12" ht="12.75" x14ac:dyDescent="0.2">
      <c r="A635" s="728"/>
      <c r="B635" s="728"/>
      <c r="C635" s="728"/>
      <c r="D635" s="728"/>
      <c r="E635" s="728"/>
      <c r="F635" s="718"/>
      <c r="G635" s="718"/>
      <c r="H635" s="718"/>
      <c r="I635" s="718"/>
      <c r="J635" s="718"/>
      <c r="K635" s="718"/>
      <c r="L635" s="311">
        <f>H609-H628</f>
        <v>0</v>
      </c>
    </row>
    <row r="636" spans="1:12" ht="12.75" x14ac:dyDescent="0.2">
      <c r="A636" s="728" t="s">
        <v>655</v>
      </c>
      <c r="B636" s="728"/>
      <c r="C636" s="728"/>
      <c r="D636" s="728"/>
      <c r="E636" s="728"/>
      <c r="F636" s="718" t="s">
        <v>567</v>
      </c>
      <c r="G636" s="718"/>
      <c r="H636" s="718"/>
      <c r="I636" s="718"/>
      <c r="J636" s="718"/>
      <c r="K636" s="718"/>
    </row>
    <row r="637" spans="1:12" x14ac:dyDescent="0.2">
      <c r="A637" s="200" t="e">
        <f>#REF!-#REF!</f>
        <v>#REF!</v>
      </c>
      <c r="F637" s="124"/>
      <c r="J637" s="200"/>
      <c r="K637" s="124"/>
    </row>
    <row r="638" spans="1:12" x14ac:dyDescent="0.2">
      <c r="A638" s="200" t="e">
        <f>#REF!-#REF!</f>
        <v>#REF!</v>
      </c>
      <c r="F638" s="124"/>
      <c r="J638" s="200"/>
      <c r="K638" s="124"/>
    </row>
    <row r="639" spans="1:12" x14ac:dyDescent="0.2">
      <c r="A639" s="200" t="e">
        <f>#REF!-#REF!</f>
        <v>#REF!</v>
      </c>
      <c r="F639" s="124"/>
      <c r="J639" s="200"/>
      <c r="K639" s="124"/>
    </row>
    <row r="640" spans="1:12" x14ac:dyDescent="0.2">
      <c r="A640" s="200" t="e">
        <f>#REF!-#REF!</f>
        <v>#REF!</v>
      </c>
      <c r="F640" s="124"/>
      <c r="J640" s="200"/>
      <c r="K640" s="124"/>
    </row>
    <row r="641" spans="1:11" x14ac:dyDescent="0.2">
      <c r="A641" s="200" t="e">
        <f>#REF!-#REF!</f>
        <v>#REF!</v>
      </c>
      <c r="F641" s="124"/>
      <c r="J641" s="200"/>
      <c r="K641" s="124"/>
    </row>
    <row r="642" spans="1:11" x14ac:dyDescent="0.2">
      <c r="A642" s="200" t="e">
        <f>#REF!-#REF!</f>
        <v>#REF!</v>
      </c>
      <c r="F642" s="124"/>
      <c r="J642" s="200"/>
      <c r="K642" s="124"/>
    </row>
    <row r="643" spans="1:11" x14ac:dyDescent="0.2">
      <c r="A643" s="200" t="e">
        <f>#REF!-#REF!</f>
        <v>#REF!</v>
      </c>
      <c r="F643" s="124"/>
      <c r="J643" s="200"/>
      <c r="K643" s="124"/>
    </row>
    <row r="644" spans="1:11" x14ac:dyDescent="0.2">
      <c r="A644" s="200"/>
      <c r="F644" s="124"/>
      <c r="J644" s="200"/>
      <c r="K644" s="124"/>
    </row>
    <row r="645" spans="1:11" x14ac:dyDescent="0.2">
      <c r="A645" s="200"/>
      <c r="F645" s="124"/>
      <c r="J645" s="200"/>
      <c r="K645" s="124"/>
    </row>
    <row r="646" spans="1:11" x14ac:dyDescent="0.2">
      <c r="A646" s="200" t="e">
        <f>#REF!-#REF!</f>
        <v>#REF!</v>
      </c>
      <c r="F646" s="124"/>
      <c r="J646" s="200"/>
      <c r="K646" s="124"/>
    </row>
    <row r="647" spans="1:11" x14ac:dyDescent="0.2">
      <c r="A647" s="200" t="e">
        <f>#REF!-#REF!</f>
        <v>#REF!</v>
      </c>
      <c r="F647" s="124"/>
      <c r="J647" s="200"/>
      <c r="K647" s="124"/>
    </row>
    <row r="648" spans="1:11" x14ac:dyDescent="0.2">
      <c r="A648" s="200" t="e">
        <f>#REF!-#REF!</f>
        <v>#REF!</v>
      </c>
      <c r="F648" s="124"/>
      <c r="J648" s="200"/>
      <c r="K648" s="124"/>
    </row>
    <row r="649" spans="1:11" x14ac:dyDescent="0.2">
      <c r="A649" s="200" t="e">
        <f>#REF!-#REF!</f>
        <v>#REF!</v>
      </c>
      <c r="F649" s="124"/>
      <c r="J649" s="200"/>
      <c r="K649" s="124"/>
    </row>
    <row r="650" spans="1:11" x14ac:dyDescent="0.2">
      <c r="A650" s="200"/>
      <c r="F650" s="124"/>
      <c r="J650" s="200"/>
      <c r="K650" s="124"/>
    </row>
    <row r="651" spans="1:11" x14ac:dyDescent="0.2">
      <c r="A651" s="200"/>
      <c r="F651" s="124"/>
      <c r="J651" s="200"/>
      <c r="K651" s="124"/>
    </row>
    <row r="652" spans="1:11" x14ac:dyDescent="0.2">
      <c r="A652" s="200"/>
      <c r="F652" s="124"/>
      <c r="J652" s="200"/>
      <c r="K652" s="124"/>
    </row>
    <row r="653" spans="1:11" x14ac:dyDescent="0.2">
      <c r="A653" s="200"/>
      <c r="F653" s="124"/>
      <c r="J653" s="200"/>
      <c r="K653" s="124"/>
    </row>
    <row r="654" spans="1:11" x14ac:dyDescent="0.2">
      <c r="A654" s="200"/>
      <c r="F654" s="124"/>
      <c r="J654" s="200"/>
      <c r="K654" s="124"/>
    </row>
    <row r="655" spans="1:11" x14ac:dyDescent="0.2">
      <c r="A655" s="200"/>
      <c r="F655" s="124"/>
      <c r="J655" s="200"/>
      <c r="K655" s="124"/>
    </row>
    <row r="656" spans="1:11" x14ac:dyDescent="0.2">
      <c r="A656" s="200"/>
      <c r="F656" s="124"/>
      <c r="J656" s="200"/>
      <c r="K656" s="124"/>
    </row>
    <row r="657" spans="1:12" x14ac:dyDescent="0.2">
      <c r="A657" s="200"/>
      <c r="F657" s="124"/>
      <c r="J657" s="200"/>
      <c r="K657" s="124"/>
    </row>
    <row r="658" spans="1:12" x14ac:dyDescent="0.2">
      <c r="A658" s="200"/>
      <c r="F658" s="124"/>
      <c r="J658" s="200"/>
      <c r="K658" s="124"/>
    </row>
    <row r="659" spans="1:12" x14ac:dyDescent="0.2">
      <c r="A659" s="200"/>
      <c r="F659" s="124"/>
      <c r="J659" s="200"/>
      <c r="K659" s="124"/>
    </row>
    <row r="660" spans="1:12" x14ac:dyDescent="0.2">
      <c r="A660" s="200"/>
      <c r="F660" s="124"/>
      <c r="J660" s="200"/>
      <c r="K660" s="124"/>
    </row>
    <row r="661" spans="1:12" ht="21" customHeight="1" x14ac:dyDescent="0.2">
      <c r="B661" s="175" t="s">
        <v>651</v>
      </c>
      <c r="C661" s="175"/>
      <c r="D661" s="175"/>
    </row>
    <row r="662" spans="1:12" ht="12.75" x14ac:dyDescent="0.2">
      <c r="B662" s="175" t="s">
        <v>31</v>
      </c>
      <c r="C662" s="175" t="s">
        <v>32</v>
      </c>
      <c r="D662" s="175"/>
    </row>
    <row r="664" spans="1:12" ht="16.5" x14ac:dyDescent="0.25">
      <c r="A664" s="178"/>
      <c r="B664" s="729" t="s">
        <v>650</v>
      </c>
      <c r="C664" s="729"/>
      <c r="D664" s="729"/>
      <c r="E664" s="729"/>
      <c r="F664" s="729"/>
      <c r="G664" s="729"/>
      <c r="H664" s="729"/>
      <c r="I664" s="729"/>
      <c r="J664" s="729"/>
      <c r="K664" s="179"/>
    </row>
    <row r="665" spans="1:12" ht="16.5" x14ac:dyDescent="0.25">
      <c r="A665" s="180"/>
      <c r="B665" s="585" t="s">
        <v>862</v>
      </c>
      <c r="C665" s="586"/>
      <c r="D665" s="586"/>
      <c r="E665" s="586"/>
      <c r="F665" s="586"/>
      <c r="G665" s="586"/>
      <c r="H665" s="587"/>
      <c r="I665" s="587"/>
      <c r="J665" s="588"/>
      <c r="K665" s="182"/>
    </row>
    <row r="666" spans="1:12" ht="16.5" x14ac:dyDescent="0.25">
      <c r="A666" s="180"/>
      <c r="B666" s="719" t="s">
        <v>1031</v>
      </c>
      <c r="C666" s="719"/>
      <c r="D666" s="719"/>
      <c r="E666" s="719"/>
      <c r="F666" s="719"/>
      <c r="G666" s="719"/>
      <c r="H666" s="719"/>
      <c r="I666" s="719"/>
      <c r="J666" s="719"/>
      <c r="K666" s="182"/>
    </row>
    <row r="667" spans="1:12" ht="12.75" thickBot="1" x14ac:dyDescent="0.25">
      <c r="A667" s="688" t="e" cm="1" vm="1">
        <f t="array" aca="1" ref="A667" ca="1">+K667:AA714</f>
        <v>#VALUE!</v>
      </c>
      <c r="B667" s="181"/>
      <c r="C667" s="181"/>
      <c r="D667" s="181"/>
      <c r="E667" s="181"/>
      <c r="G667" s="181"/>
      <c r="H667" s="293"/>
      <c r="I667" s="293"/>
      <c r="J667" s="210"/>
      <c r="K667" s="183"/>
    </row>
    <row r="668" spans="1:12" ht="12.75" x14ac:dyDescent="0.2">
      <c r="A668" s="180"/>
      <c r="B668" s="720" t="s">
        <v>15</v>
      </c>
      <c r="C668" s="721"/>
      <c r="D668" s="722"/>
      <c r="E668" s="175"/>
      <c r="F668" s="726" t="s">
        <v>13</v>
      </c>
      <c r="G668" s="184"/>
      <c r="H668" s="295" t="s">
        <v>1051</v>
      </c>
      <c r="I668" s="296"/>
      <c r="J668" s="502" t="s">
        <v>861</v>
      </c>
      <c r="K668" s="185"/>
      <c r="L668" s="176"/>
    </row>
    <row r="669" spans="1:12" ht="13.5" thickBot="1" x14ac:dyDescent="0.25">
      <c r="A669" s="180"/>
      <c r="B669" s="723"/>
      <c r="C669" s="724"/>
      <c r="D669" s="725"/>
      <c r="E669" s="175"/>
      <c r="F669" s="727"/>
      <c r="G669" s="184"/>
      <c r="H669" s="297" t="s">
        <v>22</v>
      </c>
      <c r="I669" s="298"/>
      <c r="J669" s="503" t="s">
        <v>22</v>
      </c>
      <c r="K669" s="186"/>
    </row>
    <row r="670" spans="1:12" x14ac:dyDescent="0.2">
      <c r="A670" s="180"/>
      <c r="B670" s="128" t="s">
        <v>863</v>
      </c>
      <c r="C670" s="128"/>
      <c r="D670" s="128"/>
      <c r="E670" s="128"/>
      <c r="F670" s="134"/>
      <c r="G670" s="134"/>
      <c r="H670" s="299"/>
      <c r="I670" s="299"/>
      <c r="J670" s="504"/>
      <c r="K670" s="187"/>
    </row>
    <row r="671" spans="1:12" x14ac:dyDescent="0.2">
      <c r="A671" s="180"/>
      <c r="B671" s="128" t="s">
        <v>864</v>
      </c>
      <c r="G671" s="6"/>
      <c r="J671" s="210"/>
      <c r="K671" s="183"/>
    </row>
    <row r="672" spans="1:12" x14ac:dyDescent="0.2">
      <c r="A672" s="180"/>
      <c r="B672" s="5" t="s">
        <v>16</v>
      </c>
      <c r="C672" s="124" t="s">
        <v>6</v>
      </c>
      <c r="G672" s="6"/>
      <c r="H672" s="122">
        <v>0</v>
      </c>
      <c r="I672" s="294"/>
      <c r="J672" s="210">
        <v>0</v>
      </c>
      <c r="K672" s="183"/>
      <c r="L672" s="176">
        <f>J672-H672</f>
        <v>0</v>
      </c>
    </row>
    <row r="673" spans="1:12" x14ac:dyDescent="0.2">
      <c r="A673" s="180"/>
      <c r="B673" s="5" t="s">
        <v>16</v>
      </c>
      <c r="C673" s="124" t="s">
        <v>307</v>
      </c>
      <c r="G673" s="6"/>
      <c r="H673" s="122">
        <v>0</v>
      </c>
      <c r="I673" s="294"/>
      <c r="J673" s="210">
        <v>0</v>
      </c>
      <c r="K673" s="183"/>
      <c r="L673" s="176">
        <f t="shared" ref="L673:L707" si="19">J673-H673</f>
        <v>0</v>
      </c>
    </row>
    <row r="674" spans="1:12" x14ac:dyDescent="0.2">
      <c r="A674" s="180"/>
      <c r="B674" s="5" t="s">
        <v>16</v>
      </c>
      <c r="C674" s="124" t="s">
        <v>7</v>
      </c>
      <c r="G674" s="6"/>
      <c r="H674" s="122">
        <v>0</v>
      </c>
      <c r="I674" s="294"/>
      <c r="J674" s="210">
        <v>0</v>
      </c>
      <c r="K674" s="183"/>
      <c r="L674" s="176">
        <f t="shared" si="19"/>
        <v>0</v>
      </c>
    </row>
    <row r="675" spans="1:12" ht="14.25" x14ac:dyDescent="0.35">
      <c r="A675" s="180"/>
      <c r="C675" s="124" t="s">
        <v>84</v>
      </c>
      <c r="G675" s="6"/>
      <c r="H675" s="300">
        <v>0</v>
      </c>
      <c r="I675" s="301"/>
      <c r="J675" s="505">
        <v>0</v>
      </c>
      <c r="K675" s="183"/>
      <c r="L675" s="176">
        <f t="shared" si="19"/>
        <v>0</v>
      </c>
    </row>
    <row r="676" spans="1:12" x14ac:dyDescent="0.2">
      <c r="A676" s="180"/>
      <c r="C676" s="124" t="s">
        <v>8</v>
      </c>
      <c r="G676" s="6"/>
      <c r="H676" s="122">
        <f>SUM(H674:H675)</f>
        <v>0</v>
      </c>
      <c r="I676" s="122"/>
      <c r="J676" s="210">
        <f>SUM(J674:J675)</f>
        <v>0</v>
      </c>
      <c r="K676" s="183"/>
      <c r="L676" s="176">
        <f t="shared" si="19"/>
        <v>0</v>
      </c>
    </row>
    <row r="677" spans="1:12" x14ac:dyDescent="0.2">
      <c r="A677" s="180"/>
      <c r="B677" s="5" t="s">
        <v>16</v>
      </c>
      <c r="C677" s="124" t="s">
        <v>293</v>
      </c>
      <c r="G677" s="6"/>
      <c r="H677" s="122"/>
      <c r="I677" s="122"/>
      <c r="J677" s="210">
        <v>0</v>
      </c>
      <c r="K677" s="183"/>
      <c r="L677" s="176">
        <f t="shared" si="19"/>
        <v>0</v>
      </c>
    </row>
    <row r="678" spans="1:12" x14ac:dyDescent="0.2">
      <c r="A678" s="180"/>
      <c r="B678" s="5" t="s">
        <v>16</v>
      </c>
      <c r="C678" s="124" t="s">
        <v>9</v>
      </c>
      <c r="G678" s="6"/>
      <c r="H678" s="294">
        <v>0</v>
      </c>
      <c r="I678" s="122"/>
      <c r="J678" s="210">
        <v>0</v>
      </c>
      <c r="K678" s="183"/>
      <c r="L678" s="176">
        <f t="shared" si="19"/>
        <v>0</v>
      </c>
    </row>
    <row r="679" spans="1:12" x14ac:dyDescent="0.2">
      <c r="A679" s="180"/>
      <c r="B679" s="5" t="s">
        <v>16</v>
      </c>
      <c r="C679" s="124" t="s">
        <v>280</v>
      </c>
      <c r="G679" s="6"/>
      <c r="H679" s="117"/>
      <c r="I679" s="122"/>
      <c r="J679" s="493">
        <v>0</v>
      </c>
      <c r="K679" s="183"/>
      <c r="L679" s="176">
        <f t="shared" si="19"/>
        <v>0</v>
      </c>
    </row>
    <row r="680" spans="1:12" x14ac:dyDescent="0.2">
      <c r="A680" s="180"/>
      <c r="C680" s="128" t="s">
        <v>946</v>
      </c>
      <c r="G680" s="6"/>
      <c r="H680" s="302">
        <f>H672+H676+H677+H678+H679+H673</f>
        <v>0</v>
      </c>
      <c r="I680" s="122"/>
      <c r="J680" s="506">
        <f>SUM(J676:J679)+J672+J673</f>
        <v>0</v>
      </c>
      <c r="K680" s="183"/>
      <c r="L680" s="176">
        <f t="shared" si="19"/>
        <v>0</v>
      </c>
    </row>
    <row r="681" spans="1:12" x14ac:dyDescent="0.2">
      <c r="A681" s="180"/>
      <c r="G681" s="6"/>
      <c r="H681" s="122"/>
      <c r="I681" s="122"/>
      <c r="J681" s="210"/>
      <c r="K681" s="183"/>
      <c r="L681" s="176">
        <f t="shared" si="19"/>
        <v>0</v>
      </c>
    </row>
    <row r="682" spans="1:12" x14ac:dyDescent="0.2">
      <c r="A682" s="180"/>
      <c r="B682" s="128" t="s">
        <v>865</v>
      </c>
      <c r="G682" s="6"/>
      <c r="H682" s="122"/>
      <c r="I682" s="122"/>
      <c r="J682" s="210"/>
      <c r="K682" s="183"/>
      <c r="L682" s="176">
        <f t="shared" si="19"/>
        <v>0</v>
      </c>
    </row>
    <row r="683" spans="1:12" x14ac:dyDescent="0.2">
      <c r="A683" s="180"/>
      <c r="C683" s="124" t="s">
        <v>947</v>
      </c>
      <c r="G683" s="6"/>
      <c r="H683" s="122">
        <v>0</v>
      </c>
      <c r="I683" s="122"/>
      <c r="J683" s="210">
        <v>0</v>
      </c>
      <c r="K683" s="183"/>
      <c r="L683" s="176">
        <f t="shared" si="19"/>
        <v>0</v>
      </c>
    </row>
    <row r="684" spans="1:12" x14ac:dyDescent="0.2">
      <c r="A684" s="180"/>
      <c r="B684" s="5" t="s">
        <v>16</v>
      </c>
      <c r="C684" s="124" t="s">
        <v>10</v>
      </c>
      <c r="G684" s="6"/>
      <c r="H684" s="294">
        <v>0</v>
      </c>
      <c r="I684" s="122"/>
      <c r="J684" s="210">
        <v>0</v>
      </c>
      <c r="K684" s="183"/>
      <c r="L684" s="176">
        <f t="shared" si="19"/>
        <v>0</v>
      </c>
    </row>
    <row r="685" spans="1:12" x14ac:dyDescent="0.2">
      <c r="A685" s="180"/>
      <c r="B685" s="5"/>
      <c r="D685" s="124" t="s">
        <v>1052</v>
      </c>
      <c r="G685" s="6"/>
      <c r="H685" s="302">
        <f>SUM(H683:H684)</f>
        <v>0</v>
      </c>
      <c r="I685" s="122"/>
      <c r="J685" s="506">
        <f>SUM(J683:J684)</f>
        <v>0</v>
      </c>
      <c r="K685" s="183"/>
      <c r="L685" s="176">
        <f t="shared" si="19"/>
        <v>0</v>
      </c>
    </row>
    <row r="686" spans="1:12" x14ac:dyDescent="0.2">
      <c r="A686" s="180"/>
      <c r="B686" s="128" t="s">
        <v>866</v>
      </c>
      <c r="G686" s="6"/>
      <c r="H686" s="122"/>
      <c r="I686" s="122"/>
      <c r="J686" s="210"/>
      <c r="K686" s="183"/>
      <c r="L686" s="176">
        <f t="shared" si="19"/>
        <v>0</v>
      </c>
    </row>
    <row r="687" spans="1:12" x14ac:dyDescent="0.2">
      <c r="A687" s="180"/>
      <c r="C687" s="124" t="s">
        <v>948</v>
      </c>
      <c r="G687" s="6"/>
      <c r="H687" s="122">
        <v>0</v>
      </c>
      <c r="I687" s="122"/>
      <c r="J687" s="210">
        <v>0</v>
      </c>
      <c r="K687" s="183"/>
      <c r="L687" s="176">
        <f t="shared" si="19"/>
        <v>0</v>
      </c>
    </row>
    <row r="688" spans="1:12" x14ac:dyDescent="0.2">
      <c r="A688" s="180"/>
      <c r="B688" s="5" t="s">
        <v>16</v>
      </c>
      <c r="C688" s="124" t="s">
        <v>300</v>
      </c>
      <c r="G688" s="6"/>
      <c r="H688" s="122">
        <v>0</v>
      </c>
      <c r="I688" s="122"/>
      <c r="J688" s="210">
        <v>0</v>
      </c>
      <c r="K688" s="183"/>
      <c r="L688" s="176">
        <f t="shared" si="19"/>
        <v>0</v>
      </c>
    </row>
    <row r="689" spans="1:12" x14ac:dyDescent="0.2">
      <c r="A689" s="180"/>
      <c r="C689" s="124" t="s">
        <v>24</v>
      </c>
      <c r="G689" s="6"/>
      <c r="H689" s="654">
        <f>SUM(H687:H688)</f>
        <v>0</v>
      </c>
      <c r="I689" s="122"/>
      <c r="J689" s="506">
        <f>SUM(J687:J688)</f>
        <v>0</v>
      </c>
      <c r="K689" s="183"/>
      <c r="L689" s="176">
        <f t="shared" si="19"/>
        <v>0</v>
      </c>
    </row>
    <row r="690" spans="1:12" x14ac:dyDescent="0.2">
      <c r="A690" s="180"/>
      <c r="B690" s="128" t="s">
        <v>867</v>
      </c>
      <c r="G690" s="6"/>
      <c r="H690" s="122"/>
      <c r="I690" s="122"/>
      <c r="J690" s="210"/>
      <c r="K690" s="183"/>
      <c r="L690" s="176">
        <f t="shared" si="19"/>
        <v>0</v>
      </c>
    </row>
    <row r="691" spans="1:12" ht="12" customHeight="1" x14ac:dyDescent="0.2">
      <c r="A691" s="180"/>
      <c r="B691" s="128"/>
      <c r="C691" s="124" t="s">
        <v>949</v>
      </c>
      <c r="G691" s="6"/>
      <c r="H691" s="655">
        <v>0</v>
      </c>
      <c r="I691" s="122"/>
      <c r="J691" s="506">
        <v>0</v>
      </c>
      <c r="K691" s="183"/>
      <c r="L691" s="176">
        <f t="shared" si="19"/>
        <v>0</v>
      </c>
    </row>
    <row r="692" spans="1:12" ht="8.25" customHeight="1" x14ac:dyDescent="0.2">
      <c r="A692" s="180"/>
      <c r="B692" s="128" t="s">
        <v>1053</v>
      </c>
      <c r="G692" s="6"/>
      <c r="H692" s="122"/>
      <c r="I692" s="122"/>
      <c r="J692" s="210"/>
      <c r="K692" s="183"/>
      <c r="L692" s="176">
        <f t="shared" si="19"/>
        <v>0</v>
      </c>
    </row>
    <row r="693" spans="1:12" ht="24" customHeight="1" x14ac:dyDescent="0.2">
      <c r="A693" s="180"/>
      <c r="C693" s="124" t="s">
        <v>1054</v>
      </c>
      <c r="G693" s="6"/>
      <c r="H693" s="302">
        <v>0</v>
      </c>
      <c r="I693" s="122">
        <v>0</v>
      </c>
      <c r="J693" s="506">
        <v>0</v>
      </c>
      <c r="K693" s="190"/>
      <c r="L693" s="176">
        <f t="shared" si="19"/>
        <v>0</v>
      </c>
    </row>
    <row r="694" spans="1:12" ht="12.75" thickBot="1" x14ac:dyDescent="0.25">
      <c r="A694" s="180"/>
      <c r="G694" s="6"/>
      <c r="H694" s="122"/>
      <c r="I694" s="122"/>
      <c r="J694" s="210"/>
      <c r="K694" s="183"/>
      <c r="L694" s="176">
        <f t="shared" si="19"/>
        <v>0</v>
      </c>
    </row>
    <row r="695" spans="1:12" ht="13.5" thickBot="1" x14ac:dyDescent="0.25">
      <c r="A695" s="180"/>
      <c r="B695" s="730" t="s">
        <v>868</v>
      </c>
      <c r="C695" s="731"/>
      <c r="D695" s="732"/>
      <c r="E695" s="188"/>
      <c r="F695" s="189"/>
      <c r="G695" s="188"/>
      <c r="H695" s="303">
        <f>H680+H685+H689+H693</f>
        <v>0</v>
      </c>
      <c r="I695" s="304">
        <f>I680+I685</f>
        <v>0</v>
      </c>
      <c r="J695" s="500">
        <f>J680+J685+J689+J693</f>
        <v>0</v>
      </c>
      <c r="K695" s="183"/>
      <c r="L695" s="176">
        <f t="shared" si="19"/>
        <v>0</v>
      </c>
    </row>
    <row r="696" spans="1:12" x14ac:dyDescent="0.2">
      <c r="A696" s="180"/>
      <c r="H696" s="122"/>
      <c r="I696" s="122"/>
      <c r="J696" s="210"/>
      <c r="K696" s="183"/>
      <c r="L696" s="176">
        <f t="shared" si="19"/>
        <v>0</v>
      </c>
    </row>
    <row r="697" spans="1:12" x14ac:dyDescent="0.2">
      <c r="A697" s="180"/>
      <c r="H697" s="122"/>
      <c r="I697" s="122"/>
      <c r="J697" s="210"/>
      <c r="K697" s="183"/>
      <c r="L697" s="176">
        <f t="shared" si="19"/>
        <v>0</v>
      </c>
    </row>
    <row r="698" spans="1:12" x14ac:dyDescent="0.2">
      <c r="A698" s="180"/>
      <c r="B698" s="151" t="s">
        <v>870</v>
      </c>
      <c r="H698" s="122"/>
      <c r="I698" s="122"/>
      <c r="J698" s="210"/>
      <c r="K698" s="183"/>
      <c r="L698" s="176">
        <f t="shared" si="19"/>
        <v>0</v>
      </c>
    </row>
    <row r="699" spans="1:12" x14ac:dyDescent="0.2">
      <c r="A699" s="180"/>
      <c r="C699" s="6" t="s">
        <v>16</v>
      </c>
      <c r="D699" s="191" t="s">
        <v>869</v>
      </c>
      <c r="H699" s="122"/>
      <c r="I699" s="122"/>
      <c r="J699" s="210"/>
      <c r="K699" s="183"/>
      <c r="L699" s="176">
        <f t="shared" si="19"/>
        <v>0</v>
      </c>
    </row>
    <row r="700" spans="1:12" x14ac:dyDescent="0.2">
      <c r="A700" s="180"/>
      <c r="C700" s="6"/>
      <c r="D700" s="192" t="s">
        <v>871</v>
      </c>
      <c r="H700" s="122"/>
      <c r="I700" s="122"/>
      <c r="J700" s="210"/>
      <c r="K700" s="183"/>
      <c r="L700" s="176">
        <f t="shared" si="19"/>
        <v>0</v>
      </c>
    </row>
    <row r="701" spans="1:12" x14ac:dyDescent="0.2">
      <c r="A701" s="180"/>
      <c r="C701" s="6"/>
      <c r="D701" s="193" t="s">
        <v>1055</v>
      </c>
      <c r="H701" s="122">
        <v>0</v>
      </c>
      <c r="I701" s="122"/>
      <c r="J701" s="210"/>
      <c r="K701" s="183"/>
      <c r="L701" s="176">
        <f t="shared" si="19"/>
        <v>0</v>
      </c>
    </row>
    <row r="702" spans="1:12" x14ac:dyDescent="0.2">
      <c r="A702" s="180"/>
      <c r="D702" s="193" t="s">
        <v>643</v>
      </c>
      <c r="H702" s="122"/>
      <c r="I702" s="122"/>
      <c r="J702" s="210">
        <v>0</v>
      </c>
      <c r="K702" s="183"/>
      <c r="L702" s="176">
        <f t="shared" si="19"/>
        <v>0</v>
      </c>
    </row>
    <row r="703" spans="1:12" x14ac:dyDescent="0.2">
      <c r="A703" s="180"/>
      <c r="D703" s="193" t="s">
        <v>644</v>
      </c>
      <c r="H703" s="122"/>
      <c r="I703" s="122"/>
      <c r="J703" s="210">
        <v>0</v>
      </c>
      <c r="K703" s="183"/>
      <c r="L703" s="176">
        <f t="shared" si="19"/>
        <v>0</v>
      </c>
    </row>
    <row r="704" spans="1:12" x14ac:dyDescent="0.2">
      <c r="A704" s="180"/>
      <c r="D704" s="193" t="s">
        <v>645</v>
      </c>
      <c r="H704" s="117">
        <v>0</v>
      </c>
      <c r="I704" s="122"/>
      <c r="J704" s="493">
        <v>0</v>
      </c>
      <c r="K704" s="183"/>
      <c r="L704" s="176">
        <f t="shared" si="19"/>
        <v>0</v>
      </c>
    </row>
    <row r="705" spans="1:12" x14ac:dyDescent="0.2">
      <c r="A705" s="180"/>
      <c r="D705" s="194" t="s">
        <v>950</v>
      </c>
      <c r="H705" s="302">
        <f>SUM(H701:H704)</f>
        <v>0</v>
      </c>
      <c r="I705" s="122"/>
      <c r="J705" s="506">
        <f>SUM(J701:J704)</f>
        <v>0</v>
      </c>
      <c r="K705" s="183"/>
      <c r="L705" s="176">
        <f t="shared" si="19"/>
        <v>0</v>
      </c>
    </row>
    <row r="706" spans="1:12" ht="11.25" customHeight="1" x14ac:dyDescent="0.2">
      <c r="A706" s="180"/>
      <c r="H706" s="122"/>
      <c r="I706" s="122"/>
      <c r="J706" s="210"/>
      <c r="K706" s="183"/>
      <c r="L706" s="176">
        <f t="shared" si="19"/>
        <v>0</v>
      </c>
    </row>
    <row r="707" spans="1:12" x14ac:dyDescent="0.2">
      <c r="A707" s="180"/>
      <c r="C707" s="6" t="s">
        <v>16</v>
      </c>
      <c r="D707" s="124" t="s">
        <v>872</v>
      </c>
      <c r="H707" s="122"/>
      <c r="I707" s="122"/>
      <c r="J707" s="210"/>
      <c r="K707" s="183"/>
      <c r="L707" s="176">
        <f t="shared" si="19"/>
        <v>0</v>
      </c>
    </row>
    <row r="708" spans="1:12" x14ac:dyDescent="0.2">
      <c r="A708" s="180"/>
      <c r="D708" s="124" t="s">
        <v>266</v>
      </c>
      <c r="H708" s="122">
        <v>0</v>
      </c>
      <c r="I708" s="122"/>
      <c r="J708" s="210">
        <v>0</v>
      </c>
      <c r="K708" s="183"/>
      <c r="L708" s="176">
        <f>J709+J708-H708</f>
        <v>0</v>
      </c>
    </row>
    <row r="709" spans="1:12" ht="11.25" customHeight="1" x14ac:dyDescent="0.2">
      <c r="A709" s="180"/>
      <c r="D709" s="124" t="s">
        <v>11</v>
      </c>
      <c r="H709" s="122">
        <v>0</v>
      </c>
      <c r="I709" s="122"/>
      <c r="J709" s="210">
        <v>0</v>
      </c>
      <c r="K709" s="183"/>
      <c r="L709" s="176">
        <f t="shared" ref="L709:L710" si="20">J709-H709</f>
        <v>0</v>
      </c>
    </row>
    <row r="710" spans="1:12" ht="13.5" customHeight="1" x14ac:dyDescent="0.2">
      <c r="A710" s="180"/>
      <c r="D710" s="124" t="s">
        <v>28</v>
      </c>
      <c r="H710" s="122">
        <v>0</v>
      </c>
      <c r="I710" s="122"/>
      <c r="J710" s="210">
        <v>0</v>
      </c>
      <c r="K710" s="183"/>
      <c r="L710" s="176">
        <f t="shared" si="20"/>
        <v>0</v>
      </c>
    </row>
    <row r="711" spans="1:12" ht="6" customHeight="1" x14ac:dyDescent="0.2">
      <c r="A711" s="180"/>
      <c r="D711" s="124" t="s">
        <v>29</v>
      </c>
      <c r="H711" s="122">
        <v>0</v>
      </c>
      <c r="I711" s="122"/>
      <c r="J711" s="210">
        <v>0</v>
      </c>
      <c r="K711" s="183"/>
    </row>
    <row r="712" spans="1:12" ht="27" customHeight="1" thickBot="1" x14ac:dyDescent="0.25">
      <c r="A712" s="180"/>
      <c r="D712" s="124" t="s">
        <v>298</v>
      </c>
      <c r="H712" s="305">
        <f>SUM(H708:H711)</f>
        <v>0</v>
      </c>
      <c r="I712" s="122"/>
      <c r="J712" s="507">
        <f>SUM(J708:J711)</f>
        <v>0</v>
      </c>
      <c r="K712" s="197"/>
      <c r="L712" s="235">
        <f>H693-H712</f>
        <v>0</v>
      </c>
    </row>
    <row r="713" spans="1:12" ht="12.75" thickBot="1" x14ac:dyDescent="0.25">
      <c r="A713" s="180"/>
      <c r="H713" s="122"/>
      <c r="I713" s="122"/>
      <c r="J713" s="210"/>
      <c r="K713" s="199"/>
      <c r="L713" s="444">
        <f>J693-J712</f>
        <v>0</v>
      </c>
    </row>
    <row r="714" spans="1:12" ht="21" customHeight="1" thickBot="1" x14ac:dyDescent="0.25">
      <c r="A714" s="180"/>
      <c r="B714" s="733" t="s">
        <v>873</v>
      </c>
      <c r="C714" s="734"/>
      <c r="D714" s="735"/>
      <c r="E714" s="195"/>
      <c r="F714" s="196"/>
      <c r="G714" s="195"/>
      <c r="H714" s="306">
        <f>H705+H712</f>
        <v>0</v>
      </c>
      <c r="I714" s="307">
        <f>I705+I712</f>
        <v>0</v>
      </c>
      <c r="J714" s="508">
        <f>J705+J712</f>
        <v>0</v>
      </c>
      <c r="K714" s="309"/>
    </row>
    <row r="715" spans="1:12" ht="12.75" x14ac:dyDescent="0.2">
      <c r="A715" s="728" t="s">
        <v>580</v>
      </c>
      <c r="B715" s="728"/>
      <c r="C715" s="728"/>
      <c r="D715" s="728"/>
      <c r="E715" s="728"/>
      <c r="F715" s="718" t="s">
        <v>566</v>
      </c>
      <c r="G715" s="718"/>
      <c r="H715" s="718"/>
      <c r="I715" s="718"/>
      <c r="J715" s="718"/>
      <c r="K715" s="718"/>
    </row>
    <row r="716" spans="1:12" ht="12.75" x14ac:dyDescent="0.2">
      <c r="A716" s="728" t="s">
        <v>678</v>
      </c>
      <c r="B716" s="728"/>
      <c r="C716" s="728"/>
      <c r="D716" s="728"/>
      <c r="E716" s="728"/>
      <c r="F716" s="718" t="s">
        <v>680</v>
      </c>
      <c r="G716" s="718"/>
      <c r="H716" s="718"/>
      <c r="I716" s="718"/>
      <c r="J716" s="718"/>
      <c r="K716" s="718"/>
    </row>
    <row r="717" spans="1:12" ht="12.75" x14ac:dyDescent="0.2">
      <c r="A717" s="728"/>
      <c r="B717" s="728"/>
      <c r="C717" s="728"/>
      <c r="D717" s="728"/>
      <c r="E717" s="728"/>
      <c r="F717" s="718"/>
      <c r="G717" s="718"/>
      <c r="H717" s="718"/>
      <c r="I717" s="718"/>
      <c r="J717" s="718"/>
      <c r="K717" s="718"/>
    </row>
    <row r="718" spans="1:12" ht="12.75" x14ac:dyDescent="0.2">
      <c r="A718" s="728"/>
      <c r="B718" s="728"/>
      <c r="C718" s="728"/>
      <c r="D718" s="728"/>
      <c r="E718" s="728"/>
      <c r="F718" s="718"/>
      <c r="G718" s="718"/>
      <c r="H718" s="718"/>
      <c r="I718" s="718"/>
      <c r="J718" s="718"/>
      <c r="K718" s="718"/>
    </row>
    <row r="719" spans="1:12" ht="12.75" x14ac:dyDescent="0.2">
      <c r="A719" s="728"/>
      <c r="B719" s="728"/>
      <c r="C719" s="728"/>
      <c r="D719" s="728"/>
      <c r="E719" s="728"/>
      <c r="F719" s="718"/>
      <c r="G719" s="718"/>
      <c r="H719" s="718"/>
      <c r="I719" s="718"/>
      <c r="J719" s="718"/>
      <c r="K719" s="718"/>
    </row>
    <row r="720" spans="1:12" ht="12.75" x14ac:dyDescent="0.2">
      <c r="A720" s="728" t="s">
        <v>655</v>
      </c>
      <c r="B720" s="728"/>
      <c r="C720" s="728"/>
      <c r="D720" s="728"/>
      <c r="E720" s="728"/>
      <c r="F720" s="718" t="s">
        <v>567</v>
      </c>
      <c r="G720" s="718"/>
      <c r="H720" s="718"/>
      <c r="I720" s="718"/>
      <c r="J720" s="718"/>
      <c r="K720" s="718"/>
    </row>
    <row r="721" spans="1:11" x14ac:dyDescent="0.2">
      <c r="A721" s="200" t="e">
        <f>#REF!-#REF!</f>
        <v>#REF!</v>
      </c>
      <c r="F721" s="124"/>
      <c r="J721" s="200"/>
      <c r="K721" s="124"/>
    </row>
    <row r="722" spans="1:11" x14ac:dyDescent="0.2">
      <c r="A722" s="200" t="e">
        <f>#REF!-#REF!</f>
        <v>#REF!</v>
      </c>
      <c r="F722" s="124"/>
      <c r="J722" s="200"/>
      <c r="K722" s="124"/>
    </row>
    <row r="723" spans="1:11" x14ac:dyDescent="0.2">
      <c r="A723" s="200" t="e">
        <f>#REF!-#REF!</f>
        <v>#REF!</v>
      </c>
      <c r="F723" s="124"/>
      <c r="J723" s="200"/>
      <c r="K723" s="124"/>
    </row>
    <row r="724" spans="1:11" x14ac:dyDescent="0.2">
      <c r="A724" s="200" t="e">
        <f>#REF!-#REF!</f>
        <v>#REF!</v>
      </c>
      <c r="F724" s="124"/>
      <c r="J724" s="200"/>
      <c r="K724" s="124"/>
    </row>
    <row r="725" spans="1:11" x14ac:dyDescent="0.2">
      <c r="A725" s="200" t="e">
        <f>#REF!-#REF!</f>
        <v>#REF!</v>
      </c>
      <c r="F725" s="124"/>
      <c r="J725" s="200"/>
      <c r="K725" s="124"/>
    </row>
    <row r="726" spans="1:11" x14ac:dyDescent="0.2">
      <c r="A726" s="200" t="e">
        <f>#REF!-#REF!</f>
        <v>#REF!</v>
      </c>
      <c r="F726" s="124"/>
      <c r="J726" s="200"/>
      <c r="K726" s="124"/>
    </row>
    <row r="727" spans="1:11" x14ac:dyDescent="0.2">
      <c r="A727" s="200" t="e">
        <f>#REF!-#REF!</f>
        <v>#REF!</v>
      </c>
      <c r="F727" s="124"/>
      <c r="J727" s="200"/>
      <c r="K727" s="124"/>
    </row>
    <row r="728" spans="1:11" x14ac:dyDescent="0.2">
      <c r="A728" s="200" t="e">
        <f>#REF!-#REF!</f>
        <v>#REF!</v>
      </c>
      <c r="F728" s="124"/>
      <c r="J728" s="200"/>
      <c r="K728" s="124"/>
    </row>
    <row r="729" spans="1:11" x14ac:dyDescent="0.2">
      <c r="A729" s="200" t="e">
        <f>#REF!-#REF!</f>
        <v>#REF!</v>
      </c>
      <c r="F729" s="124"/>
      <c r="J729" s="200"/>
      <c r="K729" s="124"/>
    </row>
    <row r="730" spans="1:11" x14ac:dyDescent="0.2">
      <c r="A730" s="200" t="e">
        <f>#REF!-#REF!</f>
        <v>#REF!</v>
      </c>
      <c r="F730" s="124"/>
      <c r="J730" s="200"/>
      <c r="K730" s="124"/>
    </row>
    <row r="731" spans="1:11" x14ac:dyDescent="0.2">
      <c r="A731" s="200" t="e">
        <f>#REF!-#REF!</f>
        <v>#REF!</v>
      </c>
      <c r="F731" s="124"/>
      <c r="J731" s="200"/>
      <c r="K731" s="124"/>
    </row>
    <row r="732" spans="1:11" x14ac:dyDescent="0.2">
      <c r="A732" s="200"/>
      <c r="F732" s="124"/>
      <c r="J732" s="200"/>
      <c r="K732" s="124"/>
    </row>
    <row r="733" spans="1:11" x14ac:dyDescent="0.2">
      <c r="A733" s="200"/>
      <c r="F733" s="124"/>
      <c r="J733" s="200"/>
      <c r="K733" s="124"/>
    </row>
    <row r="734" spans="1:11" x14ac:dyDescent="0.2">
      <c r="A734" s="200"/>
      <c r="F734" s="124"/>
      <c r="J734" s="200"/>
      <c r="K734" s="124"/>
    </row>
    <row r="735" spans="1:11" x14ac:dyDescent="0.2">
      <c r="A735" s="200"/>
      <c r="F735" s="124"/>
      <c r="J735" s="200"/>
      <c r="K735" s="124"/>
    </row>
    <row r="736" spans="1:11" x14ac:dyDescent="0.2">
      <c r="A736" s="200"/>
      <c r="F736" s="124"/>
      <c r="J736" s="200"/>
      <c r="K736" s="124"/>
    </row>
    <row r="737" spans="1:12" x14ac:dyDescent="0.2">
      <c r="A737" s="200"/>
      <c r="F737" s="124"/>
      <c r="J737" s="200"/>
      <c r="K737" s="124"/>
    </row>
    <row r="738" spans="1:12" x14ac:dyDescent="0.2">
      <c r="A738" s="200"/>
      <c r="F738" s="124"/>
      <c r="J738" s="200"/>
      <c r="K738" s="124"/>
    </row>
    <row r="739" spans="1:12" x14ac:dyDescent="0.2">
      <c r="A739" s="200"/>
      <c r="F739" s="124"/>
      <c r="J739" s="200"/>
      <c r="K739" s="124"/>
    </row>
    <row r="740" spans="1:12" x14ac:dyDescent="0.2">
      <c r="A740" s="200"/>
      <c r="F740" s="124"/>
      <c r="J740" s="200"/>
      <c r="K740" s="124"/>
    </row>
    <row r="741" spans="1:12" x14ac:dyDescent="0.2">
      <c r="A741" s="200"/>
      <c r="F741" s="124"/>
      <c r="J741" s="200"/>
      <c r="K741" s="124"/>
    </row>
    <row r="742" spans="1:12" x14ac:dyDescent="0.2">
      <c r="A742" s="200"/>
      <c r="F742" s="124"/>
      <c r="J742" s="200"/>
      <c r="K742" s="124"/>
    </row>
    <row r="743" spans="1:12" x14ac:dyDescent="0.2">
      <c r="A743" s="200"/>
      <c r="F743" s="124"/>
      <c r="J743" s="200"/>
      <c r="K743" s="124"/>
    </row>
    <row r="744" spans="1:12" x14ac:dyDescent="0.2">
      <c r="A744" s="200"/>
      <c r="F744" s="124"/>
      <c r="J744" s="200"/>
      <c r="K744" s="124"/>
    </row>
    <row r="745" spans="1:12" ht="12.75" x14ac:dyDescent="0.2">
      <c r="B745" s="175" t="s">
        <v>651</v>
      </c>
      <c r="C745" s="175"/>
      <c r="D745" s="175"/>
    </row>
    <row r="746" spans="1:12" ht="12.75" x14ac:dyDescent="0.2">
      <c r="B746" s="175" t="s">
        <v>31</v>
      </c>
      <c r="C746" s="175" t="s">
        <v>32</v>
      </c>
      <c r="D746" s="175"/>
    </row>
    <row r="748" spans="1:12" ht="16.5" x14ac:dyDescent="0.25">
      <c r="A748" s="178"/>
      <c r="B748" s="729" t="s">
        <v>650</v>
      </c>
      <c r="C748" s="729"/>
      <c r="D748" s="729"/>
      <c r="E748" s="729"/>
      <c r="F748" s="729"/>
      <c r="G748" s="729"/>
      <c r="H748" s="729"/>
      <c r="I748" s="729"/>
      <c r="J748" s="729"/>
      <c r="K748" s="179"/>
    </row>
    <row r="749" spans="1:12" ht="16.5" x14ac:dyDescent="0.25">
      <c r="A749" s="180"/>
      <c r="B749" s="585" t="s">
        <v>862</v>
      </c>
      <c r="C749" s="586"/>
      <c r="D749" s="586"/>
      <c r="E749" s="586"/>
      <c r="F749" s="586"/>
      <c r="G749" s="586"/>
      <c r="H749" s="587"/>
      <c r="I749" s="587"/>
      <c r="J749" s="588"/>
      <c r="K749" s="182"/>
    </row>
    <row r="750" spans="1:12" ht="16.5" x14ac:dyDescent="0.25">
      <c r="A750" s="180"/>
      <c r="B750" s="719" t="s">
        <v>875</v>
      </c>
      <c r="C750" s="719"/>
      <c r="D750" s="719"/>
      <c r="E750" s="719"/>
      <c r="F750" s="719"/>
      <c r="G750" s="719"/>
      <c r="H750" s="719"/>
      <c r="I750" s="719"/>
      <c r="J750" s="719"/>
      <c r="K750" s="182"/>
    </row>
    <row r="751" spans="1:12" ht="12.75" thickBot="1" x14ac:dyDescent="0.25">
      <c r="A751" s="688" t="e" cm="1" vm="1">
        <f t="array" aca="1" ref="A751" ca="1">+K751:AA798</f>
        <v>#VALUE!</v>
      </c>
      <c r="B751" s="181"/>
      <c r="C751" s="181"/>
      <c r="D751" s="181"/>
      <c r="E751" s="181"/>
      <c r="G751" s="181"/>
      <c r="H751" s="293"/>
      <c r="I751" s="293"/>
      <c r="J751" s="210"/>
      <c r="K751" s="183"/>
    </row>
    <row r="752" spans="1:12" ht="12.75" x14ac:dyDescent="0.2">
      <c r="A752" s="180"/>
      <c r="B752" s="720" t="s">
        <v>15</v>
      </c>
      <c r="C752" s="721"/>
      <c r="D752" s="722"/>
      <c r="E752" s="175"/>
      <c r="F752" s="726" t="s">
        <v>13</v>
      </c>
      <c r="G752" s="184"/>
      <c r="H752" s="295" t="s">
        <v>1051</v>
      </c>
      <c r="I752" s="296"/>
      <c r="J752" s="502" t="s">
        <v>861</v>
      </c>
      <c r="K752" s="185"/>
      <c r="L752" s="176"/>
    </row>
    <row r="753" spans="1:12" ht="13.5" thickBot="1" x14ac:dyDescent="0.25">
      <c r="A753" s="180"/>
      <c r="B753" s="723"/>
      <c r="C753" s="724"/>
      <c r="D753" s="725"/>
      <c r="E753" s="175"/>
      <c r="F753" s="727"/>
      <c r="G753" s="184"/>
      <c r="H753" s="297" t="s">
        <v>22</v>
      </c>
      <c r="I753" s="298"/>
      <c r="J753" s="503" t="s">
        <v>22</v>
      </c>
      <c r="K753" s="186"/>
    </row>
    <row r="754" spans="1:12" x14ac:dyDescent="0.2">
      <c r="A754" s="180"/>
      <c r="B754" s="128" t="s">
        <v>863</v>
      </c>
      <c r="C754" s="128"/>
      <c r="D754" s="128"/>
      <c r="E754" s="128"/>
      <c r="F754" s="134"/>
      <c r="G754" s="134"/>
      <c r="H754" s="299"/>
      <c r="I754" s="299"/>
      <c r="J754" s="504"/>
      <c r="K754" s="187"/>
    </row>
    <row r="755" spans="1:12" x14ac:dyDescent="0.2">
      <c r="A755" s="180"/>
      <c r="B755" s="128" t="s">
        <v>864</v>
      </c>
      <c r="G755" s="6"/>
      <c r="J755" s="210"/>
      <c r="K755" s="183"/>
    </row>
    <row r="756" spans="1:12" x14ac:dyDescent="0.2">
      <c r="A756" s="180"/>
      <c r="B756" s="5" t="s">
        <v>16</v>
      </c>
      <c r="C756" s="124" t="s">
        <v>6</v>
      </c>
      <c r="G756" s="6"/>
      <c r="H756" s="122">
        <v>0</v>
      </c>
      <c r="I756" s="294"/>
      <c r="J756" s="210">
        <v>0</v>
      </c>
      <c r="K756" s="183"/>
      <c r="L756" s="176">
        <f>J756-H756</f>
        <v>0</v>
      </c>
    </row>
    <row r="757" spans="1:12" x14ac:dyDescent="0.2">
      <c r="A757" s="180"/>
      <c r="B757" s="5" t="s">
        <v>16</v>
      </c>
      <c r="C757" s="124" t="s">
        <v>307</v>
      </c>
      <c r="G757" s="6"/>
      <c r="H757" s="122">
        <v>0</v>
      </c>
      <c r="I757" s="294"/>
      <c r="J757" s="210">
        <v>0</v>
      </c>
      <c r="K757" s="183"/>
      <c r="L757" s="176">
        <f t="shared" ref="L757:L791" si="21">J757-H757</f>
        <v>0</v>
      </c>
    </row>
    <row r="758" spans="1:12" x14ac:dyDescent="0.2">
      <c r="A758" s="180"/>
      <c r="B758" s="5" t="s">
        <v>16</v>
      </c>
      <c r="C758" s="124" t="s">
        <v>7</v>
      </c>
      <c r="G758" s="6"/>
      <c r="H758" s="122">
        <v>0</v>
      </c>
      <c r="I758" s="294"/>
      <c r="J758" s="210">
        <v>0</v>
      </c>
      <c r="K758" s="183"/>
      <c r="L758" s="176">
        <f t="shared" si="21"/>
        <v>0</v>
      </c>
    </row>
    <row r="759" spans="1:12" ht="14.25" x14ac:dyDescent="0.35">
      <c r="A759" s="180"/>
      <c r="C759" s="124" t="s">
        <v>84</v>
      </c>
      <c r="G759" s="6"/>
      <c r="H759" s="300">
        <v>0</v>
      </c>
      <c r="I759" s="301"/>
      <c r="J759" s="505">
        <v>0</v>
      </c>
      <c r="K759" s="183"/>
      <c r="L759" s="176">
        <f t="shared" si="21"/>
        <v>0</v>
      </c>
    </row>
    <row r="760" spans="1:12" x14ac:dyDescent="0.2">
      <c r="A760" s="180"/>
      <c r="C760" s="124" t="s">
        <v>8</v>
      </c>
      <c r="G760" s="6"/>
      <c r="H760" s="122">
        <f>SUM(H758:H759)</f>
        <v>0</v>
      </c>
      <c r="I760" s="122"/>
      <c r="J760" s="210">
        <f>SUM(J758:J759)</f>
        <v>0</v>
      </c>
      <c r="K760" s="183"/>
      <c r="L760" s="176">
        <f t="shared" si="21"/>
        <v>0</v>
      </c>
    </row>
    <row r="761" spans="1:12" x14ac:dyDescent="0.2">
      <c r="A761" s="180"/>
      <c r="B761" s="5" t="s">
        <v>16</v>
      </c>
      <c r="C761" s="124" t="s">
        <v>293</v>
      </c>
      <c r="G761" s="6"/>
      <c r="H761" s="122"/>
      <c r="I761" s="122"/>
      <c r="J761" s="210">
        <v>0</v>
      </c>
      <c r="K761" s="183"/>
      <c r="L761" s="176">
        <f t="shared" si="21"/>
        <v>0</v>
      </c>
    </row>
    <row r="762" spans="1:12" x14ac:dyDescent="0.2">
      <c r="A762" s="180"/>
      <c r="B762" s="5" t="s">
        <v>16</v>
      </c>
      <c r="C762" s="124" t="s">
        <v>9</v>
      </c>
      <c r="G762" s="6"/>
      <c r="H762" s="294">
        <v>0</v>
      </c>
      <c r="I762" s="122"/>
      <c r="J762" s="210">
        <v>0</v>
      </c>
      <c r="K762" s="183"/>
      <c r="L762" s="176">
        <f t="shared" si="21"/>
        <v>0</v>
      </c>
    </row>
    <row r="763" spans="1:12" x14ac:dyDescent="0.2">
      <c r="A763" s="180"/>
      <c r="B763" s="5" t="s">
        <v>16</v>
      </c>
      <c r="C763" s="124" t="s">
        <v>280</v>
      </c>
      <c r="G763" s="6"/>
      <c r="H763" s="117"/>
      <c r="I763" s="122"/>
      <c r="J763" s="493">
        <v>0</v>
      </c>
      <c r="K763" s="183"/>
      <c r="L763" s="176">
        <f t="shared" si="21"/>
        <v>0</v>
      </c>
    </row>
    <row r="764" spans="1:12" x14ac:dyDescent="0.2">
      <c r="A764" s="180"/>
      <c r="C764" s="128" t="s">
        <v>946</v>
      </c>
      <c r="G764" s="6"/>
      <c r="H764" s="302">
        <f>H756+H760+H761+H762+H763+H757</f>
        <v>0</v>
      </c>
      <c r="I764" s="122"/>
      <c r="J764" s="506">
        <f>SUM(J760:J763)+J756+J757</f>
        <v>0</v>
      </c>
      <c r="K764" s="183"/>
      <c r="L764" s="176">
        <f t="shared" si="21"/>
        <v>0</v>
      </c>
    </row>
    <row r="765" spans="1:12" x14ac:dyDescent="0.2">
      <c r="A765" s="180"/>
      <c r="G765" s="6"/>
      <c r="H765" s="122"/>
      <c r="I765" s="122"/>
      <c r="J765" s="210"/>
      <c r="K765" s="183"/>
      <c r="L765" s="176">
        <f t="shared" si="21"/>
        <v>0</v>
      </c>
    </row>
    <row r="766" spans="1:12" x14ac:dyDescent="0.2">
      <c r="A766" s="180"/>
      <c r="B766" s="128" t="s">
        <v>865</v>
      </c>
      <c r="G766" s="6"/>
      <c r="H766" s="122"/>
      <c r="I766" s="122"/>
      <c r="J766" s="210"/>
      <c r="K766" s="183"/>
      <c r="L766" s="176">
        <f t="shared" si="21"/>
        <v>0</v>
      </c>
    </row>
    <row r="767" spans="1:12" x14ac:dyDescent="0.2">
      <c r="A767" s="180"/>
      <c r="C767" s="124" t="s">
        <v>947</v>
      </c>
      <c r="G767" s="6"/>
      <c r="H767" s="122">
        <v>0</v>
      </c>
      <c r="I767" s="122"/>
      <c r="J767" s="210">
        <v>0</v>
      </c>
      <c r="K767" s="183"/>
      <c r="L767" s="176">
        <f t="shared" si="21"/>
        <v>0</v>
      </c>
    </row>
    <row r="768" spans="1:12" x14ac:dyDescent="0.2">
      <c r="A768" s="180"/>
      <c r="B768" s="5" t="s">
        <v>16</v>
      </c>
      <c r="C768" s="124" t="s">
        <v>10</v>
      </c>
      <c r="G768" s="6"/>
      <c r="H768" s="294">
        <v>0</v>
      </c>
      <c r="I768" s="122"/>
      <c r="J768" s="210">
        <v>0</v>
      </c>
      <c r="K768" s="183"/>
      <c r="L768" s="176">
        <f t="shared" si="21"/>
        <v>0</v>
      </c>
    </row>
    <row r="769" spans="1:12" x14ac:dyDescent="0.2">
      <c r="A769" s="180"/>
      <c r="B769" s="5"/>
      <c r="D769" s="124" t="s">
        <v>1052</v>
      </c>
      <c r="G769" s="6"/>
      <c r="H769" s="302">
        <f>SUM(H767:H768)</f>
        <v>0</v>
      </c>
      <c r="I769" s="122"/>
      <c r="J769" s="506">
        <f>SUM(J767:J768)</f>
        <v>0</v>
      </c>
      <c r="K769" s="183"/>
      <c r="L769" s="176">
        <f t="shared" si="21"/>
        <v>0</v>
      </c>
    </row>
    <row r="770" spans="1:12" x14ac:dyDescent="0.2">
      <c r="A770" s="180"/>
      <c r="B770" s="128" t="s">
        <v>866</v>
      </c>
      <c r="G770" s="6"/>
      <c r="H770" s="122"/>
      <c r="I770" s="122"/>
      <c r="J770" s="210"/>
      <c r="K770" s="183"/>
      <c r="L770" s="176">
        <f t="shared" si="21"/>
        <v>0</v>
      </c>
    </row>
    <row r="771" spans="1:12" x14ac:dyDescent="0.2">
      <c r="A771" s="180"/>
      <c r="C771" s="124" t="s">
        <v>948</v>
      </c>
      <c r="G771" s="6"/>
      <c r="H771" s="122">
        <v>0</v>
      </c>
      <c r="I771" s="122"/>
      <c r="J771" s="210">
        <v>0</v>
      </c>
      <c r="K771" s="183"/>
      <c r="L771" s="176">
        <f t="shared" si="21"/>
        <v>0</v>
      </c>
    </row>
    <row r="772" spans="1:12" x14ac:dyDescent="0.2">
      <c r="A772" s="180"/>
      <c r="B772" s="5" t="s">
        <v>16</v>
      </c>
      <c r="C772" s="124" t="s">
        <v>300</v>
      </c>
      <c r="G772" s="6"/>
      <c r="H772" s="122">
        <v>0</v>
      </c>
      <c r="I772" s="122"/>
      <c r="J772" s="210">
        <v>0</v>
      </c>
      <c r="K772" s="183"/>
      <c r="L772" s="176">
        <f t="shared" si="21"/>
        <v>0</v>
      </c>
    </row>
    <row r="773" spans="1:12" x14ac:dyDescent="0.2">
      <c r="A773" s="180"/>
      <c r="C773" s="124" t="s">
        <v>24</v>
      </c>
      <c r="G773" s="6"/>
      <c r="H773" s="654">
        <f>SUM(H771:H772)</f>
        <v>0</v>
      </c>
      <c r="I773" s="122"/>
      <c r="J773" s="506">
        <f>SUM(J771:J772)</f>
        <v>0</v>
      </c>
      <c r="K773" s="183"/>
      <c r="L773" s="176">
        <f t="shared" si="21"/>
        <v>0</v>
      </c>
    </row>
    <row r="774" spans="1:12" x14ac:dyDescent="0.2">
      <c r="A774" s="180"/>
      <c r="B774" s="128" t="s">
        <v>867</v>
      </c>
      <c r="G774" s="6"/>
      <c r="H774" s="122"/>
      <c r="I774" s="122"/>
      <c r="J774" s="210"/>
      <c r="K774" s="183"/>
      <c r="L774" s="176">
        <f t="shared" si="21"/>
        <v>0</v>
      </c>
    </row>
    <row r="775" spans="1:12" ht="13.5" customHeight="1" x14ac:dyDescent="0.2">
      <c r="A775" s="180"/>
      <c r="B775" s="128"/>
      <c r="C775" s="124" t="s">
        <v>949</v>
      </c>
      <c r="G775" s="6"/>
      <c r="H775" s="655">
        <v>0</v>
      </c>
      <c r="I775" s="122"/>
      <c r="J775" s="506">
        <v>0</v>
      </c>
      <c r="K775" s="183"/>
      <c r="L775" s="176">
        <f t="shared" si="21"/>
        <v>0</v>
      </c>
    </row>
    <row r="776" spans="1:12" x14ac:dyDescent="0.2">
      <c r="A776" s="180"/>
      <c r="B776" s="128" t="s">
        <v>1053</v>
      </c>
      <c r="G776" s="6"/>
      <c r="H776" s="122"/>
      <c r="I776" s="122"/>
      <c r="J776" s="210"/>
      <c r="K776" s="183"/>
      <c r="L776" s="176">
        <f t="shared" si="21"/>
        <v>0</v>
      </c>
    </row>
    <row r="777" spans="1:12" ht="25.5" customHeight="1" x14ac:dyDescent="0.2">
      <c r="A777" s="180"/>
      <c r="C777" s="124" t="s">
        <v>1054</v>
      </c>
      <c r="G777" s="6"/>
      <c r="H777" s="302">
        <v>0</v>
      </c>
      <c r="I777" s="122">
        <v>0</v>
      </c>
      <c r="J777" s="506">
        <v>0</v>
      </c>
      <c r="K777" s="190"/>
      <c r="L777" s="176">
        <f t="shared" si="21"/>
        <v>0</v>
      </c>
    </row>
    <row r="778" spans="1:12" ht="12.75" thickBot="1" x14ac:dyDescent="0.25">
      <c r="A778" s="180"/>
      <c r="G778" s="6"/>
      <c r="H778" s="122"/>
      <c r="I778" s="122"/>
      <c r="J778" s="210"/>
      <c r="K778" s="183"/>
      <c r="L778" s="176">
        <f t="shared" si="21"/>
        <v>0</v>
      </c>
    </row>
    <row r="779" spans="1:12" ht="13.5" thickBot="1" x14ac:dyDescent="0.25">
      <c r="A779" s="180"/>
      <c r="B779" s="730" t="s">
        <v>868</v>
      </c>
      <c r="C779" s="731"/>
      <c r="D779" s="732"/>
      <c r="E779" s="188"/>
      <c r="F779" s="189"/>
      <c r="G779" s="188"/>
      <c r="H779" s="303">
        <f>H764+H769+H773+H777</f>
        <v>0</v>
      </c>
      <c r="I779" s="304">
        <f>I764+I769</f>
        <v>0</v>
      </c>
      <c r="J779" s="500">
        <f>J764+J769+J773+J777</f>
        <v>0</v>
      </c>
      <c r="K779" s="183"/>
      <c r="L779" s="176">
        <f t="shared" si="21"/>
        <v>0</v>
      </c>
    </row>
    <row r="780" spans="1:12" x14ac:dyDescent="0.2">
      <c r="A780" s="180"/>
      <c r="H780" s="122"/>
      <c r="I780" s="122"/>
      <c r="J780" s="210"/>
      <c r="K780" s="183"/>
      <c r="L780" s="176">
        <f t="shared" si="21"/>
        <v>0</v>
      </c>
    </row>
    <row r="781" spans="1:12" x14ac:dyDescent="0.2">
      <c r="A781" s="180"/>
      <c r="H781" s="122"/>
      <c r="I781" s="122"/>
      <c r="J781" s="210"/>
      <c r="K781" s="183"/>
      <c r="L781" s="176">
        <f t="shared" si="21"/>
        <v>0</v>
      </c>
    </row>
    <row r="782" spans="1:12" x14ac:dyDescent="0.2">
      <c r="A782" s="180"/>
      <c r="B782" s="151" t="s">
        <v>870</v>
      </c>
      <c r="H782" s="122"/>
      <c r="I782" s="122"/>
      <c r="J782" s="210"/>
      <c r="K782" s="183"/>
      <c r="L782" s="176">
        <f t="shared" si="21"/>
        <v>0</v>
      </c>
    </row>
    <row r="783" spans="1:12" x14ac:dyDescent="0.2">
      <c r="A783" s="180"/>
      <c r="C783" s="6" t="s">
        <v>16</v>
      </c>
      <c r="D783" s="191" t="s">
        <v>869</v>
      </c>
      <c r="H783" s="122"/>
      <c r="I783" s="122"/>
      <c r="J783" s="210"/>
      <c r="K783" s="183"/>
      <c r="L783" s="176">
        <f t="shared" si="21"/>
        <v>0</v>
      </c>
    </row>
    <row r="784" spans="1:12" x14ac:dyDescent="0.2">
      <c r="A784" s="180"/>
      <c r="C784" s="6"/>
      <c r="D784" s="192" t="s">
        <v>871</v>
      </c>
      <c r="H784" s="122"/>
      <c r="I784" s="122"/>
      <c r="J784" s="210"/>
      <c r="K784" s="183"/>
      <c r="L784" s="176">
        <f t="shared" si="21"/>
        <v>0</v>
      </c>
    </row>
    <row r="785" spans="1:12" x14ac:dyDescent="0.2">
      <c r="A785" s="180"/>
      <c r="C785" s="6"/>
      <c r="D785" s="193" t="s">
        <v>1055</v>
      </c>
      <c r="H785" s="122">
        <v>0</v>
      </c>
      <c r="I785" s="122"/>
      <c r="J785" s="210"/>
      <c r="K785" s="183"/>
      <c r="L785" s="176">
        <f t="shared" si="21"/>
        <v>0</v>
      </c>
    </row>
    <row r="786" spans="1:12" x14ac:dyDescent="0.2">
      <c r="A786" s="180"/>
      <c r="D786" s="193" t="s">
        <v>643</v>
      </c>
      <c r="H786" s="122"/>
      <c r="I786" s="122"/>
      <c r="J786" s="210">
        <v>0</v>
      </c>
      <c r="K786" s="183"/>
      <c r="L786" s="176">
        <f t="shared" si="21"/>
        <v>0</v>
      </c>
    </row>
    <row r="787" spans="1:12" x14ac:dyDescent="0.2">
      <c r="A787" s="180"/>
      <c r="D787" s="193" t="s">
        <v>644</v>
      </c>
      <c r="H787" s="122"/>
      <c r="I787" s="122"/>
      <c r="J787" s="210">
        <v>0</v>
      </c>
      <c r="K787" s="183"/>
      <c r="L787" s="176">
        <f t="shared" si="21"/>
        <v>0</v>
      </c>
    </row>
    <row r="788" spans="1:12" x14ac:dyDescent="0.2">
      <c r="A788" s="180"/>
      <c r="D788" s="193" t="s">
        <v>645</v>
      </c>
      <c r="H788" s="117">
        <v>0</v>
      </c>
      <c r="I788" s="122"/>
      <c r="J788" s="493">
        <v>0</v>
      </c>
      <c r="K788" s="183"/>
      <c r="L788" s="176">
        <f t="shared" si="21"/>
        <v>0</v>
      </c>
    </row>
    <row r="789" spans="1:12" x14ac:dyDescent="0.2">
      <c r="A789" s="180"/>
      <c r="D789" s="194" t="s">
        <v>950</v>
      </c>
      <c r="H789" s="302">
        <f>SUM(H785:H788)</f>
        <v>0</v>
      </c>
      <c r="I789" s="122"/>
      <c r="J789" s="506">
        <f>SUM(J785:J788)</f>
        <v>0</v>
      </c>
      <c r="K789" s="183"/>
      <c r="L789" s="176">
        <f t="shared" si="21"/>
        <v>0</v>
      </c>
    </row>
    <row r="790" spans="1:12" x14ac:dyDescent="0.2">
      <c r="A790" s="180"/>
      <c r="H790" s="122"/>
      <c r="I790" s="122"/>
      <c r="J790" s="210"/>
      <c r="K790" s="183"/>
      <c r="L790" s="176">
        <f t="shared" si="21"/>
        <v>0</v>
      </c>
    </row>
    <row r="791" spans="1:12" x14ac:dyDescent="0.2">
      <c r="A791" s="180"/>
      <c r="C791" s="6" t="s">
        <v>16</v>
      </c>
      <c r="D791" s="124" t="s">
        <v>872</v>
      </c>
      <c r="H791" s="122"/>
      <c r="I791" s="122"/>
      <c r="J791" s="210"/>
      <c r="K791" s="183"/>
      <c r="L791" s="176">
        <f t="shared" si="21"/>
        <v>0</v>
      </c>
    </row>
    <row r="792" spans="1:12" x14ac:dyDescent="0.2">
      <c r="A792" s="180"/>
      <c r="D792" s="124" t="s">
        <v>266</v>
      </c>
      <c r="H792" s="122">
        <v>0</v>
      </c>
      <c r="I792" s="122"/>
      <c r="J792" s="210">
        <v>0</v>
      </c>
      <c r="K792" s="183"/>
      <c r="L792" s="176">
        <f>J793+J792-H792</f>
        <v>0</v>
      </c>
    </row>
    <row r="793" spans="1:12" x14ac:dyDescent="0.2">
      <c r="A793" s="180"/>
      <c r="D793" s="124" t="s">
        <v>11</v>
      </c>
      <c r="H793" s="122">
        <v>0</v>
      </c>
      <c r="I793" s="122"/>
      <c r="J793" s="210">
        <v>0</v>
      </c>
      <c r="K793" s="183"/>
      <c r="L793" s="176">
        <f t="shared" ref="L793:L794" si="22">J793-H793</f>
        <v>0</v>
      </c>
    </row>
    <row r="794" spans="1:12" ht="13.5" customHeight="1" x14ac:dyDescent="0.2">
      <c r="A794" s="180"/>
      <c r="D794" s="124" t="s">
        <v>28</v>
      </c>
      <c r="H794" s="122">
        <v>0</v>
      </c>
      <c r="I794" s="122"/>
      <c r="J794" s="210">
        <v>0</v>
      </c>
      <c r="K794" s="183"/>
      <c r="L794" s="176">
        <f t="shared" si="22"/>
        <v>0</v>
      </c>
    </row>
    <row r="795" spans="1:12" x14ac:dyDescent="0.2">
      <c r="A795" s="180"/>
      <c r="D795" s="124" t="s">
        <v>29</v>
      </c>
      <c r="H795" s="122">
        <v>0</v>
      </c>
      <c r="I795" s="122"/>
      <c r="J795" s="210">
        <v>0</v>
      </c>
      <c r="K795" s="183"/>
      <c r="L795" s="235">
        <f>H777-H794</f>
        <v>0</v>
      </c>
    </row>
    <row r="796" spans="1:12" ht="27" customHeight="1" thickBot="1" x14ac:dyDescent="0.25">
      <c r="A796" s="180"/>
      <c r="D796" s="124" t="s">
        <v>298</v>
      </c>
      <c r="H796" s="305">
        <f>SUM(H792:H795)</f>
        <v>0</v>
      </c>
      <c r="I796" s="122"/>
      <c r="J796" s="507">
        <f>SUM(J792:J795)</f>
        <v>0</v>
      </c>
      <c r="K796" s="197"/>
    </row>
    <row r="797" spans="1:12" ht="12.75" thickBot="1" x14ac:dyDescent="0.25">
      <c r="A797" s="180"/>
      <c r="H797" s="122"/>
      <c r="I797" s="122"/>
      <c r="J797" s="210"/>
      <c r="K797" s="199"/>
    </row>
    <row r="798" spans="1:12" ht="24.75" customHeight="1" thickBot="1" x14ac:dyDescent="0.25">
      <c r="A798" s="180"/>
      <c r="B798" s="733" t="s">
        <v>873</v>
      </c>
      <c r="C798" s="734"/>
      <c r="D798" s="735"/>
      <c r="E798" s="195"/>
      <c r="F798" s="196"/>
      <c r="G798" s="195"/>
      <c r="H798" s="306">
        <f>H789+H796</f>
        <v>0</v>
      </c>
      <c r="I798" s="307">
        <f>I789+I796</f>
        <v>0</v>
      </c>
      <c r="J798" s="508">
        <f>J789+J796</f>
        <v>0</v>
      </c>
      <c r="K798" s="309"/>
    </row>
    <row r="799" spans="1:12" ht="12.75" x14ac:dyDescent="0.2">
      <c r="A799" s="728" t="s">
        <v>580</v>
      </c>
      <c r="B799" s="728"/>
      <c r="C799" s="728"/>
      <c r="D799" s="728"/>
      <c r="E799" s="728"/>
      <c r="F799" s="718" t="s">
        <v>566</v>
      </c>
      <c r="G799" s="718"/>
      <c r="H799" s="718"/>
      <c r="I799" s="718"/>
      <c r="J799" s="718"/>
      <c r="K799" s="718"/>
      <c r="L799" s="442">
        <f>H777-H796</f>
        <v>0</v>
      </c>
    </row>
    <row r="800" spans="1:12" ht="12.75" x14ac:dyDescent="0.2">
      <c r="A800" s="728" t="s">
        <v>678</v>
      </c>
      <c r="B800" s="728"/>
      <c r="C800" s="728"/>
      <c r="D800" s="728"/>
      <c r="E800" s="728"/>
      <c r="F800" s="718" t="s">
        <v>680</v>
      </c>
      <c r="G800" s="718"/>
      <c r="H800" s="718"/>
      <c r="I800" s="718"/>
      <c r="J800" s="718"/>
      <c r="K800" s="718"/>
      <c r="L800" s="442">
        <f>J777-J796</f>
        <v>0</v>
      </c>
    </row>
    <row r="801" spans="1:11" ht="12.75" x14ac:dyDescent="0.2">
      <c r="A801" s="728"/>
      <c r="B801" s="728"/>
      <c r="C801" s="728"/>
      <c r="D801" s="728"/>
      <c r="E801" s="728"/>
      <c r="F801" s="718"/>
      <c r="G801" s="718"/>
      <c r="H801" s="718"/>
      <c r="I801" s="718"/>
      <c r="J801" s="718"/>
      <c r="K801" s="718"/>
    </row>
    <row r="802" spans="1:11" ht="12.75" x14ac:dyDescent="0.2">
      <c r="A802" s="728"/>
      <c r="B802" s="728"/>
      <c r="C802" s="728"/>
      <c r="D802" s="728"/>
      <c r="E802" s="728"/>
      <c r="F802" s="718"/>
      <c r="G802" s="718"/>
      <c r="H802" s="718"/>
      <c r="I802" s="718"/>
      <c r="J802" s="718"/>
      <c r="K802" s="718"/>
    </row>
    <row r="803" spans="1:11" ht="12.75" x14ac:dyDescent="0.2">
      <c r="A803" s="728"/>
      <c r="B803" s="728"/>
      <c r="C803" s="728"/>
      <c r="D803" s="728"/>
      <c r="E803" s="728"/>
      <c r="F803" s="718"/>
      <c r="G803" s="718"/>
      <c r="H803" s="718"/>
      <c r="I803" s="718"/>
      <c r="J803" s="718"/>
      <c r="K803" s="718"/>
    </row>
    <row r="804" spans="1:11" ht="12.75" x14ac:dyDescent="0.2">
      <c r="A804" s="728" t="s">
        <v>655</v>
      </c>
      <c r="B804" s="728"/>
      <c r="C804" s="728"/>
      <c r="D804" s="728"/>
      <c r="E804" s="728"/>
      <c r="F804" s="718" t="s">
        <v>567</v>
      </c>
      <c r="G804" s="718"/>
      <c r="H804" s="718"/>
      <c r="I804" s="718"/>
      <c r="J804" s="718"/>
      <c r="K804" s="718"/>
    </row>
    <row r="805" spans="1:11" x14ac:dyDescent="0.2">
      <c r="A805" s="200" t="e">
        <f>#REF!-#REF!</f>
        <v>#REF!</v>
      </c>
      <c r="F805" s="124"/>
      <c r="J805" s="200"/>
      <c r="K805" s="124"/>
    </row>
    <row r="806" spans="1:11" x14ac:dyDescent="0.2">
      <c r="A806" s="200" t="e">
        <f>#REF!-#REF!</f>
        <v>#REF!</v>
      </c>
      <c r="F806" s="124"/>
      <c r="J806" s="200"/>
      <c r="K806" s="124"/>
    </row>
    <row r="807" spans="1:11" x14ac:dyDescent="0.2">
      <c r="A807" s="200" t="e">
        <f>#REF!-#REF!</f>
        <v>#REF!</v>
      </c>
      <c r="F807" s="124"/>
      <c r="J807" s="200"/>
      <c r="K807" s="124"/>
    </row>
    <row r="808" spans="1:11" x14ac:dyDescent="0.2">
      <c r="A808" s="200" t="e">
        <f>#REF!-#REF!</f>
        <v>#REF!</v>
      </c>
      <c r="F808" s="124"/>
      <c r="J808" s="200"/>
      <c r="K808" s="124"/>
    </row>
    <row r="809" spans="1:11" x14ac:dyDescent="0.2">
      <c r="A809" s="200" t="e">
        <f>#REF!-#REF!</f>
        <v>#REF!</v>
      </c>
      <c r="F809" s="124"/>
      <c r="J809" s="200"/>
      <c r="K809" s="124"/>
    </row>
    <row r="810" spans="1:11" x14ac:dyDescent="0.2">
      <c r="A810" s="200" t="e">
        <f>#REF!-#REF!</f>
        <v>#REF!</v>
      </c>
      <c r="F810" s="124"/>
      <c r="J810" s="200"/>
      <c r="K810" s="124"/>
    </row>
    <row r="811" spans="1:11" x14ac:dyDescent="0.2">
      <c r="A811" s="200" t="e">
        <f>#REF!-#REF!</f>
        <v>#REF!</v>
      </c>
      <c r="F811" s="124"/>
      <c r="J811" s="200"/>
      <c r="K811" s="124"/>
    </row>
    <row r="812" spans="1:11" x14ac:dyDescent="0.2">
      <c r="A812" s="200" t="e">
        <f>#REF!-#REF!</f>
        <v>#REF!</v>
      </c>
      <c r="F812" s="124"/>
      <c r="J812" s="200"/>
      <c r="K812" s="124"/>
    </row>
    <row r="813" spans="1:11" x14ac:dyDescent="0.2">
      <c r="A813" s="200"/>
      <c r="F813" s="124"/>
      <c r="J813" s="200"/>
      <c r="K813" s="124"/>
    </row>
    <row r="814" spans="1:11" x14ac:dyDescent="0.2">
      <c r="A814" s="200"/>
      <c r="F814" s="124"/>
      <c r="J814" s="200"/>
      <c r="K814" s="124"/>
    </row>
    <row r="815" spans="1:11" x14ac:dyDescent="0.2">
      <c r="A815" s="200"/>
      <c r="F815" s="124"/>
      <c r="J815" s="200"/>
      <c r="K815" s="124"/>
    </row>
    <row r="816" spans="1:11" ht="12.75" x14ac:dyDescent="0.2">
      <c r="B816" s="175"/>
      <c r="C816" s="175"/>
      <c r="D816" s="175"/>
    </row>
    <row r="817" spans="1:11" ht="12.75" x14ac:dyDescent="0.2">
      <c r="B817" s="175"/>
      <c r="C817" s="175"/>
      <c r="D817" s="175"/>
    </row>
    <row r="818" spans="1:11" ht="12.75" x14ac:dyDescent="0.2">
      <c r="B818" s="175"/>
      <c r="C818" s="175"/>
      <c r="D818" s="175"/>
    </row>
    <row r="819" spans="1:11" ht="12.75" x14ac:dyDescent="0.2">
      <c r="B819" s="175"/>
      <c r="C819" s="175"/>
      <c r="D819" s="175"/>
    </row>
    <row r="820" spans="1:11" ht="12.75" x14ac:dyDescent="0.2">
      <c r="B820" s="175"/>
      <c r="C820" s="175"/>
      <c r="D820" s="175"/>
    </row>
    <row r="821" spans="1:11" ht="12.75" x14ac:dyDescent="0.2">
      <c r="B821" s="175"/>
      <c r="C821" s="175"/>
      <c r="D821" s="175"/>
    </row>
    <row r="822" spans="1:11" ht="12.75" x14ac:dyDescent="0.2">
      <c r="B822" s="175"/>
      <c r="C822" s="175"/>
      <c r="D822" s="175"/>
    </row>
    <row r="823" spans="1:11" ht="12.75" x14ac:dyDescent="0.2">
      <c r="B823" s="175"/>
      <c r="C823" s="175"/>
      <c r="D823" s="175"/>
    </row>
    <row r="824" spans="1:11" ht="12.75" x14ac:dyDescent="0.2">
      <c r="B824" s="175"/>
      <c r="C824" s="175"/>
      <c r="D824" s="175"/>
    </row>
    <row r="825" spans="1:11" ht="12.75" x14ac:dyDescent="0.2">
      <c r="B825" s="175"/>
      <c r="C825" s="175"/>
      <c r="D825" s="175"/>
    </row>
    <row r="826" spans="1:11" ht="12.75" x14ac:dyDescent="0.2">
      <c r="B826" s="175" t="s">
        <v>651</v>
      </c>
      <c r="C826" s="175"/>
      <c r="D826" s="175"/>
    </row>
    <row r="827" spans="1:11" ht="12.75" x14ac:dyDescent="0.2">
      <c r="B827" s="175" t="s">
        <v>31</v>
      </c>
      <c r="C827" s="175" t="s">
        <v>32</v>
      </c>
      <c r="D827" s="175"/>
    </row>
    <row r="829" spans="1:11" ht="16.5" x14ac:dyDescent="0.25">
      <c r="A829" s="178"/>
      <c r="B829" s="729" t="s">
        <v>650</v>
      </c>
      <c r="C829" s="729"/>
      <c r="D829" s="729"/>
      <c r="E829" s="729"/>
      <c r="F829" s="729"/>
      <c r="G829" s="729"/>
      <c r="H829" s="729"/>
      <c r="I829" s="729"/>
      <c r="J829" s="729"/>
      <c r="K829" s="179"/>
    </row>
    <row r="830" spans="1:11" ht="16.5" x14ac:dyDescent="0.25">
      <c r="A830" s="180"/>
      <c r="B830" s="585" t="s">
        <v>862</v>
      </c>
      <c r="C830" s="586"/>
      <c r="D830" s="586"/>
      <c r="E830" s="586"/>
      <c r="F830" s="586"/>
      <c r="G830" s="586"/>
      <c r="H830" s="587"/>
      <c r="I830" s="587"/>
      <c r="J830" s="588"/>
      <c r="K830" s="182"/>
    </row>
    <row r="831" spans="1:11" ht="16.5" x14ac:dyDescent="0.25">
      <c r="A831" s="180"/>
      <c r="B831" s="719" t="s">
        <v>877</v>
      </c>
      <c r="C831" s="719"/>
      <c r="D831" s="719"/>
      <c r="E831" s="719"/>
      <c r="F831" s="719"/>
      <c r="G831" s="719"/>
      <c r="H831" s="719"/>
      <c r="I831" s="719"/>
      <c r="J831" s="719"/>
      <c r="K831" s="182"/>
    </row>
    <row r="832" spans="1:11" ht="12.75" thickBot="1" x14ac:dyDescent="0.25">
      <c r="A832" s="688" t="e" cm="1" vm="1">
        <f t="array" aca="1" ref="A832" ca="1">+K832:AA879</f>
        <v>#VALUE!</v>
      </c>
      <c r="B832" s="181"/>
      <c r="C832" s="181"/>
      <c r="D832" s="181"/>
      <c r="E832" s="181"/>
      <c r="G832" s="181"/>
      <c r="H832" s="293"/>
      <c r="I832" s="293"/>
      <c r="J832" s="210"/>
      <c r="K832" s="183"/>
    </row>
    <row r="833" spans="1:12" ht="12.75" x14ac:dyDescent="0.2">
      <c r="A833" s="180"/>
      <c r="B833" s="720" t="s">
        <v>15</v>
      </c>
      <c r="C833" s="721"/>
      <c r="D833" s="722"/>
      <c r="E833" s="175"/>
      <c r="F833" s="726" t="s">
        <v>13</v>
      </c>
      <c r="G833" s="184"/>
      <c r="H833" s="295" t="s">
        <v>1051</v>
      </c>
      <c r="I833" s="296"/>
      <c r="J833" s="502" t="s">
        <v>861</v>
      </c>
      <c r="K833" s="185"/>
      <c r="L833" s="176"/>
    </row>
    <row r="834" spans="1:12" ht="13.5" thickBot="1" x14ac:dyDescent="0.25">
      <c r="A834" s="180"/>
      <c r="B834" s="723"/>
      <c r="C834" s="724"/>
      <c r="D834" s="725"/>
      <c r="E834" s="175"/>
      <c r="F834" s="727"/>
      <c r="G834" s="184"/>
      <c r="H834" s="297" t="s">
        <v>22</v>
      </c>
      <c r="I834" s="298"/>
      <c r="J834" s="503" t="s">
        <v>22</v>
      </c>
      <c r="K834" s="186"/>
    </row>
    <row r="835" spans="1:12" x14ac:dyDescent="0.2">
      <c r="A835" s="180"/>
      <c r="B835" s="128" t="s">
        <v>863</v>
      </c>
      <c r="C835" s="128"/>
      <c r="D835" s="128"/>
      <c r="E835" s="128"/>
      <c r="F835" s="134"/>
      <c r="G835" s="134"/>
      <c r="H835" s="299"/>
      <c r="I835" s="299"/>
      <c r="J835" s="504"/>
      <c r="K835" s="187"/>
    </row>
    <row r="836" spans="1:12" x14ac:dyDescent="0.2">
      <c r="A836" s="180"/>
      <c r="B836" s="128" t="s">
        <v>864</v>
      </c>
      <c r="G836" s="6"/>
      <c r="J836" s="210"/>
      <c r="K836" s="183"/>
    </row>
    <row r="837" spans="1:12" x14ac:dyDescent="0.2">
      <c r="A837" s="180"/>
      <c r="B837" s="5" t="s">
        <v>16</v>
      </c>
      <c r="C837" s="124" t="s">
        <v>6</v>
      </c>
      <c r="G837" s="6"/>
      <c r="H837" s="122">
        <v>0</v>
      </c>
      <c r="I837" s="294"/>
      <c r="J837" s="210">
        <v>0</v>
      </c>
      <c r="K837" s="183"/>
      <c r="L837" s="176">
        <f>J837-H837</f>
        <v>0</v>
      </c>
    </row>
    <row r="838" spans="1:12" x14ac:dyDescent="0.2">
      <c r="A838" s="180"/>
      <c r="B838" s="5" t="s">
        <v>16</v>
      </c>
      <c r="C838" s="124" t="s">
        <v>307</v>
      </c>
      <c r="G838" s="6"/>
      <c r="H838" s="122">
        <v>0</v>
      </c>
      <c r="I838" s="294"/>
      <c r="J838" s="210">
        <v>0</v>
      </c>
      <c r="K838" s="183"/>
      <c r="L838" s="176">
        <f t="shared" ref="L838:L872" si="23">J838-H838</f>
        <v>0</v>
      </c>
    </row>
    <row r="839" spans="1:12" x14ac:dyDescent="0.2">
      <c r="A839" s="180"/>
      <c r="B839" s="5" t="s">
        <v>16</v>
      </c>
      <c r="C839" s="124" t="s">
        <v>7</v>
      </c>
      <c r="G839" s="6"/>
      <c r="H839" s="122">
        <v>0</v>
      </c>
      <c r="I839" s="294"/>
      <c r="J839" s="210">
        <v>0</v>
      </c>
      <c r="K839" s="183"/>
      <c r="L839" s="176">
        <f t="shared" si="23"/>
        <v>0</v>
      </c>
    </row>
    <row r="840" spans="1:12" ht="14.25" x14ac:dyDescent="0.35">
      <c r="A840" s="180"/>
      <c r="C840" s="124" t="s">
        <v>84</v>
      </c>
      <c r="G840" s="6"/>
      <c r="H840" s="300">
        <v>0</v>
      </c>
      <c r="I840" s="301"/>
      <c r="J840" s="505">
        <v>0</v>
      </c>
      <c r="K840" s="183"/>
      <c r="L840" s="176">
        <f t="shared" si="23"/>
        <v>0</v>
      </c>
    </row>
    <row r="841" spans="1:12" x14ac:dyDescent="0.2">
      <c r="A841" s="180"/>
      <c r="C841" s="124" t="s">
        <v>8</v>
      </c>
      <c r="G841" s="6"/>
      <c r="H841" s="122">
        <f>SUM(H839:H840)</f>
        <v>0</v>
      </c>
      <c r="I841" s="122"/>
      <c r="J841" s="210">
        <f>SUM(J839:J840)</f>
        <v>0</v>
      </c>
      <c r="K841" s="183"/>
      <c r="L841" s="176">
        <f t="shared" si="23"/>
        <v>0</v>
      </c>
    </row>
    <row r="842" spans="1:12" x14ac:dyDescent="0.2">
      <c r="A842" s="180"/>
      <c r="B842" s="5" t="s">
        <v>16</v>
      </c>
      <c r="C842" s="124" t="s">
        <v>293</v>
      </c>
      <c r="G842" s="6"/>
      <c r="H842" s="122"/>
      <c r="I842" s="122"/>
      <c r="J842" s="210">
        <v>0</v>
      </c>
      <c r="K842" s="183"/>
      <c r="L842" s="176">
        <f t="shared" si="23"/>
        <v>0</v>
      </c>
    </row>
    <row r="843" spans="1:12" x14ac:dyDescent="0.2">
      <c r="A843" s="180"/>
      <c r="B843" s="5" t="s">
        <v>16</v>
      </c>
      <c r="C843" s="124" t="s">
        <v>9</v>
      </c>
      <c r="G843" s="6"/>
      <c r="H843" s="294">
        <v>0</v>
      </c>
      <c r="I843" s="122"/>
      <c r="J843" s="210">
        <v>0</v>
      </c>
      <c r="K843" s="183"/>
      <c r="L843" s="176">
        <f t="shared" si="23"/>
        <v>0</v>
      </c>
    </row>
    <row r="844" spans="1:12" x14ac:dyDescent="0.2">
      <c r="A844" s="180"/>
      <c r="B844" s="5" t="s">
        <v>16</v>
      </c>
      <c r="C844" s="124" t="s">
        <v>280</v>
      </c>
      <c r="G844" s="6"/>
      <c r="H844" s="117"/>
      <c r="I844" s="122"/>
      <c r="J844" s="493">
        <v>0</v>
      </c>
      <c r="K844" s="183"/>
      <c r="L844" s="176">
        <f t="shared" si="23"/>
        <v>0</v>
      </c>
    </row>
    <row r="845" spans="1:12" x14ac:dyDescent="0.2">
      <c r="A845" s="180"/>
      <c r="C845" s="128" t="s">
        <v>946</v>
      </c>
      <c r="G845" s="6"/>
      <c r="H845" s="302">
        <f>H837+H841+H842+H843+H844+H838</f>
        <v>0</v>
      </c>
      <c r="I845" s="122"/>
      <c r="J845" s="506">
        <f>SUM(J841:J844)+J837+J838</f>
        <v>0</v>
      </c>
      <c r="K845" s="183"/>
      <c r="L845" s="176">
        <f t="shared" si="23"/>
        <v>0</v>
      </c>
    </row>
    <row r="846" spans="1:12" x14ac:dyDescent="0.2">
      <c r="A846" s="180"/>
      <c r="G846" s="6"/>
      <c r="H846" s="122"/>
      <c r="I846" s="122"/>
      <c r="J846" s="210"/>
      <c r="K846" s="183"/>
      <c r="L846" s="176">
        <f t="shared" si="23"/>
        <v>0</v>
      </c>
    </row>
    <row r="847" spans="1:12" x14ac:dyDescent="0.2">
      <c r="A847" s="180"/>
      <c r="B847" s="128" t="s">
        <v>865</v>
      </c>
      <c r="G847" s="6"/>
      <c r="H847" s="122"/>
      <c r="I847" s="122"/>
      <c r="J847" s="210"/>
      <c r="K847" s="183"/>
      <c r="L847" s="176">
        <f t="shared" si="23"/>
        <v>0</v>
      </c>
    </row>
    <row r="848" spans="1:12" x14ac:dyDescent="0.2">
      <c r="A848" s="180"/>
      <c r="C848" s="124" t="s">
        <v>947</v>
      </c>
      <c r="G848" s="6"/>
      <c r="H848" s="122">
        <v>0</v>
      </c>
      <c r="I848" s="122"/>
      <c r="J848" s="210">
        <v>0</v>
      </c>
      <c r="K848" s="183"/>
      <c r="L848" s="176">
        <f t="shared" si="23"/>
        <v>0</v>
      </c>
    </row>
    <row r="849" spans="1:12" x14ac:dyDescent="0.2">
      <c r="A849" s="180"/>
      <c r="B849" s="5" t="s">
        <v>16</v>
      </c>
      <c r="C849" s="124" t="s">
        <v>10</v>
      </c>
      <c r="G849" s="6"/>
      <c r="H849" s="294">
        <v>0</v>
      </c>
      <c r="I849" s="122"/>
      <c r="J849" s="210">
        <v>0</v>
      </c>
      <c r="K849" s="183"/>
      <c r="L849" s="176">
        <f t="shared" si="23"/>
        <v>0</v>
      </c>
    </row>
    <row r="850" spans="1:12" x14ac:dyDescent="0.2">
      <c r="A850" s="180"/>
      <c r="B850" s="5"/>
      <c r="D850" s="124" t="s">
        <v>1052</v>
      </c>
      <c r="G850" s="6"/>
      <c r="H850" s="302">
        <f>SUM(H848:H849)</f>
        <v>0</v>
      </c>
      <c r="I850" s="122"/>
      <c r="J850" s="506">
        <f>SUM(J848:J849)</f>
        <v>0</v>
      </c>
      <c r="K850" s="183"/>
      <c r="L850" s="176">
        <f t="shared" si="23"/>
        <v>0</v>
      </c>
    </row>
    <row r="851" spans="1:12" x14ac:dyDescent="0.2">
      <c r="A851" s="180"/>
      <c r="B851" s="128" t="s">
        <v>866</v>
      </c>
      <c r="G851" s="6"/>
      <c r="H851" s="122"/>
      <c r="I851" s="122"/>
      <c r="J851" s="210"/>
      <c r="K851" s="183"/>
      <c r="L851" s="176">
        <f t="shared" si="23"/>
        <v>0</v>
      </c>
    </row>
    <row r="852" spans="1:12" x14ac:dyDescent="0.2">
      <c r="A852" s="180"/>
      <c r="C852" s="124" t="s">
        <v>948</v>
      </c>
      <c r="G852" s="6"/>
      <c r="H852" s="122">
        <v>0</v>
      </c>
      <c r="I852" s="122"/>
      <c r="J852" s="210">
        <v>0</v>
      </c>
      <c r="K852" s="183"/>
      <c r="L852" s="176">
        <f t="shared" si="23"/>
        <v>0</v>
      </c>
    </row>
    <row r="853" spans="1:12" x14ac:dyDescent="0.2">
      <c r="A853" s="180"/>
      <c r="B853" s="5" t="s">
        <v>16</v>
      </c>
      <c r="C853" s="124" t="s">
        <v>300</v>
      </c>
      <c r="G853" s="6"/>
      <c r="H853" s="122">
        <v>0</v>
      </c>
      <c r="I853" s="122"/>
      <c r="J853" s="210">
        <v>0</v>
      </c>
      <c r="K853" s="183"/>
      <c r="L853" s="176">
        <f t="shared" si="23"/>
        <v>0</v>
      </c>
    </row>
    <row r="854" spans="1:12" x14ac:dyDescent="0.2">
      <c r="A854" s="180"/>
      <c r="C854" s="124" t="s">
        <v>24</v>
      </c>
      <c r="G854" s="6"/>
      <c r="H854" s="654">
        <f>SUM(H852:H853)</f>
        <v>0</v>
      </c>
      <c r="I854" s="122"/>
      <c r="J854" s="506">
        <f>SUM(J852:J853)</f>
        <v>0</v>
      </c>
      <c r="K854" s="183"/>
      <c r="L854" s="176">
        <f t="shared" si="23"/>
        <v>0</v>
      </c>
    </row>
    <row r="855" spans="1:12" ht="13.5" customHeight="1" x14ac:dyDescent="0.2">
      <c r="A855" s="180"/>
      <c r="B855" s="128" t="s">
        <v>867</v>
      </c>
      <c r="G855" s="6"/>
      <c r="H855" s="122"/>
      <c r="I855" s="122"/>
      <c r="J855" s="210"/>
      <c r="K855" s="183"/>
      <c r="L855" s="176">
        <f t="shared" si="23"/>
        <v>0</v>
      </c>
    </row>
    <row r="856" spans="1:12" ht="12.75" customHeight="1" x14ac:dyDescent="0.2">
      <c r="A856" s="180"/>
      <c r="B856" s="128"/>
      <c r="C856" s="124" t="s">
        <v>949</v>
      </c>
      <c r="G856" s="6"/>
      <c r="H856" s="655">
        <v>0</v>
      </c>
      <c r="I856" s="122"/>
      <c r="J856" s="506">
        <v>0</v>
      </c>
      <c r="K856" s="183"/>
      <c r="L856" s="176">
        <f t="shared" si="23"/>
        <v>0</v>
      </c>
    </row>
    <row r="857" spans="1:12" ht="6.75" customHeight="1" x14ac:dyDescent="0.2">
      <c r="A857" s="180"/>
      <c r="B857" s="128" t="s">
        <v>1053</v>
      </c>
      <c r="G857" s="6"/>
      <c r="H857" s="122"/>
      <c r="I857" s="122"/>
      <c r="J857" s="210"/>
      <c r="K857" s="183"/>
      <c r="L857" s="176">
        <f t="shared" si="23"/>
        <v>0</v>
      </c>
    </row>
    <row r="858" spans="1:12" ht="24.75" customHeight="1" x14ac:dyDescent="0.2">
      <c r="A858" s="180"/>
      <c r="C858" s="124" t="s">
        <v>1054</v>
      </c>
      <c r="G858" s="6"/>
      <c r="H858" s="302">
        <v>0</v>
      </c>
      <c r="I858" s="122">
        <v>0</v>
      </c>
      <c r="J858" s="506">
        <v>0</v>
      </c>
      <c r="K858" s="190"/>
      <c r="L858" s="176">
        <f t="shared" si="23"/>
        <v>0</v>
      </c>
    </row>
    <row r="859" spans="1:12" ht="12.75" thickBot="1" x14ac:dyDescent="0.25">
      <c r="A859" s="180"/>
      <c r="G859" s="6"/>
      <c r="H859" s="122"/>
      <c r="I859" s="122"/>
      <c r="J859" s="210"/>
      <c r="K859" s="183"/>
      <c r="L859" s="176">
        <f t="shared" si="23"/>
        <v>0</v>
      </c>
    </row>
    <row r="860" spans="1:12" ht="13.5" thickBot="1" x14ac:dyDescent="0.25">
      <c r="A860" s="180"/>
      <c r="B860" s="730" t="s">
        <v>868</v>
      </c>
      <c r="C860" s="731"/>
      <c r="D860" s="732"/>
      <c r="E860" s="188"/>
      <c r="F860" s="189"/>
      <c r="G860" s="188"/>
      <c r="H860" s="303">
        <f>H845+H850+H854+H858</f>
        <v>0</v>
      </c>
      <c r="I860" s="304">
        <f>I845+I850</f>
        <v>0</v>
      </c>
      <c r="J860" s="500">
        <f>J845+J850+J854+J858</f>
        <v>0</v>
      </c>
      <c r="K860" s="183"/>
      <c r="L860" s="176">
        <f t="shared" si="23"/>
        <v>0</v>
      </c>
    </row>
    <row r="861" spans="1:12" x14ac:dyDescent="0.2">
      <c r="A861" s="180"/>
      <c r="H861" s="122"/>
      <c r="I861" s="122"/>
      <c r="J861" s="210"/>
      <c r="K861" s="183"/>
      <c r="L861" s="176">
        <f t="shared" si="23"/>
        <v>0</v>
      </c>
    </row>
    <row r="862" spans="1:12" x14ac:dyDescent="0.2">
      <c r="A862" s="180"/>
      <c r="H862" s="122"/>
      <c r="I862" s="122"/>
      <c r="J862" s="210"/>
      <c r="K862" s="183"/>
      <c r="L862" s="176">
        <f t="shared" si="23"/>
        <v>0</v>
      </c>
    </row>
    <row r="863" spans="1:12" x14ac:dyDescent="0.2">
      <c r="A863" s="180"/>
      <c r="B863" s="151" t="s">
        <v>870</v>
      </c>
      <c r="H863" s="122"/>
      <c r="I863" s="122"/>
      <c r="J863" s="210"/>
      <c r="K863" s="183"/>
      <c r="L863" s="176">
        <f t="shared" si="23"/>
        <v>0</v>
      </c>
    </row>
    <row r="864" spans="1:12" x14ac:dyDescent="0.2">
      <c r="A864" s="180"/>
      <c r="C864" s="6" t="s">
        <v>16</v>
      </c>
      <c r="D864" s="191" t="s">
        <v>869</v>
      </c>
      <c r="H864" s="122"/>
      <c r="I864" s="122"/>
      <c r="J864" s="210"/>
      <c r="K864" s="183"/>
      <c r="L864" s="176">
        <f t="shared" si="23"/>
        <v>0</v>
      </c>
    </row>
    <row r="865" spans="1:12" ht="13.5" customHeight="1" x14ac:dyDescent="0.2">
      <c r="A865" s="180"/>
      <c r="C865" s="6"/>
      <c r="D865" s="192" t="s">
        <v>871</v>
      </c>
      <c r="H865" s="122"/>
      <c r="I865" s="122"/>
      <c r="J865" s="210"/>
      <c r="K865" s="183"/>
      <c r="L865" s="176">
        <f t="shared" si="23"/>
        <v>0</v>
      </c>
    </row>
    <row r="866" spans="1:12" x14ac:dyDescent="0.2">
      <c r="A866" s="180"/>
      <c r="C866" s="6"/>
      <c r="D866" s="193" t="s">
        <v>1055</v>
      </c>
      <c r="H866" s="122">
        <v>0</v>
      </c>
      <c r="I866" s="122"/>
      <c r="J866" s="210"/>
      <c r="K866" s="183"/>
      <c r="L866" s="176">
        <f t="shared" si="23"/>
        <v>0</v>
      </c>
    </row>
    <row r="867" spans="1:12" x14ac:dyDescent="0.2">
      <c r="A867" s="180"/>
      <c r="D867" s="193" t="s">
        <v>643</v>
      </c>
      <c r="H867" s="122"/>
      <c r="I867" s="122"/>
      <c r="J867" s="210">
        <v>0</v>
      </c>
      <c r="K867" s="183"/>
      <c r="L867" s="176">
        <f t="shared" si="23"/>
        <v>0</v>
      </c>
    </row>
    <row r="868" spans="1:12" ht="12" customHeight="1" x14ac:dyDescent="0.2">
      <c r="A868" s="180"/>
      <c r="D868" s="193" t="s">
        <v>644</v>
      </c>
      <c r="H868" s="122"/>
      <c r="I868" s="122"/>
      <c r="J868" s="210">
        <v>0</v>
      </c>
      <c r="K868" s="183"/>
      <c r="L868" s="176">
        <f t="shared" si="23"/>
        <v>0</v>
      </c>
    </row>
    <row r="869" spans="1:12" ht="12" customHeight="1" x14ac:dyDescent="0.2">
      <c r="A869" s="180"/>
      <c r="D869" s="193" t="s">
        <v>645</v>
      </c>
      <c r="H869" s="117">
        <v>0</v>
      </c>
      <c r="I869" s="122"/>
      <c r="J869" s="493">
        <v>0</v>
      </c>
      <c r="K869" s="183"/>
      <c r="L869" s="176">
        <f t="shared" si="23"/>
        <v>0</v>
      </c>
    </row>
    <row r="870" spans="1:12" ht="12" customHeight="1" x14ac:dyDescent="0.2">
      <c r="A870" s="180"/>
      <c r="D870" s="194" t="s">
        <v>950</v>
      </c>
      <c r="H870" s="302">
        <f>SUM(H866:H869)</f>
        <v>0</v>
      </c>
      <c r="I870" s="122"/>
      <c r="J870" s="506">
        <f>SUM(J866:J869)</f>
        <v>0</v>
      </c>
      <c r="K870" s="183"/>
      <c r="L870" s="176">
        <f t="shared" si="23"/>
        <v>0</v>
      </c>
    </row>
    <row r="871" spans="1:12" ht="12" customHeight="1" x14ac:dyDescent="0.2">
      <c r="A871" s="180"/>
      <c r="H871" s="122"/>
      <c r="I871" s="122"/>
      <c r="J871" s="210"/>
      <c r="K871" s="183"/>
      <c r="L871" s="176">
        <f t="shared" si="23"/>
        <v>0</v>
      </c>
    </row>
    <row r="872" spans="1:12" ht="12" customHeight="1" x14ac:dyDescent="0.2">
      <c r="A872" s="180"/>
      <c r="C872" s="6" t="s">
        <v>16</v>
      </c>
      <c r="D872" s="124" t="s">
        <v>872</v>
      </c>
      <c r="H872" s="122"/>
      <c r="I872" s="122"/>
      <c r="J872" s="210"/>
      <c r="K872" s="183"/>
      <c r="L872" s="176">
        <f t="shared" si="23"/>
        <v>0</v>
      </c>
    </row>
    <row r="873" spans="1:12" ht="13.5" customHeight="1" x14ac:dyDescent="0.2">
      <c r="A873" s="180"/>
      <c r="D873" s="124" t="s">
        <v>266</v>
      </c>
      <c r="H873" s="122">
        <v>0</v>
      </c>
      <c r="I873" s="122"/>
      <c r="J873" s="210">
        <v>0</v>
      </c>
      <c r="K873" s="183"/>
      <c r="L873" s="176">
        <f>J874+J873-H873</f>
        <v>0</v>
      </c>
    </row>
    <row r="874" spans="1:12" x14ac:dyDescent="0.2">
      <c r="A874" s="180"/>
      <c r="D874" s="124" t="s">
        <v>11</v>
      </c>
      <c r="H874" s="122">
        <v>0</v>
      </c>
      <c r="I874" s="122"/>
      <c r="J874" s="210">
        <v>0</v>
      </c>
      <c r="K874" s="183"/>
      <c r="L874" s="176">
        <f t="shared" ref="L874:L875" si="24">J874-H874</f>
        <v>0</v>
      </c>
    </row>
    <row r="875" spans="1:12" ht="12.75" customHeight="1" x14ac:dyDescent="0.2">
      <c r="A875" s="180"/>
      <c r="D875" s="124" t="s">
        <v>28</v>
      </c>
      <c r="H875" s="122">
        <v>0</v>
      </c>
      <c r="I875" s="122"/>
      <c r="J875" s="210">
        <v>0</v>
      </c>
      <c r="K875" s="183"/>
      <c r="L875" s="176">
        <f t="shared" si="24"/>
        <v>0</v>
      </c>
    </row>
    <row r="876" spans="1:12" ht="6" customHeight="1" x14ac:dyDescent="0.2">
      <c r="A876" s="180"/>
      <c r="D876" s="124" t="s">
        <v>29</v>
      </c>
      <c r="H876" s="122">
        <v>0</v>
      </c>
      <c r="I876" s="122"/>
      <c r="J876" s="210">
        <v>0</v>
      </c>
      <c r="K876" s="183"/>
    </row>
    <row r="877" spans="1:12" ht="26.25" customHeight="1" thickBot="1" x14ac:dyDescent="0.25">
      <c r="A877" s="180"/>
      <c r="D877" s="124" t="s">
        <v>298</v>
      </c>
      <c r="H877" s="305">
        <f>SUM(H873:H876)</f>
        <v>0</v>
      </c>
      <c r="I877" s="122"/>
      <c r="J877" s="507">
        <f>SUM(J873:J876)</f>
        <v>0</v>
      </c>
      <c r="K877" s="197"/>
    </row>
    <row r="878" spans="1:12" ht="5.25" customHeight="1" thickBot="1" x14ac:dyDescent="0.25">
      <c r="A878" s="180"/>
      <c r="H878" s="122"/>
      <c r="I878" s="122"/>
      <c r="J878" s="210"/>
      <c r="K878" s="199"/>
    </row>
    <row r="879" spans="1:12" ht="21.75" customHeight="1" thickBot="1" x14ac:dyDescent="0.25">
      <c r="A879" s="180"/>
      <c r="B879" s="733" t="s">
        <v>873</v>
      </c>
      <c r="C879" s="734"/>
      <c r="D879" s="735"/>
      <c r="E879" s="195"/>
      <c r="F879" s="196"/>
      <c r="G879" s="195"/>
      <c r="H879" s="306">
        <f>H870+H877</f>
        <v>0</v>
      </c>
      <c r="I879" s="307">
        <f>I870+I877</f>
        <v>0</v>
      </c>
      <c r="J879" s="508">
        <f>J870+J877</f>
        <v>0</v>
      </c>
      <c r="K879" s="309"/>
      <c r="L879" s="235">
        <f>H858-H877</f>
        <v>0</v>
      </c>
    </row>
    <row r="880" spans="1:12" ht="12.75" x14ac:dyDescent="0.2">
      <c r="A880" s="728" t="s">
        <v>580</v>
      </c>
      <c r="B880" s="728"/>
      <c r="C880" s="728"/>
      <c r="D880" s="728"/>
      <c r="E880" s="728"/>
      <c r="F880" s="718" t="s">
        <v>566</v>
      </c>
      <c r="G880" s="718"/>
      <c r="H880" s="718"/>
      <c r="I880" s="718"/>
      <c r="J880" s="718"/>
      <c r="K880" s="718"/>
      <c r="L880" s="652">
        <f>J858-J877</f>
        <v>0</v>
      </c>
    </row>
    <row r="881" spans="1:11" ht="12.75" x14ac:dyDescent="0.2">
      <c r="A881" s="728" t="s">
        <v>678</v>
      </c>
      <c r="B881" s="728"/>
      <c r="C881" s="728"/>
      <c r="D881" s="728"/>
      <c r="E881" s="728"/>
      <c r="F881" s="718" t="s">
        <v>680</v>
      </c>
      <c r="G881" s="718"/>
      <c r="H881" s="718"/>
      <c r="I881" s="718"/>
      <c r="J881" s="718"/>
      <c r="K881" s="718"/>
    </row>
    <row r="882" spans="1:11" ht="12.75" x14ac:dyDescent="0.2">
      <c r="A882" s="728"/>
      <c r="B882" s="728"/>
      <c r="C882" s="728"/>
      <c r="D882" s="728"/>
      <c r="E882" s="728"/>
      <c r="F882" s="718"/>
      <c r="G882" s="718"/>
      <c r="H882" s="718"/>
      <c r="I882" s="718"/>
      <c r="J882" s="718"/>
      <c r="K882" s="718"/>
    </row>
    <row r="883" spans="1:11" ht="12.75" x14ac:dyDescent="0.2">
      <c r="A883" s="728"/>
      <c r="B883" s="728"/>
      <c r="C883" s="728"/>
      <c r="D883" s="728"/>
      <c r="E883" s="728"/>
      <c r="F883" s="718"/>
      <c r="G883" s="718"/>
      <c r="H883" s="718"/>
      <c r="I883" s="718"/>
      <c r="J883" s="718"/>
      <c r="K883" s="718"/>
    </row>
    <row r="884" spans="1:11" ht="12.75" x14ac:dyDescent="0.2">
      <c r="A884" s="728"/>
      <c r="B884" s="728"/>
      <c r="C884" s="728"/>
      <c r="D884" s="728"/>
      <c r="E884" s="728"/>
      <c r="F884" s="718"/>
      <c r="G884" s="718"/>
      <c r="H884" s="718"/>
      <c r="I884" s="718"/>
      <c r="J884" s="718"/>
      <c r="K884" s="718"/>
    </row>
    <row r="885" spans="1:11" ht="12.75" x14ac:dyDescent="0.2">
      <c r="A885" s="728" t="s">
        <v>1038</v>
      </c>
      <c r="B885" s="728"/>
      <c r="C885" s="728"/>
      <c r="D885" s="728"/>
      <c r="E885" s="728"/>
      <c r="F885" s="718" t="s">
        <v>1039</v>
      </c>
      <c r="G885" s="718"/>
      <c r="H885" s="718"/>
      <c r="I885" s="718"/>
      <c r="J885" s="718"/>
      <c r="K885" s="718"/>
    </row>
    <row r="886" spans="1:11" x14ac:dyDescent="0.2">
      <c r="A886" s="200" t="e">
        <f>#REF!-#REF!</f>
        <v>#REF!</v>
      </c>
      <c r="F886" s="124"/>
      <c r="J886" s="200"/>
      <c r="K886" s="124"/>
    </row>
    <row r="887" spans="1:11" x14ac:dyDescent="0.2">
      <c r="A887" s="200" t="e">
        <f>#REF!-#REF!</f>
        <v>#REF!</v>
      </c>
      <c r="F887" s="124"/>
      <c r="J887" s="200"/>
      <c r="K887" s="124"/>
    </row>
    <row r="888" spans="1:11" x14ac:dyDescent="0.2">
      <c r="A888" s="200" t="e">
        <f>#REF!-#REF!</f>
        <v>#REF!</v>
      </c>
      <c r="F888" s="124"/>
      <c r="J888" s="200"/>
      <c r="K888" s="124"/>
    </row>
    <row r="889" spans="1:11" x14ac:dyDescent="0.2">
      <c r="A889" s="200" t="e">
        <f>#REF!-#REF!</f>
        <v>#REF!</v>
      </c>
      <c r="F889" s="124"/>
      <c r="J889" s="200"/>
      <c r="K889" s="124"/>
    </row>
    <row r="890" spans="1:11" x14ac:dyDescent="0.2">
      <c r="A890" s="200" t="e">
        <f>#REF!-#REF!</f>
        <v>#REF!</v>
      </c>
      <c r="F890" s="124"/>
      <c r="J890" s="200"/>
      <c r="K890" s="124"/>
    </row>
    <row r="891" spans="1:11" x14ac:dyDescent="0.2">
      <c r="A891" s="200" t="e">
        <f>#REF!-#REF!</f>
        <v>#REF!</v>
      </c>
      <c r="F891" s="124"/>
      <c r="J891" s="200"/>
      <c r="K891" s="124"/>
    </row>
    <row r="892" spans="1:11" x14ac:dyDescent="0.2">
      <c r="A892" s="200" t="e">
        <f>#REF!-#REF!</f>
        <v>#REF!</v>
      </c>
      <c r="F892" s="124"/>
      <c r="J892" s="200"/>
      <c r="K892" s="124"/>
    </row>
    <row r="893" spans="1:11" x14ac:dyDescent="0.2">
      <c r="A893" s="200" t="e">
        <f>#REF!-#REF!</f>
        <v>#REF!</v>
      </c>
      <c r="F893" s="124"/>
      <c r="J893" s="200"/>
      <c r="K893" s="124"/>
    </row>
    <row r="894" spans="1:11" x14ac:dyDescent="0.2">
      <c r="A894" s="200"/>
      <c r="F894" s="124"/>
      <c r="J894" s="200"/>
      <c r="K894" s="124"/>
    </row>
    <row r="895" spans="1:11" x14ac:dyDescent="0.2">
      <c r="A895" s="200"/>
      <c r="F895" s="124"/>
      <c r="J895" s="200"/>
      <c r="K895" s="124"/>
    </row>
    <row r="896" spans="1:11" x14ac:dyDescent="0.2">
      <c r="A896" s="200"/>
      <c r="F896" s="124"/>
      <c r="J896" s="200"/>
      <c r="K896" s="124"/>
    </row>
    <row r="897" spans="1:11" x14ac:dyDescent="0.2">
      <c r="A897" s="200"/>
      <c r="F897" s="124"/>
      <c r="J897" s="200"/>
      <c r="K897" s="124"/>
    </row>
    <row r="898" spans="1:11" x14ac:dyDescent="0.2">
      <c r="A898" s="200"/>
      <c r="F898" s="124"/>
      <c r="J898" s="200"/>
      <c r="K898" s="124"/>
    </row>
    <row r="899" spans="1:11" x14ac:dyDescent="0.2">
      <c r="A899" s="200"/>
      <c r="F899" s="124"/>
      <c r="J899" s="200"/>
      <c r="K899" s="124"/>
    </row>
    <row r="900" spans="1:11" x14ac:dyDescent="0.2">
      <c r="A900" s="200"/>
      <c r="F900" s="124"/>
      <c r="J900" s="200"/>
      <c r="K900" s="124"/>
    </row>
    <row r="901" spans="1:11" x14ac:dyDescent="0.2">
      <c r="A901" s="200"/>
      <c r="F901" s="124"/>
      <c r="J901" s="200"/>
      <c r="K901" s="124"/>
    </row>
    <row r="902" spans="1:11" x14ac:dyDescent="0.2">
      <c r="A902" s="200"/>
      <c r="F902" s="124"/>
      <c r="J902" s="200"/>
      <c r="K902" s="124"/>
    </row>
    <row r="903" spans="1:11" x14ac:dyDescent="0.2">
      <c r="A903" s="200"/>
      <c r="F903" s="124"/>
      <c r="J903" s="200"/>
      <c r="K903" s="124"/>
    </row>
    <row r="904" spans="1:11" x14ac:dyDescent="0.2">
      <c r="A904" s="200"/>
      <c r="F904" s="124"/>
      <c r="J904" s="200"/>
      <c r="K904" s="124"/>
    </row>
    <row r="905" spans="1:11" x14ac:dyDescent="0.2">
      <c r="A905" s="200"/>
      <c r="F905" s="124"/>
      <c r="J905" s="200"/>
      <c r="K905" s="124"/>
    </row>
    <row r="906" spans="1:11" x14ac:dyDescent="0.2">
      <c r="A906" s="200"/>
      <c r="F906" s="124"/>
      <c r="J906" s="200"/>
      <c r="K906" s="124"/>
    </row>
    <row r="907" spans="1:11" x14ac:dyDescent="0.2">
      <c r="A907" s="200"/>
      <c r="F907" s="124"/>
      <c r="J907" s="200"/>
      <c r="K907" s="124"/>
    </row>
    <row r="908" spans="1:11" x14ac:dyDescent="0.2">
      <c r="A908" s="200"/>
      <c r="F908" s="124"/>
      <c r="J908" s="200"/>
      <c r="K908" s="124"/>
    </row>
    <row r="909" spans="1:11" x14ac:dyDescent="0.2">
      <c r="A909" s="200"/>
      <c r="F909" s="124"/>
      <c r="J909" s="200"/>
      <c r="K909" s="124"/>
    </row>
    <row r="910" spans="1:11" x14ac:dyDescent="0.2">
      <c r="A910" s="200"/>
      <c r="F910" s="124"/>
      <c r="J910" s="200"/>
      <c r="K910" s="124"/>
    </row>
    <row r="911" spans="1:11" ht="12.75" x14ac:dyDescent="0.2">
      <c r="B911" s="175" t="s">
        <v>651</v>
      </c>
      <c r="C911" s="175"/>
      <c r="D911" s="175"/>
    </row>
    <row r="912" spans="1:11" ht="12.75" x14ac:dyDescent="0.2">
      <c r="B912" s="175" t="s">
        <v>31</v>
      </c>
      <c r="C912" s="175" t="s">
        <v>862</v>
      </c>
      <c r="D912" s="175"/>
    </row>
    <row r="914" spans="1:12" ht="16.5" x14ac:dyDescent="0.25">
      <c r="A914" s="178"/>
      <c r="B914" s="729" t="s">
        <v>650</v>
      </c>
      <c r="C914" s="729"/>
      <c r="D914" s="729"/>
      <c r="E914" s="729"/>
      <c r="F914" s="729"/>
      <c r="G914" s="729"/>
      <c r="H914" s="729"/>
      <c r="I914" s="729"/>
      <c r="J914" s="729"/>
      <c r="K914" s="179"/>
    </row>
    <row r="915" spans="1:12" ht="16.5" x14ac:dyDescent="0.25">
      <c r="A915" s="180"/>
      <c r="B915" s="585" t="s">
        <v>862</v>
      </c>
      <c r="C915" s="586"/>
      <c r="D915" s="586"/>
      <c r="E915" s="586"/>
      <c r="F915" s="586"/>
      <c r="G915" s="586"/>
      <c r="H915" s="587"/>
      <c r="I915" s="587"/>
      <c r="J915" s="588"/>
      <c r="K915" s="182"/>
    </row>
    <row r="916" spans="1:12" ht="16.5" x14ac:dyDescent="0.25">
      <c r="A916" s="180"/>
      <c r="B916" s="719" t="s">
        <v>874</v>
      </c>
      <c r="C916" s="719"/>
      <c r="D916" s="719"/>
      <c r="E916" s="719"/>
      <c r="F916" s="719"/>
      <c r="G916" s="719"/>
      <c r="H916" s="719"/>
      <c r="I916" s="719"/>
      <c r="J916" s="719"/>
      <c r="K916" s="182"/>
    </row>
    <row r="917" spans="1:12" ht="12.75" thickBot="1" x14ac:dyDescent="0.25">
      <c r="A917" s="688" t="e" cm="1" vm="1">
        <f t="array" aca="1" ref="A917" ca="1">+K917:AA964</f>
        <v>#VALUE!</v>
      </c>
      <c r="B917" s="181"/>
      <c r="C917" s="181"/>
      <c r="D917" s="181"/>
      <c r="E917" s="181"/>
      <c r="G917" s="181"/>
      <c r="H917" s="293"/>
      <c r="I917" s="293"/>
      <c r="J917" s="210"/>
      <c r="K917" s="183"/>
    </row>
    <row r="918" spans="1:12" ht="12.75" x14ac:dyDescent="0.2">
      <c r="A918" s="180"/>
      <c r="B918" s="720" t="s">
        <v>15</v>
      </c>
      <c r="C918" s="721"/>
      <c r="D918" s="722"/>
      <c r="E918" s="175"/>
      <c r="F918" s="726" t="s">
        <v>13</v>
      </c>
      <c r="G918" s="184"/>
      <c r="H918" s="295" t="s">
        <v>1051</v>
      </c>
      <c r="I918" s="296"/>
      <c r="J918" s="502" t="s">
        <v>861</v>
      </c>
      <c r="K918" s="185"/>
    </row>
    <row r="919" spans="1:12" ht="13.5" thickBot="1" x14ac:dyDescent="0.25">
      <c r="A919" s="180"/>
      <c r="B919" s="723"/>
      <c r="C919" s="724"/>
      <c r="D919" s="725"/>
      <c r="E919" s="175"/>
      <c r="F919" s="727"/>
      <c r="G919" s="184"/>
      <c r="H919" s="297" t="s">
        <v>22</v>
      </c>
      <c r="I919" s="298"/>
      <c r="J919" s="503" t="s">
        <v>22</v>
      </c>
      <c r="K919" s="186"/>
    </row>
    <row r="920" spans="1:12" x14ac:dyDescent="0.2">
      <c r="A920" s="180"/>
      <c r="B920" s="128" t="s">
        <v>863</v>
      </c>
      <c r="C920" s="128"/>
      <c r="D920" s="128"/>
      <c r="E920" s="128"/>
      <c r="F920" s="134"/>
      <c r="G920" s="134"/>
      <c r="H920" s="299"/>
      <c r="I920" s="299"/>
      <c r="J920" s="504"/>
      <c r="K920" s="187"/>
    </row>
    <row r="921" spans="1:12" x14ac:dyDescent="0.2">
      <c r="A921" s="180"/>
      <c r="B921" s="128" t="s">
        <v>864</v>
      </c>
      <c r="G921" s="6"/>
      <c r="J921" s="210"/>
      <c r="K921" s="183"/>
    </row>
    <row r="922" spans="1:12" x14ac:dyDescent="0.2">
      <c r="A922" s="180"/>
      <c r="B922" s="5" t="s">
        <v>16</v>
      </c>
      <c r="C922" s="124" t="s">
        <v>6</v>
      </c>
      <c r="G922" s="6"/>
      <c r="H922" s="122">
        <v>0</v>
      </c>
      <c r="I922" s="294"/>
      <c r="J922" s="210">
        <v>0</v>
      </c>
      <c r="K922" s="183"/>
      <c r="L922" s="176">
        <f>J922-H922</f>
        <v>0</v>
      </c>
    </row>
    <row r="923" spans="1:12" x14ac:dyDescent="0.2">
      <c r="A923" s="180"/>
      <c r="B923" s="5" t="s">
        <v>16</v>
      </c>
      <c r="C923" s="124" t="s">
        <v>307</v>
      </c>
      <c r="G923" s="6"/>
      <c r="H923" s="122">
        <v>0</v>
      </c>
      <c r="I923" s="294"/>
      <c r="J923" s="210">
        <v>0</v>
      </c>
      <c r="K923" s="183"/>
      <c r="L923" s="176">
        <f>J923-H923</f>
        <v>0</v>
      </c>
    </row>
    <row r="924" spans="1:12" x14ac:dyDescent="0.2">
      <c r="A924" s="180"/>
      <c r="B924" s="5" t="s">
        <v>16</v>
      </c>
      <c r="C924" s="124" t="s">
        <v>7</v>
      </c>
      <c r="G924" s="6"/>
      <c r="H924" s="122">
        <v>0</v>
      </c>
      <c r="I924" s="294"/>
      <c r="J924" s="210">
        <v>0</v>
      </c>
      <c r="K924" s="183"/>
      <c r="L924" s="176">
        <f t="shared" ref="L924:L956" si="25">J924-H924</f>
        <v>0</v>
      </c>
    </row>
    <row r="925" spans="1:12" ht="14.25" x14ac:dyDescent="0.35">
      <c r="A925" s="180"/>
      <c r="C925" s="124" t="s">
        <v>84</v>
      </c>
      <c r="G925" s="6"/>
      <c r="H925" s="300">
        <v>0</v>
      </c>
      <c r="I925" s="301"/>
      <c r="J925" s="505">
        <v>0</v>
      </c>
      <c r="K925" s="183"/>
      <c r="L925" s="176">
        <f t="shared" si="25"/>
        <v>0</v>
      </c>
    </row>
    <row r="926" spans="1:12" x14ac:dyDescent="0.2">
      <c r="A926" s="180"/>
      <c r="C926" s="124" t="s">
        <v>8</v>
      </c>
      <c r="G926" s="6"/>
      <c r="H926" s="122">
        <f>SUM(H924:H925)</f>
        <v>0</v>
      </c>
      <c r="I926" s="122"/>
      <c r="J926" s="210">
        <f>SUM(J924:J925)</f>
        <v>0</v>
      </c>
      <c r="K926" s="183"/>
      <c r="L926" s="176">
        <f t="shared" si="25"/>
        <v>0</v>
      </c>
    </row>
    <row r="927" spans="1:12" x14ac:dyDescent="0.2">
      <c r="A927" s="180"/>
      <c r="B927" s="5" t="s">
        <v>16</v>
      </c>
      <c r="C927" s="124" t="s">
        <v>293</v>
      </c>
      <c r="G927" s="6"/>
      <c r="H927" s="122"/>
      <c r="I927" s="122"/>
      <c r="J927" s="210">
        <v>0</v>
      </c>
      <c r="K927" s="183"/>
      <c r="L927" s="176">
        <f t="shared" si="25"/>
        <v>0</v>
      </c>
    </row>
    <row r="928" spans="1:12" x14ac:dyDescent="0.2">
      <c r="A928" s="180"/>
      <c r="B928" s="5" t="s">
        <v>16</v>
      </c>
      <c r="C928" s="124" t="s">
        <v>9</v>
      </c>
      <c r="G928" s="6"/>
      <c r="H928" s="294">
        <v>0</v>
      </c>
      <c r="I928" s="122"/>
      <c r="J928" s="210">
        <v>0</v>
      </c>
      <c r="K928" s="183"/>
      <c r="L928" s="176">
        <f t="shared" si="25"/>
        <v>0</v>
      </c>
    </row>
    <row r="929" spans="1:12" x14ac:dyDescent="0.2">
      <c r="A929" s="180"/>
      <c r="B929" s="5" t="s">
        <v>16</v>
      </c>
      <c r="C929" s="124" t="s">
        <v>280</v>
      </c>
      <c r="G929" s="6"/>
      <c r="H929" s="117"/>
      <c r="I929" s="122"/>
      <c r="J929" s="493">
        <v>0</v>
      </c>
      <c r="K929" s="183"/>
      <c r="L929" s="176">
        <f t="shared" si="25"/>
        <v>0</v>
      </c>
    </row>
    <row r="930" spans="1:12" x14ac:dyDescent="0.2">
      <c r="A930" s="180"/>
      <c r="C930" s="128" t="s">
        <v>946</v>
      </c>
      <c r="G930" s="6"/>
      <c r="H930" s="302">
        <f>H922+H926+H927+H928+H929+H923</f>
        <v>0</v>
      </c>
      <c r="I930" s="122"/>
      <c r="J930" s="506">
        <f>SUM(J926:J929)+J922+J923</f>
        <v>0</v>
      </c>
      <c r="K930" s="183"/>
      <c r="L930" s="176">
        <f t="shared" si="25"/>
        <v>0</v>
      </c>
    </row>
    <row r="931" spans="1:12" x14ac:dyDescent="0.2">
      <c r="A931" s="180"/>
      <c r="G931" s="6"/>
      <c r="H931" s="122"/>
      <c r="I931" s="122"/>
      <c r="J931" s="210"/>
      <c r="K931" s="183"/>
      <c r="L931" s="176">
        <f t="shared" si="25"/>
        <v>0</v>
      </c>
    </row>
    <row r="932" spans="1:12" x14ac:dyDescent="0.2">
      <c r="A932" s="180"/>
      <c r="B932" s="128" t="s">
        <v>865</v>
      </c>
      <c r="G932" s="6"/>
      <c r="H932" s="122"/>
      <c r="I932" s="122"/>
      <c r="J932" s="210"/>
      <c r="K932" s="183"/>
      <c r="L932" s="176">
        <f t="shared" si="25"/>
        <v>0</v>
      </c>
    </row>
    <row r="933" spans="1:12" x14ac:dyDescent="0.2">
      <c r="A933" s="180"/>
      <c r="C933" s="124" t="s">
        <v>947</v>
      </c>
      <c r="G933" s="6"/>
      <c r="H933" s="122">
        <v>0</v>
      </c>
      <c r="I933" s="122"/>
      <c r="J933" s="210">
        <v>0</v>
      </c>
      <c r="K933" s="183"/>
      <c r="L933" s="176">
        <f t="shared" si="25"/>
        <v>0</v>
      </c>
    </row>
    <row r="934" spans="1:12" x14ac:dyDescent="0.2">
      <c r="A934" s="180"/>
      <c r="B934" s="5" t="s">
        <v>16</v>
      </c>
      <c r="C934" s="124" t="s">
        <v>10</v>
      </c>
      <c r="G934" s="6"/>
      <c r="H934" s="294">
        <v>0</v>
      </c>
      <c r="I934" s="122"/>
      <c r="J934" s="210">
        <v>0</v>
      </c>
      <c r="K934" s="183"/>
      <c r="L934" s="176">
        <f t="shared" si="25"/>
        <v>0</v>
      </c>
    </row>
    <row r="935" spans="1:12" x14ac:dyDescent="0.2">
      <c r="A935" s="180"/>
      <c r="B935" s="5"/>
      <c r="D935" s="124" t="s">
        <v>1052</v>
      </c>
      <c r="G935" s="6"/>
      <c r="H935" s="302">
        <f>SUM(H933:H934)</f>
        <v>0</v>
      </c>
      <c r="I935" s="122"/>
      <c r="J935" s="506">
        <f>SUM(J933:J934)</f>
        <v>0</v>
      </c>
      <c r="K935" s="183"/>
      <c r="L935" s="176">
        <f t="shared" si="25"/>
        <v>0</v>
      </c>
    </row>
    <row r="936" spans="1:12" x14ac:dyDescent="0.2">
      <c r="A936" s="180"/>
      <c r="B936" s="128" t="s">
        <v>866</v>
      </c>
      <c r="G936" s="6"/>
      <c r="H936" s="122"/>
      <c r="I936" s="122"/>
      <c r="J936" s="210"/>
      <c r="K936" s="183"/>
      <c r="L936" s="176">
        <f t="shared" si="25"/>
        <v>0</v>
      </c>
    </row>
    <row r="937" spans="1:12" ht="14.25" customHeight="1" x14ac:dyDescent="0.2">
      <c r="A937" s="180"/>
      <c r="C937" s="124" t="s">
        <v>948</v>
      </c>
      <c r="G937" s="6"/>
      <c r="H937" s="122">
        <v>0</v>
      </c>
      <c r="I937" s="122"/>
      <c r="J937" s="210">
        <v>0</v>
      </c>
      <c r="K937" s="183"/>
      <c r="L937" s="176">
        <f t="shared" si="25"/>
        <v>0</v>
      </c>
    </row>
    <row r="938" spans="1:12" x14ac:dyDescent="0.2">
      <c r="A938" s="180"/>
      <c r="B938" s="5" t="s">
        <v>16</v>
      </c>
      <c r="C938" s="124" t="s">
        <v>300</v>
      </c>
      <c r="G938" s="6"/>
      <c r="H938" s="122">
        <v>0</v>
      </c>
      <c r="I938" s="122"/>
      <c r="J938" s="210">
        <v>0</v>
      </c>
      <c r="K938" s="183"/>
      <c r="L938" s="176">
        <f t="shared" si="25"/>
        <v>0</v>
      </c>
    </row>
    <row r="939" spans="1:12" x14ac:dyDescent="0.2">
      <c r="A939" s="180"/>
      <c r="C939" s="124" t="s">
        <v>24</v>
      </c>
      <c r="G939" s="6"/>
      <c r="H939" s="654">
        <f>SUM(H937:H938)</f>
        <v>0</v>
      </c>
      <c r="I939" s="122"/>
      <c r="J939" s="506">
        <f>SUM(J937:J938)</f>
        <v>0</v>
      </c>
      <c r="K939" s="183"/>
      <c r="L939" s="176">
        <f t="shared" si="25"/>
        <v>0</v>
      </c>
    </row>
    <row r="940" spans="1:12" x14ac:dyDescent="0.2">
      <c r="A940" s="180"/>
      <c r="B940" s="128" t="s">
        <v>867</v>
      </c>
      <c r="G940" s="6"/>
      <c r="H940" s="122"/>
      <c r="I940" s="122"/>
      <c r="J940" s="210"/>
      <c r="K940" s="183"/>
      <c r="L940" s="176">
        <f t="shared" si="25"/>
        <v>0</v>
      </c>
    </row>
    <row r="941" spans="1:12" x14ac:dyDescent="0.2">
      <c r="A941" s="180"/>
      <c r="B941" s="128"/>
      <c r="C941" s="124" t="s">
        <v>949</v>
      </c>
      <c r="G941" s="6"/>
      <c r="H941" s="655">
        <v>0</v>
      </c>
      <c r="I941" s="122"/>
      <c r="J941" s="506">
        <v>0</v>
      </c>
      <c r="K941" s="183"/>
      <c r="L941" s="176">
        <f t="shared" si="25"/>
        <v>0</v>
      </c>
    </row>
    <row r="942" spans="1:12" x14ac:dyDescent="0.2">
      <c r="A942" s="180"/>
      <c r="B942" s="128" t="s">
        <v>1053</v>
      </c>
      <c r="G942" s="6"/>
      <c r="H942" s="122"/>
      <c r="I942" s="122"/>
      <c r="J942" s="210"/>
      <c r="K942" s="183"/>
      <c r="L942" s="176">
        <f t="shared" si="25"/>
        <v>0</v>
      </c>
    </row>
    <row r="943" spans="1:12" ht="25.5" customHeight="1" x14ac:dyDescent="0.2">
      <c r="A943" s="180"/>
      <c r="C943" s="124" t="s">
        <v>1054</v>
      </c>
      <c r="G943" s="6"/>
      <c r="H943" s="302">
        <v>0</v>
      </c>
      <c r="I943" s="122">
        <v>0</v>
      </c>
      <c r="J943" s="506">
        <v>0</v>
      </c>
      <c r="K943" s="190"/>
      <c r="L943" s="176">
        <f t="shared" si="25"/>
        <v>0</v>
      </c>
    </row>
    <row r="944" spans="1:12" ht="12.75" thickBot="1" x14ac:dyDescent="0.25">
      <c r="A944" s="180"/>
      <c r="G944" s="6"/>
      <c r="H944" s="122"/>
      <c r="I944" s="122"/>
      <c r="J944" s="210"/>
      <c r="K944" s="183"/>
      <c r="L944" s="176">
        <f t="shared" si="25"/>
        <v>0</v>
      </c>
    </row>
    <row r="945" spans="1:12" ht="13.5" customHeight="1" thickBot="1" x14ac:dyDescent="0.25">
      <c r="A945" s="180"/>
      <c r="B945" s="730" t="s">
        <v>868</v>
      </c>
      <c r="C945" s="731"/>
      <c r="D945" s="732"/>
      <c r="E945" s="188"/>
      <c r="F945" s="189"/>
      <c r="G945" s="188"/>
      <c r="H945" s="303">
        <f>H930+H935+H939+H943</f>
        <v>0</v>
      </c>
      <c r="I945" s="304">
        <f>I930+I935</f>
        <v>0</v>
      </c>
      <c r="J945" s="500">
        <f>J930+J935+J939+J943</f>
        <v>0</v>
      </c>
      <c r="K945" s="183"/>
      <c r="L945" s="176">
        <f t="shared" si="25"/>
        <v>0</v>
      </c>
    </row>
    <row r="946" spans="1:12" x14ac:dyDescent="0.2">
      <c r="A946" s="180"/>
      <c r="H946" s="122"/>
      <c r="I946" s="122"/>
      <c r="J946" s="210"/>
      <c r="K946" s="183"/>
      <c r="L946" s="176">
        <f t="shared" si="25"/>
        <v>0</v>
      </c>
    </row>
    <row r="947" spans="1:12" x14ac:dyDescent="0.2">
      <c r="A947" s="180"/>
      <c r="H947" s="122"/>
      <c r="I947" s="122"/>
      <c r="J947" s="210"/>
      <c r="K947" s="183"/>
      <c r="L947" s="176">
        <f t="shared" si="25"/>
        <v>0</v>
      </c>
    </row>
    <row r="948" spans="1:12" x14ac:dyDescent="0.2">
      <c r="A948" s="180"/>
      <c r="B948" s="151" t="s">
        <v>870</v>
      </c>
      <c r="H948" s="122"/>
      <c r="I948" s="122"/>
      <c r="J948" s="210"/>
      <c r="K948" s="183"/>
      <c r="L948" s="176">
        <f t="shared" si="25"/>
        <v>0</v>
      </c>
    </row>
    <row r="949" spans="1:12" ht="14.25" x14ac:dyDescent="0.2">
      <c r="A949" s="180"/>
      <c r="C949" s="6" t="s">
        <v>16</v>
      </c>
      <c r="D949" s="191" t="s">
        <v>869</v>
      </c>
      <c r="H949" s="122"/>
      <c r="I949" s="122"/>
      <c r="J949" s="210"/>
      <c r="K949" s="183"/>
      <c r="L949" s="236">
        <f t="shared" si="25"/>
        <v>0</v>
      </c>
    </row>
    <row r="950" spans="1:12" ht="14.25" x14ac:dyDescent="0.2">
      <c r="A950" s="180"/>
      <c r="C950" s="6"/>
      <c r="D950" s="192" t="s">
        <v>871</v>
      </c>
      <c r="H950" s="122"/>
      <c r="I950" s="122"/>
      <c r="J950" s="210"/>
      <c r="K950" s="183"/>
      <c r="L950" s="236">
        <f t="shared" si="25"/>
        <v>0</v>
      </c>
    </row>
    <row r="951" spans="1:12" ht="14.25" x14ac:dyDescent="0.2">
      <c r="A951" s="180"/>
      <c r="C951" s="6"/>
      <c r="D951" s="193" t="s">
        <v>1055</v>
      </c>
      <c r="H951" s="122">
        <v>0</v>
      </c>
      <c r="I951" s="122"/>
      <c r="J951" s="210"/>
      <c r="K951" s="183"/>
      <c r="L951" s="236">
        <f t="shared" si="25"/>
        <v>0</v>
      </c>
    </row>
    <row r="952" spans="1:12" ht="14.25" x14ac:dyDescent="0.2">
      <c r="A952" s="180"/>
      <c r="D952" s="193" t="s">
        <v>643</v>
      </c>
      <c r="H952" s="122"/>
      <c r="I952" s="122"/>
      <c r="J952" s="210">
        <v>0</v>
      </c>
      <c r="K952" s="183"/>
      <c r="L952" s="236">
        <f t="shared" si="25"/>
        <v>0</v>
      </c>
    </row>
    <row r="953" spans="1:12" ht="14.25" x14ac:dyDescent="0.2">
      <c r="A953" s="180"/>
      <c r="D953" s="193" t="s">
        <v>644</v>
      </c>
      <c r="H953" s="122"/>
      <c r="I953" s="122"/>
      <c r="J953" s="210">
        <v>0</v>
      </c>
      <c r="K953" s="183"/>
      <c r="L953" s="236">
        <f t="shared" si="25"/>
        <v>0</v>
      </c>
    </row>
    <row r="954" spans="1:12" ht="14.25" customHeight="1" x14ac:dyDescent="0.2">
      <c r="A954" s="180"/>
      <c r="D954" s="193" t="s">
        <v>645</v>
      </c>
      <c r="H954" s="117">
        <v>0</v>
      </c>
      <c r="I954" s="122"/>
      <c r="J954" s="493">
        <v>0</v>
      </c>
      <c r="K954" s="183"/>
      <c r="L954" s="236">
        <f t="shared" si="25"/>
        <v>0</v>
      </c>
    </row>
    <row r="955" spans="1:12" ht="14.25" x14ac:dyDescent="0.2">
      <c r="A955" s="180"/>
      <c r="D955" s="194" t="s">
        <v>950</v>
      </c>
      <c r="H955" s="302">
        <f>SUM(H951:H954)</f>
        <v>0</v>
      </c>
      <c r="I955" s="122"/>
      <c r="J955" s="506">
        <f>SUM(J951:J954)</f>
        <v>0</v>
      </c>
      <c r="K955" s="183"/>
      <c r="L955" s="236">
        <f t="shared" si="25"/>
        <v>0</v>
      </c>
    </row>
    <row r="956" spans="1:12" ht="14.25" x14ac:dyDescent="0.2">
      <c r="A956" s="180"/>
      <c r="H956" s="122"/>
      <c r="I956" s="122"/>
      <c r="J956" s="210"/>
      <c r="K956" s="183"/>
      <c r="L956" s="236">
        <f t="shared" si="25"/>
        <v>0</v>
      </c>
    </row>
    <row r="957" spans="1:12" x14ac:dyDescent="0.2">
      <c r="A957" s="180"/>
      <c r="C957" s="6" t="s">
        <v>16</v>
      </c>
      <c r="D957" s="124" t="s">
        <v>872</v>
      </c>
      <c r="H957" s="122"/>
      <c r="I957" s="122"/>
      <c r="J957" s="210"/>
      <c r="K957" s="183"/>
    </row>
    <row r="958" spans="1:12" x14ac:dyDescent="0.2">
      <c r="A958" s="180"/>
      <c r="D958" s="124" t="s">
        <v>266</v>
      </c>
      <c r="H958" s="122">
        <v>0</v>
      </c>
      <c r="I958" s="122"/>
      <c r="J958" s="210">
        <v>0</v>
      </c>
      <c r="K958" s="183"/>
      <c r="L958" s="176">
        <f>J959+J958-H958</f>
        <v>0</v>
      </c>
    </row>
    <row r="959" spans="1:12" x14ac:dyDescent="0.2">
      <c r="A959" s="180"/>
      <c r="D959" s="124" t="s">
        <v>11</v>
      </c>
      <c r="H959" s="122">
        <v>0</v>
      </c>
      <c r="I959" s="122"/>
      <c r="J959" s="210">
        <v>0</v>
      </c>
      <c r="K959" s="183"/>
      <c r="L959" s="176">
        <f>H937-H954</f>
        <v>0</v>
      </c>
    </row>
    <row r="960" spans="1:12" ht="15" customHeight="1" x14ac:dyDescent="0.2">
      <c r="A960" s="180"/>
      <c r="D960" s="124" t="s">
        <v>28</v>
      </c>
      <c r="H960" s="122">
        <v>0</v>
      </c>
      <c r="I960" s="122"/>
      <c r="J960" s="210">
        <v>0</v>
      </c>
      <c r="K960" s="183"/>
      <c r="L960" s="176">
        <f>H954-H937</f>
        <v>0</v>
      </c>
    </row>
    <row r="961" spans="1:12" x14ac:dyDescent="0.2">
      <c r="A961" s="180"/>
      <c r="D961" s="124" t="s">
        <v>29</v>
      </c>
      <c r="H961" s="122">
        <v>0</v>
      </c>
      <c r="I961" s="122"/>
      <c r="J961" s="210">
        <v>0</v>
      </c>
      <c r="K961" s="183"/>
    </row>
    <row r="962" spans="1:12" ht="25.5" customHeight="1" thickBot="1" x14ac:dyDescent="0.25">
      <c r="A962" s="180"/>
      <c r="D962" s="124" t="s">
        <v>298</v>
      </c>
      <c r="H962" s="305">
        <f>SUM(H958:H961)</f>
        <v>0</v>
      </c>
      <c r="I962" s="122"/>
      <c r="J962" s="507">
        <f>SUM(J958:J961)</f>
        <v>0</v>
      </c>
      <c r="K962" s="197"/>
    </row>
    <row r="963" spans="1:12" ht="12.75" thickBot="1" x14ac:dyDescent="0.25">
      <c r="A963" s="180"/>
      <c r="H963" s="122"/>
      <c r="I963" s="122"/>
      <c r="J963" s="210"/>
      <c r="K963" s="199"/>
      <c r="L963" s="235">
        <f>H962-H943</f>
        <v>0</v>
      </c>
    </row>
    <row r="964" spans="1:12" ht="37.5" customHeight="1" thickBot="1" x14ac:dyDescent="0.25">
      <c r="A964" s="180"/>
      <c r="B964" s="733" t="s">
        <v>873</v>
      </c>
      <c r="C964" s="734"/>
      <c r="D964" s="735"/>
      <c r="E964" s="195"/>
      <c r="F964" s="196"/>
      <c r="G964" s="195"/>
      <c r="H964" s="306">
        <f>H955+H962</f>
        <v>0</v>
      </c>
      <c r="I964" s="307">
        <f>I955+I962</f>
        <v>0</v>
      </c>
      <c r="J964" s="508">
        <f>J955+J962</f>
        <v>0</v>
      </c>
      <c r="K964" s="309"/>
      <c r="L964" s="444">
        <f>J943-J962</f>
        <v>0</v>
      </c>
    </row>
    <row r="965" spans="1:12" ht="12.75" x14ac:dyDescent="0.2">
      <c r="A965" s="728" t="s">
        <v>678</v>
      </c>
      <c r="B965" s="728"/>
      <c r="C965" s="728"/>
      <c r="D965" s="728"/>
      <c r="E965" s="728"/>
      <c r="F965" s="718" t="s">
        <v>680</v>
      </c>
      <c r="G965" s="718"/>
      <c r="H965" s="718"/>
      <c r="I965" s="718"/>
      <c r="J965" s="718"/>
      <c r="K965" s="718"/>
    </row>
    <row r="966" spans="1:12" ht="12.75" x14ac:dyDescent="0.2">
      <c r="A966" s="728"/>
      <c r="B966" s="728"/>
      <c r="C966" s="728"/>
      <c r="D966" s="728"/>
      <c r="E966" s="728"/>
      <c r="F966" s="718"/>
      <c r="G966" s="718"/>
      <c r="H966" s="718"/>
      <c r="I966" s="718"/>
      <c r="J966" s="718"/>
      <c r="K966" s="718"/>
    </row>
    <row r="967" spans="1:12" ht="12.75" x14ac:dyDescent="0.2">
      <c r="A967" s="728"/>
      <c r="B967" s="728"/>
      <c r="C967" s="728"/>
      <c r="D967" s="728"/>
      <c r="E967" s="728"/>
      <c r="F967" s="718"/>
      <c r="G967" s="718"/>
      <c r="H967" s="718"/>
      <c r="I967" s="718"/>
      <c r="J967" s="718"/>
      <c r="K967" s="718"/>
    </row>
    <row r="968" spans="1:12" ht="12.75" x14ac:dyDescent="0.2">
      <c r="A968" s="728"/>
      <c r="B968" s="728"/>
      <c r="C968" s="728"/>
      <c r="D968" s="728"/>
      <c r="E968" s="728"/>
      <c r="F968" s="718"/>
      <c r="G968" s="718"/>
      <c r="H968" s="718"/>
      <c r="I968" s="718"/>
      <c r="J968" s="718"/>
      <c r="K968" s="718"/>
    </row>
    <row r="969" spans="1:12" ht="12.75" x14ac:dyDescent="0.2">
      <c r="A969" s="728" t="s">
        <v>1038</v>
      </c>
      <c r="B969" s="728"/>
      <c r="C969" s="728"/>
      <c r="D969" s="728"/>
      <c r="E969" s="728"/>
      <c r="F969" s="718" t="s">
        <v>567</v>
      </c>
      <c r="G969" s="718"/>
      <c r="H969" s="718"/>
      <c r="I969" s="718"/>
      <c r="J969" s="718"/>
      <c r="K969" s="718"/>
    </row>
    <row r="970" spans="1:12" x14ac:dyDescent="0.2">
      <c r="A970" s="200" t="e">
        <f>#REF!-#REF!</f>
        <v>#REF!</v>
      </c>
      <c r="F970" s="124"/>
      <c r="J970" s="200"/>
      <c r="K970" s="124"/>
    </row>
    <row r="971" spans="1:12" x14ac:dyDescent="0.2">
      <c r="A971" s="200" t="e">
        <f>#REF!-#REF!</f>
        <v>#REF!</v>
      </c>
      <c r="F971" s="124"/>
      <c r="J971" s="200"/>
      <c r="K971" s="124"/>
    </row>
    <row r="972" spans="1:12" x14ac:dyDescent="0.2">
      <c r="A972" s="200" t="e">
        <f>#REF!-#REF!</f>
        <v>#REF!</v>
      </c>
      <c r="F972" s="124"/>
      <c r="J972" s="200"/>
      <c r="K972" s="124"/>
    </row>
    <row r="973" spans="1:12" x14ac:dyDescent="0.2">
      <c r="A973" s="200" t="e">
        <f>#REF!-#REF!</f>
        <v>#REF!</v>
      </c>
      <c r="F973" s="124"/>
      <c r="J973" s="200"/>
      <c r="K973" s="124"/>
    </row>
    <row r="974" spans="1:12" x14ac:dyDescent="0.2">
      <c r="A974" s="200" t="e">
        <f>#REF!-#REF!</f>
        <v>#REF!</v>
      </c>
      <c r="F974" s="124"/>
      <c r="J974" s="200"/>
      <c r="K974" s="124"/>
    </row>
    <row r="975" spans="1:12" x14ac:dyDescent="0.2">
      <c r="A975" s="200" t="e">
        <f>#REF!-#REF!</f>
        <v>#REF!</v>
      </c>
      <c r="F975" s="124"/>
      <c r="J975" s="200"/>
      <c r="K975" s="124"/>
    </row>
    <row r="976" spans="1:12" x14ac:dyDescent="0.2">
      <c r="A976" s="200" t="e">
        <f>#REF!-#REF!</f>
        <v>#REF!</v>
      </c>
      <c r="F976" s="124"/>
      <c r="J976" s="200"/>
      <c r="K976" s="124"/>
    </row>
    <row r="977" spans="1:11" x14ac:dyDescent="0.2">
      <c r="A977" s="200"/>
      <c r="F977" s="124"/>
      <c r="J977" s="200"/>
      <c r="K977" s="124"/>
    </row>
    <row r="978" spans="1:11" x14ac:dyDescent="0.2">
      <c r="A978" s="200"/>
      <c r="F978" s="124"/>
      <c r="J978" s="200"/>
      <c r="K978" s="124"/>
    </row>
    <row r="979" spans="1:11" x14ac:dyDescent="0.2">
      <c r="A979" s="200"/>
      <c r="F979" s="124"/>
      <c r="J979" s="200"/>
      <c r="K979" s="124"/>
    </row>
    <row r="980" spans="1:11" x14ac:dyDescent="0.2">
      <c r="A980" s="200"/>
      <c r="F980" s="124"/>
      <c r="J980" s="200"/>
      <c r="K980" s="124"/>
    </row>
    <row r="981" spans="1:11" x14ac:dyDescent="0.2">
      <c r="A981" s="200"/>
      <c r="F981" s="124"/>
      <c r="J981" s="200"/>
      <c r="K981" s="124"/>
    </row>
    <row r="982" spans="1:11" x14ac:dyDescent="0.2">
      <c r="A982" s="200"/>
      <c r="F982" s="124"/>
      <c r="J982" s="200"/>
      <c r="K982" s="124"/>
    </row>
    <row r="983" spans="1:11" x14ac:dyDescent="0.2">
      <c r="A983" s="200"/>
      <c r="F983" s="124"/>
      <c r="J983" s="200"/>
      <c r="K983" s="124"/>
    </row>
    <row r="984" spans="1:11" x14ac:dyDescent="0.2">
      <c r="A984" s="200"/>
      <c r="F984" s="124"/>
      <c r="J984" s="200"/>
      <c r="K984" s="124"/>
    </row>
    <row r="985" spans="1:11" x14ac:dyDescent="0.2">
      <c r="A985" s="200"/>
      <c r="F985" s="124"/>
      <c r="J985" s="200"/>
      <c r="K985" s="124"/>
    </row>
    <row r="986" spans="1:11" ht="24" customHeight="1" x14ac:dyDescent="0.2">
      <c r="A986" s="200"/>
      <c r="F986" s="124"/>
      <c r="J986" s="200"/>
      <c r="K986" s="124"/>
    </row>
    <row r="987" spans="1:11" x14ac:dyDescent="0.2">
      <c r="A987" s="200"/>
      <c r="F987" s="124"/>
      <c r="J987" s="200"/>
      <c r="K987" s="124"/>
    </row>
    <row r="988" spans="1:11" x14ac:dyDescent="0.2">
      <c r="A988" s="200"/>
      <c r="F988" s="124"/>
      <c r="J988" s="200"/>
      <c r="K988" s="124"/>
    </row>
    <row r="989" spans="1:11" x14ac:dyDescent="0.2">
      <c r="A989" s="200"/>
      <c r="F989" s="124"/>
      <c r="J989" s="200"/>
      <c r="K989" s="124"/>
    </row>
    <row r="990" spans="1:11" x14ac:dyDescent="0.2">
      <c r="A990" s="176"/>
      <c r="F990" s="124"/>
      <c r="J990" s="200"/>
      <c r="K990" s="124"/>
    </row>
    <row r="991" spans="1:11" x14ac:dyDescent="0.2">
      <c r="A991" s="176"/>
      <c r="F991" s="124"/>
      <c r="J991" s="200"/>
      <c r="K991" s="124"/>
    </row>
    <row r="992" spans="1:11" x14ac:dyDescent="0.2">
      <c r="A992" s="176"/>
      <c r="F992" s="124"/>
      <c r="J992" s="200"/>
      <c r="K992" s="124"/>
    </row>
    <row r="993" spans="1:11" x14ac:dyDescent="0.2">
      <c r="A993" s="176"/>
      <c r="F993" s="124"/>
      <c r="J993" s="200"/>
      <c r="K993" s="124"/>
    </row>
    <row r="994" spans="1:11" x14ac:dyDescent="0.2">
      <c r="A994" s="176"/>
      <c r="F994" s="124"/>
      <c r="J994" s="200"/>
      <c r="K994" s="124"/>
    </row>
    <row r="995" spans="1:11" x14ac:dyDescent="0.2">
      <c r="A995" s="176"/>
      <c r="F995" s="124"/>
      <c r="J995" s="200"/>
      <c r="K995" s="124"/>
    </row>
    <row r="996" spans="1:11" x14ac:dyDescent="0.2">
      <c r="A996" s="176"/>
      <c r="F996" s="124"/>
      <c r="J996" s="200"/>
      <c r="K996" s="124"/>
    </row>
    <row r="997" spans="1:11" x14ac:dyDescent="0.2">
      <c r="A997" s="176"/>
      <c r="F997" s="124"/>
      <c r="J997" s="200"/>
      <c r="K997" s="124"/>
    </row>
    <row r="998" spans="1:11" x14ac:dyDescent="0.2">
      <c r="A998" s="176"/>
      <c r="F998" s="124"/>
      <c r="J998" s="200"/>
      <c r="K998" s="124"/>
    </row>
    <row r="999" spans="1:11" x14ac:dyDescent="0.2">
      <c r="A999" s="176"/>
      <c r="F999" s="124"/>
      <c r="J999" s="200"/>
      <c r="K999" s="124"/>
    </row>
    <row r="1000" spans="1:11" x14ac:dyDescent="0.2">
      <c r="A1000" s="176"/>
      <c r="F1000" s="124"/>
      <c r="J1000" s="200"/>
      <c r="K1000" s="124"/>
    </row>
    <row r="1001" spans="1:11" x14ac:dyDescent="0.2">
      <c r="A1001" s="176"/>
      <c r="F1001" s="124"/>
      <c r="J1001" s="200"/>
      <c r="K1001" s="124"/>
    </row>
    <row r="1002" spans="1:11" x14ac:dyDescent="0.2">
      <c r="A1002" s="176"/>
      <c r="F1002" s="124"/>
      <c r="J1002" s="200"/>
      <c r="K1002" s="124"/>
    </row>
    <row r="1003" spans="1:11" x14ac:dyDescent="0.2">
      <c r="A1003" s="176"/>
      <c r="F1003" s="124"/>
      <c r="J1003" s="200"/>
      <c r="K1003" s="124"/>
    </row>
    <row r="1004" spans="1:11" x14ac:dyDescent="0.2">
      <c r="A1004" s="176"/>
      <c r="F1004" s="124"/>
      <c r="J1004" s="200"/>
      <c r="K1004" s="124"/>
    </row>
    <row r="1005" spans="1:11" x14ac:dyDescent="0.2">
      <c r="A1005" s="176"/>
      <c r="F1005" s="124"/>
      <c r="J1005" s="200"/>
      <c r="K1005" s="124"/>
    </row>
    <row r="1006" spans="1:11" x14ac:dyDescent="0.2">
      <c r="A1006" s="176"/>
      <c r="F1006" s="124"/>
      <c r="J1006" s="200"/>
      <c r="K1006" s="124"/>
    </row>
    <row r="1007" spans="1:11" x14ac:dyDescent="0.2">
      <c r="A1007" s="176"/>
      <c r="F1007" s="124"/>
      <c r="J1007" s="200"/>
      <c r="K1007" s="124"/>
    </row>
    <row r="1008" spans="1:11" ht="24" customHeight="1" x14ac:dyDescent="0.2">
      <c r="A1008" s="176"/>
      <c r="F1008" s="124"/>
      <c r="J1008" s="200"/>
      <c r="K1008" s="124"/>
    </row>
    <row r="1009" spans="6:11" x14ac:dyDescent="0.2">
      <c r="F1009" s="124"/>
      <c r="J1009" s="200"/>
      <c r="K1009" s="124"/>
    </row>
    <row r="1010" spans="6:11" x14ac:dyDescent="0.2">
      <c r="F1010" s="124"/>
      <c r="J1010" s="200"/>
      <c r="K1010" s="124"/>
    </row>
    <row r="1011" spans="6:11" x14ac:dyDescent="0.2">
      <c r="F1011" s="124"/>
      <c r="J1011" s="200"/>
      <c r="K1011" s="124"/>
    </row>
    <row r="1012" spans="6:11" x14ac:dyDescent="0.2">
      <c r="F1012" s="124"/>
      <c r="J1012" s="200"/>
      <c r="K1012" s="124"/>
    </row>
    <row r="1013" spans="6:11" x14ac:dyDescent="0.2">
      <c r="F1013" s="124"/>
      <c r="J1013" s="200"/>
      <c r="K1013" s="124"/>
    </row>
    <row r="1014" spans="6:11" x14ac:dyDescent="0.2">
      <c r="F1014" s="124"/>
      <c r="J1014" s="200"/>
      <c r="K1014" s="124"/>
    </row>
    <row r="1015" spans="6:11" x14ac:dyDescent="0.2">
      <c r="F1015" s="124"/>
      <c r="J1015" s="200"/>
      <c r="K1015" s="124"/>
    </row>
    <row r="1016" spans="6:11" x14ac:dyDescent="0.2">
      <c r="F1016" s="124"/>
      <c r="J1016" s="200"/>
      <c r="K1016" s="124"/>
    </row>
    <row r="1017" spans="6:11" x14ac:dyDescent="0.2">
      <c r="F1017" s="124"/>
      <c r="J1017" s="200"/>
      <c r="K1017" s="124"/>
    </row>
    <row r="1018" spans="6:11" x14ac:dyDescent="0.2">
      <c r="F1018" s="124"/>
      <c r="J1018" s="200"/>
      <c r="K1018" s="124"/>
    </row>
    <row r="1019" spans="6:11" x14ac:dyDescent="0.2">
      <c r="F1019" s="124"/>
      <c r="J1019" s="200"/>
      <c r="K1019" s="124"/>
    </row>
    <row r="1020" spans="6:11" x14ac:dyDescent="0.2">
      <c r="F1020" s="124"/>
      <c r="J1020" s="200"/>
      <c r="K1020" s="124"/>
    </row>
    <row r="1021" spans="6:11" x14ac:dyDescent="0.2">
      <c r="F1021" s="124"/>
      <c r="J1021" s="200"/>
      <c r="K1021" s="124"/>
    </row>
    <row r="1022" spans="6:11" x14ac:dyDescent="0.2">
      <c r="F1022" s="124"/>
      <c r="J1022" s="200"/>
      <c r="K1022" s="124"/>
    </row>
    <row r="1023" spans="6:11" x14ac:dyDescent="0.2">
      <c r="F1023" s="124"/>
      <c r="J1023" s="200"/>
      <c r="K1023" s="124"/>
    </row>
    <row r="1024" spans="6:11" x14ac:dyDescent="0.2">
      <c r="F1024" s="124"/>
      <c r="J1024" s="200"/>
      <c r="K1024" s="124"/>
    </row>
    <row r="1025" spans="6:11" x14ac:dyDescent="0.2">
      <c r="F1025" s="124"/>
      <c r="J1025" s="200"/>
      <c r="K1025" s="124"/>
    </row>
    <row r="1026" spans="6:11" x14ac:dyDescent="0.2">
      <c r="F1026" s="124"/>
      <c r="J1026" s="200"/>
      <c r="K1026" s="124"/>
    </row>
    <row r="1027" spans="6:11" x14ac:dyDescent="0.2">
      <c r="F1027" s="124"/>
      <c r="J1027" s="200"/>
      <c r="K1027" s="124"/>
    </row>
    <row r="1028" spans="6:11" x14ac:dyDescent="0.2">
      <c r="F1028" s="124"/>
      <c r="J1028" s="200"/>
      <c r="K1028" s="124"/>
    </row>
    <row r="1029" spans="6:11" x14ac:dyDescent="0.2">
      <c r="F1029" s="124"/>
      <c r="J1029" s="200"/>
      <c r="K1029" s="124"/>
    </row>
    <row r="1030" spans="6:11" x14ac:dyDescent="0.2">
      <c r="F1030" s="124"/>
      <c r="J1030" s="200"/>
      <c r="K1030" s="124"/>
    </row>
    <row r="1031" spans="6:11" x14ac:dyDescent="0.2">
      <c r="F1031" s="124"/>
      <c r="J1031" s="200"/>
      <c r="K1031" s="124"/>
    </row>
    <row r="1032" spans="6:11" x14ac:dyDescent="0.2">
      <c r="F1032" s="124"/>
      <c r="J1032" s="200"/>
      <c r="K1032" s="124"/>
    </row>
    <row r="1033" spans="6:11" x14ac:dyDescent="0.2">
      <c r="F1033" s="124"/>
      <c r="J1033" s="200"/>
      <c r="K1033" s="124"/>
    </row>
    <row r="1034" spans="6:11" x14ac:dyDescent="0.2">
      <c r="F1034" s="124"/>
      <c r="J1034" s="200"/>
      <c r="K1034" s="124"/>
    </row>
  </sheetData>
  <mergeCells count="224">
    <mergeCell ref="B363:D363"/>
    <mergeCell ref="B382:D382"/>
    <mergeCell ref="B446:D446"/>
    <mergeCell ref="B465:D465"/>
    <mergeCell ref="B526:D526"/>
    <mergeCell ref="B545:D545"/>
    <mergeCell ref="B611:D611"/>
    <mergeCell ref="B630:D630"/>
    <mergeCell ref="B695:D695"/>
    <mergeCell ref="A551:E551"/>
    <mergeCell ref="F551:K551"/>
    <mergeCell ref="F469:K469"/>
    <mergeCell ref="A470:E470"/>
    <mergeCell ref="F470:K470"/>
    <mergeCell ref="A471:E471"/>
    <mergeCell ref="F471:K471"/>
    <mergeCell ref="F717:K717"/>
    <mergeCell ref="A718:E718"/>
    <mergeCell ref="F718:K718"/>
    <mergeCell ref="A548:E548"/>
    <mergeCell ref="F548:K548"/>
    <mergeCell ref="A549:E549"/>
    <mergeCell ref="F549:K549"/>
    <mergeCell ref="A550:E550"/>
    <mergeCell ref="F550:K550"/>
    <mergeCell ref="A547:E547"/>
    <mergeCell ref="F547:K547"/>
    <mergeCell ref="A632:E632"/>
    <mergeCell ref="F632:K632"/>
    <mergeCell ref="B584:D585"/>
    <mergeCell ref="F631:K631"/>
    <mergeCell ref="B714:D714"/>
    <mergeCell ref="A634:E634"/>
    <mergeCell ref="A880:E880"/>
    <mergeCell ref="F880:K880"/>
    <mergeCell ref="B829:J829"/>
    <mergeCell ref="F715:K715"/>
    <mergeCell ref="A716:E716"/>
    <mergeCell ref="F716:K716"/>
    <mergeCell ref="A717:E717"/>
    <mergeCell ref="F668:F669"/>
    <mergeCell ref="B752:D753"/>
    <mergeCell ref="A715:E715"/>
    <mergeCell ref="A799:E799"/>
    <mergeCell ref="F799:K799"/>
    <mergeCell ref="B750:J750"/>
    <mergeCell ref="B668:D669"/>
    <mergeCell ref="B779:D779"/>
    <mergeCell ref="B798:D798"/>
    <mergeCell ref="B860:D860"/>
    <mergeCell ref="B879:D879"/>
    <mergeCell ref="A719:E719"/>
    <mergeCell ref="A308:E308"/>
    <mergeCell ref="F308:K308"/>
    <mergeCell ref="A224:E224"/>
    <mergeCell ref="F224:K224"/>
    <mergeCell ref="B334:J334"/>
    <mergeCell ref="B255:J255"/>
    <mergeCell ref="B257:D258"/>
    <mergeCell ref="F257:F258"/>
    <mergeCell ref="B284:D284"/>
    <mergeCell ref="B303:D303"/>
    <mergeCell ref="F89:F90"/>
    <mergeCell ref="B116:D116"/>
    <mergeCell ref="A141:E141"/>
    <mergeCell ref="F141:K141"/>
    <mergeCell ref="B172:D173"/>
    <mergeCell ref="F172:F173"/>
    <mergeCell ref="B199:D199"/>
    <mergeCell ref="A307:E307"/>
    <mergeCell ref="F307:K307"/>
    <mergeCell ref="A304:E304"/>
    <mergeCell ref="F304:K304"/>
    <mergeCell ref="A306:E306"/>
    <mergeCell ref="F306:K306"/>
    <mergeCell ref="B135:D135"/>
    <mergeCell ref="A144:E144"/>
    <mergeCell ref="F144:K144"/>
    <mergeCell ref="A140:E140"/>
    <mergeCell ref="F140:K140"/>
    <mergeCell ref="A305:E305"/>
    <mergeCell ref="F305:K305"/>
    <mergeCell ref="A222:E222"/>
    <mergeCell ref="F222:K222"/>
    <mergeCell ref="A223:E223"/>
    <mergeCell ref="F223:K223"/>
    <mergeCell ref="A969:E969"/>
    <mergeCell ref="F969:K969"/>
    <mergeCell ref="A882:E882"/>
    <mergeCell ref="F882:K882"/>
    <mergeCell ref="A883:E883"/>
    <mergeCell ref="F883:K883"/>
    <mergeCell ref="A884:E884"/>
    <mergeCell ref="F884:K884"/>
    <mergeCell ref="A885:E885"/>
    <mergeCell ref="F885:K885"/>
    <mergeCell ref="B918:D919"/>
    <mergeCell ref="F918:F919"/>
    <mergeCell ref="B914:J914"/>
    <mergeCell ref="A965:E965"/>
    <mergeCell ref="B916:J916"/>
    <mergeCell ref="F965:K965"/>
    <mergeCell ref="A966:E966"/>
    <mergeCell ref="F966:K966"/>
    <mergeCell ref="A967:E967"/>
    <mergeCell ref="F967:K967"/>
    <mergeCell ref="B945:D945"/>
    <mergeCell ref="B964:D964"/>
    <mergeCell ref="A148:K148"/>
    <mergeCell ref="A149:K149"/>
    <mergeCell ref="A139:E139"/>
    <mergeCell ref="F139:K139"/>
    <mergeCell ref="A142:E142"/>
    <mergeCell ref="F142:K142"/>
    <mergeCell ref="A143:E143"/>
    <mergeCell ref="F143:K143"/>
    <mergeCell ref="A968:E968"/>
    <mergeCell ref="F968:K968"/>
    <mergeCell ref="F467:K467"/>
    <mergeCell ref="A468:E468"/>
    <mergeCell ref="F468:K468"/>
    <mergeCell ref="A469:E469"/>
    <mergeCell ref="B218:D218"/>
    <mergeCell ref="A225:E225"/>
    <mergeCell ref="F225:K225"/>
    <mergeCell ref="A226:E226"/>
    <mergeCell ref="F226:K226"/>
    <mergeCell ref="A227:E227"/>
    <mergeCell ref="F227:K227"/>
    <mergeCell ref="A467:E467"/>
    <mergeCell ref="A383:E383"/>
    <mergeCell ref="F383:K383"/>
    <mergeCell ref="B6:J6"/>
    <mergeCell ref="B8:D9"/>
    <mergeCell ref="B87:J87"/>
    <mergeCell ref="F8:F9"/>
    <mergeCell ref="A56:E56"/>
    <mergeCell ref="A57:E57"/>
    <mergeCell ref="A59:E59"/>
    <mergeCell ref="A60:E60"/>
    <mergeCell ref="A61:E61"/>
    <mergeCell ref="F56:K56"/>
    <mergeCell ref="F57:K57"/>
    <mergeCell ref="F59:K59"/>
    <mergeCell ref="F60:K60"/>
    <mergeCell ref="F61:K61"/>
    <mergeCell ref="A65:K65"/>
    <mergeCell ref="A66:K66"/>
    <mergeCell ref="A67:K67"/>
    <mergeCell ref="A58:E58"/>
    <mergeCell ref="F58:K58"/>
    <mergeCell ref="B35:D35"/>
    <mergeCell ref="B54:D54"/>
    <mergeCell ref="A83:B83"/>
    <mergeCell ref="A62:E62"/>
    <mergeCell ref="B89:D90"/>
    <mergeCell ref="F634:K634"/>
    <mergeCell ref="A68:K68"/>
    <mergeCell ref="B336:D337"/>
    <mergeCell ref="F336:F337"/>
    <mergeCell ref="B499:D500"/>
    <mergeCell ref="F499:F500"/>
    <mergeCell ref="B417:J417"/>
    <mergeCell ref="B419:D420"/>
    <mergeCell ref="F419:F420"/>
    <mergeCell ref="A384:E384"/>
    <mergeCell ref="F384:K384"/>
    <mergeCell ref="A385:E385"/>
    <mergeCell ref="F385:K385"/>
    <mergeCell ref="A386:E386"/>
    <mergeCell ref="F386:K386"/>
    <mergeCell ref="A387:E387"/>
    <mergeCell ref="F387:K387"/>
    <mergeCell ref="A388:E388"/>
    <mergeCell ref="F388:K388"/>
    <mergeCell ref="A466:E466"/>
    <mergeCell ref="F466:K466"/>
    <mergeCell ref="B170:J170"/>
    <mergeCell ref="A147:K147"/>
    <mergeCell ref="B4:J4"/>
    <mergeCell ref="B85:J85"/>
    <mergeCell ref="B168:J168"/>
    <mergeCell ref="B253:J253"/>
    <mergeCell ref="B332:J332"/>
    <mergeCell ref="B415:J415"/>
    <mergeCell ref="B495:J495"/>
    <mergeCell ref="B580:J580"/>
    <mergeCell ref="B664:J664"/>
    <mergeCell ref="A309:E309"/>
    <mergeCell ref="F309:K309"/>
    <mergeCell ref="A636:E636"/>
    <mergeCell ref="F636:K636"/>
    <mergeCell ref="A633:E633"/>
    <mergeCell ref="F633:K633"/>
    <mergeCell ref="A635:E635"/>
    <mergeCell ref="F635:K635"/>
    <mergeCell ref="B497:J497"/>
    <mergeCell ref="A546:E546"/>
    <mergeCell ref="F546:K546"/>
    <mergeCell ref="F584:F585"/>
    <mergeCell ref="B582:J582"/>
    <mergeCell ref="A631:E631"/>
    <mergeCell ref="F62:K62"/>
    <mergeCell ref="F881:K881"/>
    <mergeCell ref="B831:J831"/>
    <mergeCell ref="B833:D834"/>
    <mergeCell ref="F833:F834"/>
    <mergeCell ref="B666:J666"/>
    <mergeCell ref="A800:E800"/>
    <mergeCell ref="A801:E801"/>
    <mergeCell ref="A802:E802"/>
    <mergeCell ref="A803:E803"/>
    <mergeCell ref="A804:E804"/>
    <mergeCell ref="F800:K800"/>
    <mergeCell ref="F801:K801"/>
    <mergeCell ref="F802:K802"/>
    <mergeCell ref="F803:K803"/>
    <mergeCell ref="F804:K804"/>
    <mergeCell ref="B748:J748"/>
    <mergeCell ref="F752:F753"/>
    <mergeCell ref="F719:K719"/>
    <mergeCell ref="A720:E720"/>
    <mergeCell ref="F720:K720"/>
    <mergeCell ref="A881:E881"/>
  </mergeCells>
  <pageMargins left="1.1000000000000001" right="0.31496062992125984" top="0.51181102362204722" bottom="0.74803149606299213" header="0.31496062992125984" footer="0.31496062992125984"/>
  <pageSetup paperSize="5" scale="90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731"/>
  <sheetViews>
    <sheetView tabSelected="1" showWhiteSpace="0" view="pageLayout" topLeftCell="A20" workbookViewId="0">
      <selection activeCell="L39" sqref="L39"/>
    </sheetView>
  </sheetViews>
  <sheetFormatPr defaultRowHeight="15" x14ac:dyDescent="0.25"/>
  <cols>
    <col min="1" max="1" width="1" customWidth="1"/>
    <col min="2" max="2" width="4.28515625" customWidth="1"/>
    <col min="3" max="3" width="46" customWidth="1"/>
    <col min="4" max="4" width="1" customWidth="1"/>
    <col min="5" max="5" width="17.28515625" style="7" customWidth="1"/>
    <col min="6" max="6" width="1" style="7" customWidth="1"/>
    <col min="7" max="7" width="16.5703125" style="7" customWidth="1"/>
    <col min="8" max="8" width="1" customWidth="1"/>
    <col min="9" max="9" width="21.42578125" customWidth="1"/>
  </cols>
  <sheetData>
    <row r="1" spans="1:13" x14ac:dyDescent="0.25">
      <c r="A1" s="728" t="s">
        <v>890</v>
      </c>
      <c r="B1" s="728"/>
      <c r="C1" s="590" t="s">
        <v>891</v>
      </c>
    </row>
    <row r="2" spans="1:13" x14ac:dyDescent="0.25">
      <c r="A2" s="589"/>
      <c r="B2" s="589"/>
      <c r="C2" s="590"/>
    </row>
    <row r="3" spans="1:13" ht="24.75" customHeight="1" x14ac:dyDescent="0.25">
      <c r="A3" s="752" t="s">
        <v>650</v>
      </c>
      <c r="B3" s="753"/>
      <c r="C3" s="753"/>
      <c r="D3" s="753"/>
      <c r="E3" s="753"/>
      <c r="F3" s="753"/>
      <c r="G3" s="753"/>
      <c r="H3" s="754"/>
    </row>
    <row r="4" spans="1:13" x14ac:dyDescent="0.25">
      <c r="A4" s="741" t="s">
        <v>891</v>
      </c>
      <c r="B4" s="742"/>
      <c r="C4" s="742"/>
      <c r="D4" s="742"/>
      <c r="E4" s="742"/>
      <c r="F4" s="742"/>
      <c r="G4" s="742"/>
      <c r="H4" s="743"/>
    </row>
    <row r="5" spans="1:13" x14ac:dyDescent="0.25">
      <c r="A5" s="741" t="s">
        <v>1056</v>
      </c>
      <c r="B5" s="742"/>
      <c r="C5" s="742"/>
      <c r="D5" s="742"/>
      <c r="E5" s="742"/>
      <c r="F5" s="742"/>
      <c r="G5" s="742"/>
      <c r="H5" s="743"/>
    </row>
    <row r="6" spans="1:13" x14ac:dyDescent="0.25">
      <c r="A6" s="18"/>
      <c r="B6" s="20"/>
      <c r="C6" s="20"/>
      <c r="D6" s="20"/>
      <c r="E6" s="26"/>
      <c r="F6" s="26"/>
      <c r="G6" s="26"/>
      <c r="H6" s="19"/>
    </row>
    <row r="7" spans="1:13" x14ac:dyDescent="0.25">
      <c r="A7" s="9"/>
      <c r="B7" s="744" t="s">
        <v>15</v>
      </c>
      <c r="C7" s="745"/>
      <c r="D7" s="26"/>
      <c r="E7" s="27" t="s">
        <v>1059</v>
      </c>
      <c r="F7" s="26"/>
      <c r="G7" s="27" t="s">
        <v>1042</v>
      </c>
      <c r="H7" s="19"/>
    </row>
    <row r="8" spans="1:13" x14ac:dyDescent="0.25">
      <c r="A8" s="22"/>
      <c r="B8" s="746"/>
      <c r="C8" s="747"/>
      <c r="D8" s="26"/>
      <c r="E8" s="28" t="s">
        <v>22</v>
      </c>
      <c r="F8" s="26"/>
      <c r="G8" s="28" t="s">
        <v>22</v>
      </c>
      <c r="H8" s="19"/>
    </row>
    <row r="9" spans="1:13" x14ac:dyDescent="0.25">
      <c r="A9" s="18"/>
      <c r="B9" s="26"/>
      <c r="C9" s="26"/>
      <c r="D9" s="26"/>
      <c r="E9" s="26"/>
      <c r="F9" s="26"/>
      <c r="G9" s="26"/>
      <c r="H9" s="19"/>
    </row>
    <row r="10" spans="1:13" x14ac:dyDescent="0.25">
      <c r="A10" s="18"/>
      <c r="B10" s="29" t="s">
        <v>17</v>
      </c>
      <c r="C10" s="26"/>
      <c r="D10" s="26"/>
      <c r="E10" s="30"/>
      <c r="F10" s="30"/>
      <c r="G10" s="30"/>
      <c r="H10" s="19"/>
    </row>
    <row r="11" spans="1:13" ht="18.75" customHeight="1" x14ac:dyDescent="0.25">
      <c r="A11" s="18"/>
      <c r="B11" s="26"/>
      <c r="C11" s="31" t="s">
        <v>106</v>
      </c>
      <c r="D11" s="26"/>
      <c r="E11" s="32">
        <f>'Neraca '!H51</f>
        <v>0</v>
      </c>
      <c r="F11" s="33"/>
      <c r="G11" s="32"/>
      <c r="H11" s="19"/>
      <c r="I11" s="148"/>
      <c r="J11" s="148"/>
      <c r="K11" s="148"/>
      <c r="L11" s="148"/>
      <c r="M11" s="148"/>
    </row>
    <row r="12" spans="1:13" x14ac:dyDescent="0.25">
      <c r="A12" s="18"/>
      <c r="B12" s="26" t="s">
        <v>105</v>
      </c>
      <c r="C12" s="26"/>
      <c r="D12" s="26"/>
      <c r="F12" s="30"/>
      <c r="H12" s="19"/>
      <c r="I12" s="148"/>
    </row>
    <row r="13" spans="1:13" x14ac:dyDescent="0.25">
      <c r="A13" s="18"/>
      <c r="B13" s="26"/>
      <c r="C13" s="26" t="s">
        <v>104</v>
      </c>
      <c r="D13" s="26"/>
      <c r="E13" s="8">
        <f>'Neraca '!L24+'Neraca '!L28</f>
        <v>0</v>
      </c>
      <c r="F13" s="30"/>
      <c r="G13" s="8">
        <v>0</v>
      </c>
      <c r="H13" s="19"/>
      <c r="I13" s="148"/>
    </row>
    <row r="14" spans="1:13" x14ac:dyDescent="0.25">
      <c r="A14" s="18"/>
      <c r="B14" s="26"/>
      <c r="C14" s="26" t="s">
        <v>103</v>
      </c>
      <c r="D14" s="26"/>
      <c r="E14" s="8">
        <f>'Neraca '!L50+'Neraca '!L15</f>
        <v>0</v>
      </c>
      <c r="F14" s="30"/>
      <c r="G14" s="44">
        <v>0</v>
      </c>
      <c r="H14" s="19"/>
      <c r="I14" s="148"/>
    </row>
    <row r="15" spans="1:13" ht="18.75" customHeight="1" x14ac:dyDescent="0.25">
      <c r="A15" s="18"/>
      <c r="B15" s="31" t="s">
        <v>102</v>
      </c>
      <c r="C15" s="31"/>
      <c r="D15" s="31"/>
      <c r="E15" s="34">
        <f>SUM(E11:E14)</f>
        <v>0</v>
      </c>
      <c r="F15" s="33"/>
      <c r="G15" s="34">
        <f>SUM(G11:G14)</f>
        <v>0</v>
      </c>
      <c r="H15" s="19"/>
      <c r="I15" s="148"/>
    </row>
    <row r="16" spans="1:13" x14ac:dyDescent="0.25">
      <c r="A16" s="18"/>
      <c r="B16" s="26"/>
      <c r="C16" s="26" t="s">
        <v>101</v>
      </c>
      <c r="D16" s="26"/>
      <c r="E16" s="8">
        <f>'Neraca '!L16</f>
        <v>0</v>
      </c>
      <c r="F16" s="30"/>
      <c r="G16" s="8">
        <v>0</v>
      </c>
      <c r="H16" s="19"/>
      <c r="I16" s="148"/>
    </row>
    <row r="17" spans="1:9" x14ac:dyDescent="0.25">
      <c r="A17" s="18"/>
      <c r="B17" s="26"/>
      <c r="C17" s="26" t="s">
        <v>100</v>
      </c>
      <c r="D17" s="26"/>
      <c r="E17" s="8">
        <f>'Neraca '!L17</f>
        <v>0</v>
      </c>
      <c r="F17" s="30"/>
      <c r="G17" s="8">
        <v>0</v>
      </c>
      <c r="H17" s="19"/>
      <c r="I17" s="148"/>
    </row>
    <row r="18" spans="1:9" x14ac:dyDescent="0.25">
      <c r="A18" s="18"/>
      <c r="B18" s="26"/>
      <c r="C18" s="26" t="s">
        <v>99</v>
      </c>
      <c r="D18" s="26"/>
      <c r="E18" s="8">
        <f>'Neraca '!L18</f>
        <v>0</v>
      </c>
      <c r="F18" s="30"/>
      <c r="G18" s="8">
        <v>0</v>
      </c>
      <c r="H18" s="19"/>
      <c r="I18" s="148"/>
    </row>
    <row r="19" spans="1:9" x14ac:dyDescent="0.25">
      <c r="A19" s="18"/>
      <c r="B19" s="26"/>
      <c r="C19" s="26" t="s">
        <v>98</v>
      </c>
      <c r="D19" s="26"/>
      <c r="E19" s="8"/>
      <c r="F19" s="30"/>
      <c r="G19" s="111"/>
      <c r="H19" s="19"/>
      <c r="I19" s="148"/>
    </row>
    <row r="20" spans="1:9" x14ac:dyDescent="0.25">
      <c r="A20" s="18"/>
      <c r="B20" s="26"/>
      <c r="C20" s="26" t="s">
        <v>648</v>
      </c>
      <c r="D20" s="26"/>
      <c r="E20" s="8"/>
      <c r="F20" s="30"/>
      <c r="G20" s="645">
        <v>0</v>
      </c>
      <c r="H20" s="19"/>
      <c r="I20" s="148"/>
    </row>
    <row r="21" spans="1:9" x14ac:dyDescent="0.25">
      <c r="A21" s="18"/>
      <c r="B21" s="26"/>
      <c r="C21" s="26" t="s">
        <v>97</v>
      </c>
      <c r="D21" s="26"/>
      <c r="E21" s="8">
        <f>-'Neraca '!L41</f>
        <v>0</v>
      </c>
      <c r="F21" s="30"/>
      <c r="G21" s="44"/>
      <c r="H21" s="19"/>
      <c r="I21" s="148"/>
    </row>
    <row r="22" spans="1:9" x14ac:dyDescent="0.25">
      <c r="A22" s="18"/>
      <c r="B22" s="26"/>
      <c r="C22" s="26" t="s">
        <v>647</v>
      </c>
      <c r="D22" s="26"/>
      <c r="E22" s="8">
        <f>-'Neraca '!L43</f>
        <v>0</v>
      </c>
      <c r="F22" s="30"/>
      <c r="G22" s="44">
        <v>0</v>
      </c>
      <c r="H22" s="19"/>
      <c r="I22" s="148"/>
    </row>
    <row r="23" spans="1:9" x14ac:dyDescent="0.25">
      <c r="A23" s="18"/>
      <c r="B23" s="26"/>
      <c r="C23" s="26" t="s">
        <v>290</v>
      </c>
      <c r="D23" s="26"/>
      <c r="E23" s="8"/>
      <c r="F23" s="30"/>
      <c r="G23" s="96"/>
      <c r="H23" s="19"/>
      <c r="I23" s="148"/>
    </row>
    <row r="24" spans="1:9" x14ac:dyDescent="0.25">
      <c r="A24" s="18"/>
      <c r="B24" s="26"/>
      <c r="C24" s="26" t="s">
        <v>96</v>
      </c>
      <c r="D24" s="26"/>
      <c r="E24" s="8"/>
      <c r="F24" s="30"/>
      <c r="G24" s="8"/>
      <c r="H24" s="19"/>
      <c r="I24" s="148"/>
    </row>
    <row r="25" spans="1:9" x14ac:dyDescent="0.25">
      <c r="A25" s="18"/>
      <c r="B25" s="26"/>
      <c r="C25" s="26" t="s">
        <v>95</v>
      </c>
      <c r="D25" s="26"/>
      <c r="F25" s="30"/>
      <c r="H25" s="19"/>
      <c r="I25" s="148"/>
    </row>
    <row r="26" spans="1:9" x14ac:dyDescent="0.25">
      <c r="A26" s="18"/>
      <c r="B26" s="26"/>
      <c r="C26" s="26" t="s">
        <v>94</v>
      </c>
      <c r="D26" s="26"/>
      <c r="F26" s="30"/>
      <c r="H26" s="19"/>
      <c r="I26" s="148"/>
    </row>
    <row r="27" spans="1:9" x14ac:dyDescent="0.25">
      <c r="A27" s="18"/>
      <c r="B27" s="26"/>
      <c r="C27" s="26" t="s">
        <v>93</v>
      </c>
      <c r="D27" s="26"/>
      <c r="F27" s="30"/>
      <c r="H27" s="19"/>
      <c r="I27" s="148"/>
    </row>
    <row r="28" spans="1:9" x14ac:dyDescent="0.25">
      <c r="A28" s="18"/>
      <c r="B28" s="26"/>
      <c r="C28" s="26" t="s">
        <v>92</v>
      </c>
      <c r="D28" s="26"/>
      <c r="F28" s="30"/>
      <c r="H28" s="19"/>
      <c r="I28" s="148"/>
    </row>
    <row r="29" spans="1:9" ht="18.75" customHeight="1" x14ac:dyDescent="0.25">
      <c r="A29" s="18"/>
      <c r="B29" s="26"/>
      <c r="C29" s="35" t="s">
        <v>18</v>
      </c>
      <c r="D29" s="35"/>
      <c r="E29" s="34">
        <f>SUM(E15:E28)</f>
        <v>0</v>
      </c>
      <c r="F29" s="36"/>
      <c r="G29" s="34">
        <f>SUM(G15:G28)</f>
        <v>0</v>
      </c>
      <c r="H29" s="19"/>
      <c r="I29" s="148"/>
    </row>
    <row r="30" spans="1:9" x14ac:dyDescent="0.25">
      <c r="A30" s="18"/>
      <c r="B30" s="29" t="s">
        <v>19</v>
      </c>
      <c r="C30" s="26"/>
      <c r="D30" s="26"/>
      <c r="F30" s="30"/>
      <c r="H30" s="19"/>
      <c r="I30" s="148"/>
    </row>
    <row r="31" spans="1:9" x14ac:dyDescent="0.25">
      <c r="A31" s="18"/>
      <c r="B31" s="26"/>
      <c r="C31" s="26" t="s">
        <v>91</v>
      </c>
      <c r="D31" s="26"/>
      <c r="E31" s="8">
        <f>'Neraca '!L23</f>
        <v>0</v>
      </c>
      <c r="F31" s="30"/>
      <c r="G31" s="8">
        <v>0</v>
      </c>
      <c r="H31" s="19"/>
      <c r="I31" s="148"/>
    </row>
    <row r="32" spans="1:9" x14ac:dyDescent="0.25">
      <c r="A32" s="18"/>
      <c r="B32" s="26"/>
      <c r="C32" s="26" t="s">
        <v>90</v>
      </c>
      <c r="D32" s="26"/>
      <c r="F32" s="30"/>
      <c r="G32" s="111"/>
      <c r="H32" s="19"/>
      <c r="I32" s="148"/>
    </row>
    <row r="33" spans="1:9" x14ac:dyDescent="0.25">
      <c r="A33" s="18"/>
      <c r="B33" s="26"/>
      <c r="C33" s="26" t="s">
        <v>301</v>
      </c>
      <c r="D33" s="26"/>
      <c r="E33" s="8">
        <f>'Neraca '!L31</f>
        <v>0</v>
      </c>
      <c r="F33" s="30"/>
      <c r="H33" s="19"/>
      <c r="I33" s="148"/>
    </row>
    <row r="34" spans="1:9" ht="18.75" customHeight="1" x14ac:dyDescent="0.25">
      <c r="A34" s="18"/>
      <c r="B34" s="26"/>
      <c r="C34" s="35" t="s">
        <v>89</v>
      </c>
      <c r="D34" s="31"/>
      <c r="E34" s="37">
        <f>SUM(E31:E33)</f>
        <v>0</v>
      </c>
      <c r="F34" s="36"/>
      <c r="G34" s="37">
        <f>SUM(G31:G33)</f>
        <v>0</v>
      </c>
      <c r="H34" s="19"/>
      <c r="I34" s="148"/>
    </row>
    <row r="35" spans="1:9" x14ac:dyDescent="0.25">
      <c r="A35" s="18"/>
      <c r="B35" s="29" t="s">
        <v>20</v>
      </c>
      <c r="C35" s="26"/>
      <c r="D35" s="26"/>
      <c r="F35" s="30"/>
      <c r="G35" s="96"/>
      <c r="H35" s="19"/>
      <c r="I35" s="148"/>
    </row>
    <row r="36" spans="1:9" x14ac:dyDescent="0.25">
      <c r="A36" s="18"/>
      <c r="B36" s="29"/>
      <c r="C36" s="26" t="s">
        <v>267</v>
      </c>
      <c r="D36" s="26"/>
      <c r="F36" s="30"/>
      <c r="G36" s="96"/>
      <c r="H36" s="19"/>
      <c r="I36" s="148"/>
    </row>
    <row r="37" spans="1:9" x14ac:dyDescent="0.25">
      <c r="A37" s="18"/>
      <c r="B37" s="26"/>
      <c r="C37" s="26" t="s">
        <v>292</v>
      </c>
      <c r="D37" s="26"/>
      <c r="E37" s="8"/>
      <c r="F37" s="30"/>
      <c r="G37" s="96"/>
      <c r="H37" s="21"/>
      <c r="I37" s="148"/>
    </row>
    <row r="38" spans="1:9" x14ac:dyDescent="0.25">
      <c r="A38" s="18"/>
      <c r="B38" s="26"/>
      <c r="C38" s="26" t="s">
        <v>282</v>
      </c>
      <c r="D38" s="26"/>
      <c r="E38" s="8"/>
      <c r="F38" s="30"/>
      <c r="G38" s="96"/>
      <c r="H38" s="19"/>
      <c r="I38" s="148"/>
    </row>
    <row r="39" spans="1:9" ht="18.75" customHeight="1" x14ac:dyDescent="0.25">
      <c r="A39" s="18"/>
      <c r="B39" s="26"/>
      <c r="C39" s="35" t="s">
        <v>21</v>
      </c>
      <c r="D39" s="26"/>
      <c r="E39" s="42">
        <f>SUM(E37:E38)</f>
        <v>0</v>
      </c>
      <c r="F39" s="38"/>
      <c r="G39" s="42">
        <f>SUM(G36:G38)</f>
        <v>0</v>
      </c>
      <c r="H39" s="19"/>
      <c r="I39" s="148"/>
    </row>
    <row r="40" spans="1:9" x14ac:dyDescent="0.25">
      <c r="A40" s="18"/>
      <c r="B40" s="26"/>
      <c r="C40" s="29"/>
      <c r="D40" s="26"/>
      <c r="F40" s="30"/>
      <c r="H40" s="19"/>
      <c r="I40" s="148"/>
    </row>
    <row r="41" spans="1:9" x14ac:dyDescent="0.25">
      <c r="A41" s="18"/>
      <c r="B41" s="29" t="s">
        <v>88</v>
      </c>
      <c r="C41" s="26"/>
      <c r="D41" s="26"/>
      <c r="E41" s="38">
        <f>E29+E34+E39</f>
        <v>0</v>
      </c>
      <c r="F41" s="38"/>
      <c r="G41" s="38">
        <f>G29+G34+G39</f>
        <v>0</v>
      </c>
      <c r="H41" s="17"/>
      <c r="I41" s="148"/>
    </row>
    <row r="42" spans="1:9" x14ac:dyDescent="0.25">
      <c r="A42" s="18"/>
      <c r="B42" s="29" t="s">
        <v>87</v>
      </c>
      <c r="C42" s="26"/>
      <c r="D42" s="26"/>
      <c r="E42" s="38">
        <f>G43</f>
        <v>0</v>
      </c>
      <c r="F42" s="38"/>
      <c r="G42" s="38"/>
      <c r="H42" s="17"/>
      <c r="I42" s="148"/>
    </row>
    <row r="43" spans="1:9" ht="15.75" thickBot="1" x14ac:dyDescent="0.3">
      <c r="A43" s="16"/>
      <c r="B43" s="39" t="s">
        <v>86</v>
      </c>
      <c r="C43" s="40"/>
      <c r="D43" s="40"/>
      <c r="E43" s="41">
        <f>SUM(E41:E42)</f>
        <v>0</v>
      </c>
      <c r="F43" s="41"/>
      <c r="G43" s="41">
        <f>SUM(G41:G42)</f>
        <v>0</v>
      </c>
      <c r="H43" s="15"/>
      <c r="I43" s="148"/>
    </row>
    <row r="44" spans="1:9" ht="15.75" x14ac:dyDescent="0.3">
      <c r="A44" s="2"/>
      <c r="B44" s="2"/>
      <c r="C44" s="3"/>
      <c r="D44" s="3"/>
      <c r="E44" s="671">
        <f>'Neraca '!H12</f>
        <v>0</v>
      </c>
      <c r="F44" s="103"/>
      <c r="G44" s="672">
        <f>'Neraca '!J12</f>
        <v>0</v>
      </c>
      <c r="H44" s="4"/>
    </row>
    <row r="45" spans="1:9" x14ac:dyDescent="0.25">
      <c r="A45" s="2"/>
      <c r="B45" s="10"/>
      <c r="C45" s="10"/>
      <c r="D45" s="10"/>
      <c r="E45" s="10"/>
      <c r="F45" s="10"/>
      <c r="G45" s="11"/>
      <c r="H45" s="10"/>
      <c r="I45" s="104"/>
    </row>
    <row r="46" spans="1:9" x14ac:dyDescent="0.25">
      <c r="A46" s="748" t="s">
        <v>578</v>
      </c>
      <c r="B46" s="748"/>
      <c r="C46" s="748"/>
      <c r="E46" s="697" t="s">
        <v>1062</v>
      </c>
      <c r="F46" s="697"/>
      <c r="G46" s="697"/>
      <c r="H46" s="697"/>
    </row>
    <row r="47" spans="1:9" x14ac:dyDescent="0.25">
      <c r="A47" s="749" t="s">
        <v>1083</v>
      </c>
      <c r="B47" s="749"/>
      <c r="C47" s="749"/>
      <c r="D47" s="124"/>
      <c r="E47" s="697" t="s">
        <v>680</v>
      </c>
      <c r="F47" s="697"/>
      <c r="G47" s="697"/>
      <c r="H47" s="697"/>
    </row>
    <row r="48" spans="1:9" x14ac:dyDescent="0.25">
      <c r="A48" s="172"/>
      <c r="B48" s="6"/>
      <c r="C48" s="173"/>
      <c r="D48" s="697"/>
      <c r="E48" s="697"/>
      <c r="F48" s="697"/>
      <c r="G48" s="697"/>
      <c r="H48" s="697"/>
    </row>
    <row r="49" spans="1:8" x14ac:dyDescent="0.25">
      <c r="A49" s="174"/>
      <c r="B49" s="6"/>
      <c r="C49" s="173"/>
      <c r="D49" s="697"/>
      <c r="E49" s="697"/>
      <c r="F49" s="697"/>
      <c r="G49" s="697"/>
      <c r="H49" s="697"/>
    </row>
    <row r="50" spans="1:8" x14ac:dyDescent="0.25">
      <c r="A50" s="749" t="s">
        <v>1078</v>
      </c>
      <c r="B50" s="749"/>
      <c r="C50" s="749"/>
      <c r="E50" s="697" t="s">
        <v>1039</v>
      </c>
      <c r="F50" s="697"/>
      <c r="G50" s="697"/>
      <c r="H50" s="697"/>
    </row>
    <row r="51" spans="1:8" ht="15.75" x14ac:dyDescent="0.3">
      <c r="A51" s="3"/>
      <c r="B51" s="10"/>
      <c r="C51" s="1"/>
      <c r="D51" s="1"/>
      <c r="E51" s="13"/>
      <c r="F51" s="13"/>
      <c r="G51" s="105"/>
      <c r="H51" s="10"/>
    </row>
    <row r="52" spans="1:8" x14ac:dyDescent="0.25">
      <c r="A52" s="171"/>
      <c r="B52" s="739"/>
      <c r="C52" s="739"/>
      <c r="D52" s="739"/>
      <c r="E52" s="739"/>
      <c r="F52" s="739"/>
      <c r="G52" s="739"/>
      <c r="H52" s="739"/>
    </row>
    <row r="53" spans="1:8" x14ac:dyDescent="0.25">
      <c r="A53" s="168"/>
      <c r="B53" s="739"/>
      <c r="C53" s="739"/>
      <c r="D53" s="739"/>
      <c r="E53" s="739"/>
      <c r="F53" s="739"/>
      <c r="G53" s="739"/>
      <c r="H53" s="739"/>
    </row>
    <row r="54" spans="1:8" ht="15.75" x14ac:dyDescent="0.3">
      <c r="A54" s="107"/>
      <c r="B54" s="739"/>
      <c r="C54" s="739"/>
      <c r="D54" s="739"/>
      <c r="E54" s="739"/>
      <c r="F54" s="739"/>
      <c r="G54" s="739"/>
      <c r="H54" s="739"/>
    </row>
    <row r="55" spans="1:8" x14ac:dyDescent="0.25">
      <c r="A55" s="106"/>
      <c r="B55" s="739"/>
      <c r="C55" s="739"/>
      <c r="D55" s="739"/>
      <c r="E55" s="739"/>
      <c r="F55" s="739"/>
      <c r="G55" s="739"/>
      <c r="H55" s="739"/>
    </row>
    <row r="56" spans="1:8" x14ac:dyDescent="0.25">
      <c r="A56" s="2"/>
      <c r="B56" s="10"/>
      <c r="C56" s="1"/>
      <c r="D56" s="1"/>
      <c r="E56" s="13"/>
      <c r="F56" s="13"/>
      <c r="G56" s="13"/>
      <c r="H56" s="10"/>
    </row>
    <row r="57" spans="1:8" x14ac:dyDescent="0.25">
      <c r="A57" s="2"/>
      <c r="B57" s="10"/>
      <c r="C57" s="1"/>
      <c r="D57" s="1"/>
      <c r="E57" s="13"/>
      <c r="F57" s="13"/>
      <c r="G57" s="104"/>
      <c r="H57" s="10"/>
    </row>
    <row r="58" spans="1:8" x14ac:dyDescent="0.25">
      <c r="A58" s="2"/>
      <c r="B58" s="10"/>
      <c r="C58" s="1"/>
      <c r="D58" s="1"/>
      <c r="E58" s="13"/>
      <c r="F58" s="13"/>
      <c r="G58" s="109"/>
      <c r="H58" s="10"/>
    </row>
    <row r="59" spans="1:8" ht="16.5" x14ac:dyDescent="0.3">
      <c r="A59" s="169"/>
      <c r="B59" s="169"/>
      <c r="C59" s="169"/>
      <c r="D59" s="169"/>
      <c r="E59" s="169"/>
      <c r="F59" s="169"/>
      <c r="G59" s="1"/>
      <c r="H59" s="170"/>
    </row>
    <row r="60" spans="1:8" x14ac:dyDescent="0.25">
      <c r="G60" s="44"/>
    </row>
    <row r="62" spans="1:8" x14ac:dyDescent="0.25">
      <c r="B62" s="673" t="s">
        <v>1071</v>
      </c>
      <c r="C62" s="590" t="s">
        <v>891</v>
      </c>
    </row>
    <row r="63" spans="1:8" x14ac:dyDescent="0.25">
      <c r="B63" s="669"/>
    </row>
    <row r="64" spans="1:8" x14ac:dyDescent="0.25">
      <c r="A64" s="25"/>
      <c r="B64" s="24"/>
      <c r="C64" s="24"/>
      <c r="D64" s="24"/>
      <c r="E64" s="101"/>
      <c r="F64" s="101"/>
      <c r="G64" s="101"/>
      <c r="H64" s="23"/>
    </row>
    <row r="65" spans="1:8" x14ac:dyDescent="0.25">
      <c r="A65" s="741" t="s">
        <v>650</v>
      </c>
      <c r="B65" s="742"/>
      <c r="C65" s="742"/>
      <c r="D65" s="742"/>
      <c r="E65" s="742"/>
      <c r="F65" s="742"/>
      <c r="G65" s="742"/>
      <c r="H65" s="743"/>
    </row>
    <row r="66" spans="1:8" x14ac:dyDescent="0.25">
      <c r="A66" s="741" t="s">
        <v>107</v>
      </c>
      <c r="B66" s="742"/>
      <c r="C66" s="742"/>
      <c r="D66" s="742"/>
      <c r="E66" s="742"/>
      <c r="F66" s="742"/>
      <c r="G66" s="742"/>
      <c r="H66" s="743"/>
    </row>
    <row r="67" spans="1:8" x14ac:dyDescent="0.25">
      <c r="A67" s="18"/>
      <c r="B67" s="20"/>
      <c r="C67" s="20"/>
      <c r="D67" s="20"/>
      <c r="E67" s="26"/>
      <c r="F67" s="26"/>
      <c r="G67" s="26"/>
      <c r="H67" s="19"/>
    </row>
    <row r="68" spans="1:8" x14ac:dyDescent="0.25">
      <c r="A68" s="9"/>
      <c r="B68" s="744" t="s">
        <v>15</v>
      </c>
      <c r="C68" s="745"/>
      <c r="D68" s="26"/>
      <c r="E68" s="27" t="s">
        <v>1087</v>
      </c>
      <c r="F68" s="26"/>
      <c r="G68" s="27" t="s">
        <v>1042</v>
      </c>
      <c r="H68" s="19"/>
    </row>
    <row r="69" spans="1:8" x14ac:dyDescent="0.25">
      <c r="A69" s="22"/>
      <c r="B69" s="746"/>
      <c r="C69" s="747"/>
      <c r="D69" s="26"/>
      <c r="E69" s="28" t="s">
        <v>22</v>
      </c>
      <c r="F69" s="26"/>
      <c r="G69" s="28" t="s">
        <v>22</v>
      </c>
      <c r="H69" s="19"/>
    </row>
    <row r="70" spans="1:8" x14ac:dyDescent="0.25">
      <c r="A70" s="18"/>
      <c r="B70" s="26"/>
      <c r="C70" s="26"/>
      <c r="D70" s="26"/>
      <c r="E70" s="26"/>
      <c r="F70" s="26"/>
      <c r="G70" s="26"/>
      <c r="H70" s="19"/>
    </row>
    <row r="71" spans="1:8" x14ac:dyDescent="0.25">
      <c r="A71" s="18"/>
      <c r="B71" s="29" t="s">
        <v>17</v>
      </c>
      <c r="C71" s="26"/>
      <c r="D71" s="26"/>
      <c r="E71" s="30"/>
      <c r="F71" s="30"/>
      <c r="G71" s="30"/>
      <c r="H71" s="19"/>
    </row>
    <row r="72" spans="1:8" x14ac:dyDescent="0.25">
      <c r="A72" s="18"/>
      <c r="B72" s="26"/>
      <c r="C72" s="31" t="s">
        <v>106</v>
      </c>
      <c r="D72" s="26"/>
      <c r="E72" s="32">
        <f>'Neraca '!H132</f>
        <v>0</v>
      </c>
      <c r="F72" s="33"/>
      <c r="G72" s="32">
        <v>0</v>
      </c>
      <c r="H72" s="19"/>
    </row>
    <row r="73" spans="1:8" x14ac:dyDescent="0.25">
      <c r="A73" s="18"/>
      <c r="B73" s="26" t="s">
        <v>105</v>
      </c>
      <c r="C73" s="26"/>
      <c r="D73" s="26"/>
      <c r="F73" s="30"/>
      <c r="H73" s="19"/>
    </row>
    <row r="74" spans="1:8" x14ac:dyDescent="0.25">
      <c r="A74" s="18"/>
      <c r="B74" s="26"/>
      <c r="C74" s="26" t="s">
        <v>104</v>
      </c>
      <c r="D74" s="26"/>
      <c r="E74" s="8">
        <f>'Neraca '!L105+'Neraca '!L109</f>
        <v>0</v>
      </c>
      <c r="F74" s="30"/>
      <c r="G74" s="8">
        <v>0</v>
      </c>
      <c r="H74" s="19"/>
    </row>
    <row r="75" spans="1:8" x14ac:dyDescent="0.25">
      <c r="A75" s="18"/>
      <c r="B75" s="26"/>
      <c r="C75" s="26" t="s">
        <v>103</v>
      </c>
      <c r="D75" s="26"/>
      <c r="E75" s="8">
        <f>-'Neraca '!L131+'Neraca '!L96</f>
        <v>0</v>
      </c>
      <c r="F75" s="30"/>
      <c r="G75" s="44">
        <v>0</v>
      </c>
      <c r="H75" s="19"/>
    </row>
    <row r="76" spans="1:8" x14ac:dyDescent="0.25">
      <c r="A76" s="18"/>
      <c r="B76" s="31" t="s">
        <v>102</v>
      </c>
      <c r="C76" s="31"/>
      <c r="D76" s="31"/>
      <c r="E76" s="34">
        <f>SUM(E72:E75)</f>
        <v>0</v>
      </c>
      <c r="F76" s="33"/>
      <c r="G76" s="34">
        <f>SUM(G72:G75)</f>
        <v>0</v>
      </c>
      <c r="H76" s="19"/>
    </row>
    <row r="77" spans="1:8" x14ac:dyDescent="0.25">
      <c r="A77" s="18"/>
      <c r="B77" s="26"/>
      <c r="C77" s="26" t="s">
        <v>101</v>
      </c>
      <c r="D77" s="26"/>
      <c r="E77" s="8">
        <f>'Neraca '!L95</f>
        <v>0</v>
      </c>
      <c r="F77" s="30"/>
      <c r="G77" s="8">
        <v>0</v>
      </c>
      <c r="H77" s="19"/>
    </row>
    <row r="78" spans="1:8" x14ac:dyDescent="0.25">
      <c r="A78" s="18"/>
      <c r="B78" s="26"/>
      <c r="C78" s="26" t="s">
        <v>100</v>
      </c>
      <c r="D78" s="26"/>
      <c r="E78" s="8">
        <f>'Neraca '!L98</f>
        <v>0</v>
      </c>
      <c r="F78" s="30"/>
      <c r="G78" s="8">
        <v>0</v>
      </c>
      <c r="H78" s="19"/>
    </row>
    <row r="79" spans="1:8" x14ac:dyDescent="0.25">
      <c r="A79" s="18"/>
      <c r="B79" s="26"/>
      <c r="C79" s="26" t="s">
        <v>99</v>
      </c>
      <c r="D79" s="26"/>
      <c r="E79" s="8">
        <f>'Neraca '!L99</f>
        <v>0</v>
      </c>
      <c r="F79" s="30"/>
      <c r="G79" s="8">
        <v>0</v>
      </c>
      <c r="H79" s="19"/>
    </row>
    <row r="80" spans="1:8" x14ac:dyDescent="0.25">
      <c r="A80" s="18"/>
      <c r="B80" s="26"/>
      <c r="C80" s="26" t="s">
        <v>98</v>
      </c>
      <c r="D80" s="26"/>
      <c r="E80" s="8"/>
      <c r="F80" s="30"/>
      <c r="G80" s="111">
        <v>0</v>
      </c>
      <c r="H80" s="19"/>
    </row>
    <row r="81" spans="1:8" x14ac:dyDescent="0.25">
      <c r="A81" s="18"/>
      <c r="B81" s="26"/>
      <c r="C81" s="26" t="s">
        <v>648</v>
      </c>
      <c r="D81" s="26"/>
      <c r="E81" s="8"/>
      <c r="F81" s="30"/>
      <c r="G81" s="645">
        <v>0</v>
      </c>
      <c r="H81" s="19"/>
    </row>
    <row r="82" spans="1:8" x14ac:dyDescent="0.25">
      <c r="A82" s="18"/>
      <c r="B82" s="26"/>
      <c r="C82" s="26" t="s">
        <v>97</v>
      </c>
      <c r="D82" s="26"/>
      <c r="E82" s="44"/>
      <c r="F82" s="30"/>
      <c r="G82" s="44"/>
      <c r="H82" s="19"/>
    </row>
    <row r="83" spans="1:8" x14ac:dyDescent="0.25">
      <c r="A83" s="18"/>
      <c r="B83" s="26"/>
      <c r="C83" s="26" t="s">
        <v>647</v>
      </c>
      <c r="D83" s="26"/>
      <c r="E83" s="8">
        <f>-'Neraca '!L124</f>
        <v>0</v>
      </c>
      <c r="F83" s="30"/>
      <c r="G83" s="44">
        <v>0</v>
      </c>
      <c r="H83" s="19"/>
    </row>
    <row r="84" spans="1:8" x14ac:dyDescent="0.25">
      <c r="A84" s="18"/>
      <c r="B84" s="26"/>
      <c r="C84" s="26" t="s">
        <v>290</v>
      </c>
      <c r="D84" s="26"/>
      <c r="E84" s="8">
        <f>-'Neraca '!L123</f>
        <v>0</v>
      </c>
      <c r="F84" s="30"/>
      <c r="G84" s="96"/>
      <c r="H84" s="19"/>
    </row>
    <row r="85" spans="1:8" x14ac:dyDescent="0.25">
      <c r="A85" s="18"/>
      <c r="B85" s="26"/>
      <c r="C85" s="26" t="s">
        <v>96</v>
      </c>
      <c r="D85" s="26"/>
      <c r="E85" s="8"/>
      <c r="F85" s="30"/>
      <c r="G85" s="8"/>
      <c r="H85" s="19"/>
    </row>
    <row r="86" spans="1:8" x14ac:dyDescent="0.25">
      <c r="A86" s="18"/>
      <c r="B86" s="26"/>
      <c r="C86" s="26" t="s">
        <v>95</v>
      </c>
      <c r="D86" s="26"/>
      <c r="F86" s="30"/>
      <c r="H86" s="19"/>
    </row>
    <row r="87" spans="1:8" x14ac:dyDescent="0.25">
      <c r="A87" s="18"/>
      <c r="B87" s="26"/>
      <c r="C87" s="26" t="s">
        <v>94</v>
      </c>
      <c r="D87" s="26"/>
      <c r="F87" s="30"/>
      <c r="H87" s="19"/>
    </row>
    <row r="88" spans="1:8" x14ac:dyDescent="0.25">
      <c r="A88" s="18"/>
      <c r="B88" s="26"/>
      <c r="C88" s="26" t="s">
        <v>93</v>
      </c>
      <c r="D88" s="26"/>
      <c r="F88" s="30"/>
      <c r="H88" s="19"/>
    </row>
    <row r="89" spans="1:8" x14ac:dyDescent="0.25">
      <c r="A89" s="18"/>
      <c r="B89" s="26"/>
      <c r="C89" s="26" t="s">
        <v>92</v>
      </c>
      <c r="D89" s="26"/>
      <c r="F89" s="30"/>
      <c r="H89" s="19"/>
    </row>
    <row r="90" spans="1:8" x14ac:dyDescent="0.25">
      <c r="A90" s="18"/>
      <c r="B90" s="26"/>
      <c r="C90" s="35" t="s">
        <v>18</v>
      </c>
      <c r="D90" s="35"/>
      <c r="E90" s="34">
        <f>SUM(E76:E89)</f>
        <v>0</v>
      </c>
      <c r="F90" s="36"/>
      <c r="G90" s="34">
        <f>SUM(G76:G89)</f>
        <v>0</v>
      </c>
      <c r="H90" s="19"/>
    </row>
    <row r="91" spans="1:8" x14ac:dyDescent="0.25">
      <c r="A91" s="18"/>
      <c r="B91" s="29" t="s">
        <v>19</v>
      </c>
      <c r="C91" s="26"/>
      <c r="D91" s="26"/>
      <c r="F91" s="30"/>
      <c r="H91" s="19"/>
    </row>
    <row r="92" spans="1:8" x14ac:dyDescent="0.25">
      <c r="A92" s="18"/>
      <c r="B92" s="26"/>
      <c r="C92" s="26" t="s">
        <v>91</v>
      </c>
      <c r="D92" s="26"/>
      <c r="E92" s="8">
        <f>'Neraca '!L104</f>
        <v>0</v>
      </c>
      <c r="F92" s="30"/>
      <c r="G92" s="8">
        <v>0</v>
      </c>
      <c r="H92" s="19"/>
    </row>
    <row r="93" spans="1:8" x14ac:dyDescent="0.25">
      <c r="A93" s="18"/>
      <c r="B93" s="26"/>
      <c r="C93" s="26" t="s">
        <v>90</v>
      </c>
      <c r="D93" s="26"/>
      <c r="F93" s="30"/>
      <c r="G93" s="111"/>
      <c r="H93" s="19"/>
    </row>
    <row r="94" spans="1:8" x14ac:dyDescent="0.25">
      <c r="A94" s="18"/>
      <c r="B94" s="26"/>
      <c r="C94" s="26" t="s">
        <v>301</v>
      </c>
      <c r="D94" s="26"/>
      <c r="E94" s="8">
        <f>'Neraca '!L91</f>
        <v>0</v>
      </c>
      <c r="F94" s="30"/>
      <c r="H94" s="19"/>
    </row>
    <row r="95" spans="1:8" x14ac:dyDescent="0.25">
      <c r="A95" s="18"/>
      <c r="B95" s="26"/>
      <c r="C95" s="35" t="s">
        <v>89</v>
      </c>
      <c r="D95" s="31"/>
      <c r="E95" s="37">
        <f>SUM(E92:E94)</f>
        <v>0</v>
      </c>
      <c r="F95" s="36"/>
      <c r="G95" s="37">
        <f>SUM(G92:G94)</f>
        <v>0</v>
      </c>
      <c r="H95" s="19"/>
    </row>
    <row r="96" spans="1:8" x14ac:dyDescent="0.25">
      <c r="A96" s="18"/>
      <c r="B96" s="29" t="s">
        <v>20</v>
      </c>
      <c r="C96" s="26"/>
      <c r="D96" s="26"/>
      <c r="F96" s="30"/>
      <c r="G96" s="96"/>
      <c r="H96" s="19"/>
    </row>
    <row r="97" spans="1:9" x14ac:dyDescent="0.25">
      <c r="A97" s="18"/>
      <c r="B97" s="29"/>
      <c r="C97" s="26" t="s">
        <v>267</v>
      </c>
      <c r="D97" s="26"/>
      <c r="F97" s="30"/>
      <c r="G97" s="96"/>
      <c r="H97" s="19"/>
    </row>
    <row r="98" spans="1:9" x14ac:dyDescent="0.25">
      <c r="A98" s="18"/>
      <c r="B98" s="26"/>
      <c r="C98" s="26" t="s">
        <v>292</v>
      </c>
      <c r="D98" s="26"/>
      <c r="E98" s="8"/>
      <c r="F98" s="30"/>
      <c r="G98" s="96"/>
      <c r="H98" s="21"/>
    </row>
    <row r="99" spans="1:9" x14ac:dyDescent="0.25">
      <c r="A99" s="18"/>
      <c r="B99" s="26"/>
      <c r="C99" s="26" t="s">
        <v>282</v>
      </c>
      <c r="D99" s="26"/>
      <c r="E99" s="8"/>
      <c r="F99" s="30"/>
      <c r="G99" s="96"/>
      <c r="H99" s="19"/>
    </row>
    <row r="100" spans="1:9" x14ac:dyDescent="0.25">
      <c r="A100" s="18"/>
      <c r="B100" s="26"/>
      <c r="C100" s="35" t="s">
        <v>21</v>
      </c>
      <c r="D100" s="26"/>
      <c r="E100" s="42">
        <f>SUM(E98:E99)</f>
        <v>0</v>
      </c>
      <c r="F100" s="38"/>
      <c r="G100" s="42">
        <f>SUM(G97:G99)</f>
        <v>0</v>
      </c>
      <c r="H100" s="19"/>
    </row>
    <row r="101" spans="1:9" x14ac:dyDescent="0.25">
      <c r="A101" s="18"/>
      <c r="B101" s="26"/>
      <c r="C101" s="29"/>
      <c r="D101" s="26"/>
      <c r="F101" s="30"/>
      <c r="H101" s="19"/>
    </row>
    <row r="102" spans="1:9" x14ac:dyDescent="0.25">
      <c r="A102" s="18"/>
      <c r="B102" s="29" t="s">
        <v>88</v>
      </c>
      <c r="C102" s="26"/>
      <c r="D102" s="26"/>
      <c r="E102" s="38">
        <f>E90+E95+E100</f>
        <v>0</v>
      </c>
      <c r="F102" s="38"/>
      <c r="G102" s="38">
        <f>G90+G95+G100</f>
        <v>0</v>
      </c>
      <c r="H102" s="17"/>
    </row>
    <row r="103" spans="1:9" x14ac:dyDescent="0.25">
      <c r="A103" s="18"/>
      <c r="B103" s="29" t="s">
        <v>87</v>
      </c>
      <c r="C103" s="26"/>
      <c r="D103" s="26"/>
      <c r="E103" s="38">
        <f>G104</f>
        <v>0</v>
      </c>
      <c r="F103" s="38"/>
      <c r="G103" s="38">
        <v>0</v>
      </c>
      <c r="H103" s="17"/>
    </row>
    <row r="104" spans="1:9" ht="15.75" thickBot="1" x14ac:dyDescent="0.3">
      <c r="A104" s="16"/>
      <c r="B104" s="39" t="s">
        <v>86</v>
      </c>
      <c r="C104" s="40"/>
      <c r="D104" s="40"/>
      <c r="E104" s="41">
        <f>SUM(E102:E103)</f>
        <v>0</v>
      </c>
      <c r="F104" s="41"/>
      <c r="G104" s="41">
        <f>SUM(G102:G103)</f>
        <v>0</v>
      </c>
      <c r="H104" s="15"/>
    </row>
    <row r="105" spans="1:9" ht="15.75" x14ac:dyDescent="0.3">
      <c r="A105" s="2"/>
      <c r="B105" s="2"/>
      <c r="C105" s="3"/>
      <c r="D105" s="3"/>
      <c r="E105" s="671">
        <f>'Neraca '!H93</f>
        <v>0</v>
      </c>
      <c r="F105" s="674"/>
      <c r="G105" s="672">
        <f>'Neraca '!J93</f>
        <v>0</v>
      </c>
      <c r="H105" s="4"/>
      <c r="I105" s="100"/>
    </row>
    <row r="106" spans="1:9" x14ac:dyDescent="0.25">
      <c r="A106" s="748" t="s">
        <v>578</v>
      </c>
      <c r="B106" s="748"/>
      <c r="C106" s="748"/>
      <c r="E106" s="697" t="s">
        <v>1062</v>
      </c>
      <c r="F106" s="697"/>
      <c r="G106" s="697"/>
      <c r="H106" s="697"/>
      <c r="I106" s="100"/>
    </row>
    <row r="107" spans="1:9" x14ac:dyDescent="0.25">
      <c r="A107" s="749" t="s">
        <v>1083</v>
      </c>
      <c r="B107" s="749"/>
      <c r="C107" s="749"/>
      <c r="D107" s="124"/>
      <c r="E107" s="697" t="s">
        <v>680</v>
      </c>
      <c r="F107" s="697"/>
      <c r="G107" s="697"/>
      <c r="H107" s="697"/>
      <c r="I107" s="108">
        <f>E104-E105</f>
        <v>0</v>
      </c>
    </row>
    <row r="108" spans="1:9" x14ac:dyDescent="0.25">
      <c r="A108" s="172"/>
      <c r="B108" s="6"/>
      <c r="C108" s="173"/>
      <c r="D108" s="697"/>
      <c r="E108" s="697"/>
      <c r="F108" s="697"/>
      <c r="G108" s="697"/>
      <c r="H108" s="697"/>
    </row>
    <row r="109" spans="1:9" x14ac:dyDescent="0.25">
      <c r="A109" s="174"/>
      <c r="B109" s="6"/>
      <c r="C109" s="173"/>
      <c r="D109" s="697"/>
      <c r="E109" s="697"/>
      <c r="F109" s="697"/>
      <c r="G109" s="697"/>
      <c r="H109" s="697"/>
    </row>
    <row r="110" spans="1:9" x14ac:dyDescent="0.25">
      <c r="A110" s="749" t="s">
        <v>1084</v>
      </c>
      <c r="B110" s="749"/>
      <c r="C110" s="749"/>
      <c r="E110" s="697" t="s">
        <v>1039</v>
      </c>
      <c r="F110" s="697"/>
      <c r="G110" s="697"/>
      <c r="H110" s="697"/>
    </row>
    <row r="111" spans="1:9" ht="15.75" x14ac:dyDescent="0.3">
      <c r="A111" s="3"/>
      <c r="B111" s="10"/>
      <c r="C111" s="1"/>
      <c r="D111" s="1"/>
      <c r="E111" s="13"/>
      <c r="F111" s="13"/>
      <c r="G111" s="105"/>
      <c r="H111" s="10"/>
    </row>
    <row r="112" spans="1:9" x14ac:dyDescent="0.25">
      <c r="A112" s="171"/>
      <c r="B112" s="739"/>
      <c r="C112" s="739"/>
      <c r="D112" s="739"/>
      <c r="E112" s="739"/>
      <c r="F112" s="739"/>
      <c r="G112" s="739"/>
      <c r="H112" s="739"/>
    </row>
    <row r="113" spans="1:8" x14ac:dyDescent="0.25">
      <c r="A113" s="168"/>
      <c r="B113" s="739"/>
      <c r="C113" s="739"/>
      <c r="D113" s="739"/>
      <c r="E113" s="739"/>
      <c r="F113" s="739"/>
      <c r="G113" s="739"/>
      <c r="H113" s="739"/>
    </row>
    <row r="114" spans="1:8" ht="15.75" x14ac:dyDescent="0.3">
      <c r="A114" s="107"/>
      <c r="B114" s="739"/>
      <c r="C114" s="739"/>
      <c r="D114" s="739"/>
      <c r="E114" s="739"/>
      <c r="F114" s="739"/>
      <c r="G114" s="739"/>
      <c r="H114" s="739"/>
    </row>
    <row r="115" spans="1:8" x14ac:dyDescent="0.25">
      <c r="A115" s="106"/>
      <c r="B115" s="739"/>
      <c r="C115" s="739"/>
      <c r="D115" s="739"/>
      <c r="E115" s="739"/>
      <c r="F115" s="739"/>
      <c r="G115" s="739"/>
      <c r="H115" s="739"/>
    </row>
    <row r="116" spans="1:8" x14ac:dyDescent="0.25">
      <c r="A116" s="2"/>
      <c r="B116" s="10"/>
      <c r="C116" s="1"/>
      <c r="D116" s="1"/>
      <c r="E116" s="13"/>
      <c r="F116" s="13"/>
      <c r="G116" s="108"/>
      <c r="H116" s="10"/>
    </row>
    <row r="117" spans="1:8" x14ac:dyDescent="0.25">
      <c r="A117" s="2"/>
      <c r="B117" s="10"/>
      <c r="C117" s="1"/>
      <c r="D117" s="1"/>
      <c r="E117" s="13"/>
      <c r="F117" s="13"/>
      <c r="G117" s="104"/>
      <c r="H117" s="10"/>
    </row>
    <row r="118" spans="1:8" x14ac:dyDescent="0.25">
      <c r="A118" s="2"/>
      <c r="B118" s="10"/>
      <c r="C118" s="1"/>
      <c r="D118" s="1"/>
      <c r="E118" s="13"/>
      <c r="F118" s="13"/>
      <c r="G118" s="109"/>
      <c r="H118" s="10"/>
    </row>
    <row r="119" spans="1:8" x14ac:dyDescent="0.25">
      <c r="A119" s="2"/>
      <c r="B119" s="10"/>
      <c r="C119" s="1"/>
      <c r="D119" s="1"/>
      <c r="E119" s="13"/>
      <c r="F119" s="13"/>
      <c r="G119" s="106"/>
      <c r="H119" s="10"/>
    </row>
    <row r="120" spans="1:8" x14ac:dyDescent="0.25">
      <c r="A120" s="2"/>
      <c r="B120" s="2"/>
      <c r="C120" s="2"/>
      <c r="D120" s="2"/>
      <c r="E120" s="106"/>
      <c r="F120" s="106"/>
      <c r="G120" s="13"/>
      <c r="H120" s="14"/>
    </row>
    <row r="125" spans="1:8" x14ac:dyDescent="0.25">
      <c r="B125" s="673" t="s">
        <v>890</v>
      </c>
      <c r="C125" s="590" t="s">
        <v>891</v>
      </c>
    </row>
    <row r="126" spans="1:8" x14ac:dyDescent="0.25">
      <c r="B126" s="175"/>
    </row>
    <row r="127" spans="1:8" x14ac:dyDescent="0.25">
      <c r="A127" s="25"/>
      <c r="B127" s="24"/>
      <c r="C127" s="24"/>
      <c r="D127" s="24"/>
      <c r="E127" s="101"/>
      <c r="F127" s="101"/>
      <c r="G127" s="101"/>
      <c r="H127" s="23"/>
    </row>
    <row r="128" spans="1:8" x14ac:dyDescent="0.25">
      <c r="A128" s="741" t="s">
        <v>650</v>
      </c>
      <c r="B128" s="742"/>
      <c r="C128" s="742"/>
      <c r="D128" s="742"/>
      <c r="E128" s="742"/>
      <c r="F128" s="742"/>
      <c r="G128" s="742"/>
      <c r="H128" s="743"/>
    </row>
    <row r="129" spans="1:8" x14ac:dyDescent="0.25">
      <c r="A129" s="741" t="s">
        <v>107</v>
      </c>
      <c r="B129" s="742"/>
      <c r="C129" s="742"/>
      <c r="D129" s="742"/>
      <c r="E129" s="742"/>
      <c r="F129" s="742"/>
      <c r="G129" s="742"/>
      <c r="H129" s="743"/>
    </row>
    <row r="130" spans="1:8" x14ac:dyDescent="0.25">
      <c r="A130" s="18"/>
      <c r="B130" s="20"/>
      <c r="C130" s="20"/>
      <c r="D130" s="20"/>
      <c r="E130" s="26"/>
      <c r="F130" s="26"/>
      <c r="G130" s="26"/>
      <c r="H130" s="19"/>
    </row>
    <row r="131" spans="1:8" x14ac:dyDescent="0.25">
      <c r="A131" s="9"/>
      <c r="B131" s="744" t="s">
        <v>15</v>
      </c>
      <c r="C131" s="745"/>
      <c r="D131" s="26"/>
      <c r="E131" s="27" t="s">
        <v>1069</v>
      </c>
      <c r="F131" s="26"/>
      <c r="G131" s="27" t="s">
        <v>1042</v>
      </c>
      <c r="H131" s="19"/>
    </row>
    <row r="132" spans="1:8" x14ac:dyDescent="0.25">
      <c r="A132" s="22"/>
      <c r="B132" s="746"/>
      <c r="C132" s="747"/>
      <c r="D132" s="26"/>
      <c r="E132" s="28" t="s">
        <v>22</v>
      </c>
      <c r="F132" s="26"/>
      <c r="G132" s="28" t="s">
        <v>22</v>
      </c>
      <c r="H132" s="19"/>
    </row>
    <row r="133" spans="1:8" x14ac:dyDescent="0.25">
      <c r="A133" s="18"/>
      <c r="B133" s="26"/>
      <c r="C133" s="26"/>
      <c r="D133" s="26"/>
      <c r="E133" s="26"/>
      <c r="F133" s="26"/>
      <c r="G133" s="26"/>
      <c r="H133" s="19"/>
    </row>
    <row r="134" spans="1:8" x14ac:dyDescent="0.25">
      <c r="A134" s="18"/>
      <c r="B134" s="29" t="s">
        <v>17</v>
      </c>
      <c r="C134" s="26"/>
      <c r="D134" s="26"/>
      <c r="E134" s="30"/>
      <c r="F134" s="30"/>
      <c r="G134" s="30"/>
      <c r="H134" s="19"/>
    </row>
    <row r="135" spans="1:8" x14ac:dyDescent="0.25">
      <c r="A135" s="18"/>
      <c r="B135" s="26"/>
      <c r="C135" s="31" t="s">
        <v>106</v>
      </c>
      <c r="D135" s="26"/>
      <c r="E135" s="32">
        <f>'Neraca '!H215</f>
        <v>0</v>
      </c>
      <c r="F135" s="33"/>
      <c r="G135" s="32">
        <v>0</v>
      </c>
      <c r="H135" s="19"/>
    </row>
    <row r="136" spans="1:8" x14ac:dyDescent="0.25">
      <c r="A136" s="18"/>
      <c r="B136" s="26" t="s">
        <v>105</v>
      </c>
      <c r="C136" s="26"/>
      <c r="D136" s="26"/>
      <c r="F136" s="30"/>
      <c r="H136" s="19"/>
    </row>
    <row r="137" spans="1:8" x14ac:dyDescent="0.25">
      <c r="A137" s="18"/>
      <c r="B137" s="26"/>
      <c r="C137" s="26" t="s">
        <v>104</v>
      </c>
      <c r="D137" s="26"/>
      <c r="E137" s="8">
        <f>'Neraca '!L188+'Neraca '!L192</f>
        <v>0</v>
      </c>
      <c r="F137" s="30"/>
      <c r="G137" s="8">
        <v>0</v>
      </c>
      <c r="H137" s="19"/>
    </row>
    <row r="138" spans="1:8" x14ac:dyDescent="0.25">
      <c r="A138" s="18"/>
      <c r="B138" s="26"/>
      <c r="C138" s="26" t="s">
        <v>103</v>
      </c>
      <c r="D138" s="26"/>
      <c r="E138" s="8"/>
      <c r="F138" s="30"/>
      <c r="G138" s="44">
        <v>0</v>
      </c>
      <c r="H138" s="19"/>
    </row>
    <row r="139" spans="1:8" x14ac:dyDescent="0.25">
      <c r="A139" s="18"/>
      <c r="B139" s="31" t="s">
        <v>102</v>
      </c>
      <c r="C139" s="31"/>
      <c r="D139" s="31"/>
      <c r="E139" s="34">
        <f>SUM(E135:E138)</f>
        <v>0</v>
      </c>
      <c r="F139" s="33"/>
      <c r="G139" s="34">
        <f>SUM(G135:G138)</f>
        <v>0</v>
      </c>
      <c r="H139" s="19"/>
    </row>
    <row r="140" spans="1:8" x14ac:dyDescent="0.25">
      <c r="A140" s="18"/>
      <c r="B140" s="26"/>
      <c r="C140" s="26" t="s">
        <v>101</v>
      </c>
      <c r="D140" s="26"/>
      <c r="E140" s="8">
        <f>'Neraca '!L180</f>
        <v>0</v>
      </c>
      <c r="F140" s="30"/>
      <c r="G140" s="8">
        <v>0</v>
      </c>
      <c r="H140" s="19"/>
    </row>
    <row r="141" spans="1:8" x14ac:dyDescent="0.25">
      <c r="A141" s="18"/>
      <c r="B141" s="26"/>
      <c r="C141" s="26" t="s">
        <v>100</v>
      </c>
      <c r="D141" s="26"/>
      <c r="E141" s="8">
        <f>'Neraca '!L181</f>
        <v>0</v>
      </c>
      <c r="F141" s="30"/>
      <c r="G141" s="8">
        <v>0</v>
      </c>
      <c r="H141" s="19"/>
    </row>
    <row r="142" spans="1:8" x14ac:dyDescent="0.25">
      <c r="A142" s="18"/>
      <c r="B142" s="26"/>
      <c r="C142" s="26" t="s">
        <v>99</v>
      </c>
      <c r="D142" s="26"/>
      <c r="E142" s="8">
        <f>'Neraca '!L182</f>
        <v>0</v>
      </c>
      <c r="F142" s="30"/>
      <c r="G142" s="8">
        <v>0</v>
      </c>
      <c r="H142" s="19"/>
    </row>
    <row r="143" spans="1:8" x14ac:dyDescent="0.25">
      <c r="A143" s="18"/>
      <c r="B143" s="26"/>
      <c r="C143" s="26" t="s">
        <v>98</v>
      </c>
      <c r="D143" s="26"/>
      <c r="E143" s="8"/>
      <c r="F143" s="30"/>
      <c r="G143" s="111"/>
      <c r="H143" s="19"/>
    </row>
    <row r="144" spans="1:8" x14ac:dyDescent="0.25">
      <c r="A144" s="18"/>
      <c r="B144" s="26"/>
      <c r="C144" s="26" t="s">
        <v>648</v>
      </c>
      <c r="D144" s="26"/>
      <c r="E144" s="8">
        <f>'Neraca '!L208</f>
        <v>0</v>
      </c>
      <c r="F144" s="30"/>
      <c r="G144" s="645">
        <v>0</v>
      </c>
      <c r="H144" s="19"/>
    </row>
    <row r="145" spans="1:8" x14ac:dyDescent="0.25">
      <c r="A145" s="18"/>
      <c r="B145" s="26"/>
      <c r="C145" s="26" t="s">
        <v>97</v>
      </c>
      <c r="D145" s="26"/>
      <c r="F145" s="30"/>
      <c r="G145" s="44"/>
      <c r="H145" s="19"/>
    </row>
    <row r="146" spans="1:8" x14ac:dyDescent="0.25">
      <c r="A146" s="18"/>
      <c r="B146" s="26"/>
      <c r="C146" s="26" t="s">
        <v>647</v>
      </c>
      <c r="D146" s="26"/>
      <c r="E146" s="8">
        <f>-'Neraca '!L207</f>
        <v>0</v>
      </c>
      <c r="F146" s="30"/>
      <c r="G146" s="44">
        <v>0</v>
      </c>
      <c r="H146" s="19"/>
    </row>
    <row r="147" spans="1:8" x14ac:dyDescent="0.25">
      <c r="A147" s="18"/>
      <c r="B147" s="26"/>
      <c r="C147" s="26" t="s">
        <v>290</v>
      </c>
      <c r="D147" s="26"/>
      <c r="E147" s="8">
        <f>-'Neraca '!L206</f>
        <v>0</v>
      </c>
      <c r="F147" s="30"/>
      <c r="G147" s="96"/>
      <c r="H147" s="19"/>
    </row>
    <row r="148" spans="1:8" x14ac:dyDescent="0.25">
      <c r="A148" s="18"/>
      <c r="B148" s="26"/>
      <c r="C148" s="26" t="s">
        <v>96</v>
      </c>
      <c r="D148" s="26"/>
      <c r="E148" s="8"/>
      <c r="F148" s="30"/>
      <c r="G148" s="8"/>
      <c r="H148" s="19"/>
    </row>
    <row r="149" spans="1:8" x14ac:dyDescent="0.25">
      <c r="A149" s="18"/>
      <c r="B149" s="26"/>
      <c r="C149" s="26" t="s">
        <v>95</v>
      </c>
      <c r="D149" s="26"/>
      <c r="F149" s="30"/>
      <c r="H149" s="19"/>
    </row>
    <row r="150" spans="1:8" x14ac:dyDescent="0.25">
      <c r="A150" s="18"/>
      <c r="B150" s="26"/>
      <c r="C150" s="26" t="s">
        <v>94</v>
      </c>
      <c r="D150" s="26"/>
      <c r="F150" s="30"/>
      <c r="H150" s="19"/>
    </row>
    <row r="151" spans="1:8" x14ac:dyDescent="0.25">
      <c r="A151" s="18"/>
      <c r="B151" s="26"/>
      <c r="C151" s="26" t="s">
        <v>93</v>
      </c>
      <c r="D151" s="26"/>
      <c r="F151" s="30"/>
      <c r="H151" s="19"/>
    </row>
    <row r="152" spans="1:8" x14ac:dyDescent="0.25">
      <c r="A152" s="18"/>
      <c r="B152" s="26"/>
      <c r="C152" s="26" t="s">
        <v>92</v>
      </c>
      <c r="D152" s="26"/>
      <c r="F152" s="30"/>
      <c r="H152" s="19"/>
    </row>
    <row r="153" spans="1:8" x14ac:dyDescent="0.25">
      <c r="A153" s="18"/>
      <c r="B153" s="26"/>
      <c r="C153" s="35" t="s">
        <v>18</v>
      </c>
      <c r="D153" s="35"/>
      <c r="E153" s="34">
        <f>SUM(E139:E152)</f>
        <v>0</v>
      </c>
      <c r="F153" s="36"/>
      <c r="G153" s="34">
        <f>SUM(G139:G152)</f>
        <v>0</v>
      </c>
      <c r="H153" s="19"/>
    </row>
    <row r="154" spans="1:8" x14ac:dyDescent="0.25">
      <c r="A154" s="18"/>
      <c r="B154" s="29" t="s">
        <v>19</v>
      </c>
      <c r="C154" s="26"/>
      <c r="D154" s="26"/>
      <c r="F154" s="30"/>
      <c r="H154" s="19"/>
    </row>
    <row r="155" spans="1:8" x14ac:dyDescent="0.25">
      <c r="A155" s="18"/>
      <c r="B155" s="26"/>
      <c r="C155" s="26" t="s">
        <v>91</v>
      </c>
      <c r="D155" s="26"/>
      <c r="E155" s="8">
        <f>'Neraca '!L187</f>
        <v>0</v>
      </c>
      <c r="F155" s="30"/>
      <c r="G155" s="8">
        <v>0</v>
      </c>
      <c r="H155" s="19"/>
    </row>
    <row r="156" spans="1:8" x14ac:dyDescent="0.25">
      <c r="A156" s="18"/>
      <c r="B156" s="26"/>
      <c r="C156" s="26" t="s">
        <v>90</v>
      </c>
      <c r="D156" s="26"/>
      <c r="F156" s="30"/>
      <c r="G156" s="111"/>
      <c r="H156" s="19"/>
    </row>
    <row r="157" spans="1:8" x14ac:dyDescent="0.25">
      <c r="A157" s="18"/>
      <c r="B157" s="26"/>
      <c r="C157" s="26" t="s">
        <v>301</v>
      </c>
      <c r="D157" s="26"/>
      <c r="E157" s="8">
        <f>'Neraca '!L156</f>
        <v>0</v>
      </c>
      <c r="F157" s="30"/>
      <c r="H157" s="19"/>
    </row>
    <row r="158" spans="1:8" x14ac:dyDescent="0.25">
      <c r="A158" s="18"/>
      <c r="B158" s="26"/>
      <c r="C158" s="35" t="s">
        <v>89</v>
      </c>
      <c r="D158" s="31"/>
      <c r="E158" s="37">
        <f>SUM(E155:E157)</f>
        <v>0</v>
      </c>
      <c r="F158" s="36"/>
      <c r="G158" s="37">
        <f>SUM(G155:G157)</f>
        <v>0</v>
      </c>
      <c r="H158" s="19"/>
    </row>
    <row r="159" spans="1:8" x14ac:dyDescent="0.25">
      <c r="A159" s="18"/>
      <c r="B159" s="29" t="s">
        <v>20</v>
      </c>
      <c r="C159" s="26"/>
      <c r="D159" s="26"/>
      <c r="F159" s="30"/>
      <c r="G159" s="96"/>
      <c r="H159" s="19"/>
    </row>
    <row r="160" spans="1:8" x14ac:dyDescent="0.25">
      <c r="A160" s="18"/>
      <c r="B160" s="29"/>
      <c r="C160" s="26" t="s">
        <v>267</v>
      </c>
      <c r="D160" s="26"/>
      <c r="F160" s="30"/>
      <c r="G160" s="96"/>
      <c r="H160" s="19"/>
    </row>
    <row r="161" spans="1:9" x14ac:dyDescent="0.25">
      <c r="A161" s="18"/>
      <c r="B161" s="26"/>
      <c r="C161" s="26" t="s">
        <v>292</v>
      </c>
      <c r="D161" s="26"/>
      <c r="E161" s="8"/>
      <c r="F161" s="30"/>
      <c r="G161" s="96"/>
      <c r="H161" s="21"/>
    </row>
    <row r="162" spans="1:9" x14ac:dyDescent="0.25">
      <c r="A162" s="18"/>
      <c r="B162" s="26"/>
      <c r="C162" s="26" t="s">
        <v>282</v>
      </c>
      <c r="D162" s="26"/>
      <c r="E162" s="8"/>
      <c r="F162" s="30"/>
      <c r="G162" s="96"/>
      <c r="H162" s="19"/>
    </row>
    <row r="163" spans="1:9" x14ac:dyDescent="0.25">
      <c r="A163" s="18"/>
      <c r="B163" s="26"/>
      <c r="C163" s="35" t="s">
        <v>21</v>
      </c>
      <c r="D163" s="26"/>
      <c r="E163" s="42">
        <f>SUM(E161:E162)</f>
        <v>0</v>
      </c>
      <c r="F163" s="38"/>
      <c r="G163" s="42">
        <f>SUM(G160:G162)</f>
        <v>0</v>
      </c>
      <c r="H163" s="19"/>
    </row>
    <row r="164" spans="1:9" x14ac:dyDescent="0.25">
      <c r="A164" s="18"/>
      <c r="B164" s="26"/>
      <c r="C164" s="29"/>
      <c r="D164" s="26"/>
      <c r="F164" s="30"/>
      <c r="H164" s="19"/>
    </row>
    <row r="165" spans="1:9" x14ac:dyDescent="0.25">
      <c r="A165" s="18"/>
      <c r="B165" s="29" t="s">
        <v>88</v>
      </c>
      <c r="C165" s="26"/>
      <c r="D165" s="26"/>
      <c r="E165" s="38">
        <f>E153+E158+E163</f>
        <v>0</v>
      </c>
      <c r="F165" s="38"/>
      <c r="G165" s="38">
        <f>G153+G158+G163</f>
        <v>0</v>
      </c>
      <c r="H165" s="17"/>
    </row>
    <row r="166" spans="1:9" x14ac:dyDescent="0.25">
      <c r="A166" s="18"/>
      <c r="B166" s="29" t="s">
        <v>87</v>
      </c>
      <c r="C166" s="26"/>
      <c r="D166" s="26"/>
      <c r="E166" s="38">
        <f>G167</f>
        <v>0</v>
      </c>
      <c r="F166" s="38"/>
      <c r="G166" s="38">
        <v>0</v>
      </c>
      <c r="H166" s="17"/>
    </row>
    <row r="167" spans="1:9" ht="15.75" thickBot="1" x14ac:dyDescent="0.3">
      <c r="A167" s="16"/>
      <c r="B167" s="39" t="s">
        <v>86</v>
      </c>
      <c r="C167" s="40"/>
      <c r="D167" s="40"/>
      <c r="E167" s="41">
        <f>SUM(E165:E166)</f>
        <v>0</v>
      </c>
      <c r="F167" s="41"/>
      <c r="G167" s="41">
        <f>SUM(G165:G166)</f>
        <v>0</v>
      </c>
      <c r="H167" s="15"/>
      <c r="I167" s="43">
        <f>E167-E168</f>
        <v>0</v>
      </c>
    </row>
    <row r="168" spans="1:9" ht="25.5" customHeight="1" x14ac:dyDescent="0.3">
      <c r="A168" s="2"/>
      <c r="B168" s="2"/>
      <c r="C168" s="3"/>
      <c r="D168" s="3"/>
      <c r="E168" s="659">
        <f>'Neraca '!H176</f>
        <v>0</v>
      </c>
      <c r="F168" s="103"/>
      <c r="G168" s="660">
        <f>'Neraca '!J176</f>
        <v>0</v>
      </c>
      <c r="H168" s="4"/>
    </row>
    <row r="169" spans="1:9" x14ac:dyDescent="0.25">
      <c r="A169" s="748" t="s">
        <v>578</v>
      </c>
      <c r="B169" s="748"/>
      <c r="C169" s="748"/>
      <c r="E169" s="697" t="s">
        <v>1062</v>
      </c>
      <c r="F169" s="697"/>
      <c r="G169" s="697"/>
      <c r="H169" s="697"/>
    </row>
    <row r="170" spans="1:9" x14ac:dyDescent="0.25">
      <c r="A170" s="749" t="s">
        <v>683</v>
      </c>
      <c r="B170" s="749"/>
      <c r="C170" s="749"/>
      <c r="D170" s="124"/>
      <c r="E170" s="697" t="s">
        <v>680</v>
      </c>
      <c r="F170" s="697"/>
      <c r="G170" s="697"/>
      <c r="H170" s="697"/>
    </row>
    <row r="171" spans="1:9" x14ac:dyDescent="0.25">
      <c r="A171" s="172"/>
      <c r="B171" s="6"/>
      <c r="C171" s="173"/>
      <c r="D171" s="697"/>
      <c r="E171" s="697"/>
      <c r="F171" s="697"/>
      <c r="G171" s="697"/>
      <c r="H171" s="697"/>
    </row>
    <row r="172" spans="1:9" x14ac:dyDescent="0.25">
      <c r="A172" s="174"/>
      <c r="B172" s="6"/>
      <c r="C172" s="173"/>
      <c r="D172" s="697"/>
      <c r="E172" s="697"/>
      <c r="F172" s="697"/>
      <c r="G172" s="697"/>
      <c r="H172" s="697"/>
    </row>
    <row r="173" spans="1:9" x14ac:dyDescent="0.25">
      <c r="A173" s="749" t="s">
        <v>1064</v>
      </c>
      <c r="B173" s="749"/>
      <c r="C173" s="749"/>
      <c r="E173" s="697" t="s">
        <v>567</v>
      </c>
      <c r="F173" s="697"/>
      <c r="G173" s="697"/>
      <c r="H173" s="697"/>
    </row>
    <row r="174" spans="1:9" ht="15.75" x14ac:dyDescent="0.3">
      <c r="A174" s="3"/>
      <c r="B174" s="10"/>
      <c r="C174" s="1"/>
      <c r="D174" s="1"/>
      <c r="E174" s="13"/>
      <c r="F174" s="13"/>
      <c r="G174" s="105"/>
      <c r="H174" s="10"/>
    </row>
    <row r="175" spans="1:9" x14ac:dyDescent="0.25">
      <c r="A175" s="171"/>
      <c r="B175" s="739"/>
      <c r="C175" s="739"/>
      <c r="D175" s="739"/>
      <c r="E175" s="739"/>
      <c r="F175" s="739"/>
      <c r="G175" s="739"/>
      <c r="H175" s="739"/>
    </row>
    <row r="176" spans="1:9" x14ac:dyDescent="0.25">
      <c r="A176" s="168"/>
      <c r="B176" s="739"/>
      <c r="C176" s="739"/>
      <c r="D176" s="739"/>
      <c r="E176" s="739"/>
      <c r="F176" s="739"/>
      <c r="G176" s="739"/>
      <c r="H176" s="739"/>
    </row>
    <row r="177" spans="1:8" ht="15.75" x14ac:dyDescent="0.3">
      <c r="A177" s="107"/>
      <c r="B177" s="739"/>
      <c r="C177" s="739"/>
      <c r="D177" s="739"/>
      <c r="E177" s="739"/>
      <c r="F177" s="739"/>
      <c r="G177" s="739"/>
      <c r="H177" s="739"/>
    </row>
    <row r="178" spans="1:8" x14ac:dyDescent="0.25">
      <c r="A178" s="106"/>
      <c r="B178" s="739"/>
      <c r="C178" s="739"/>
      <c r="D178" s="739"/>
      <c r="E178" s="739"/>
      <c r="F178" s="739"/>
      <c r="G178" s="739"/>
      <c r="H178" s="739"/>
    </row>
    <row r="179" spans="1:8" x14ac:dyDescent="0.25">
      <c r="A179" s="2"/>
      <c r="B179" s="10"/>
      <c r="C179" s="1"/>
      <c r="D179" s="1"/>
      <c r="E179" s="13"/>
      <c r="F179" s="13"/>
      <c r="G179" s="310"/>
      <c r="H179" s="10"/>
    </row>
    <row r="180" spans="1:8" x14ac:dyDescent="0.25">
      <c r="A180" s="2"/>
      <c r="B180" s="10"/>
      <c r="C180" s="1"/>
      <c r="D180" s="1"/>
      <c r="E180" s="13"/>
      <c r="F180" s="13"/>
      <c r="G180" s="104"/>
      <c r="H180" s="10"/>
    </row>
    <row r="181" spans="1:8" x14ac:dyDescent="0.25">
      <c r="A181" s="2"/>
      <c r="B181" s="10"/>
      <c r="C181" s="1"/>
      <c r="D181" s="1"/>
      <c r="E181" s="13"/>
      <c r="F181" s="13"/>
      <c r="G181" s="109"/>
      <c r="H181" s="10"/>
    </row>
    <row r="182" spans="1:8" x14ac:dyDescent="0.25">
      <c r="A182" s="2"/>
      <c r="B182" s="10"/>
      <c r="C182" s="1"/>
      <c r="D182" s="1"/>
      <c r="E182" s="13"/>
      <c r="F182" s="13"/>
      <c r="G182" s="106"/>
      <c r="H182" s="10"/>
    </row>
    <row r="183" spans="1:8" x14ac:dyDescent="0.25">
      <c r="A183" s="2"/>
      <c r="B183" s="2"/>
      <c r="C183" s="2"/>
      <c r="D183" s="2"/>
      <c r="E183" s="106"/>
      <c r="F183" s="106"/>
      <c r="G183" s="13"/>
      <c r="H183" s="14"/>
    </row>
    <row r="188" spans="1:8" x14ac:dyDescent="0.25">
      <c r="B188" s="175" t="s">
        <v>652</v>
      </c>
    </row>
    <row r="189" spans="1:8" x14ac:dyDescent="0.25">
      <c r="A189" s="25"/>
      <c r="B189" s="24"/>
      <c r="C189" s="24"/>
      <c r="D189" s="24"/>
      <c r="E189" s="101"/>
      <c r="F189" s="101"/>
      <c r="G189" s="101"/>
      <c r="H189" s="23"/>
    </row>
    <row r="190" spans="1:8" x14ac:dyDescent="0.25">
      <c r="A190" s="741" t="s">
        <v>650</v>
      </c>
      <c r="B190" s="742"/>
      <c r="C190" s="742"/>
      <c r="D190" s="742"/>
      <c r="E190" s="742"/>
      <c r="F190" s="742"/>
      <c r="G190" s="742"/>
      <c r="H190" s="743"/>
    </row>
    <row r="191" spans="1:8" x14ac:dyDescent="0.25">
      <c r="A191" s="741" t="s">
        <v>107</v>
      </c>
      <c r="B191" s="742"/>
      <c r="C191" s="742"/>
      <c r="D191" s="742"/>
      <c r="E191" s="742"/>
      <c r="F191" s="742"/>
      <c r="G191" s="742"/>
      <c r="H191" s="743"/>
    </row>
    <row r="192" spans="1:8" x14ac:dyDescent="0.25">
      <c r="A192" s="18"/>
      <c r="B192" s="20"/>
      <c r="C192" s="20"/>
      <c r="D192" s="20"/>
      <c r="E192" s="26"/>
      <c r="F192" s="26"/>
      <c r="G192" s="26"/>
      <c r="H192" s="19"/>
    </row>
    <row r="193" spans="1:8" x14ac:dyDescent="0.25">
      <c r="A193" s="9"/>
      <c r="B193" s="744" t="s">
        <v>15</v>
      </c>
      <c r="C193" s="745"/>
      <c r="D193" s="26"/>
      <c r="E193" s="27" t="s">
        <v>1067</v>
      </c>
      <c r="F193" s="26"/>
      <c r="G193" s="27" t="s">
        <v>1042</v>
      </c>
      <c r="H193" s="19"/>
    </row>
    <row r="194" spans="1:8" x14ac:dyDescent="0.25">
      <c r="A194" s="22"/>
      <c r="B194" s="746"/>
      <c r="C194" s="747"/>
      <c r="D194" s="26"/>
      <c r="E194" s="28" t="s">
        <v>22</v>
      </c>
      <c r="F194" s="26"/>
      <c r="G194" s="28" t="s">
        <v>22</v>
      </c>
      <c r="H194" s="19"/>
    </row>
    <row r="195" spans="1:8" x14ac:dyDescent="0.25">
      <c r="A195" s="18"/>
      <c r="B195" s="26"/>
      <c r="C195" s="26"/>
      <c r="D195" s="26"/>
      <c r="E195" s="26"/>
      <c r="F195" s="26"/>
      <c r="G195" s="26"/>
      <c r="H195" s="19"/>
    </row>
    <row r="196" spans="1:8" x14ac:dyDescent="0.25">
      <c r="A196" s="18"/>
      <c r="B196" s="29" t="s">
        <v>17</v>
      </c>
      <c r="C196" s="26"/>
      <c r="D196" s="26"/>
      <c r="E196" s="30"/>
      <c r="F196" s="30"/>
      <c r="G196" s="30"/>
      <c r="H196" s="19"/>
    </row>
    <row r="197" spans="1:8" x14ac:dyDescent="0.25">
      <c r="A197" s="18"/>
      <c r="B197" s="26"/>
      <c r="C197" s="31" t="s">
        <v>106</v>
      </c>
      <c r="D197" s="26"/>
      <c r="E197" s="32">
        <f>'Neraca '!H298</f>
        <v>0</v>
      </c>
      <c r="F197" s="33"/>
      <c r="G197" s="32">
        <v>0</v>
      </c>
      <c r="H197" s="19"/>
    </row>
    <row r="198" spans="1:8" x14ac:dyDescent="0.25">
      <c r="A198" s="18"/>
      <c r="B198" s="26" t="s">
        <v>105</v>
      </c>
      <c r="C198" s="26"/>
      <c r="D198" s="26"/>
      <c r="F198" s="30"/>
      <c r="H198" s="19"/>
    </row>
    <row r="199" spans="1:8" x14ac:dyDescent="0.25">
      <c r="A199" s="18"/>
      <c r="B199" s="26"/>
      <c r="C199" s="26" t="s">
        <v>104</v>
      </c>
      <c r="D199" s="26"/>
      <c r="E199" s="8">
        <f>'Neraca '!L273+'Neraca '!L277</f>
        <v>0</v>
      </c>
      <c r="F199" s="30"/>
      <c r="G199" s="8">
        <v>0</v>
      </c>
      <c r="H199" s="19"/>
    </row>
    <row r="200" spans="1:8" x14ac:dyDescent="0.25">
      <c r="A200" s="18"/>
      <c r="B200" s="26"/>
      <c r="C200" s="26" t="s">
        <v>103</v>
      </c>
      <c r="D200" s="26"/>
      <c r="E200" s="8">
        <f>-'Neraca '!L297+'Neraca '!L264</f>
        <v>0</v>
      </c>
      <c r="F200" s="30"/>
      <c r="G200" s="44">
        <v>0</v>
      </c>
      <c r="H200" s="19"/>
    </row>
    <row r="201" spans="1:8" x14ac:dyDescent="0.25">
      <c r="A201" s="18"/>
      <c r="B201" s="31" t="s">
        <v>102</v>
      </c>
      <c r="C201" s="31"/>
      <c r="D201" s="31"/>
      <c r="E201" s="34">
        <f>SUM(E197:E200)</f>
        <v>0</v>
      </c>
      <c r="F201" s="33"/>
      <c r="G201" s="34">
        <f>SUM(G197:G200)</f>
        <v>0</v>
      </c>
      <c r="H201" s="19"/>
    </row>
    <row r="202" spans="1:8" x14ac:dyDescent="0.25">
      <c r="A202" s="18"/>
      <c r="B202" s="26"/>
      <c r="C202" s="26" t="s">
        <v>101</v>
      </c>
      <c r="D202" s="26"/>
      <c r="E202" s="8">
        <f>'Neraca '!L265</f>
        <v>0</v>
      </c>
      <c r="F202" s="30"/>
      <c r="G202" s="8">
        <v>0</v>
      </c>
      <c r="H202" s="19"/>
    </row>
    <row r="203" spans="1:8" x14ac:dyDescent="0.25">
      <c r="A203" s="18"/>
      <c r="B203" s="26"/>
      <c r="C203" s="26" t="s">
        <v>100</v>
      </c>
      <c r="D203" s="26"/>
      <c r="E203" s="8">
        <f>'Neraca '!L266</f>
        <v>0</v>
      </c>
      <c r="F203" s="30"/>
      <c r="G203" s="8">
        <v>0</v>
      </c>
      <c r="H203" s="19"/>
    </row>
    <row r="204" spans="1:8" x14ac:dyDescent="0.25">
      <c r="A204" s="18"/>
      <c r="B204" s="26"/>
      <c r="C204" s="26" t="s">
        <v>99</v>
      </c>
      <c r="D204" s="26"/>
      <c r="E204" s="8">
        <f>'Neraca '!L267</f>
        <v>0</v>
      </c>
      <c r="F204" s="30"/>
      <c r="G204" s="8">
        <v>0</v>
      </c>
      <c r="H204" s="19"/>
    </row>
    <row r="205" spans="1:8" x14ac:dyDescent="0.25">
      <c r="A205" s="18"/>
      <c r="B205" s="26"/>
      <c r="C205" s="26" t="s">
        <v>98</v>
      </c>
      <c r="D205" s="26"/>
      <c r="E205" s="8"/>
      <c r="F205" s="30"/>
      <c r="G205" s="111"/>
      <c r="H205" s="19"/>
    </row>
    <row r="206" spans="1:8" x14ac:dyDescent="0.25">
      <c r="A206" s="18"/>
      <c r="B206" s="26"/>
      <c r="C206" s="26" t="s">
        <v>648</v>
      </c>
      <c r="D206" s="26"/>
      <c r="E206" s="8"/>
      <c r="F206" s="30"/>
      <c r="G206" s="645">
        <v>0</v>
      </c>
      <c r="H206" s="19"/>
    </row>
    <row r="207" spans="1:8" x14ac:dyDescent="0.25">
      <c r="A207" s="18"/>
      <c r="B207" s="26"/>
      <c r="C207" s="26" t="s">
        <v>97</v>
      </c>
      <c r="D207" s="26"/>
      <c r="E207" s="44">
        <f>-'Neraca '!L288</f>
        <v>0</v>
      </c>
      <c r="F207" s="30"/>
      <c r="G207" s="44"/>
      <c r="H207" s="19"/>
    </row>
    <row r="208" spans="1:8" x14ac:dyDescent="0.25">
      <c r="A208" s="18"/>
      <c r="B208" s="26"/>
      <c r="C208" s="26" t="s">
        <v>647</v>
      </c>
      <c r="D208" s="26"/>
      <c r="E208" s="8">
        <f>-'Neraca '!L290</f>
        <v>0</v>
      </c>
      <c r="F208" s="30"/>
      <c r="G208" s="44">
        <v>0</v>
      </c>
      <c r="H208" s="19"/>
    </row>
    <row r="209" spans="1:8" x14ac:dyDescent="0.25">
      <c r="A209" s="18"/>
      <c r="B209" s="26"/>
      <c r="C209" s="26" t="s">
        <v>290</v>
      </c>
      <c r="D209" s="26"/>
      <c r="E209" s="8">
        <f>-'Neraca '!L289</f>
        <v>0</v>
      </c>
      <c r="F209" s="30"/>
      <c r="G209" s="96"/>
      <c r="H209" s="19"/>
    </row>
    <row r="210" spans="1:8" x14ac:dyDescent="0.25">
      <c r="A210" s="18"/>
      <c r="B210" s="26"/>
      <c r="C210" s="26" t="s">
        <v>96</v>
      </c>
      <c r="D210" s="26"/>
      <c r="E210" s="8"/>
      <c r="F210" s="30"/>
      <c r="G210" s="8"/>
      <c r="H210" s="19"/>
    </row>
    <row r="211" spans="1:8" x14ac:dyDescent="0.25">
      <c r="A211" s="18"/>
      <c r="B211" s="26"/>
      <c r="C211" s="26" t="s">
        <v>95</v>
      </c>
      <c r="D211" s="26"/>
      <c r="F211" s="30"/>
      <c r="H211" s="19"/>
    </row>
    <row r="212" spans="1:8" x14ac:dyDescent="0.25">
      <c r="A212" s="18"/>
      <c r="B212" s="26"/>
      <c r="C212" s="26" t="s">
        <v>94</v>
      </c>
      <c r="D212" s="26"/>
      <c r="F212" s="30"/>
      <c r="H212" s="19"/>
    </row>
    <row r="213" spans="1:8" x14ac:dyDescent="0.25">
      <c r="A213" s="18"/>
      <c r="B213" s="26"/>
      <c r="C213" s="26" t="s">
        <v>93</v>
      </c>
      <c r="D213" s="26"/>
      <c r="F213" s="30"/>
      <c r="H213" s="19"/>
    </row>
    <row r="214" spans="1:8" x14ac:dyDescent="0.25">
      <c r="A214" s="18"/>
      <c r="B214" s="26"/>
      <c r="C214" s="26" t="s">
        <v>92</v>
      </c>
      <c r="D214" s="26"/>
      <c r="F214" s="30"/>
      <c r="H214" s="19"/>
    </row>
    <row r="215" spans="1:8" x14ac:dyDescent="0.25">
      <c r="A215" s="18"/>
      <c r="B215" s="26"/>
      <c r="C215" s="35" t="s">
        <v>18</v>
      </c>
      <c r="D215" s="35"/>
      <c r="E215" s="34">
        <f>SUM(E201:E214)</f>
        <v>0</v>
      </c>
      <c r="F215" s="36"/>
      <c r="G215" s="34">
        <f>SUM(G201:G214)</f>
        <v>0</v>
      </c>
      <c r="H215" s="19"/>
    </row>
    <row r="216" spans="1:8" x14ac:dyDescent="0.25">
      <c r="A216" s="18"/>
      <c r="B216" s="29" t="s">
        <v>19</v>
      </c>
      <c r="C216" s="26"/>
      <c r="D216" s="26"/>
      <c r="F216" s="30"/>
      <c r="H216" s="19"/>
    </row>
    <row r="217" spans="1:8" x14ac:dyDescent="0.25">
      <c r="A217" s="18"/>
      <c r="B217" s="26"/>
      <c r="C217" s="26" t="s">
        <v>91</v>
      </c>
      <c r="D217" s="26"/>
      <c r="E217" s="8">
        <f>'Neraca '!L272+'Neraca '!L276</f>
        <v>0</v>
      </c>
      <c r="F217" s="30"/>
      <c r="G217" s="8">
        <v>0</v>
      </c>
      <c r="H217" s="19"/>
    </row>
    <row r="218" spans="1:8" x14ac:dyDescent="0.25">
      <c r="A218" s="18"/>
      <c r="B218" s="26"/>
      <c r="C218" s="26" t="s">
        <v>90</v>
      </c>
      <c r="D218" s="26"/>
      <c r="F218" s="30"/>
      <c r="G218" s="111"/>
      <c r="H218" s="19"/>
    </row>
    <row r="219" spans="1:8" x14ac:dyDescent="0.25">
      <c r="A219" s="18"/>
      <c r="B219" s="26"/>
      <c r="C219" s="26" t="s">
        <v>301</v>
      </c>
      <c r="D219" s="26"/>
      <c r="E219" s="8"/>
      <c r="F219" s="30"/>
      <c r="H219" s="19"/>
    </row>
    <row r="220" spans="1:8" x14ac:dyDescent="0.25">
      <c r="A220" s="18"/>
      <c r="B220" s="26"/>
      <c r="C220" s="35" t="s">
        <v>89</v>
      </c>
      <c r="D220" s="31"/>
      <c r="E220" s="37">
        <f>SUM(E217:E219)</f>
        <v>0</v>
      </c>
      <c r="F220" s="36"/>
      <c r="G220" s="37">
        <f>SUM(G217:G219)</f>
        <v>0</v>
      </c>
      <c r="H220" s="19"/>
    </row>
    <row r="221" spans="1:8" x14ac:dyDescent="0.25">
      <c r="A221" s="18"/>
      <c r="B221" s="29" t="s">
        <v>20</v>
      </c>
      <c r="C221" s="26"/>
      <c r="D221" s="26"/>
      <c r="F221" s="30"/>
      <c r="G221" s="96"/>
      <c r="H221" s="19"/>
    </row>
    <row r="222" spans="1:8" x14ac:dyDescent="0.25">
      <c r="A222" s="18"/>
      <c r="B222" s="29"/>
      <c r="C222" s="26" t="s">
        <v>267</v>
      </c>
      <c r="D222" s="26"/>
      <c r="F222" s="30"/>
      <c r="G222" s="96"/>
      <c r="H222" s="19"/>
    </row>
    <row r="223" spans="1:8" x14ac:dyDescent="0.25">
      <c r="A223" s="18"/>
      <c r="B223" s="26"/>
      <c r="C223" s="26" t="s">
        <v>292</v>
      </c>
      <c r="D223" s="26"/>
      <c r="E223" s="8"/>
      <c r="F223" s="30"/>
      <c r="G223" s="96"/>
      <c r="H223" s="21"/>
    </row>
    <row r="224" spans="1:8" x14ac:dyDescent="0.25">
      <c r="A224" s="18"/>
      <c r="B224" s="26"/>
      <c r="C224" s="26" t="s">
        <v>282</v>
      </c>
      <c r="D224" s="26"/>
      <c r="E224" s="8"/>
      <c r="F224" s="30"/>
      <c r="G224" s="96"/>
      <c r="H224" s="19"/>
    </row>
    <row r="225" spans="1:9" x14ac:dyDescent="0.25">
      <c r="A225" s="18"/>
      <c r="B225" s="26"/>
      <c r="C225" s="35" t="s">
        <v>21</v>
      </c>
      <c r="D225" s="26"/>
      <c r="E225" s="42">
        <f>SUM(E223:E224)</f>
        <v>0</v>
      </c>
      <c r="F225" s="38"/>
      <c r="G225" s="42">
        <f>SUM(G222:G224)</f>
        <v>0</v>
      </c>
      <c r="H225" s="19"/>
    </row>
    <row r="226" spans="1:9" x14ac:dyDescent="0.25">
      <c r="A226" s="18"/>
      <c r="B226" s="26"/>
      <c r="C226" s="29"/>
      <c r="D226" s="26"/>
      <c r="F226" s="30"/>
      <c r="H226" s="19"/>
    </row>
    <row r="227" spans="1:9" x14ac:dyDescent="0.25">
      <c r="A227" s="18"/>
      <c r="B227" s="29" t="s">
        <v>88</v>
      </c>
      <c r="C227" s="26"/>
      <c r="D227" s="26"/>
      <c r="E227" s="38">
        <f>E215+E220+E225</f>
        <v>0</v>
      </c>
      <c r="F227" s="38"/>
      <c r="G227" s="38">
        <f>G215+G220+G225</f>
        <v>0</v>
      </c>
      <c r="H227" s="17"/>
    </row>
    <row r="228" spans="1:9" x14ac:dyDescent="0.25">
      <c r="A228" s="18"/>
      <c r="B228" s="29" t="s">
        <v>87</v>
      </c>
      <c r="C228" s="26"/>
      <c r="D228" s="26"/>
      <c r="E228" s="38">
        <f>G229</f>
        <v>0</v>
      </c>
      <c r="F228" s="38"/>
      <c r="G228" s="38">
        <v>0</v>
      </c>
      <c r="H228" s="17"/>
    </row>
    <row r="229" spans="1:9" ht="15.75" thickBot="1" x14ac:dyDescent="0.3">
      <c r="A229" s="16"/>
      <c r="B229" s="39" t="s">
        <v>86</v>
      </c>
      <c r="C229" s="40"/>
      <c r="D229" s="40"/>
      <c r="E229" s="41">
        <f>SUM(E227:E228)</f>
        <v>0</v>
      </c>
      <c r="F229" s="41"/>
      <c r="G229" s="41">
        <f>SUM(G227:G228)</f>
        <v>0</v>
      </c>
      <c r="H229" s="15"/>
    </row>
    <row r="230" spans="1:9" x14ac:dyDescent="0.25">
      <c r="A230" s="20"/>
      <c r="B230" s="29"/>
      <c r="C230" s="26"/>
      <c r="D230" s="26"/>
      <c r="E230" s="658">
        <f>'Neraca '!H261</f>
        <v>0</v>
      </c>
      <c r="F230" s="38"/>
      <c r="G230" s="658">
        <f>'Neraca '!J261</f>
        <v>0</v>
      </c>
      <c r="H230" s="445"/>
      <c r="I230" s="43">
        <f>E229-E230</f>
        <v>0</v>
      </c>
    </row>
    <row r="231" spans="1:9" ht="31.5" customHeight="1" x14ac:dyDescent="0.3">
      <c r="A231" s="748" t="s">
        <v>658</v>
      </c>
      <c r="B231" s="748"/>
      <c r="C231" s="748"/>
      <c r="D231" s="3"/>
      <c r="E231" s="697" t="s">
        <v>566</v>
      </c>
      <c r="F231" s="697"/>
      <c r="G231" s="697"/>
      <c r="H231" s="697"/>
    </row>
    <row r="232" spans="1:9" x14ac:dyDescent="0.25">
      <c r="A232" s="124" t="s">
        <v>685</v>
      </c>
      <c r="B232" s="124"/>
      <c r="C232" s="124"/>
      <c r="D232" s="124"/>
      <c r="E232" s="697" t="s">
        <v>680</v>
      </c>
      <c r="F232" s="697"/>
      <c r="G232" s="697"/>
      <c r="H232" s="697"/>
    </row>
    <row r="233" spans="1:9" x14ac:dyDescent="0.25">
      <c r="A233" s="172"/>
      <c r="B233" s="6"/>
      <c r="C233" s="173"/>
      <c r="D233" s="697"/>
      <c r="E233" s="697"/>
      <c r="F233" s="697"/>
      <c r="G233" s="697"/>
      <c r="H233" s="697"/>
    </row>
    <row r="234" spans="1:9" x14ac:dyDescent="0.25">
      <c r="A234" s="174"/>
      <c r="B234" s="6"/>
      <c r="C234" s="173"/>
      <c r="D234" s="697"/>
      <c r="E234" s="697"/>
      <c r="F234" s="697"/>
      <c r="G234" s="697"/>
      <c r="H234" s="697"/>
    </row>
    <row r="235" spans="1:9" ht="15" customHeight="1" x14ac:dyDescent="0.25">
      <c r="A235" s="750" t="s">
        <v>656</v>
      </c>
      <c r="B235" s="750"/>
      <c r="C235" s="750"/>
      <c r="E235" s="697" t="s">
        <v>567</v>
      </c>
      <c r="F235" s="697"/>
      <c r="G235" s="697"/>
      <c r="H235" s="697"/>
    </row>
    <row r="236" spans="1:9" ht="15.75" x14ac:dyDescent="0.3">
      <c r="A236" s="3"/>
      <c r="B236" s="10"/>
      <c r="C236" s="1"/>
      <c r="D236" s="1"/>
      <c r="E236" s="13"/>
      <c r="F236" s="13"/>
      <c r="G236" s="105"/>
      <c r="H236" s="10"/>
    </row>
    <row r="237" spans="1:9" x14ac:dyDescent="0.25">
      <c r="A237" s="171"/>
      <c r="B237" s="739"/>
      <c r="C237" s="739"/>
      <c r="D237" s="739"/>
      <c r="E237" s="739"/>
      <c r="F237" s="739"/>
      <c r="G237" s="739"/>
      <c r="H237" s="739"/>
    </row>
    <row r="238" spans="1:9" x14ac:dyDescent="0.25">
      <c r="A238" s="168"/>
      <c r="B238" s="739"/>
      <c r="C238" s="739"/>
      <c r="D238" s="739"/>
      <c r="E238" s="739"/>
      <c r="F238" s="739"/>
      <c r="G238" s="739"/>
      <c r="H238" s="739"/>
    </row>
    <row r="239" spans="1:9" ht="15.75" x14ac:dyDescent="0.3">
      <c r="A239" s="107"/>
      <c r="B239" s="751"/>
      <c r="C239" s="739"/>
      <c r="D239" s="739"/>
      <c r="E239" s="739"/>
      <c r="F239" s="739"/>
      <c r="G239" s="739"/>
      <c r="H239" s="739"/>
    </row>
    <row r="240" spans="1:9" x14ac:dyDescent="0.25">
      <c r="A240" s="106"/>
      <c r="B240" s="739"/>
      <c r="C240" s="739"/>
      <c r="D240" s="739"/>
      <c r="E240" s="739"/>
      <c r="F240" s="739"/>
      <c r="G240" s="739"/>
      <c r="H240" s="739"/>
    </row>
    <row r="241" spans="1:8" x14ac:dyDescent="0.25">
      <c r="A241" s="2"/>
      <c r="B241" s="10"/>
      <c r="C241" s="1"/>
      <c r="D241" s="1"/>
      <c r="E241" s="13"/>
      <c r="F241" s="13"/>
      <c r="G241" s="13"/>
      <c r="H241" s="10"/>
    </row>
    <row r="242" spans="1:8" x14ac:dyDescent="0.25">
      <c r="A242" s="2"/>
      <c r="B242" s="10"/>
      <c r="C242" s="1"/>
      <c r="D242" s="1"/>
      <c r="E242" s="13"/>
      <c r="F242" s="13"/>
      <c r="G242" s="104"/>
      <c r="H242" s="10"/>
    </row>
    <row r="243" spans="1:8" x14ac:dyDescent="0.25">
      <c r="A243" s="2"/>
      <c r="B243" s="10"/>
      <c r="C243" s="1"/>
      <c r="D243" s="1"/>
      <c r="E243" s="13"/>
      <c r="F243" s="13"/>
      <c r="G243" s="109"/>
      <c r="H243" s="10"/>
    </row>
    <row r="244" spans="1:8" x14ac:dyDescent="0.25">
      <c r="A244" s="2"/>
      <c r="B244" s="10"/>
      <c r="C244" s="1"/>
      <c r="D244" s="1"/>
      <c r="E244" s="13"/>
      <c r="F244" s="13"/>
      <c r="G244" s="110"/>
      <c r="H244" s="10"/>
    </row>
    <row r="245" spans="1:8" x14ac:dyDescent="0.25">
      <c r="A245" s="2"/>
      <c r="B245" s="2"/>
      <c r="C245" s="2"/>
      <c r="D245" s="2"/>
      <c r="E245" s="106"/>
      <c r="F245" s="106"/>
      <c r="G245" s="13"/>
      <c r="H245" s="14"/>
    </row>
    <row r="248" spans="1:8" x14ac:dyDescent="0.25">
      <c r="B248" s="175" t="s">
        <v>652</v>
      </c>
    </row>
    <row r="249" spans="1:8" x14ac:dyDescent="0.25">
      <c r="A249" s="25"/>
      <c r="B249" s="24"/>
      <c r="C249" s="24"/>
      <c r="D249" s="24"/>
      <c r="E249" s="101"/>
      <c r="F249" s="101"/>
      <c r="G249" s="101"/>
      <c r="H249" s="23"/>
    </row>
    <row r="250" spans="1:8" x14ac:dyDescent="0.25">
      <c r="A250" s="741" t="s">
        <v>650</v>
      </c>
      <c r="B250" s="742"/>
      <c r="C250" s="742"/>
      <c r="D250" s="742"/>
      <c r="E250" s="742"/>
      <c r="F250" s="742"/>
      <c r="G250" s="742"/>
      <c r="H250" s="743"/>
    </row>
    <row r="251" spans="1:8" x14ac:dyDescent="0.25">
      <c r="A251" s="741" t="s">
        <v>107</v>
      </c>
      <c r="B251" s="742"/>
      <c r="C251" s="742"/>
      <c r="D251" s="742"/>
      <c r="E251" s="742"/>
      <c r="F251" s="742"/>
      <c r="G251" s="742"/>
      <c r="H251" s="743"/>
    </row>
    <row r="252" spans="1:8" x14ac:dyDescent="0.25">
      <c r="A252" s="18"/>
      <c r="B252" s="20"/>
      <c r="C252" s="20"/>
      <c r="D252" s="20"/>
      <c r="E252" s="26"/>
      <c r="F252" s="26"/>
      <c r="G252" s="26"/>
      <c r="H252" s="19"/>
    </row>
    <row r="253" spans="1:8" x14ac:dyDescent="0.25">
      <c r="A253" s="9"/>
      <c r="B253" s="744" t="s">
        <v>15</v>
      </c>
      <c r="C253" s="745"/>
      <c r="D253" s="26"/>
      <c r="E253" s="27" t="s">
        <v>1068</v>
      </c>
      <c r="F253" s="26"/>
      <c r="G253" s="27" t="s">
        <v>1042</v>
      </c>
      <c r="H253" s="19"/>
    </row>
    <row r="254" spans="1:8" x14ac:dyDescent="0.25">
      <c r="A254" s="22"/>
      <c r="B254" s="746"/>
      <c r="C254" s="747"/>
      <c r="D254" s="26"/>
      <c r="E254" s="28" t="s">
        <v>22</v>
      </c>
      <c r="F254" s="26"/>
      <c r="G254" s="28" t="s">
        <v>22</v>
      </c>
      <c r="H254" s="19"/>
    </row>
    <row r="255" spans="1:8" x14ac:dyDescent="0.25">
      <c r="A255" s="18"/>
      <c r="B255" s="26"/>
      <c r="C255" s="26"/>
      <c r="D255" s="26"/>
      <c r="E255" s="26"/>
      <c r="F255" s="26"/>
      <c r="G255" s="26"/>
      <c r="H255" s="19"/>
    </row>
    <row r="256" spans="1:8" x14ac:dyDescent="0.25">
      <c r="A256" s="18"/>
      <c r="B256" s="29" t="s">
        <v>17</v>
      </c>
      <c r="C256" s="26"/>
      <c r="D256" s="26"/>
      <c r="E256" s="30"/>
      <c r="F256" s="30"/>
      <c r="G256" s="30"/>
      <c r="H256" s="19"/>
    </row>
    <row r="257" spans="1:8" x14ac:dyDescent="0.25">
      <c r="A257" s="18"/>
      <c r="B257" s="26"/>
      <c r="C257" s="31" t="s">
        <v>106</v>
      </c>
      <c r="D257" s="26"/>
      <c r="E257" s="32">
        <f>'Neraca '!H377</f>
        <v>0</v>
      </c>
      <c r="F257" s="33"/>
      <c r="G257" s="32">
        <v>0</v>
      </c>
      <c r="H257" s="19"/>
    </row>
    <row r="258" spans="1:8" x14ac:dyDescent="0.25">
      <c r="A258" s="18"/>
      <c r="B258" s="26" t="s">
        <v>105</v>
      </c>
      <c r="C258" s="26"/>
      <c r="D258" s="26"/>
      <c r="F258" s="30"/>
      <c r="H258" s="19"/>
    </row>
    <row r="259" spans="1:8" x14ac:dyDescent="0.25">
      <c r="A259" s="18"/>
      <c r="B259" s="26"/>
      <c r="C259" s="26" t="s">
        <v>104</v>
      </c>
      <c r="D259" s="26"/>
      <c r="E259" s="8">
        <f>'Neraca '!L352+'Neraca '!L356</f>
        <v>0</v>
      </c>
      <c r="F259" s="30"/>
      <c r="G259" s="8">
        <v>0</v>
      </c>
      <c r="H259" s="19"/>
    </row>
    <row r="260" spans="1:8" x14ac:dyDescent="0.25">
      <c r="A260" s="18"/>
      <c r="B260" s="26"/>
      <c r="C260" s="26" t="s">
        <v>103</v>
      </c>
      <c r="D260" s="26"/>
      <c r="E260" s="8">
        <f>-'Neraca '!L376+'Neraca '!L343</f>
        <v>0</v>
      </c>
      <c r="F260" s="30"/>
      <c r="G260" s="44">
        <v>0</v>
      </c>
      <c r="H260" s="19"/>
    </row>
    <row r="261" spans="1:8" x14ac:dyDescent="0.25">
      <c r="A261" s="18"/>
      <c r="B261" s="31" t="s">
        <v>102</v>
      </c>
      <c r="C261" s="31"/>
      <c r="D261" s="31"/>
      <c r="E261" s="34">
        <f>SUM(E257:E260)</f>
        <v>0</v>
      </c>
      <c r="F261" s="33"/>
      <c r="G261" s="34">
        <f>SUM(G257:G260)</f>
        <v>0</v>
      </c>
      <c r="H261" s="19"/>
    </row>
    <row r="262" spans="1:8" x14ac:dyDescent="0.25">
      <c r="A262" s="18"/>
      <c r="B262" s="26"/>
      <c r="C262" s="26" t="s">
        <v>101</v>
      </c>
      <c r="D262" s="26"/>
      <c r="E262" s="8">
        <f>'Neraca '!L344</f>
        <v>0</v>
      </c>
      <c r="F262" s="30"/>
      <c r="G262" s="8">
        <v>0</v>
      </c>
      <c r="H262" s="19"/>
    </row>
    <row r="263" spans="1:8" x14ac:dyDescent="0.25">
      <c r="A263" s="18"/>
      <c r="B263" s="26"/>
      <c r="C263" s="26" t="s">
        <v>100</v>
      </c>
      <c r="D263" s="26"/>
      <c r="E263" s="8">
        <f>'Neraca '!L345</f>
        <v>0</v>
      </c>
      <c r="F263" s="30"/>
      <c r="G263" s="8">
        <v>0</v>
      </c>
      <c r="H263" s="19"/>
    </row>
    <row r="264" spans="1:8" x14ac:dyDescent="0.25">
      <c r="A264" s="18"/>
      <c r="B264" s="26"/>
      <c r="C264" s="26" t="s">
        <v>99</v>
      </c>
      <c r="D264" s="26"/>
      <c r="E264" s="8">
        <f>'Neraca '!L346</f>
        <v>0</v>
      </c>
      <c r="F264" s="30"/>
      <c r="G264" s="8">
        <v>0</v>
      </c>
      <c r="H264" s="19"/>
    </row>
    <row r="265" spans="1:8" x14ac:dyDescent="0.25">
      <c r="A265" s="18"/>
      <c r="B265" s="26"/>
      <c r="C265" s="26" t="s">
        <v>98</v>
      </c>
      <c r="D265" s="26"/>
      <c r="E265" s="8"/>
      <c r="F265" s="30"/>
      <c r="G265" s="111">
        <v>0</v>
      </c>
      <c r="H265" s="19"/>
    </row>
    <row r="266" spans="1:8" x14ac:dyDescent="0.25">
      <c r="A266" s="18"/>
      <c r="B266" s="26"/>
      <c r="C266" s="26" t="s">
        <v>648</v>
      </c>
      <c r="D266" s="26"/>
      <c r="E266" s="8"/>
      <c r="F266" s="30"/>
      <c r="G266" s="645">
        <v>0</v>
      </c>
      <c r="H266" s="19"/>
    </row>
    <row r="267" spans="1:8" x14ac:dyDescent="0.25">
      <c r="A267" s="18"/>
      <c r="B267" s="26"/>
      <c r="C267" s="26" t="s">
        <v>97</v>
      </c>
      <c r="D267" s="26"/>
      <c r="E267" s="44">
        <f>-'Neraca '!L367</f>
        <v>0</v>
      </c>
      <c r="F267" s="30"/>
      <c r="G267" s="44"/>
      <c r="H267" s="19"/>
    </row>
    <row r="268" spans="1:8" x14ac:dyDescent="0.25">
      <c r="A268" s="18"/>
      <c r="B268" s="26"/>
      <c r="C268" s="26" t="s">
        <v>647</v>
      </c>
      <c r="D268" s="26"/>
      <c r="E268" s="8">
        <f>-'Neraca '!L369</f>
        <v>0</v>
      </c>
      <c r="F268" s="30"/>
      <c r="G268" s="44">
        <v>0</v>
      </c>
      <c r="H268" s="19"/>
    </row>
    <row r="269" spans="1:8" x14ac:dyDescent="0.25">
      <c r="A269" s="18"/>
      <c r="B269" s="26"/>
      <c r="C269" s="26" t="s">
        <v>290</v>
      </c>
      <c r="D269" s="26"/>
      <c r="E269" s="8"/>
      <c r="F269" s="30"/>
      <c r="G269" s="96"/>
      <c r="H269" s="19"/>
    </row>
    <row r="270" spans="1:8" x14ac:dyDescent="0.25">
      <c r="A270" s="18"/>
      <c r="B270" s="26"/>
      <c r="C270" s="26" t="s">
        <v>96</v>
      </c>
      <c r="D270" s="26"/>
      <c r="E270" s="8"/>
      <c r="F270" s="30"/>
      <c r="G270" s="8"/>
      <c r="H270" s="19"/>
    </row>
    <row r="271" spans="1:8" x14ac:dyDescent="0.25">
      <c r="A271" s="18"/>
      <c r="B271" s="26"/>
      <c r="C271" s="26" t="s">
        <v>95</v>
      </c>
      <c r="D271" s="26"/>
      <c r="F271" s="30"/>
      <c r="H271" s="19"/>
    </row>
    <row r="272" spans="1:8" x14ac:dyDescent="0.25">
      <c r="A272" s="18"/>
      <c r="B272" s="26"/>
      <c r="C272" s="26" t="s">
        <v>94</v>
      </c>
      <c r="D272" s="26"/>
      <c r="F272" s="30"/>
      <c r="H272" s="19"/>
    </row>
    <row r="273" spans="1:8" x14ac:dyDescent="0.25">
      <c r="A273" s="18"/>
      <c r="B273" s="26"/>
      <c r="C273" s="26" t="s">
        <v>93</v>
      </c>
      <c r="D273" s="26"/>
      <c r="F273" s="30"/>
      <c r="H273" s="19"/>
    </row>
    <row r="274" spans="1:8" x14ac:dyDescent="0.25">
      <c r="A274" s="18"/>
      <c r="B274" s="26"/>
      <c r="C274" s="26" t="s">
        <v>92</v>
      </c>
      <c r="D274" s="26"/>
      <c r="F274" s="30"/>
      <c r="H274" s="19"/>
    </row>
    <row r="275" spans="1:8" x14ac:dyDescent="0.25">
      <c r="A275" s="18"/>
      <c r="B275" s="26"/>
      <c r="C275" s="35" t="s">
        <v>18</v>
      </c>
      <c r="D275" s="35"/>
      <c r="E275" s="34">
        <f>SUM(E261:E274)</f>
        <v>0</v>
      </c>
      <c r="F275" s="36"/>
      <c r="G275" s="34">
        <f>SUM(G261:G274)</f>
        <v>0</v>
      </c>
      <c r="H275" s="19"/>
    </row>
    <row r="276" spans="1:8" x14ac:dyDescent="0.25">
      <c r="A276" s="18"/>
      <c r="B276" s="29" t="s">
        <v>19</v>
      </c>
      <c r="C276" s="26"/>
      <c r="D276" s="26"/>
      <c r="F276" s="30"/>
      <c r="H276" s="19"/>
    </row>
    <row r="277" spans="1:8" x14ac:dyDescent="0.25">
      <c r="A277" s="18"/>
      <c r="B277" s="26"/>
      <c r="C277" s="26" t="s">
        <v>91</v>
      </c>
      <c r="D277" s="26"/>
      <c r="E277" s="8">
        <f>'Neraca '!L351+'Neraca '!L355</f>
        <v>0</v>
      </c>
      <c r="F277" s="30"/>
      <c r="G277" s="8">
        <v>0</v>
      </c>
      <c r="H277" s="19"/>
    </row>
    <row r="278" spans="1:8" x14ac:dyDescent="0.25">
      <c r="A278" s="18"/>
      <c r="B278" s="26"/>
      <c r="C278" s="26" t="s">
        <v>90</v>
      </c>
      <c r="D278" s="26"/>
      <c r="F278" s="30"/>
      <c r="G278" s="111"/>
      <c r="H278" s="19"/>
    </row>
    <row r="279" spans="1:8" x14ac:dyDescent="0.25">
      <c r="A279" s="18"/>
      <c r="B279" s="26"/>
      <c r="C279" s="26" t="s">
        <v>301</v>
      </c>
      <c r="D279" s="26"/>
      <c r="E279" s="8">
        <f>'Neraca '!L284</f>
        <v>0</v>
      </c>
      <c r="F279" s="30"/>
      <c r="H279" s="19"/>
    </row>
    <row r="280" spans="1:8" x14ac:dyDescent="0.25">
      <c r="A280" s="18"/>
      <c r="B280" s="26"/>
      <c r="C280" s="35" t="s">
        <v>89</v>
      </c>
      <c r="D280" s="31"/>
      <c r="E280" s="37">
        <f>SUM(E277:E279)</f>
        <v>0</v>
      </c>
      <c r="F280" s="36"/>
      <c r="G280" s="37">
        <f>SUM(G277:G279)</f>
        <v>0</v>
      </c>
      <c r="H280" s="19"/>
    </row>
    <row r="281" spans="1:8" x14ac:dyDescent="0.25">
      <c r="A281" s="18"/>
      <c r="B281" s="29" t="s">
        <v>20</v>
      </c>
      <c r="C281" s="26"/>
      <c r="D281" s="26"/>
      <c r="F281" s="30"/>
      <c r="G281" s="96"/>
      <c r="H281" s="19"/>
    </row>
    <row r="282" spans="1:8" x14ac:dyDescent="0.25">
      <c r="A282" s="18"/>
      <c r="B282" s="29"/>
      <c r="C282" s="26" t="s">
        <v>267</v>
      </c>
      <c r="D282" s="26"/>
      <c r="F282" s="30"/>
      <c r="G282" s="96"/>
      <c r="H282" s="19"/>
    </row>
    <row r="283" spans="1:8" x14ac:dyDescent="0.25">
      <c r="A283" s="18"/>
      <c r="B283" s="26"/>
      <c r="C283" s="26" t="s">
        <v>292</v>
      </c>
      <c r="D283" s="26"/>
      <c r="E283" s="8"/>
      <c r="F283" s="30"/>
      <c r="G283" s="96"/>
      <c r="H283" s="21"/>
    </row>
    <row r="284" spans="1:8" x14ac:dyDescent="0.25">
      <c r="A284" s="18"/>
      <c r="B284" s="26"/>
      <c r="C284" s="26" t="s">
        <v>282</v>
      </c>
      <c r="D284" s="26"/>
      <c r="E284" s="8"/>
      <c r="F284" s="30"/>
      <c r="G284" s="96"/>
      <c r="H284" s="19"/>
    </row>
    <row r="285" spans="1:8" x14ac:dyDescent="0.25">
      <c r="A285" s="18"/>
      <c r="B285" s="26"/>
      <c r="C285" s="35" t="s">
        <v>21</v>
      </c>
      <c r="D285" s="26"/>
      <c r="E285" s="42">
        <f>SUM(E283:E284)</f>
        <v>0</v>
      </c>
      <c r="F285" s="38"/>
      <c r="G285" s="42">
        <f>SUM(G282:G284)</f>
        <v>0</v>
      </c>
      <c r="H285" s="19"/>
    </row>
    <row r="286" spans="1:8" x14ac:dyDescent="0.25">
      <c r="A286" s="18"/>
      <c r="B286" s="26"/>
      <c r="C286" s="29"/>
      <c r="D286" s="26"/>
      <c r="F286" s="30"/>
      <c r="H286" s="19"/>
    </row>
    <row r="287" spans="1:8" x14ac:dyDescent="0.25">
      <c r="A287" s="18"/>
      <c r="B287" s="29" t="s">
        <v>88</v>
      </c>
      <c r="C287" s="26"/>
      <c r="D287" s="26"/>
      <c r="E287" s="38">
        <f>E275+E280+E285</f>
        <v>0</v>
      </c>
      <c r="F287" s="38"/>
      <c r="G287" s="38">
        <f>G275+G280+G285</f>
        <v>0</v>
      </c>
      <c r="H287" s="17"/>
    </row>
    <row r="288" spans="1:8" x14ac:dyDescent="0.25">
      <c r="A288" s="18"/>
      <c r="B288" s="29" t="s">
        <v>87</v>
      </c>
      <c r="C288" s="26"/>
      <c r="D288" s="26"/>
      <c r="E288" s="38">
        <f>G289</f>
        <v>0</v>
      </c>
      <c r="F288" s="38"/>
      <c r="G288" s="38">
        <v>0</v>
      </c>
      <c r="H288" s="17"/>
    </row>
    <row r="289" spans="1:9" ht="15.75" thickBot="1" x14ac:dyDescent="0.3">
      <c r="A289" s="16"/>
      <c r="B289" s="39" t="s">
        <v>86</v>
      </c>
      <c r="C289" s="40"/>
      <c r="D289" s="40"/>
      <c r="E289" s="41">
        <f>SUM(E287:E288)</f>
        <v>0</v>
      </c>
      <c r="F289" s="41"/>
      <c r="G289" s="41">
        <f>SUM(G287:G288)</f>
        <v>0</v>
      </c>
      <c r="H289" s="15"/>
      <c r="I289" s="43"/>
    </row>
    <row r="290" spans="1:9" ht="27" customHeight="1" x14ac:dyDescent="0.25">
      <c r="A290" s="20"/>
      <c r="B290" s="29"/>
      <c r="C290" s="26"/>
      <c r="D290" s="26"/>
      <c r="E290" s="658">
        <f>'Neraca '!H340</f>
        <v>0</v>
      </c>
      <c r="F290" s="38"/>
      <c r="G290" s="658">
        <f>'Neraca '!J340</f>
        <v>0</v>
      </c>
      <c r="H290" s="445"/>
      <c r="I290" s="43"/>
    </row>
    <row r="291" spans="1:9" ht="15.75" x14ac:dyDescent="0.3">
      <c r="A291" s="748" t="s">
        <v>658</v>
      </c>
      <c r="B291" s="748"/>
      <c r="C291" s="748"/>
      <c r="D291" s="3"/>
      <c r="E291" s="697" t="s">
        <v>566</v>
      </c>
      <c r="F291" s="697"/>
      <c r="G291" s="697"/>
      <c r="H291" s="697"/>
    </row>
    <row r="292" spans="1:9" x14ac:dyDescent="0.25">
      <c r="A292" s="749" t="s">
        <v>686</v>
      </c>
      <c r="B292" s="749"/>
      <c r="C292" s="749"/>
      <c r="D292" s="124"/>
      <c r="E292" s="697" t="s">
        <v>680</v>
      </c>
      <c r="F292" s="697"/>
      <c r="G292" s="697"/>
      <c r="H292" s="697"/>
      <c r="I292" s="43">
        <f>E289-E290</f>
        <v>0</v>
      </c>
    </row>
    <row r="293" spans="1:9" x14ac:dyDescent="0.25">
      <c r="A293" s="172"/>
      <c r="B293" s="6"/>
      <c r="C293" s="173"/>
      <c r="D293" s="697"/>
      <c r="E293" s="697"/>
      <c r="F293" s="697"/>
      <c r="G293" s="697"/>
      <c r="H293" s="697"/>
    </row>
    <row r="294" spans="1:9" x14ac:dyDescent="0.25">
      <c r="A294" s="174"/>
      <c r="B294" s="6"/>
      <c r="C294" s="173"/>
      <c r="D294" s="697"/>
      <c r="E294" s="697"/>
      <c r="F294" s="697"/>
      <c r="G294" s="697"/>
      <c r="H294" s="697"/>
    </row>
    <row r="295" spans="1:9" x14ac:dyDescent="0.25">
      <c r="A295" s="750" t="s">
        <v>656</v>
      </c>
      <c r="B295" s="750"/>
      <c r="C295" s="750"/>
      <c r="E295" s="697" t="s">
        <v>567</v>
      </c>
      <c r="F295" s="697"/>
      <c r="G295" s="697"/>
      <c r="H295" s="697"/>
    </row>
    <row r="296" spans="1:9" ht="15.75" x14ac:dyDescent="0.3">
      <c r="A296" s="3"/>
      <c r="B296" s="10"/>
      <c r="C296" s="1"/>
      <c r="D296" s="1"/>
      <c r="E296" s="13"/>
      <c r="F296" s="13"/>
      <c r="G296" s="105"/>
      <c r="H296" s="10"/>
    </row>
    <row r="297" spans="1:9" x14ac:dyDescent="0.25">
      <c r="A297" s="171"/>
      <c r="B297" s="739"/>
      <c r="C297" s="739"/>
      <c r="D297" s="739"/>
      <c r="E297" s="739"/>
      <c r="F297" s="739"/>
      <c r="G297" s="739"/>
      <c r="H297" s="739"/>
    </row>
    <row r="298" spans="1:9" x14ac:dyDescent="0.25">
      <c r="A298" s="168"/>
      <c r="B298" s="739"/>
      <c r="C298" s="739"/>
      <c r="D298" s="739"/>
      <c r="E298" s="739"/>
      <c r="F298" s="739"/>
      <c r="G298" s="739"/>
      <c r="H298" s="739"/>
    </row>
    <row r="299" spans="1:9" ht="15.75" x14ac:dyDescent="0.3">
      <c r="A299" s="107"/>
      <c r="B299" s="739"/>
      <c r="C299" s="739"/>
      <c r="D299" s="739"/>
      <c r="E299" s="739"/>
      <c r="F299" s="739"/>
      <c r="G299" s="739"/>
      <c r="H299" s="739"/>
    </row>
    <row r="300" spans="1:9" x14ac:dyDescent="0.25">
      <c r="A300" s="106"/>
      <c r="B300" s="739"/>
      <c r="C300" s="739"/>
      <c r="D300" s="739"/>
      <c r="E300" s="739"/>
      <c r="F300" s="739"/>
      <c r="G300" s="739"/>
      <c r="H300" s="739"/>
    </row>
    <row r="301" spans="1:9" x14ac:dyDescent="0.25">
      <c r="A301" s="2"/>
      <c r="B301" s="10"/>
      <c r="C301" s="1"/>
      <c r="D301" s="1"/>
      <c r="E301" s="13"/>
      <c r="F301" s="13"/>
      <c r="G301" s="13"/>
      <c r="H301" s="10"/>
    </row>
    <row r="302" spans="1:9" x14ac:dyDescent="0.25">
      <c r="A302" s="2"/>
      <c r="B302" s="10"/>
      <c r="C302" s="1"/>
      <c r="D302" s="1"/>
      <c r="E302" s="13"/>
      <c r="F302" s="13"/>
      <c r="G302" s="104"/>
      <c r="H302" s="10"/>
    </row>
    <row r="303" spans="1:9" x14ac:dyDescent="0.25">
      <c r="A303" s="2"/>
      <c r="B303" s="10"/>
      <c r="C303" s="1"/>
      <c r="D303" s="1"/>
      <c r="E303" s="13"/>
      <c r="F303" s="13"/>
      <c r="G303" s="109"/>
      <c r="H303" s="10"/>
    </row>
    <row r="304" spans="1:9" x14ac:dyDescent="0.25">
      <c r="A304" s="2"/>
      <c r="B304" s="10"/>
      <c r="C304" s="1"/>
      <c r="D304" s="1"/>
      <c r="E304" s="13"/>
      <c r="F304" s="13"/>
      <c r="G304" s="110"/>
      <c r="H304" s="10"/>
    </row>
    <row r="305" spans="1:8" x14ac:dyDescent="0.25">
      <c r="A305" s="2"/>
      <c r="B305" s="2"/>
      <c r="C305" s="2"/>
      <c r="D305" s="2"/>
      <c r="E305" s="106"/>
      <c r="F305" s="106"/>
      <c r="G305" s="13"/>
      <c r="H305" s="14"/>
    </row>
    <row r="309" spans="1:8" x14ac:dyDescent="0.25">
      <c r="B309" s="175" t="s">
        <v>652</v>
      </c>
    </row>
    <row r="310" spans="1:8" x14ac:dyDescent="0.25">
      <c r="A310" s="25"/>
      <c r="B310" s="24"/>
      <c r="C310" s="24"/>
      <c r="D310" s="24"/>
      <c r="E310" s="101"/>
      <c r="F310" s="101"/>
      <c r="G310" s="101"/>
      <c r="H310" s="23"/>
    </row>
    <row r="311" spans="1:8" x14ac:dyDescent="0.25">
      <c r="A311" s="741" t="s">
        <v>650</v>
      </c>
      <c r="B311" s="742"/>
      <c r="C311" s="742"/>
      <c r="D311" s="742"/>
      <c r="E311" s="742"/>
      <c r="F311" s="742"/>
      <c r="G311" s="742"/>
      <c r="H311" s="743"/>
    </row>
    <row r="312" spans="1:8" x14ac:dyDescent="0.25">
      <c r="A312" s="741" t="s">
        <v>107</v>
      </c>
      <c r="B312" s="742"/>
      <c r="C312" s="742"/>
      <c r="D312" s="742"/>
      <c r="E312" s="742"/>
      <c r="F312" s="742"/>
      <c r="G312" s="742"/>
      <c r="H312" s="743"/>
    </row>
    <row r="313" spans="1:8" x14ac:dyDescent="0.25">
      <c r="A313" s="18"/>
      <c r="B313" s="20"/>
      <c r="C313" s="20"/>
      <c r="D313" s="20"/>
      <c r="E313" s="26"/>
      <c r="F313" s="26"/>
      <c r="G313" s="26"/>
      <c r="H313" s="19"/>
    </row>
    <row r="314" spans="1:8" x14ac:dyDescent="0.25">
      <c r="A314" s="9"/>
      <c r="B314" s="744" t="s">
        <v>15</v>
      </c>
      <c r="C314" s="745"/>
      <c r="D314" s="26"/>
      <c r="E314" s="27" t="s">
        <v>1023</v>
      </c>
      <c r="F314" s="26"/>
      <c r="G314" s="27" t="s">
        <v>704</v>
      </c>
      <c r="H314" s="19"/>
    </row>
    <row r="315" spans="1:8" x14ac:dyDescent="0.25">
      <c r="A315" s="22"/>
      <c r="B315" s="746"/>
      <c r="C315" s="747"/>
      <c r="D315" s="26"/>
      <c r="E315" s="28" t="s">
        <v>22</v>
      </c>
      <c r="F315" s="26"/>
      <c r="G315" s="28" t="s">
        <v>22</v>
      </c>
      <c r="H315" s="19"/>
    </row>
    <row r="316" spans="1:8" x14ac:dyDescent="0.25">
      <c r="A316" s="18"/>
      <c r="B316" s="26"/>
      <c r="C316" s="26"/>
      <c r="D316" s="26"/>
      <c r="E316" s="26"/>
      <c r="F316" s="26"/>
      <c r="G316" s="26"/>
      <c r="H316" s="19"/>
    </row>
    <row r="317" spans="1:8" x14ac:dyDescent="0.25">
      <c r="A317" s="18"/>
      <c r="B317" s="29" t="s">
        <v>17</v>
      </c>
      <c r="C317" s="26"/>
      <c r="D317" s="26"/>
      <c r="E317" s="30"/>
      <c r="F317" s="30"/>
      <c r="G317" s="30"/>
      <c r="H317" s="19"/>
    </row>
    <row r="318" spans="1:8" x14ac:dyDescent="0.25">
      <c r="A318" s="18"/>
      <c r="B318" s="26"/>
      <c r="C318" s="31" t="s">
        <v>106</v>
      </c>
      <c r="D318" s="26"/>
      <c r="E318" s="32">
        <f>'Neraca '!H460</f>
        <v>0</v>
      </c>
      <c r="F318" s="33"/>
      <c r="G318" s="32">
        <v>0</v>
      </c>
      <c r="H318" s="19"/>
    </row>
    <row r="319" spans="1:8" x14ac:dyDescent="0.25">
      <c r="A319" s="18"/>
      <c r="B319" s="26" t="s">
        <v>105</v>
      </c>
      <c r="C319" s="26"/>
      <c r="D319" s="26"/>
      <c r="F319" s="30"/>
      <c r="H319" s="19"/>
    </row>
    <row r="320" spans="1:8" x14ac:dyDescent="0.25">
      <c r="A320" s="18"/>
      <c r="B320" s="26"/>
      <c r="C320" s="26" t="s">
        <v>104</v>
      </c>
      <c r="D320" s="26"/>
      <c r="E320" s="8">
        <f>'Neraca '!L435+'Neraca '!L439</f>
        <v>0</v>
      </c>
      <c r="F320" s="30"/>
      <c r="G320" s="8">
        <v>0</v>
      </c>
      <c r="H320" s="19"/>
    </row>
    <row r="321" spans="1:8" x14ac:dyDescent="0.25">
      <c r="A321" s="18"/>
      <c r="B321" s="26"/>
      <c r="C321" s="26" t="s">
        <v>103</v>
      </c>
      <c r="D321" s="26"/>
      <c r="E321" s="8">
        <f>-'Neraca '!L459+'Neraca '!L426</f>
        <v>0</v>
      </c>
      <c r="F321" s="30"/>
      <c r="G321" s="44">
        <v>0</v>
      </c>
      <c r="H321" s="19"/>
    </row>
    <row r="322" spans="1:8" x14ac:dyDescent="0.25">
      <c r="A322" s="18"/>
      <c r="B322" s="31" t="s">
        <v>102</v>
      </c>
      <c r="C322" s="31"/>
      <c r="D322" s="31"/>
      <c r="E322" s="34">
        <f>SUM(E318:E321)</f>
        <v>0</v>
      </c>
      <c r="F322" s="33"/>
      <c r="G322" s="34">
        <f>SUM(G318:G321)</f>
        <v>0</v>
      </c>
      <c r="H322" s="19"/>
    </row>
    <row r="323" spans="1:8" x14ac:dyDescent="0.25">
      <c r="A323" s="18"/>
      <c r="B323" s="26"/>
      <c r="C323" s="26" t="s">
        <v>101</v>
      </c>
      <c r="D323" s="26"/>
      <c r="E323" s="8">
        <f>'Neraca '!L427</f>
        <v>0</v>
      </c>
      <c r="F323" s="30"/>
      <c r="G323" s="8">
        <v>0</v>
      </c>
      <c r="H323" s="19"/>
    </row>
    <row r="324" spans="1:8" x14ac:dyDescent="0.25">
      <c r="A324" s="18"/>
      <c r="B324" s="26"/>
      <c r="C324" s="26" t="s">
        <v>100</v>
      </c>
      <c r="D324" s="26"/>
      <c r="E324" s="8">
        <f>'Neraca '!L428</f>
        <v>0</v>
      </c>
      <c r="F324" s="30"/>
      <c r="G324" s="8">
        <v>0</v>
      </c>
      <c r="H324" s="19"/>
    </row>
    <row r="325" spans="1:8" x14ac:dyDescent="0.25">
      <c r="A325" s="18"/>
      <c r="B325" s="26"/>
      <c r="C325" s="26" t="s">
        <v>99</v>
      </c>
      <c r="D325" s="26"/>
      <c r="E325" s="8">
        <f>'Neraca '!L429</f>
        <v>0</v>
      </c>
      <c r="F325" s="30"/>
      <c r="G325" s="8">
        <v>0</v>
      </c>
      <c r="H325" s="19"/>
    </row>
    <row r="326" spans="1:8" x14ac:dyDescent="0.25">
      <c r="A326" s="18"/>
      <c r="B326" s="26"/>
      <c r="C326" s="26" t="s">
        <v>98</v>
      </c>
      <c r="D326" s="26"/>
      <c r="E326" s="8"/>
      <c r="F326" s="30"/>
      <c r="G326" s="111"/>
      <c r="H326" s="19"/>
    </row>
    <row r="327" spans="1:8" x14ac:dyDescent="0.25">
      <c r="A327" s="18"/>
      <c r="B327" s="26"/>
      <c r="C327" s="26" t="s">
        <v>648</v>
      </c>
      <c r="D327" s="26"/>
      <c r="E327" s="8"/>
      <c r="F327" s="30"/>
      <c r="G327" s="645">
        <v>0</v>
      </c>
      <c r="H327" s="19"/>
    </row>
    <row r="328" spans="1:8" x14ac:dyDescent="0.25">
      <c r="A328" s="18"/>
      <c r="B328" s="26"/>
      <c r="C328" s="26" t="s">
        <v>97</v>
      </c>
      <c r="D328" s="26"/>
      <c r="E328" s="44">
        <f>-'Neraca '!L450</f>
        <v>0</v>
      </c>
      <c r="F328" s="30"/>
      <c r="G328" s="44"/>
      <c r="H328" s="19"/>
    </row>
    <row r="329" spans="1:8" x14ac:dyDescent="0.25">
      <c r="A329" s="18"/>
      <c r="B329" s="26"/>
      <c r="C329" s="26" t="s">
        <v>647</v>
      </c>
      <c r="D329" s="26"/>
      <c r="E329" s="8">
        <f>-'Neraca '!L452</f>
        <v>0</v>
      </c>
      <c r="F329" s="30"/>
      <c r="G329" s="44">
        <v>0</v>
      </c>
      <c r="H329" s="19"/>
    </row>
    <row r="330" spans="1:8" x14ac:dyDescent="0.25">
      <c r="A330" s="18"/>
      <c r="B330" s="26"/>
      <c r="C330" s="26" t="s">
        <v>290</v>
      </c>
      <c r="D330" s="26"/>
      <c r="E330" s="8">
        <f>-'Neraca '!L451</f>
        <v>0</v>
      </c>
      <c r="F330" s="30"/>
      <c r="G330" s="96"/>
      <c r="H330" s="19"/>
    </row>
    <row r="331" spans="1:8" x14ac:dyDescent="0.25">
      <c r="A331" s="18"/>
      <c r="B331" s="26"/>
      <c r="C331" s="26" t="s">
        <v>96</v>
      </c>
      <c r="D331" s="26"/>
      <c r="E331" s="8"/>
      <c r="F331" s="30"/>
      <c r="G331" s="8"/>
      <c r="H331" s="19"/>
    </row>
    <row r="332" spans="1:8" x14ac:dyDescent="0.25">
      <c r="A332" s="18"/>
      <c r="B332" s="26"/>
      <c r="C332" s="26" t="s">
        <v>95</v>
      </c>
      <c r="D332" s="26"/>
      <c r="F332" s="30"/>
      <c r="H332" s="19"/>
    </row>
    <row r="333" spans="1:8" x14ac:dyDescent="0.25">
      <c r="A333" s="18"/>
      <c r="B333" s="26"/>
      <c r="C333" s="26" t="s">
        <v>94</v>
      </c>
      <c r="D333" s="26"/>
      <c r="F333" s="30"/>
      <c r="H333" s="19"/>
    </row>
    <row r="334" spans="1:8" x14ac:dyDescent="0.25">
      <c r="A334" s="18"/>
      <c r="B334" s="26"/>
      <c r="C334" s="26" t="s">
        <v>93</v>
      </c>
      <c r="D334" s="26"/>
      <c r="F334" s="30"/>
      <c r="H334" s="19"/>
    </row>
    <row r="335" spans="1:8" x14ac:dyDescent="0.25">
      <c r="A335" s="18"/>
      <c r="B335" s="26"/>
      <c r="C335" s="26" t="s">
        <v>92</v>
      </c>
      <c r="D335" s="26"/>
      <c r="F335" s="30"/>
      <c r="H335" s="19"/>
    </row>
    <row r="336" spans="1:8" x14ac:dyDescent="0.25">
      <c r="A336" s="18"/>
      <c r="B336" s="26"/>
      <c r="C336" s="35" t="s">
        <v>18</v>
      </c>
      <c r="D336" s="35"/>
      <c r="E336" s="34">
        <f>SUM(E322:E335)</f>
        <v>0</v>
      </c>
      <c r="F336" s="36"/>
      <c r="G336" s="34">
        <f>SUM(G322:G335)</f>
        <v>0</v>
      </c>
      <c r="H336" s="19"/>
    </row>
    <row r="337" spans="1:9" x14ac:dyDescent="0.25">
      <c r="A337" s="18"/>
      <c r="B337" s="29" t="s">
        <v>19</v>
      </c>
      <c r="C337" s="26"/>
      <c r="D337" s="26"/>
      <c r="F337" s="30"/>
      <c r="H337" s="19"/>
    </row>
    <row r="338" spans="1:9" x14ac:dyDescent="0.25">
      <c r="A338" s="18"/>
      <c r="B338" s="26"/>
      <c r="C338" s="26" t="s">
        <v>91</v>
      </c>
      <c r="D338" s="26"/>
      <c r="E338" s="8">
        <f>'Neraca '!L434+'Neraca '!L438</f>
        <v>0</v>
      </c>
      <c r="F338" s="30"/>
      <c r="G338" s="8">
        <v>0</v>
      </c>
      <c r="H338" s="19"/>
    </row>
    <row r="339" spans="1:9" x14ac:dyDescent="0.25">
      <c r="A339" s="18"/>
      <c r="B339" s="26"/>
      <c r="C339" s="26" t="s">
        <v>90</v>
      </c>
      <c r="D339" s="26"/>
      <c r="F339" s="30"/>
      <c r="G339" s="111"/>
      <c r="H339" s="19"/>
    </row>
    <row r="340" spans="1:9" x14ac:dyDescent="0.25">
      <c r="A340" s="18"/>
      <c r="B340" s="26"/>
      <c r="C340" s="26" t="s">
        <v>301</v>
      </c>
      <c r="D340" s="26"/>
      <c r="E340" s="8"/>
      <c r="F340" s="30"/>
      <c r="H340" s="19"/>
    </row>
    <row r="341" spans="1:9" x14ac:dyDescent="0.25">
      <c r="A341" s="18"/>
      <c r="B341" s="26"/>
      <c r="C341" s="35" t="s">
        <v>89</v>
      </c>
      <c r="D341" s="31"/>
      <c r="E341" s="37">
        <f>SUM(E338:E340)</f>
        <v>0</v>
      </c>
      <c r="F341" s="36"/>
      <c r="G341" s="37">
        <f>SUM(G338:G340)</f>
        <v>0</v>
      </c>
      <c r="H341" s="19"/>
    </row>
    <row r="342" spans="1:9" x14ac:dyDescent="0.25">
      <c r="A342" s="18"/>
      <c r="B342" s="29" t="s">
        <v>20</v>
      </c>
      <c r="C342" s="26"/>
      <c r="D342" s="26"/>
      <c r="F342" s="30"/>
      <c r="G342" s="96"/>
      <c r="H342" s="19"/>
    </row>
    <row r="343" spans="1:9" x14ac:dyDescent="0.25">
      <c r="A343" s="18"/>
      <c r="B343" s="29"/>
      <c r="C343" s="26" t="s">
        <v>267</v>
      </c>
      <c r="D343" s="26"/>
      <c r="F343" s="30"/>
      <c r="G343" s="96"/>
      <c r="H343" s="19"/>
    </row>
    <row r="344" spans="1:9" x14ac:dyDescent="0.25">
      <c r="A344" s="18"/>
      <c r="B344" s="26"/>
      <c r="C344" s="26" t="s">
        <v>292</v>
      </c>
      <c r="D344" s="26"/>
      <c r="E344" s="8"/>
      <c r="F344" s="30"/>
      <c r="G344" s="96"/>
      <c r="H344" s="21"/>
    </row>
    <row r="345" spans="1:9" x14ac:dyDescent="0.25">
      <c r="A345" s="18"/>
      <c r="B345" s="26"/>
      <c r="C345" s="26" t="s">
        <v>282</v>
      </c>
      <c r="D345" s="26"/>
      <c r="E345" s="8"/>
      <c r="F345" s="30"/>
      <c r="G345" s="96"/>
      <c r="H345" s="19"/>
    </row>
    <row r="346" spans="1:9" x14ac:dyDescent="0.25">
      <c r="A346" s="18"/>
      <c r="B346" s="26"/>
      <c r="C346" s="35" t="s">
        <v>21</v>
      </c>
      <c r="D346" s="26"/>
      <c r="E346" s="42">
        <f>SUM(E344:E345)</f>
        <v>0</v>
      </c>
      <c r="F346" s="38"/>
      <c r="G346" s="42">
        <f>SUM(G343:G345)</f>
        <v>0</v>
      </c>
      <c r="H346" s="19"/>
    </row>
    <row r="347" spans="1:9" x14ac:dyDescent="0.25">
      <c r="A347" s="18"/>
      <c r="B347" s="26"/>
      <c r="C347" s="29"/>
      <c r="D347" s="26"/>
      <c r="F347" s="30"/>
      <c r="H347" s="19"/>
    </row>
    <row r="348" spans="1:9" x14ac:dyDescent="0.25">
      <c r="A348" s="18"/>
      <c r="B348" s="29" t="s">
        <v>88</v>
      </c>
      <c r="C348" s="26"/>
      <c r="D348" s="26"/>
      <c r="E348" s="38">
        <f>E336+E341+E346</f>
        <v>0</v>
      </c>
      <c r="F348" s="38"/>
      <c r="G348" s="38">
        <f>G336+G341+G346</f>
        <v>0</v>
      </c>
      <c r="H348" s="17"/>
    </row>
    <row r="349" spans="1:9" x14ac:dyDescent="0.25">
      <c r="A349" s="18"/>
      <c r="B349" s="29" t="s">
        <v>87</v>
      </c>
      <c r="C349" s="26"/>
      <c r="D349" s="26"/>
      <c r="E349" s="38">
        <f>G350</f>
        <v>0</v>
      </c>
      <c r="F349" s="38"/>
      <c r="G349" s="38">
        <v>0</v>
      </c>
      <c r="H349" s="17"/>
    </row>
    <row r="350" spans="1:9" ht="15.75" thickBot="1" x14ac:dyDescent="0.3">
      <c r="A350" s="16"/>
      <c r="B350" s="39" t="s">
        <v>86</v>
      </c>
      <c r="C350" s="40"/>
      <c r="D350" s="40"/>
      <c r="E350" s="41">
        <f>SUM(E348:E349)</f>
        <v>0</v>
      </c>
      <c r="F350" s="41"/>
      <c r="G350" s="41">
        <f>SUM(G348:G349)</f>
        <v>0</v>
      </c>
      <c r="H350" s="15"/>
    </row>
    <row r="351" spans="1:9" ht="27" customHeight="1" x14ac:dyDescent="0.25">
      <c r="A351" s="20"/>
      <c r="B351" s="29"/>
      <c r="C351" s="26"/>
      <c r="D351" s="26"/>
      <c r="E351" s="38">
        <f>'Neraca '!H423</f>
        <v>0</v>
      </c>
      <c r="F351" s="38"/>
      <c r="G351" s="38">
        <f>'Neraca '!J423</f>
        <v>0</v>
      </c>
      <c r="H351" s="445"/>
      <c r="I351" s="43">
        <f>E350-E351</f>
        <v>0</v>
      </c>
    </row>
    <row r="352" spans="1:9" ht="15.75" x14ac:dyDescent="0.3">
      <c r="A352" s="748" t="s">
        <v>658</v>
      </c>
      <c r="B352" s="748"/>
      <c r="C352" s="748"/>
      <c r="D352" s="3"/>
      <c r="E352" s="697" t="s">
        <v>566</v>
      </c>
      <c r="F352" s="697"/>
      <c r="G352" s="697"/>
      <c r="H352" s="697"/>
    </row>
    <row r="353" spans="1:8" x14ac:dyDescent="0.25">
      <c r="A353" s="749" t="s">
        <v>686</v>
      </c>
      <c r="B353" s="749"/>
      <c r="C353" s="749"/>
      <c r="D353" s="124"/>
      <c r="E353" s="697" t="s">
        <v>680</v>
      </c>
      <c r="F353" s="697"/>
      <c r="G353" s="697"/>
      <c r="H353" s="697"/>
    </row>
    <row r="354" spans="1:8" x14ac:dyDescent="0.25">
      <c r="A354" s="172"/>
      <c r="B354" s="6"/>
      <c r="C354" s="173"/>
      <c r="D354" s="697"/>
      <c r="E354" s="697"/>
      <c r="F354" s="697"/>
      <c r="G354" s="697"/>
      <c r="H354" s="697"/>
    </row>
    <row r="355" spans="1:8" x14ac:dyDescent="0.25">
      <c r="A355" s="174"/>
      <c r="B355" s="6"/>
      <c r="C355" s="173"/>
      <c r="D355" s="697"/>
      <c r="E355" s="697"/>
      <c r="F355" s="697"/>
      <c r="G355" s="697"/>
      <c r="H355" s="697"/>
    </row>
    <row r="356" spans="1:8" x14ac:dyDescent="0.25">
      <c r="A356" s="750" t="s">
        <v>656</v>
      </c>
      <c r="B356" s="750"/>
      <c r="C356" s="750"/>
      <c r="E356" s="697" t="s">
        <v>567</v>
      </c>
      <c r="F356" s="697"/>
      <c r="G356" s="697"/>
      <c r="H356" s="697"/>
    </row>
    <row r="357" spans="1:8" ht="15.75" x14ac:dyDescent="0.3">
      <c r="A357" s="3"/>
      <c r="B357" s="10"/>
      <c r="C357" s="1"/>
      <c r="D357" s="1"/>
      <c r="E357" s="13"/>
      <c r="F357" s="13"/>
      <c r="G357" s="105"/>
      <c r="H357" s="10"/>
    </row>
    <row r="358" spans="1:8" x14ac:dyDescent="0.25">
      <c r="A358" s="171"/>
      <c r="B358" s="739"/>
      <c r="C358" s="739"/>
      <c r="D358" s="739"/>
      <c r="E358" s="739"/>
      <c r="F358" s="739"/>
      <c r="G358" s="739"/>
      <c r="H358" s="739"/>
    </row>
    <row r="359" spans="1:8" x14ac:dyDescent="0.25">
      <c r="A359" s="168"/>
      <c r="B359" s="739"/>
      <c r="C359" s="739"/>
      <c r="D359" s="739"/>
      <c r="E359" s="739"/>
      <c r="F359" s="739"/>
      <c r="G359" s="739"/>
      <c r="H359" s="739"/>
    </row>
    <row r="360" spans="1:8" ht="15.75" x14ac:dyDescent="0.3">
      <c r="A360" s="107"/>
      <c r="B360" s="739"/>
      <c r="C360" s="739"/>
      <c r="D360" s="739"/>
      <c r="E360" s="739"/>
      <c r="F360" s="739"/>
      <c r="G360" s="739"/>
      <c r="H360" s="739"/>
    </row>
    <row r="361" spans="1:8" x14ac:dyDescent="0.25">
      <c r="A361" s="106"/>
      <c r="B361" s="739"/>
      <c r="C361" s="739"/>
      <c r="D361" s="739"/>
      <c r="E361" s="739"/>
      <c r="F361" s="739"/>
      <c r="G361" s="739"/>
      <c r="H361" s="739"/>
    </row>
    <row r="362" spans="1:8" x14ac:dyDescent="0.25">
      <c r="A362" s="2"/>
      <c r="B362" s="10"/>
      <c r="C362" s="1"/>
      <c r="D362" s="1"/>
      <c r="E362" s="13"/>
      <c r="F362" s="13"/>
      <c r="G362" s="13"/>
      <c r="H362" s="10"/>
    </row>
    <row r="363" spans="1:8" x14ac:dyDescent="0.25">
      <c r="A363" s="2"/>
      <c r="B363" s="10"/>
      <c r="C363" s="1"/>
      <c r="D363" s="1"/>
      <c r="E363" s="13"/>
      <c r="F363" s="13"/>
      <c r="G363" s="104"/>
      <c r="H363" s="10"/>
    </row>
    <row r="364" spans="1:8" x14ac:dyDescent="0.25">
      <c r="A364" s="2"/>
      <c r="B364" s="10"/>
      <c r="C364" s="1"/>
      <c r="D364" s="1"/>
      <c r="E364" s="13"/>
      <c r="F364" s="13"/>
      <c r="G364" s="109"/>
      <c r="H364" s="10"/>
    </row>
    <row r="365" spans="1:8" x14ac:dyDescent="0.25">
      <c r="A365" s="2"/>
      <c r="B365" s="10"/>
      <c r="C365" s="1"/>
      <c r="D365" s="1"/>
      <c r="E365" s="13"/>
      <c r="F365" s="13"/>
      <c r="G365" s="110"/>
      <c r="H365" s="10"/>
    </row>
    <row r="366" spans="1:8" x14ac:dyDescent="0.25">
      <c r="A366" s="2"/>
      <c r="B366" s="2"/>
      <c r="C366" s="2"/>
      <c r="D366" s="2"/>
      <c r="E366" s="106"/>
      <c r="F366" s="106"/>
      <c r="G366" s="13"/>
      <c r="H366" s="14"/>
    </row>
    <row r="370" spans="1:8" x14ac:dyDescent="0.25">
      <c r="B370" s="175" t="s">
        <v>652</v>
      </c>
    </row>
    <row r="371" spans="1:8" x14ac:dyDescent="0.25">
      <c r="A371" s="25"/>
      <c r="B371" s="24"/>
      <c r="C371" s="24"/>
      <c r="D371" s="24"/>
      <c r="E371" s="101"/>
      <c r="F371" s="101"/>
      <c r="G371" s="101"/>
      <c r="H371" s="23"/>
    </row>
    <row r="372" spans="1:8" x14ac:dyDescent="0.25">
      <c r="A372" s="741" t="s">
        <v>650</v>
      </c>
      <c r="B372" s="742"/>
      <c r="C372" s="742"/>
      <c r="D372" s="742"/>
      <c r="E372" s="742"/>
      <c r="F372" s="742"/>
      <c r="G372" s="742"/>
      <c r="H372" s="743"/>
    </row>
    <row r="373" spans="1:8" x14ac:dyDescent="0.25">
      <c r="A373" s="741" t="s">
        <v>107</v>
      </c>
      <c r="B373" s="742"/>
      <c r="C373" s="742"/>
      <c r="D373" s="742"/>
      <c r="E373" s="742"/>
      <c r="F373" s="742"/>
      <c r="G373" s="742"/>
      <c r="H373" s="743"/>
    </row>
    <row r="374" spans="1:8" x14ac:dyDescent="0.25">
      <c r="A374" s="18"/>
      <c r="B374" s="20"/>
      <c r="C374" s="20"/>
      <c r="D374" s="20"/>
      <c r="E374" s="26"/>
      <c r="F374" s="26"/>
      <c r="G374" s="26"/>
      <c r="H374" s="19"/>
    </row>
    <row r="375" spans="1:8" x14ac:dyDescent="0.25">
      <c r="A375" s="9"/>
      <c r="B375" s="744" t="s">
        <v>15</v>
      </c>
      <c r="C375" s="745"/>
      <c r="D375" s="26"/>
      <c r="E375" s="27" t="s">
        <v>1026</v>
      </c>
      <c r="F375" s="26"/>
      <c r="G375" s="27" t="s">
        <v>704</v>
      </c>
      <c r="H375" s="19"/>
    </row>
    <row r="376" spans="1:8" x14ac:dyDescent="0.25">
      <c r="A376" s="22"/>
      <c r="B376" s="746"/>
      <c r="C376" s="747"/>
      <c r="D376" s="26"/>
      <c r="E376" s="28" t="s">
        <v>22</v>
      </c>
      <c r="F376" s="26"/>
      <c r="G376" s="28" t="s">
        <v>22</v>
      </c>
      <c r="H376" s="19"/>
    </row>
    <row r="377" spans="1:8" x14ac:dyDescent="0.25">
      <c r="A377" s="18"/>
      <c r="B377" s="26"/>
      <c r="C377" s="26"/>
      <c r="D377" s="26"/>
      <c r="E377" s="26"/>
      <c r="F377" s="26"/>
      <c r="G377" s="26"/>
      <c r="H377" s="19"/>
    </row>
    <row r="378" spans="1:8" x14ac:dyDescent="0.25">
      <c r="A378" s="18"/>
      <c r="B378" s="29" t="s">
        <v>17</v>
      </c>
      <c r="C378" s="26"/>
      <c r="D378" s="26"/>
      <c r="E378" s="30"/>
      <c r="F378" s="30"/>
      <c r="G378" s="30"/>
      <c r="H378" s="19"/>
    </row>
    <row r="379" spans="1:8" x14ac:dyDescent="0.25">
      <c r="A379" s="18"/>
      <c r="B379" s="26"/>
      <c r="C379" s="31" t="s">
        <v>106</v>
      </c>
      <c r="D379" s="26"/>
      <c r="E379" s="32">
        <f>'Neraca '!H540</f>
        <v>0</v>
      </c>
      <c r="F379" s="33"/>
      <c r="G379" s="32">
        <v>0</v>
      </c>
      <c r="H379" s="19"/>
    </row>
    <row r="380" spans="1:8" x14ac:dyDescent="0.25">
      <c r="A380" s="18"/>
      <c r="B380" s="26" t="s">
        <v>105</v>
      </c>
      <c r="C380" s="26"/>
      <c r="D380" s="26"/>
      <c r="F380" s="30"/>
      <c r="H380" s="19"/>
    </row>
    <row r="381" spans="1:8" x14ac:dyDescent="0.25">
      <c r="A381" s="18"/>
      <c r="B381" s="26"/>
      <c r="C381" s="26" t="s">
        <v>104</v>
      </c>
      <c r="D381" s="26"/>
      <c r="E381" s="8">
        <f>'Neraca '!L515+'Neraca '!L519</f>
        <v>0</v>
      </c>
      <c r="F381" s="30"/>
      <c r="G381" s="8">
        <v>0</v>
      </c>
      <c r="H381" s="19"/>
    </row>
    <row r="382" spans="1:8" x14ac:dyDescent="0.25">
      <c r="A382" s="18"/>
      <c r="B382" s="26"/>
      <c r="C382" s="26" t="s">
        <v>103</v>
      </c>
      <c r="D382" s="26"/>
      <c r="E382" s="8">
        <f>-'Neraca '!L539+'Neraca '!L506</f>
        <v>0</v>
      </c>
      <c r="F382" s="30"/>
      <c r="G382" s="44">
        <v>0</v>
      </c>
      <c r="H382" s="19"/>
    </row>
    <row r="383" spans="1:8" x14ac:dyDescent="0.25">
      <c r="A383" s="18"/>
      <c r="B383" s="31" t="s">
        <v>102</v>
      </c>
      <c r="C383" s="31"/>
      <c r="D383" s="31"/>
      <c r="E383" s="34">
        <f>SUM(E379:E382)</f>
        <v>0</v>
      </c>
      <c r="F383" s="33"/>
      <c r="G383" s="34">
        <f>SUM(G379:G382)</f>
        <v>0</v>
      </c>
      <c r="H383" s="19"/>
    </row>
    <row r="384" spans="1:8" x14ac:dyDescent="0.25">
      <c r="A384" s="18"/>
      <c r="B384" s="26"/>
      <c r="C384" s="26" t="s">
        <v>101</v>
      </c>
      <c r="D384" s="26"/>
      <c r="E384" s="8">
        <f>'Neraca '!L507</f>
        <v>0</v>
      </c>
      <c r="F384" s="30"/>
      <c r="G384" s="8">
        <v>0</v>
      </c>
      <c r="H384" s="19"/>
    </row>
    <row r="385" spans="1:8" x14ac:dyDescent="0.25">
      <c r="A385" s="18"/>
      <c r="B385" s="26"/>
      <c r="C385" s="26" t="s">
        <v>100</v>
      </c>
      <c r="D385" s="26"/>
      <c r="E385" s="8">
        <f>'Neraca '!L508</f>
        <v>0</v>
      </c>
      <c r="F385" s="30"/>
      <c r="G385" s="8">
        <v>0</v>
      </c>
      <c r="H385" s="19"/>
    </row>
    <row r="386" spans="1:8" x14ac:dyDescent="0.25">
      <c r="A386" s="18"/>
      <c r="B386" s="26"/>
      <c r="C386" s="26" t="s">
        <v>99</v>
      </c>
      <c r="D386" s="26"/>
      <c r="E386" s="8">
        <f>'Neraca '!L509</f>
        <v>0</v>
      </c>
      <c r="F386" s="30"/>
      <c r="G386" s="8">
        <v>0</v>
      </c>
      <c r="H386" s="19"/>
    </row>
    <row r="387" spans="1:8" x14ac:dyDescent="0.25">
      <c r="A387" s="18"/>
      <c r="B387" s="26"/>
      <c r="C387" s="26" t="s">
        <v>98</v>
      </c>
      <c r="D387" s="26"/>
      <c r="E387" s="8"/>
      <c r="F387" s="30"/>
      <c r="G387" s="111"/>
      <c r="H387" s="19"/>
    </row>
    <row r="388" spans="1:8" x14ac:dyDescent="0.25">
      <c r="A388" s="18"/>
      <c r="B388" s="26"/>
      <c r="C388" s="26" t="s">
        <v>648</v>
      </c>
      <c r="D388" s="26"/>
      <c r="E388" s="8"/>
      <c r="F388" s="30"/>
      <c r="G388" s="645">
        <v>0</v>
      </c>
      <c r="H388" s="19"/>
    </row>
    <row r="389" spans="1:8" x14ac:dyDescent="0.25">
      <c r="A389" s="18"/>
      <c r="B389" s="26"/>
      <c r="C389" s="26" t="s">
        <v>97</v>
      </c>
      <c r="D389" s="26"/>
      <c r="E389" s="111">
        <f>-'Neraca '!L530</f>
        <v>0</v>
      </c>
      <c r="F389" s="30"/>
      <c r="G389" s="44"/>
      <c r="H389" s="19"/>
    </row>
    <row r="390" spans="1:8" x14ac:dyDescent="0.25">
      <c r="A390" s="18"/>
      <c r="B390" s="26"/>
      <c r="C390" s="26" t="s">
        <v>647</v>
      </c>
      <c r="D390" s="26"/>
      <c r="E390" s="8">
        <f>-'Neraca '!L532</f>
        <v>0</v>
      </c>
      <c r="F390" s="30"/>
      <c r="G390" s="44">
        <v>0</v>
      </c>
      <c r="H390" s="19"/>
    </row>
    <row r="391" spans="1:8" x14ac:dyDescent="0.25">
      <c r="A391" s="18"/>
      <c r="B391" s="26"/>
      <c r="C391" s="26" t="s">
        <v>290</v>
      </c>
      <c r="D391" s="26"/>
      <c r="E391" s="8">
        <f>-'Neraca '!L531</f>
        <v>0</v>
      </c>
      <c r="F391" s="30"/>
      <c r="G391" s="96"/>
      <c r="H391" s="19"/>
    </row>
    <row r="392" spans="1:8" x14ac:dyDescent="0.25">
      <c r="A392" s="18"/>
      <c r="B392" s="26"/>
      <c r="C392" s="26" t="s">
        <v>96</v>
      </c>
      <c r="D392" s="26"/>
      <c r="E392" s="8"/>
      <c r="F392" s="30"/>
      <c r="G392" s="8"/>
      <c r="H392" s="19"/>
    </row>
    <row r="393" spans="1:8" x14ac:dyDescent="0.25">
      <c r="A393" s="18"/>
      <c r="B393" s="26"/>
      <c r="C393" s="26" t="s">
        <v>95</v>
      </c>
      <c r="D393" s="26"/>
      <c r="F393" s="30"/>
      <c r="H393" s="19"/>
    </row>
    <row r="394" spans="1:8" x14ac:dyDescent="0.25">
      <c r="A394" s="18"/>
      <c r="B394" s="26"/>
      <c r="C394" s="26" t="s">
        <v>94</v>
      </c>
      <c r="D394" s="26"/>
      <c r="F394" s="30"/>
      <c r="H394" s="19"/>
    </row>
    <row r="395" spans="1:8" x14ac:dyDescent="0.25">
      <c r="A395" s="18"/>
      <c r="B395" s="26"/>
      <c r="C395" s="26" t="s">
        <v>93</v>
      </c>
      <c r="D395" s="26"/>
      <c r="F395" s="30"/>
      <c r="H395" s="19"/>
    </row>
    <row r="396" spans="1:8" x14ac:dyDescent="0.25">
      <c r="A396" s="18"/>
      <c r="B396" s="26"/>
      <c r="C396" s="26" t="s">
        <v>92</v>
      </c>
      <c r="D396" s="26"/>
      <c r="F396" s="30"/>
      <c r="H396" s="19"/>
    </row>
    <row r="397" spans="1:8" x14ac:dyDescent="0.25">
      <c r="A397" s="18"/>
      <c r="B397" s="26"/>
      <c r="C397" s="35" t="s">
        <v>18</v>
      </c>
      <c r="D397" s="35"/>
      <c r="E397" s="34">
        <f>SUM(E383:E396)</f>
        <v>0</v>
      </c>
      <c r="F397" s="36"/>
      <c r="G397" s="34">
        <f>SUM(G383:G396)</f>
        <v>0</v>
      </c>
      <c r="H397" s="19"/>
    </row>
    <row r="398" spans="1:8" x14ac:dyDescent="0.25">
      <c r="A398" s="18"/>
      <c r="B398" s="29" t="s">
        <v>19</v>
      </c>
      <c r="C398" s="26"/>
      <c r="D398" s="26"/>
      <c r="F398" s="30"/>
      <c r="H398" s="19"/>
    </row>
    <row r="399" spans="1:8" x14ac:dyDescent="0.25">
      <c r="A399" s="18"/>
      <c r="B399" s="26"/>
      <c r="C399" s="26" t="s">
        <v>91</v>
      </c>
      <c r="D399" s="26"/>
      <c r="E399" s="8">
        <f>'Neraca '!L514</f>
        <v>0</v>
      </c>
      <c r="F399" s="30"/>
      <c r="G399" s="8">
        <v>0</v>
      </c>
      <c r="H399" s="19"/>
    </row>
    <row r="400" spans="1:8" x14ac:dyDescent="0.25">
      <c r="A400" s="18"/>
      <c r="B400" s="26"/>
      <c r="C400" s="26" t="s">
        <v>90</v>
      </c>
      <c r="D400" s="26"/>
      <c r="F400" s="30"/>
      <c r="G400" s="111"/>
      <c r="H400" s="19"/>
    </row>
    <row r="401" spans="1:9" x14ac:dyDescent="0.25">
      <c r="A401" s="18"/>
      <c r="B401" s="26"/>
      <c r="C401" s="26" t="s">
        <v>301</v>
      </c>
      <c r="D401" s="26"/>
      <c r="E401" s="8"/>
      <c r="F401" s="30"/>
      <c r="H401" s="19"/>
    </row>
    <row r="402" spans="1:9" x14ac:dyDescent="0.25">
      <c r="A402" s="18"/>
      <c r="B402" s="26"/>
      <c r="C402" s="35" t="s">
        <v>89</v>
      </c>
      <c r="D402" s="31"/>
      <c r="E402" s="37">
        <f>SUM(E399:E401)</f>
        <v>0</v>
      </c>
      <c r="F402" s="36"/>
      <c r="G402" s="37">
        <f>SUM(G399:G401)</f>
        <v>0</v>
      </c>
      <c r="H402" s="19"/>
    </row>
    <row r="403" spans="1:9" x14ac:dyDescent="0.25">
      <c r="A403" s="18"/>
      <c r="B403" s="29" t="s">
        <v>20</v>
      </c>
      <c r="C403" s="26"/>
      <c r="D403" s="26"/>
      <c r="F403" s="30"/>
      <c r="G403" s="96"/>
      <c r="H403" s="19"/>
    </row>
    <row r="404" spans="1:9" x14ac:dyDescent="0.25">
      <c r="A404" s="18"/>
      <c r="B404" s="29"/>
      <c r="C404" s="26" t="s">
        <v>267</v>
      </c>
      <c r="D404" s="26"/>
      <c r="F404" s="30"/>
      <c r="G404" s="96"/>
      <c r="H404" s="19"/>
    </row>
    <row r="405" spans="1:9" x14ac:dyDescent="0.25">
      <c r="A405" s="18"/>
      <c r="B405" s="26"/>
      <c r="C405" s="26" t="s">
        <v>292</v>
      </c>
      <c r="D405" s="26"/>
      <c r="E405" s="8"/>
      <c r="F405" s="30"/>
      <c r="G405" s="96"/>
      <c r="H405" s="21"/>
    </row>
    <row r="406" spans="1:9" x14ac:dyDescent="0.25">
      <c r="A406" s="18"/>
      <c r="B406" s="26"/>
      <c r="C406" s="26" t="s">
        <v>282</v>
      </c>
      <c r="D406" s="26"/>
      <c r="E406" s="8"/>
      <c r="F406" s="30"/>
      <c r="G406" s="96"/>
      <c r="H406" s="19"/>
    </row>
    <row r="407" spans="1:9" x14ac:dyDescent="0.25">
      <c r="A407" s="18"/>
      <c r="B407" s="26"/>
      <c r="C407" s="35" t="s">
        <v>21</v>
      </c>
      <c r="D407" s="26"/>
      <c r="E407" s="42">
        <f>SUM(E405:E406)</f>
        <v>0</v>
      </c>
      <c r="F407" s="38"/>
      <c r="G407" s="42">
        <f>SUM(G404:G406)</f>
        <v>0</v>
      </c>
      <c r="H407" s="19"/>
    </row>
    <row r="408" spans="1:9" x14ac:dyDescent="0.25">
      <c r="A408" s="18"/>
      <c r="B408" s="26"/>
      <c r="C408" s="29"/>
      <c r="D408" s="26"/>
      <c r="F408" s="30"/>
      <c r="H408" s="19"/>
    </row>
    <row r="409" spans="1:9" x14ac:dyDescent="0.25">
      <c r="A409" s="18"/>
      <c r="B409" s="29" t="s">
        <v>88</v>
      </c>
      <c r="C409" s="26"/>
      <c r="D409" s="26"/>
      <c r="E409" s="38">
        <f>E397+E402+E407</f>
        <v>0</v>
      </c>
      <c r="F409" s="38"/>
      <c r="G409" s="38">
        <f>G397+G402+G407</f>
        <v>0</v>
      </c>
      <c r="H409" s="17"/>
    </row>
    <row r="410" spans="1:9" x14ac:dyDescent="0.25">
      <c r="A410" s="18"/>
      <c r="B410" s="29" t="s">
        <v>87</v>
      </c>
      <c r="C410" s="26"/>
      <c r="D410" s="26"/>
      <c r="E410" s="38">
        <f>G411</f>
        <v>0</v>
      </c>
      <c r="F410" s="38"/>
      <c r="G410" s="38">
        <v>0</v>
      </c>
      <c r="H410" s="17"/>
    </row>
    <row r="411" spans="1:9" ht="15.75" thickBot="1" x14ac:dyDescent="0.3">
      <c r="A411" s="16"/>
      <c r="B411" s="39" t="s">
        <v>86</v>
      </c>
      <c r="C411" s="40"/>
      <c r="D411" s="40"/>
      <c r="E411" s="41">
        <f>SUM(E409:E410)</f>
        <v>0</v>
      </c>
      <c r="F411" s="41"/>
      <c r="G411" s="41">
        <f>SUM(G409:G410)</f>
        <v>0</v>
      </c>
      <c r="H411" s="15"/>
    </row>
    <row r="412" spans="1:9" ht="24" customHeight="1" x14ac:dyDescent="0.3">
      <c r="A412" s="2"/>
      <c r="B412" s="2"/>
      <c r="C412" s="3"/>
      <c r="D412" s="3"/>
      <c r="E412" s="102">
        <f>'Neraca '!H503</f>
        <v>0</v>
      </c>
      <c r="F412" s="103"/>
      <c r="G412" s="146">
        <f>'Neraca '!J503</f>
        <v>0</v>
      </c>
      <c r="H412" s="4"/>
    </row>
    <row r="413" spans="1:9" x14ac:dyDescent="0.25">
      <c r="A413" s="748" t="s">
        <v>658</v>
      </c>
      <c r="B413" s="748"/>
      <c r="C413" s="748"/>
      <c r="E413" s="697" t="s">
        <v>566</v>
      </c>
      <c r="F413" s="697"/>
      <c r="G413" s="697"/>
      <c r="H413" s="697"/>
      <c r="I413" s="43"/>
    </row>
    <row r="414" spans="1:9" x14ac:dyDescent="0.25">
      <c r="A414" s="749" t="s">
        <v>686</v>
      </c>
      <c r="B414" s="749"/>
      <c r="C414" s="749"/>
      <c r="D414" s="124"/>
      <c r="E414" s="697" t="s">
        <v>680</v>
      </c>
      <c r="F414" s="697"/>
      <c r="G414" s="697"/>
      <c r="H414" s="697"/>
    </row>
    <row r="415" spans="1:9" x14ac:dyDescent="0.25">
      <c r="A415" s="172"/>
      <c r="B415" s="6"/>
      <c r="C415" s="173"/>
      <c r="D415" s="697"/>
      <c r="E415" s="697"/>
      <c r="F415" s="697"/>
      <c r="G415" s="697"/>
      <c r="H415" s="697"/>
    </row>
    <row r="416" spans="1:9" x14ac:dyDescent="0.25">
      <c r="A416" s="174"/>
      <c r="B416" s="6"/>
      <c r="C416" s="173"/>
      <c r="D416" s="697"/>
      <c r="E416" s="697"/>
      <c r="F416" s="697"/>
      <c r="G416" s="697"/>
      <c r="H416" s="697"/>
    </row>
    <row r="417" spans="1:8" x14ac:dyDescent="0.25">
      <c r="A417" s="750" t="s">
        <v>656</v>
      </c>
      <c r="B417" s="750"/>
      <c r="C417" s="750"/>
      <c r="E417" s="697" t="s">
        <v>567</v>
      </c>
      <c r="F417" s="697"/>
      <c r="G417" s="697"/>
      <c r="H417" s="697"/>
    </row>
    <row r="418" spans="1:8" ht="15.75" x14ac:dyDescent="0.3">
      <c r="A418" s="3"/>
      <c r="B418" s="10"/>
      <c r="C418" s="1"/>
      <c r="D418" s="1"/>
      <c r="E418" s="13"/>
      <c r="F418" s="13"/>
      <c r="G418" s="105"/>
      <c r="H418" s="10"/>
    </row>
    <row r="419" spans="1:8" ht="15.75" x14ac:dyDescent="0.3">
      <c r="A419" s="3"/>
      <c r="B419" s="10"/>
      <c r="C419" s="1"/>
      <c r="D419" s="1"/>
      <c r="E419" s="13"/>
      <c r="F419" s="13"/>
      <c r="G419" s="105"/>
      <c r="H419" s="10"/>
    </row>
    <row r="420" spans="1:8" ht="15.75" x14ac:dyDescent="0.3">
      <c r="A420" s="3"/>
      <c r="B420" s="10"/>
      <c r="C420" s="1"/>
      <c r="D420" s="1"/>
      <c r="E420" s="13"/>
      <c r="F420" s="13"/>
      <c r="G420" s="105"/>
      <c r="H420" s="10"/>
    </row>
    <row r="421" spans="1:8" ht="15.75" x14ac:dyDescent="0.3">
      <c r="A421" s="3"/>
      <c r="B421" s="10"/>
      <c r="C421" s="1"/>
      <c r="D421" s="1"/>
      <c r="E421" s="13"/>
      <c r="F421" s="13"/>
      <c r="G421" s="104"/>
      <c r="H421" s="10"/>
    </row>
    <row r="422" spans="1:8" x14ac:dyDescent="0.25">
      <c r="A422" s="2"/>
      <c r="B422" s="10"/>
      <c r="C422" s="1"/>
      <c r="D422" s="1"/>
      <c r="E422" s="13"/>
      <c r="F422" s="13"/>
      <c r="G422" s="104"/>
      <c r="H422" s="10"/>
    </row>
    <row r="423" spans="1:8" x14ac:dyDescent="0.25">
      <c r="A423" s="2"/>
      <c r="B423" s="10"/>
      <c r="C423" s="1"/>
      <c r="D423" s="1"/>
      <c r="E423" s="13"/>
      <c r="F423" s="13"/>
      <c r="G423" s="13"/>
      <c r="H423" s="10"/>
    </row>
    <row r="424" spans="1:8" x14ac:dyDescent="0.25">
      <c r="A424" s="2"/>
      <c r="B424" s="10"/>
      <c r="C424" s="1"/>
      <c r="D424" s="1"/>
      <c r="E424" s="13"/>
      <c r="F424" s="13"/>
      <c r="G424" s="104"/>
      <c r="H424" s="10"/>
    </row>
    <row r="425" spans="1:8" x14ac:dyDescent="0.25">
      <c r="A425" s="2"/>
      <c r="B425" s="10"/>
      <c r="C425" s="1"/>
      <c r="D425" s="1"/>
      <c r="E425" s="13"/>
      <c r="F425" s="13"/>
      <c r="G425" s="109"/>
      <c r="H425" s="10"/>
    </row>
    <row r="426" spans="1:8" x14ac:dyDescent="0.25">
      <c r="A426" s="2"/>
      <c r="B426" s="10"/>
      <c r="C426" s="1"/>
      <c r="D426" s="1"/>
      <c r="E426" s="13"/>
      <c r="F426" s="13"/>
      <c r="G426" s="110"/>
      <c r="H426" s="10"/>
    </row>
    <row r="427" spans="1:8" x14ac:dyDescent="0.25">
      <c r="A427" s="2"/>
      <c r="B427" s="2"/>
      <c r="C427" s="2"/>
      <c r="D427" s="2"/>
      <c r="E427" s="106"/>
      <c r="F427" s="106"/>
      <c r="G427" s="13"/>
      <c r="H427" s="14"/>
    </row>
    <row r="431" spans="1:8" x14ac:dyDescent="0.25">
      <c r="B431" s="175" t="s">
        <v>652</v>
      </c>
    </row>
    <row r="432" spans="1:8" x14ac:dyDescent="0.25">
      <c r="A432" s="25"/>
      <c r="B432" s="24"/>
      <c r="C432" s="24"/>
      <c r="D432" s="24"/>
      <c r="E432" s="101"/>
      <c r="F432" s="101"/>
      <c r="G432" s="101"/>
      <c r="H432" s="23"/>
    </row>
    <row r="433" spans="1:8" x14ac:dyDescent="0.25">
      <c r="A433" s="741" t="s">
        <v>650</v>
      </c>
      <c r="B433" s="742"/>
      <c r="C433" s="742"/>
      <c r="D433" s="742"/>
      <c r="E433" s="742"/>
      <c r="F433" s="742"/>
      <c r="G433" s="742"/>
      <c r="H433" s="743"/>
    </row>
    <row r="434" spans="1:8" x14ac:dyDescent="0.25">
      <c r="A434" s="741" t="s">
        <v>107</v>
      </c>
      <c r="B434" s="742"/>
      <c r="C434" s="742"/>
      <c r="D434" s="742"/>
      <c r="E434" s="742"/>
      <c r="F434" s="742"/>
      <c r="G434" s="742"/>
      <c r="H434" s="743"/>
    </row>
    <row r="435" spans="1:8" x14ac:dyDescent="0.25">
      <c r="A435" s="18"/>
      <c r="B435" s="20"/>
      <c r="C435" s="20"/>
      <c r="D435" s="20"/>
      <c r="E435" s="26"/>
      <c r="F435" s="26"/>
      <c r="G435" s="26"/>
      <c r="H435" s="19"/>
    </row>
    <row r="436" spans="1:8" x14ac:dyDescent="0.25">
      <c r="A436" s="9"/>
      <c r="B436" s="744" t="s">
        <v>15</v>
      </c>
      <c r="C436" s="745"/>
      <c r="D436" s="26"/>
      <c r="E436" s="27" t="s">
        <v>1029</v>
      </c>
      <c r="F436" s="26"/>
      <c r="G436" s="27" t="s">
        <v>704</v>
      </c>
      <c r="H436" s="19"/>
    </row>
    <row r="437" spans="1:8" x14ac:dyDescent="0.25">
      <c r="A437" s="22"/>
      <c r="B437" s="746"/>
      <c r="C437" s="747"/>
      <c r="D437" s="26"/>
      <c r="E437" s="28" t="s">
        <v>22</v>
      </c>
      <c r="F437" s="26"/>
      <c r="G437" s="28" t="s">
        <v>22</v>
      </c>
      <c r="H437" s="19"/>
    </row>
    <row r="438" spans="1:8" x14ac:dyDescent="0.25">
      <c r="A438" s="18"/>
      <c r="B438" s="26"/>
      <c r="C438" s="26"/>
      <c r="D438" s="26"/>
      <c r="E438" s="26"/>
      <c r="F438" s="26"/>
      <c r="G438" s="26"/>
      <c r="H438" s="19"/>
    </row>
    <row r="439" spans="1:8" x14ac:dyDescent="0.25">
      <c r="A439" s="18"/>
      <c r="B439" s="29" t="s">
        <v>17</v>
      </c>
      <c r="C439" s="26"/>
      <c r="D439" s="26"/>
      <c r="E439" s="30"/>
      <c r="F439" s="30"/>
      <c r="G439" s="30"/>
      <c r="H439" s="19"/>
    </row>
    <row r="440" spans="1:8" x14ac:dyDescent="0.25">
      <c r="A440" s="18"/>
      <c r="B440" s="26"/>
      <c r="C440" s="31" t="s">
        <v>106</v>
      </c>
      <c r="D440" s="26"/>
      <c r="E440" s="32">
        <f>'Neraca '!H625</f>
        <v>0</v>
      </c>
      <c r="F440" s="33"/>
      <c r="G440" s="32">
        <v>0</v>
      </c>
      <c r="H440" s="19"/>
    </row>
    <row r="441" spans="1:8" x14ac:dyDescent="0.25">
      <c r="A441" s="18"/>
      <c r="B441" s="26" t="s">
        <v>105</v>
      </c>
      <c r="C441" s="26"/>
      <c r="D441" s="26"/>
      <c r="F441" s="30"/>
      <c r="H441" s="19"/>
    </row>
    <row r="442" spans="1:8" x14ac:dyDescent="0.25">
      <c r="A442" s="18"/>
      <c r="B442" s="26"/>
      <c r="C442" s="26" t="s">
        <v>104</v>
      </c>
      <c r="D442" s="26"/>
      <c r="E442" s="8">
        <f>'Neraca '!L600+'Neraca '!L604</f>
        <v>0</v>
      </c>
      <c r="F442" s="30"/>
      <c r="G442" s="8">
        <v>0</v>
      </c>
      <c r="H442" s="19"/>
    </row>
    <row r="443" spans="1:8" x14ac:dyDescent="0.25">
      <c r="A443" s="18"/>
      <c r="B443" s="26"/>
      <c r="C443" s="26" t="s">
        <v>103</v>
      </c>
      <c r="D443" s="26"/>
      <c r="E443" s="8">
        <f>-'Neraca '!L624+'Neraca '!L591</f>
        <v>0</v>
      </c>
      <c r="F443" s="30"/>
      <c r="G443" s="44">
        <v>0</v>
      </c>
      <c r="H443" s="19"/>
    </row>
    <row r="444" spans="1:8" x14ac:dyDescent="0.25">
      <c r="A444" s="18"/>
      <c r="B444" s="31" t="s">
        <v>102</v>
      </c>
      <c r="C444" s="31"/>
      <c r="D444" s="31"/>
      <c r="E444" s="34">
        <f>SUM(E440:E443)</f>
        <v>0</v>
      </c>
      <c r="F444" s="33"/>
      <c r="G444" s="34">
        <v>0</v>
      </c>
      <c r="H444" s="19"/>
    </row>
    <row r="445" spans="1:8" x14ac:dyDescent="0.25">
      <c r="A445" s="18"/>
      <c r="B445" s="26"/>
      <c r="C445" s="26" t="s">
        <v>101</v>
      </c>
      <c r="D445" s="26"/>
      <c r="E445" s="8">
        <f>'Neraca '!L592</f>
        <v>0</v>
      </c>
      <c r="F445" s="30"/>
      <c r="G445" s="8">
        <v>0</v>
      </c>
      <c r="H445" s="19"/>
    </row>
    <row r="446" spans="1:8" x14ac:dyDescent="0.25">
      <c r="A446" s="18"/>
      <c r="B446" s="26"/>
      <c r="C446" s="26" t="s">
        <v>100</v>
      </c>
      <c r="D446" s="26"/>
      <c r="E446" s="8">
        <f>'Neraca '!L593</f>
        <v>0</v>
      </c>
      <c r="F446" s="30"/>
      <c r="G446" s="8">
        <v>0</v>
      </c>
      <c r="H446" s="19"/>
    </row>
    <row r="447" spans="1:8" x14ac:dyDescent="0.25">
      <c r="A447" s="18"/>
      <c r="B447" s="26"/>
      <c r="C447" s="26" t="s">
        <v>99</v>
      </c>
      <c r="D447" s="26"/>
      <c r="E447" s="8">
        <f>'Neraca '!L594</f>
        <v>0</v>
      </c>
      <c r="F447" s="30"/>
      <c r="G447" s="8">
        <v>0</v>
      </c>
      <c r="H447" s="19"/>
    </row>
    <row r="448" spans="1:8" x14ac:dyDescent="0.25">
      <c r="A448" s="18"/>
      <c r="B448" s="26"/>
      <c r="C448" s="26" t="s">
        <v>98</v>
      </c>
      <c r="D448" s="26"/>
      <c r="E448" s="8"/>
      <c r="F448" s="30"/>
      <c r="G448" s="111"/>
      <c r="H448" s="19"/>
    </row>
    <row r="449" spans="1:8" x14ac:dyDescent="0.25">
      <c r="A449" s="18"/>
      <c r="B449" s="26"/>
      <c r="C449" s="26" t="s">
        <v>648</v>
      </c>
      <c r="D449" s="26"/>
      <c r="E449" s="8"/>
      <c r="F449" s="30"/>
      <c r="G449" s="645">
        <v>0</v>
      </c>
      <c r="H449" s="19"/>
    </row>
    <row r="450" spans="1:8" x14ac:dyDescent="0.25">
      <c r="A450" s="18"/>
      <c r="B450" s="26"/>
      <c r="C450" s="26" t="s">
        <v>97</v>
      </c>
      <c r="D450" s="26"/>
      <c r="E450" s="44">
        <f>-'Neraca '!L615</f>
        <v>0</v>
      </c>
      <c r="F450" s="30"/>
      <c r="G450" s="44"/>
      <c r="H450" s="19"/>
    </row>
    <row r="451" spans="1:8" x14ac:dyDescent="0.25">
      <c r="A451" s="18"/>
      <c r="B451" s="26"/>
      <c r="C451" s="26" t="s">
        <v>647</v>
      </c>
      <c r="D451" s="26"/>
      <c r="E451" s="8">
        <f>-'Neraca '!L617</f>
        <v>0</v>
      </c>
      <c r="F451" s="30"/>
      <c r="G451" s="44">
        <v>0</v>
      </c>
      <c r="H451" s="19"/>
    </row>
    <row r="452" spans="1:8" x14ac:dyDescent="0.25">
      <c r="A452" s="18"/>
      <c r="B452" s="26"/>
      <c r="C452" s="26" t="s">
        <v>290</v>
      </c>
      <c r="D452" s="26"/>
      <c r="E452" s="8">
        <f>-'Neraca '!L616</f>
        <v>0</v>
      </c>
      <c r="F452" s="30"/>
      <c r="G452" s="96"/>
      <c r="H452" s="19"/>
    </row>
    <row r="453" spans="1:8" x14ac:dyDescent="0.25">
      <c r="A453" s="18"/>
      <c r="B453" s="26"/>
      <c r="C453" s="26" t="s">
        <v>96</v>
      </c>
      <c r="D453" s="26"/>
      <c r="E453" s="8"/>
      <c r="F453" s="30"/>
      <c r="G453" s="8"/>
      <c r="H453" s="19"/>
    </row>
    <row r="454" spans="1:8" x14ac:dyDescent="0.25">
      <c r="A454" s="18"/>
      <c r="B454" s="26"/>
      <c r="C454" s="26" t="s">
        <v>95</v>
      </c>
      <c r="D454" s="26"/>
      <c r="F454" s="30"/>
      <c r="H454" s="19"/>
    </row>
    <row r="455" spans="1:8" x14ac:dyDescent="0.25">
      <c r="A455" s="18"/>
      <c r="B455" s="26"/>
      <c r="C455" s="26" t="s">
        <v>94</v>
      </c>
      <c r="D455" s="26"/>
      <c r="F455" s="30"/>
      <c r="H455" s="19"/>
    </row>
    <row r="456" spans="1:8" x14ac:dyDescent="0.25">
      <c r="A456" s="18"/>
      <c r="B456" s="26"/>
      <c r="C456" s="26" t="s">
        <v>93</v>
      </c>
      <c r="D456" s="26"/>
      <c r="F456" s="30"/>
      <c r="H456" s="19"/>
    </row>
    <row r="457" spans="1:8" x14ac:dyDescent="0.25">
      <c r="A457" s="18"/>
      <c r="B457" s="26"/>
      <c r="C457" s="26" t="s">
        <v>92</v>
      </c>
      <c r="D457" s="26"/>
      <c r="F457" s="30"/>
      <c r="H457" s="19"/>
    </row>
    <row r="458" spans="1:8" x14ac:dyDescent="0.25">
      <c r="A458" s="18"/>
      <c r="B458" s="26"/>
      <c r="C458" s="35" t="s">
        <v>18</v>
      </c>
      <c r="D458" s="35"/>
      <c r="E458" s="34">
        <f>SUM(E444:E457)</f>
        <v>0</v>
      </c>
      <c r="F458" s="36"/>
      <c r="G458" s="34">
        <f>SUM(G444:G457)</f>
        <v>0</v>
      </c>
      <c r="H458" s="19"/>
    </row>
    <row r="459" spans="1:8" x14ac:dyDescent="0.25">
      <c r="A459" s="18"/>
      <c r="B459" s="29" t="s">
        <v>19</v>
      </c>
      <c r="C459" s="26"/>
      <c r="D459" s="26"/>
      <c r="F459" s="30"/>
      <c r="H459" s="19"/>
    </row>
    <row r="460" spans="1:8" x14ac:dyDescent="0.25">
      <c r="A460" s="18"/>
      <c r="B460" s="26"/>
      <c r="C460" s="26" t="s">
        <v>91</v>
      </c>
      <c r="D460" s="26"/>
      <c r="E460" s="8">
        <f>'Neraca '!L599+'Neraca '!L603</f>
        <v>0</v>
      </c>
      <c r="F460" s="30"/>
      <c r="G460" s="8">
        <v>0</v>
      </c>
      <c r="H460" s="19"/>
    </row>
    <row r="461" spans="1:8" x14ac:dyDescent="0.25">
      <c r="A461" s="18"/>
      <c r="B461" s="26"/>
      <c r="C461" s="26" t="s">
        <v>90</v>
      </c>
      <c r="D461" s="26"/>
      <c r="F461" s="30"/>
      <c r="G461" s="111"/>
      <c r="H461" s="19"/>
    </row>
    <row r="462" spans="1:8" x14ac:dyDescent="0.25">
      <c r="A462" s="18"/>
      <c r="B462" s="26"/>
      <c r="C462" s="26" t="s">
        <v>301</v>
      </c>
      <c r="D462" s="26"/>
      <c r="E462" s="8">
        <f>'Neraca '!L475</f>
        <v>0</v>
      </c>
      <c r="F462" s="30"/>
      <c r="H462" s="19"/>
    </row>
    <row r="463" spans="1:8" x14ac:dyDescent="0.25">
      <c r="A463" s="18"/>
      <c r="B463" s="26"/>
      <c r="C463" s="35" t="s">
        <v>89</v>
      </c>
      <c r="D463" s="31"/>
      <c r="E463" s="37">
        <f>SUM(E460:E462)</f>
        <v>0</v>
      </c>
      <c r="F463" s="36"/>
      <c r="G463" s="37">
        <f>SUM(G460:G462)</f>
        <v>0</v>
      </c>
      <c r="H463" s="19"/>
    </row>
    <row r="464" spans="1:8" x14ac:dyDescent="0.25">
      <c r="A464" s="18"/>
      <c r="B464" s="29" t="s">
        <v>20</v>
      </c>
      <c r="C464" s="26"/>
      <c r="D464" s="26"/>
      <c r="F464" s="30"/>
      <c r="G464" s="96"/>
      <c r="H464" s="19"/>
    </row>
    <row r="465" spans="1:8" x14ac:dyDescent="0.25">
      <c r="A465" s="18"/>
      <c r="B465" s="29"/>
      <c r="C465" s="26" t="s">
        <v>267</v>
      </c>
      <c r="D465" s="26"/>
      <c r="F465" s="30"/>
      <c r="G465" s="96"/>
      <c r="H465" s="19"/>
    </row>
    <row r="466" spans="1:8" x14ac:dyDescent="0.25">
      <c r="A466" s="18"/>
      <c r="B466" s="26"/>
      <c r="C466" s="26" t="s">
        <v>292</v>
      </c>
      <c r="D466" s="26"/>
      <c r="E466" s="8"/>
      <c r="F466" s="30"/>
      <c r="G466" s="96"/>
      <c r="H466" s="21"/>
    </row>
    <row r="467" spans="1:8" x14ac:dyDescent="0.25">
      <c r="A467" s="18"/>
      <c r="B467" s="26"/>
      <c r="C467" s="26" t="s">
        <v>282</v>
      </c>
      <c r="D467" s="26"/>
      <c r="E467" s="8"/>
      <c r="F467" s="30"/>
      <c r="G467" s="96"/>
      <c r="H467" s="19"/>
    </row>
    <row r="468" spans="1:8" x14ac:dyDescent="0.25">
      <c r="A468" s="18"/>
      <c r="B468" s="26"/>
      <c r="C468" s="35" t="s">
        <v>21</v>
      </c>
      <c r="D468" s="26"/>
      <c r="E468" s="42">
        <f>SUM(E466:E467)</f>
        <v>0</v>
      </c>
      <c r="F468" s="38"/>
      <c r="G468" s="42">
        <f>SUM(G465:G467)</f>
        <v>0</v>
      </c>
      <c r="H468" s="19"/>
    </row>
    <row r="469" spans="1:8" x14ac:dyDescent="0.25">
      <c r="A469" s="18"/>
      <c r="B469" s="26"/>
      <c r="C469" s="29"/>
      <c r="D469" s="26"/>
      <c r="F469" s="30"/>
      <c r="H469" s="19"/>
    </row>
    <row r="470" spans="1:8" x14ac:dyDescent="0.25">
      <c r="A470" s="18"/>
      <c r="B470" s="29" t="s">
        <v>88</v>
      </c>
      <c r="C470" s="26"/>
      <c r="D470" s="26"/>
      <c r="E470" s="38">
        <f>E458+E463+E468</f>
        <v>0</v>
      </c>
      <c r="F470" s="38"/>
      <c r="G470" s="38">
        <f>G458+G463+G468</f>
        <v>0</v>
      </c>
      <c r="H470" s="17"/>
    </row>
    <row r="471" spans="1:8" x14ac:dyDescent="0.25">
      <c r="A471" s="18"/>
      <c r="B471" s="29" t="s">
        <v>87</v>
      </c>
      <c r="C471" s="26"/>
      <c r="D471" s="26"/>
      <c r="E471" s="38">
        <f>G472</f>
        <v>0</v>
      </c>
      <c r="F471" s="38"/>
      <c r="G471" s="38">
        <v>0</v>
      </c>
      <c r="H471" s="17"/>
    </row>
    <row r="472" spans="1:8" ht="15.75" thickBot="1" x14ac:dyDescent="0.3">
      <c r="A472" s="16"/>
      <c r="B472" s="39" t="s">
        <v>86</v>
      </c>
      <c r="C472" s="40"/>
      <c r="D472" s="40"/>
      <c r="E472" s="41">
        <f>SUM(E470:E471)</f>
        <v>0</v>
      </c>
      <c r="F472" s="41"/>
      <c r="G472" s="41">
        <f>SUM(G470:G471)</f>
        <v>0</v>
      </c>
      <c r="H472" s="15"/>
    </row>
    <row r="473" spans="1:8" ht="24" customHeight="1" x14ac:dyDescent="0.3">
      <c r="A473" s="2"/>
      <c r="B473" s="2"/>
      <c r="C473" s="3"/>
      <c r="D473" s="3"/>
      <c r="E473" s="102">
        <f>'Neraca '!H588</f>
        <v>0</v>
      </c>
      <c r="F473" s="103"/>
      <c r="G473" s="146">
        <f>'Neraca '!J588</f>
        <v>0</v>
      </c>
      <c r="H473" s="4"/>
    </row>
    <row r="474" spans="1:8" x14ac:dyDescent="0.25">
      <c r="A474" s="748" t="s">
        <v>658</v>
      </c>
      <c r="B474" s="748"/>
      <c r="C474" s="748"/>
      <c r="E474" s="697" t="s">
        <v>566</v>
      </c>
      <c r="F474" s="697"/>
      <c r="G474" s="697"/>
      <c r="H474" s="697"/>
    </row>
    <row r="475" spans="1:8" x14ac:dyDescent="0.25">
      <c r="A475" s="749" t="s">
        <v>686</v>
      </c>
      <c r="B475" s="749"/>
      <c r="C475" s="749"/>
      <c r="D475" s="124"/>
      <c r="E475" s="697" t="s">
        <v>680</v>
      </c>
      <c r="F475" s="697"/>
      <c r="G475" s="697"/>
      <c r="H475" s="697"/>
    </row>
    <row r="476" spans="1:8" x14ac:dyDescent="0.25">
      <c r="A476" s="172"/>
      <c r="B476" s="6"/>
      <c r="C476" s="173"/>
      <c r="D476" s="697"/>
      <c r="E476" s="697"/>
      <c r="F476" s="697"/>
      <c r="G476" s="697"/>
      <c r="H476" s="697"/>
    </row>
    <row r="477" spans="1:8" ht="26.25" customHeight="1" x14ac:dyDescent="0.25">
      <c r="A477" s="174"/>
      <c r="B477" s="6"/>
      <c r="C477" s="173"/>
      <c r="D477" s="697"/>
      <c r="E477" s="697"/>
      <c r="F477" s="697"/>
      <c r="G477" s="697"/>
      <c r="H477" s="697"/>
    </row>
    <row r="478" spans="1:8" x14ac:dyDescent="0.25">
      <c r="A478" s="750" t="s">
        <v>656</v>
      </c>
      <c r="B478" s="750"/>
      <c r="C478" s="750"/>
      <c r="E478" s="697" t="s">
        <v>567</v>
      </c>
      <c r="F478" s="697"/>
      <c r="G478" s="697"/>
      <c r="H478" s="697"/>
    </row>
    <row r="479" spans="1:8" ht="15.75" x14ac:dyDescent="0.3">
      <c r="A479" s="3"/>
      <c r="B479" s="10"/>
      <c r="C479" s="1"/>
      <c r="D479" s="1"/>
      <c r="E479" s="13"/>
      <c r="F479" s="13"/>
      <c r="G479" s="105"/>
      <c r="H479" s="10"/>
    </row>
    <row r="480" spans="1:8" ht="15.75" x14ac:dyDescent="0.3">
      <c r="A480" s="3"/>
      <c r="B480" s="10"/>
      <c r="C480" s="1"/>
      <c r="D480" s="1"/>
      <c r="E480" s="13"/>
      <c r="F480" s="13"/>
      <c r="G480" s="105"/>
      <c r="H480" s="10"/>
    </row>
    <row r="481" spans="1:8" ht="15.75" x14ac:dyDescent="0.3">
      <c r="A481" s="3"/>
      <c r="B481" s="10"/>
      <c r="C481" s="1"/>
      <c r="D481" s="1"/>
      <c r="E481" s="13"/>
      <c r="F481" s="13"/>
      <c r="G481" s="104"/>
      <c r="H481" s="10"/>
    </row>
    <row r="482" spans="1:8" x14ac:dyDescent="0.25">
      <c r="A482" s="2"/>
      <c r="B482" s="10"/>
      <c r="C482" s="1"/>
      <c r="D482" s="1"/>
      <c r="E482" s="13"/>
      <c r="F482" s="13"/>
      <c r="G482" s="104"/>
      <c r="H482" s="10"/>
    </row>
    <row r="483" spans="1:8" x14ac:dyDescent="0.25">
      <c r="A483" s="2"/>
      <c r="B483" s="10"/>
      <c r="C483" s="1"/>
      <c r="D483" s="1"/>
      <c r="E483" s="13"/>
      <c r="F483" s="13"/>
      <c r="G483" s="13"/>
      <c r="H483" s="10"/>
    </row>
    <row r="484" spans="1:8" x14ac:dyDescent="0.25">
      <c r="A484" s="2"/>
      <c r="B484" s="10"/>
      <c r="C484" s="1"/>
      <c r="D484" s="1"/>
      <c r="E484" s="13"/>
      <c r="F484" s="13"/>
      <c r="G484" s="104"/>
      <c r="H484" s="10"/>
    </row>
    <row r="485" spans="1:8" x14ac:dyDescent="0.25">
      <c r="A485" s="2"/>
      <c r="B485" s="10"/>
      <c r="C485" s="1"/>
      <c r="D485" s="1"/>
      <c r="E485" s="13"/>
      <c r="F485" s="13"/>
      <c r="G485" s="109"/>
      <c r="H485" s="10"/>
    </row>
    <row r="486" spans="1:8" x14ac:dyDescent="0.25">
      <c r="A486" s="2"/>
      <c r="B486" s="10"/>
      <c r="C486" s="1"/>
      <c r="D486" s="1"/>
      <c r="E486" s="13"/>
      <c r="F486" s="13"/>
      <c r="G486" s="110"/>
      <c r="H486" s="10"/>
    </row>
    <row r="490" spans="1:8" x14ac:dyDescent="0.25">
      <c r="B490" s="175"/>
    </row>
    <row r="492" spans="1:8" x14ac:dyDescent="0.25">
      <c r="B492" s="175" t="s">
        <v>652</v>
      </c>
    </row>
    <row r="493" spans="1:8" x14ac:dyDescent="0.25">
      <c r="A493" s="25"/>
      <c r="B493" s="24"/>
      <c r="C493" s="24"/>
      <c r="D493" s="24"/>
      <c r="E493" s="101"/>
      <c r="F493" s="101"/>
      <c r="G493" s="101"/>
      <c r="H493" s="23"/>
    </row>
    <row r="494" spans="1:8" x14ac:dyDescent="0.25">
      <c r="A494" s="741" t="s">
        <v>650</v>
      </c>
      <c r="B494" s="742"/>
      <c r="C494" s="742"/>
      <c r="D494" s="742"/>
      <c r="E494" s="742"/>
      <c r="F494" s="742"/>
      <c r="G494" s="742"/>
      <c r="H494" s="743"/>
    </row>
    <row r="495" spans="1:8" x14ac:dyDescent="0.25">
      <c r="A495" s="741" t="s">
        <v>107</v>
      </c>
      <c r="B495" s="742"/>
      <c r="C495" s="742"/>
      <c r="D495" s="742"/>
      <c r="E495" s="742"/>
      <c r="F495" s="742"/>
      <c r="G495" s="742"/>
      <c r="H495" s="743"/>
    </row>
    <row r="496" spans="1:8" x14ac:dyDescent="0.25">
      <c r="A496" s="18"/>
      <c r="B496" s="20"/>
      <c r="C496" s="20"/>
      <c r="D496" s="20"/>
      <c r="E496" s="26"/>
      <c r="F496" s="26"/>
      <c r="G496" s="26"/>
      <c r="H496" s="19"/>
    </row>
    <row r="497" spans="1:8" x14ac:dyDescent="0.25">
      <c r="A497" s="9"/>
      <c r="B497" s="744" t="s">
        <v>15</v>
      </c>
      <c r="C497" s="745"/>
      <c r="D497" s="26"/>
      <c r="E497" s="27" t="s">
        <v>1032</v>
      </c>
      <c r="F497" s="26"/>
      <c r="G497" s="27" t="s">
        <v>704</v>
      </c>
      <c r="H497" s="19"/>
    </row>
    <row r="498" spans="1:8" x14ac:dyDescent="0.25">
      <c r="A498" s="22"/>
      <c r="B498" s="746"/>
      <c r="C498" s="747"/>
      <c r="D498" s="26"/>
      <c r="E498" s="28" t="s">
        <v>22</v>
      </c>
      <c r="F498" s="26"/>
      <c r="G498" s="28" t="s">
        <v>22</v>
      </c>
      <c r="H498" s="19"/>
    </row>
    <row r="499" spans="1:8" x14ac:dyDescent="0.25">
      <c r="A499" s="18"/>
      <c r="B499" s="26"/>
      <c r="C499" s="26"/>
      <c r="D499" s="26"/>
      <c r="E499" s="26"/>
      <c r="F499" s="26"/>
      <c r="G499" s="26"/>
      <c r="H499" s="19"/>
    </row>
    <row r="500" spans="1:8" x14ac:dyDescent="0.25">
      <c r="A500" s="18"/>
      <c r="B500" s="29" t="s">
        <v>17</v>
      </c>
      <c r="C500" s="26"/>
      <c r="D500" s="26"/>
      <c r="E500" s="30"/>
      <c r="F500" s="30"/>
      <c r="G500" s="30"/>
      <c r="H500" s="19"/>
    </row>
    <row r="501" spans="1:8" x14ac:dyDescent="0.25">
      <c r="A501" s="18"/>
      <c r="B501" s="26"/>
      <c r="C501" s="31" t="s">
        <v>106</v>
      </c>
      <c r="D501" s="26"/>
      <c r="E501" s="32">
        <v>0</v>
      </c>
      <c r="F501" s="33"/>
      <c r="G501" s="32">
        <v>0</v>
      </c>
      <c r="H501" s="19"/>
    </row>
    <row r="502" spans="1:8" x14ac:dyDescent="0.25">
      <c r="A502" s="18"/>
      <c r="B502" s="26" t="s">
        <v>105</v>
      </c>
      <c r="C502" s="26"/>
      <c r="D502" s="26"/>
      <c r="F502" s="30"/>
      <c r="H502" s="19"/>
    </row>
    <row r="503" spans="1:8" x14ac:dyDescent="0.25">
      <c r="A503" s="18"/>
      <c r="B503" s="26"/>
      <c r="C503" s="26" t="s">
        <v>104</v>
      </c>
      <c r="D503" s="26"/>
      <c r="E503" s="8">
        <f>'Neraca '!L684+'Neraca '!L688</f>
        <v>0</v>
      </c>
      <c r="F503" s="30"/>
      <c r="G503" s="8">
        <v>0</v>
      </c>
      <c r="H503" s="19"/>
    </row>
    <row r="504" spans="1:8" x14ac:dyDescent="0.25">
      <c r="A504" s="18"/>
      <c r="B504" s="26"/>
      <c r="C504" s="26" t="s">
        <v>103</v>
      </c>
      <c r="D504" s="26"/>
      <c r="E504" s="8">
        <f>-'Neraca '!L708+'Neraca '!L675</f>
        <v>0</v>
      </c>
      <c r="F504" s="30"/>
      <c r="G504" s="44">
        <v>0</v>
      </c>
      <c r="H504" s="19"/>
    </row>
    <row r="505" spans="1:8" x14ac:dyDescent="0.25">
      <c r="A505" s="18"/>
      <c r="B505" s="31" t="s">
        <v>102</v>
      </c>
      <c r="C505" s="31"/>
      <c r="D505" s="31"/>
      <c r="E505" s="34">
        <f>SUM(E501:E504)</f>
        <v>0</v>
      </c>
      <c r="F505" s="33"/>
      <c r="G505" s="34">
        <f>SUM(G501:G504)</f>
        <v>0</v>
      </c>
      <c r="H505" s="19"/>
    </row>
    <row r="506" spans="1:8" x14ac:dyDescent="0.25">
      <c r="A506" s="18"/>
      <c r="B506" s="26"/>
      <c r="C506" s="26" t="s">
        <v>101</v>
      </c>
      <c r="D506" s="26"/>
      <c r="E506" s="8">
        <f>'Neraca '!L676</f>
        <v>0</v>
      </c>
      <c r="F506" s="30"/>
      <c r="G506" s="8">
        <v>0</v>
      </c>
      <c r="H506" s="19"/>
    </row>
    <row r="507" spans="1:8" x14ac:dyDescent="0.25">
      <c r="A507" s="18"/>
      <c r="B507" s="26"/>
      <c r="C507" s="26" t="s">
        <v>100</v>
      </c>
      <c r="D507" s="26"/>
      <c r="E507" s="8">
        <f>'Neraca '!L677</f>
        <v>0</v>
      </c>
      <c r="F507" s="30"/>
      <c r="G507" s="8">
        <v>0</v>
      </c>
      <c r="H507" s="19"/>
    </row>
    <row r="508" spans="1:8" x14ac:dyDescent="0.25">
      <c r="A508" s="18"/>
      <c r="B508" s="26"/>
      <c r="C508" s="26" t="s">
        <v>99</v>
      </c>
      <c r="D508" s="26"/>
      <c r="E508" s="8">
        <f>'Neraca '!L678</f>
        <v>0</v>
      </c>
      <c r="F508" s="30"/>
      <c r="G508" s="8">
        <v>0</v>
      </c>
      <c r="H508" s="19"/>
    </row>
    <row r="509" spans="1:8" x14ac:dyDescent="0.25">
      <c r="A509" s="18"/>
      <c r="B509" s="26"/>
      <c r="C509" s="26" t="s">
        <v>98</v>
      </c>
      <c r="D509" s="26"/>
      <c r="E509" s="8"/>
      <c r="F509" s="30"/>
      <c r="G509" s="111"/>
      <c r="H509" s="19"/>
    </row>
    <row r="510" spans="1:8" x14ac:dyDescent="0.25">
      <c r="A510" s="18"/>
      <c r="B510" s="26"/>
      <c r="C510" s="26" t="s">
        <v>648</v>
      </c>
      <c r="D510" s="26"/>
      <c r="E510" s="8"/>
      <c r="F510" s="30"/>
      <c r="G510" s="645">
        <v>0</v>
      </c>
      <c r="H510" s="19"/>
    </row>
    <row r="511" spans="1:8" x14ac:dyDescent="0.25">
      <c r="A511" s="18"/>
      <c r="B511" s="26"/>
      <c r="C511" s="26" t="s">
        <v>97</v>
      </c>
      <c r="D511" s="26"/>
      <c r="F511" s="30"/>
      <c r="G511" s="44"/>
      <c r="H511" s="19"/>
    </row>
    <row r="512" spans="1:8" x14ac:dyDescent="0.25">
      <c r="A512" s="18"/>
      <c r="B512" s="26"/>
      <c r="C512" s="26" t="s">
        <v>647</v>
      </c>
      <c r="D512" s="26"/>
      <c r="E512" s="8">
        <f>-'Neraca '!L701</f>
        <v>0</v>
      </c>
      <c r="F512" s="30"/>
      <c r="G512" s="44">
        <v>0</v>
      </c>
      <c r="H512" s="19"/>
    </row>
    <row r="513" spans="1:8" x14ac:dyDescent="0.25">
      <c r="A513" s="18"/>
      <c r="B513" s="26"/>
      <c r="C513" s="26" t="s">
        <v>290</v>
      </c>
      <c r="D513" s="26"/>
      <c r="E513" s="8">
        <f>-'Neraca '!L700</f>
        <v>0</v>
      </c>
      <c r="F513" s="30"/>
      <c r="G513" s="96"/>
      <c r="H513" s="19"/>
    </row>
    <row r="514" spans="1:8" x14ac:dyDescent="0.25">
      <c r="A514" s="18"/>
      <c r="B514" s="26"/>
      <c r="C514" s="26" t="s">
        <v>96</v>
      </c>
      <c r="D514" s="26"/>
      <c r="E514" s="8"/>
      <c r="F514" s="30"/>
      <c r="G514" s="8"/>
      <c r="H514" s="19"/>
    </row>
    <row r="515" spans="1:8" x14ac:dyDescent="0.25">
      <c r="A515" s="18"/>
      <c r="B515" s="26"/>
      <c r="C515" s="26" t="s">
        <v>95</v>
      </c>
      <c r="D515" s="26"/>
      <c r="F515" s="30"/>
      <c r="H515" s="19"/>
    </row>
    <row r="516" spans="1:8" x14ac:dyDescent="0.25">
      <c r="A516" s="18"/>
      <c r="B516" s="26"/>
      <c r="C516" s="26" t="s">
        <v>94</v>
      </c>
      <c r="D516" s="26"/>
      <c r="F516" s="30"/>
      <c r="H516" s="19"/>
    </row>
    <row r="517" spans="1:8" x14ac:dyDescent="0.25">
      <c r="A517" s="18"/>
      <c r="B517" s="26"/>
      <c r="C517" s="26" t="s">
        <v>93</v>
      </c>
      <c r="D517" s="26"/>
      <c r="F517" s="30"/>
      <c r="H517" s="19"/>
    </row>
    <row r="518" spans="1:8" x14ac:dyDescent="0.25">
      <c r="A518" s="18"/>
      <c r="B518" s="26"/>
      <c r="C518" s="26" t="s">
        <v>92</v>
      </c>
      <c r="D518" s="26"/>
      <c r="F518" s="30"/>
      <c r="H518" s="19"/>
    </row>
    <row r="519" spans="1:8" x14ac:dyDescent="0.25">
      <c r="A519" s="18"/>
      <c r="B519" s="26"/>
      <c r="C519" s="35" t="s">
        <v>18</v>
      </c>
      <c r="D519" s="35"/>
      <c r="E519" s="34">
        <f>SUM(E505:E518)</f>
        <v>0</v>
      </c>
      <c r="F519" s="36"/>
      <c r="G519" s="34">
        <f>SUM(G505:G518)</f>
        <v>0</v>
      </c>
      <c r="H519" s="19"/>
    </row>
    <row r="520" spans="1:8" x14ac:dyDescent="0.25">
      <c r="A520" s="18"/>
      <c r="B520" s="29" t="s">
        <v>19</v>
      </c>
      <c r="C520" s="26"/>
      <c r="D520" s="26"/>
      <c r="F520" s="30"/>
      <c r="H520" s="19"/>
    </row>
    <row r="521" spans="1:8" x14ac:dyDescent="0.25">
      <c r="A521" s="18"/>
      <c r="B521" s="26"/>
      <c r="C521" s="26" t="s">
        <v>91</v>
      </c>
      <c r="D521" s="26"/>
      <c r="E521" s="8">
        <f>'Neraca '!L683+'Neraca '!L687</f>
        <v>0</v>
      </c>
      <c r="F521" s="30"/>
      <c r="G521" s="8">
        <v>0</v>
      </c>
      <c r="H521" s="19"/>
    </row>
    <row r="522" spans="1:8" x14ac:dyDescent="0.25">
      <c r="A522" s="18"/>
      <c r="B522" s="26"/>
      <c r="C522" s="26" t="s">
        <v>90</v>
      </c>
      <c r="D522" s="26"/>
      <c r="F522" s="30"/>
      <c r="G522" s="111"/>
      <c r="H522" s="19"/>
    </row>
    <row r="523" spans="1:8" x14ac:dyDescent="0.25">
      <c r="A523" s="18"/>
      <c r="B523" s="26"/>
      <c r="C523" s="26" t="s">
        <v>301</v>
      </c>
      <c r="D523" s="26"/>
      <c r="E523" s="8">
        <f>'Neraca '!L533</f>
        <v>0</v>
      </c>
      <c r="F523" s="30"/>
      <c r="H523" s="19"/>
    </row>
    <row r="524" spans="1:8" x14ac:dyDescent="0.25">
      <c r="A524" s="18"/>
      <c r="B524" s="26"/>
      <c r="C524" s="35" t="s">
        <v>89</v>
      </c>
      <c r="D524" s="31"/>
      <c r="E524" s="37">
        <f>SUM(E521:E523)</f>
        <v>0</v>
      </c>
      <c r="F524" s="36"/>
      <c r="G524" s="37">
        <f>SUM(G521:G523)</f>
        <v>0</v>
      </c>
      <c r="H524" s="19"/>
    </row>
    <row r="525" spans="1:8" x14ac:dyDescent="0.25">
      <c r="A525" s="18"/>
      <c r="B525" s="29" t="s">
        <v>20</v>
      </c>
      <c r="C525" s="26"/>
      <c r="D525" s="26"/>
      <c r="F525" s="30"/>
      <c r="G525" s="96"/>
      <c r="H525" s="19"/>
    </row>
    <row r="526" spans="1:8" x14ac:dyDescent="0.25">
      <c r="A526" s="18"/>
      <c r="B526" s="29"/>
      <c r="C526" s="26" t="s">
        <v>267</v>
      </c>
      <c r="D526" s="26"/>
      <c r="F526" s="30"/>
      <c r="G526" s="96"/>
      <c r="H526" s="19"/>
    </row>
    <row r="527" spans="1:8" x14ac:dyDescent="0.25">
      <c r="A527" s="18"/>
      <c r="B527" s="26"/>
      <c r="C527" s="26" t="s">
        <v>292</v>
      </c>
      <c r="D527" s="26"/>
      <c r="E527" s="8"/>
      <c r="F527" s="30"/>
      <c r="G527" s="96"/>
      <c r="H527" s="21"/>
    </row>
    <row r="528" spans="1:8" x14ac:dyDescent="0.25">
      <c r="A528" s="18"/>
      <c r="B528" s="26"/>
      <c r="C528" s="26" t="s">
        <v>282</v>
      </c>
      <c r="D528" s="26"/>
      <c r="E528" s="8"/>
      <c r="F528" s="30"/>
      <c r="G528" s="96"/>
      <c r="H528" s="19"/>
    </row>
    <row r="529" spans="1:8" x14ac:dyDescent="0.25">
      <c r="A529" s="18"/>
      <c r="B529" s="26"/>
      <c r="C529" s="35" t="s">
        <v>21</v>
      </c>
      <c r="D529" s="26"/>
      <c r="E529" s="42">
        <f>SUM(E527:E528)</f>
        <v>0</v>
      </c>
      <c r="F529" s="38"/>
      <c r="G529" s="42">
        <f>SUM(G526:G528)</f>
        <v>0</v>
      </c>
      <c r="H529" s="19"/>
    </row>
    <row r="530" spans="1:8" x14ac:dyDescent="0.25">
      <c r="A530" s="18"/>
      <c r="B530" s="26"/>
      <c r="C530" s="29"/>
      <c r="D530" s="26"/>
      <c r="F530" s="30"/>
      <c r="H530" s="19"/>
    </row>
    <row r="531" spans="1:8" x14ac:dyDescent="0.25">
      <c r="A531" s="18"/>
      <c r="B531" s="29" t="s">
        <v>88</v>
      </c>
      <c r="C531" s="26"/>
      <c r="D531" s="26"/>
      <c r="E531" s="38">
        <f>E519+E524+E529</f>
        <v>0</v>
      </c>
      <c r="F531" s="38"/>
      <c r="G531" s="38">
        <f>G519+G524+G529</f>
        <v>0</v>
      </c>
      <c r="H531" s="17"/>
    </row>
    <row r="532" spans="1:8" x14ac:dyDescent="0.25">
      <c r="A532" s="18"/>
      <c r="B532" s="29" t="s">
        <v>87</v>
      </c>
      <c r="C532" s="26"/>
      <c r="D532" s="26"/>
      <c r="E532" s="38">
        <f>G533</f>
        <v>0</v>
      </c>
      <c r="F532" s="38"/>
      <c r="G532" s="38">
        <v>0</v>
      </c>
      <c r="H532" s="17"/>
    </row>
    <row r="533" spans="1:8" ht="15.75" thickBot="1" x14ac:dyDescent="0.3">
      <c r="A533" s="16"/>
      <c r="B533" s="39" t="s">
        <v>86</v>
      </c>
      <c r="C533" s="40"/>
      <c r="D533" s="40"/>
      <c r="E533" s="41">
        <f>SUM(E531:E532)</f>
        <v>0</v>
      </c>
      <c r="F533" s="41"/>
      <c r="G533" s="41">
        <f>SUM(G531:G532)</f>
        <v>0</v>
      </c>
      <c r="H533" s="15"/>
    </row>
    <row r="534" spans="1:8" ht="15.75" x14ac:dyDescent="0.3">
      <c r="A534" s="2"/>
      <c r="B534" s="2"/>
      <c r="C534" s="3"/>
      <c r="D534" s="3"/>
      <c r="E534" s="102">
        <f>'Neraca '!H672</f>
        <v>0</v>
      </c>
      <c r="F534" s="103"/>
      <c r="G534" s="146">
        <f>'Neraca '!J672</f>
        <v>0</v>
      </c>
      <c r="H534" s="4"/>
    </row>
    <row r="535" spans="1:8" x14ac:dyDescent="0.25">
      <c r="A535" s="748" t="s">
        <v>658</v>
      </c>
      <c r="B535" s="748"/>
      <c r="C535" s="748"/>
      <c r="E535" s="697" t="s">
        <v>566</v>
      </c>
      <c r="F535" s="697"/>
      <c r="G535" s="697"/>
      <c r="H535" s="697"/>
    </row>
    <row r="536" spans="1:8" x14ac:dyDescent="0.25">
      <c r="A536" s="749" t="s">
        <v>657</v>
      </c>
      <c r="B536" s="749"/>
      <c r="C536" s="749"/>
      <c r="D536" s="124"/>
      <c r="E536" s="697" t="s">
        <v>680</v>
      </c>
      <c r="F536" s="697"/>
      <c r="G536" s="697"/>
      <c r="H536" s="697"/>
    </row>
    <row r="537" spans="1:8" x14ac:dyDescent="0.25">
      <c r="A537" s="172"/>
      <c r="B537" s="6"/>
      <c r="C537" s="173"/>
      <c r="D537" s="697"/>
      <c r="E537" s="697"/>
      <c r="F537" s="697"/>
      <c r="G537" s="697"/>
      <c r="H537" s="697"/>
    </row>
    <row r="538" spans="1:8" x14ac:dyDescent="0.25">
      <c r="A538" s="174"/>
      <c r="B538" s="6"/>
      <c r="C538" s="173"/>
      <c r="D538" s="697"/>
      <c r="E538" s="697"/>
      <c r="F538" s="697"/>
      <c r="G538" s="697"/>
      <c r="H538" s="697"/>
    </row>
    <row r="539" spans="1:8" x14ac:dyDescent="0.25">
      <c r="A539" s="750" t="s">
        <v>656</v>
      </c>
      <c r="B539" s="750"/>
      <c r="C539" s="750"/>
      <c r="E539" s="697" t="s">
        <v>567</v>
      </c>
      <c r="F539" s="697"/>
      <c r="G539" s="697"/>
      <c r="H539" s="697"/>
    </row>
    <row r="540" spans="1:8" ht="15.75" x14ac:dyDescent="0.3">
      <c r="A540" s="3"/>
      <c r="B540" s="10"/>
      <c r="C540" s="1"/>
      <c r="D540" s="1"/>
      <c r="E540" s="13"/>
      <c r="F540" s="13"/>
      <c r="G540" s="105"/>
      <c r="H540" s="10"/>
    </row>
    <row r="541" spans="1:8" ht="15.75" x14ac:dyDescent="0.3">
      <c r="A541" s="3"/>
      <c r="B541" s="10"/>
      <c r="C541" s="1"/>
      <c r="D541" s="1"/>
      <c r="E541" s="13"/>
      <c r="F541" s="13"/>
      <c r="G541" s="105"/>
      <c r="H541" s="10"/>
    </row>
    <row r="542" spans="1:8" ht="15.75" x14ac:dyDescent="0.3">
      <c r="A542" s="3"/>
      <c r="B542" s="10"/>
      <c r="C542" s="1"/>
      <c r="D542" s="1"/>
      <c r="E542" s="13"/>
      <c r="F542" s="13"/>
      <c r="G542" s="104"/>
      <c r="H542" s="10"/>
    </row>
    <row r="543" spans="1:8" x14ac:dyDescent="0.25">
      <c r="A543" s="2"/>
      <c r="B543" s="10"/>
      <c r="C543" s="1"/>
      <c r="D543" s="1"/>
      <c r="E543" s="13"/>
      <c r="F543" s="13"/>
      <c r="G543" s="104"/>
      <c r="H543" s="10"/>
    </row>
    <row r="544" spans="1:8" x14ac:dyDescent="0.25">
      <c r="A544" s="2"/>
      <c r="B544" s="10"/>
      <c r="C544" s="1"/>
      <c r="D544" s="1"/>
      <c r="E544" s="13"/>
      <c r="F544" s="13"/>
      <c r="G544" s="13"/>
      <c r="H544" s="10"/>
    </row>
    <row r="545" spans="1:8" x14ac:dyDescent="0.25">
      <c r="A545" s="2"/>
      <c r="B545" s="10"/>
      <c r="C545" s="1"/>
      <c r="D545" s="1"/>
      <c r="E545" s="13"/>
      <c r="F545" s="13"/>
      <c r="G545" s="104"/>
      <c r="H545" s="10"/>
    </row>
    <row r="546" spans="1:8" x14ac:dyDescent="0.25">
      <c r="A546" s="2"/>
      <c r="B546" s="10"/>
      <c r="C546" s="1"/>
      <c r="D546" s="1"/>
      <c r="E546" s="13"/>
      <c r="F546" s="13"/>
      <c r="G546" s="109"/>
      <c r="H546" s="10"/>
    </row>
    <row r="547" spans="1:8" x14ac:dyDescent="0.25">
      <c r="A547" s="2"/>
      <c r="B547" s="10"/>
      <c r="C547" s="1"/>
      <c r="D547" s="1"/>
      <c r="E547" s="13"/>
      <c r="F547" s="13"/>
      <c r="G547" s="110"/>
      <c r="H547" s="10"/>
    </row>
    <row r="552" spans="1:8" x14ac:dyDescent="0.25">
      <c r="B552" s="175"/>
    </row>
    <row r="554" spans="1:8" x14ac:dyDescent="0.25">
      <c r="B554" s="175" t="s">
        <v>652</v>
      </c>
    </row>
    <row r="555" spans="1:8" x14ac:dyDescent="0.25">
      <c r="A555" s="25"/>
      <c r="B555" s="24"/>
      <c r="C555" s="24"/>
      <c r="D555" s="24"/>
      <c r="E555" s="101"/>
      <c r="F555" s="101"/>
      <c r="G555" s="101"/>
      <c r="H555" s="23"/>
    </row>
    <row r="556" spans="1:8" x14ac:dyDescent="0.25">
      <c r="A556" s="741" t="s">
        <v>650</v>
      </c>
      <c r="B556" s="742"/>
      <c r="C556" s="742"/>
      <c r="D556" s="742"/>
      <c r="E556" s="742"/>
      <c r="F556" s="742"/>
      <c r="G556" s="742"/>
      <c r="H556" s="743"/>
    </row>
    <row r="557" spans="1:8" x14ac:dyDescent="0.25">
      <c r="A557" s="741" t="s">
        <v>107</v>
      </c>
      <c r="B557" s="742"/>
      <c r="C557" s="742"/>
      <c r="D557" s="742"/>
      <c r="E557" s="742"/>
      <c r="F557" s="742"/>
      <c r="G557" s="742"/>
      <c r="H557" s="743"/>
    </row>
    <row r="558" spans="1:8" x14ac:dyDescent="0.25">
      <c r="A558" s="18"/>
      <c r="B558" s="20"/>
      <c r="C558" s="20"/>
      <c r="D558" s="20"/>
      <c r="E558" s="26"/>
      <c r="F558" s="26"/>
      <c r="G558" s="26"/>
      <c r="H558" s="19"/>
    </row>
    <row r="559" spans="1:8" x14ac:dyDescent="0.25">
      <c r="A559" s="9"/>
      <c r="B559" s="744" t="s">
        <v>15</v>
      </c>
      <c r="C559" s="745"/>
      <c r="D559" s="26"/>
      <c r="E559" s="27" t="s">
        <v>1035</v>
      </c>
      <c r="F559" s="26"/>
      <c r="G559" s="27" t="s">
        <v>704</v>
      </c>
      <c r="H559" s="19"/>
    </row>
    <row r="560" spans="1:8" x14ac:dyDescent="0.25">
      <c r="A560" s="22"/>
      <c r="B560" s="746"/>
      <c r="C560" s="747"/>
      <c r="D560" s="26"/>
      <c r="E560" s="28" t="s">
        <v>22</v>
      </c>
      <c r="F560" s="26"/>
      <c r="G560" s="28" t="s">
        <v>22</v>
      </c>
      <c r="H560" s="19"/>
    </row>
    <row r="561" spans="1:8" x14ac:dyDescent="0.25">
      <c r="A561" s="18"/>
      <c r="B561" s="26"/>
      <c r="C561" s="26"/>
      <c r="D561" s="26"/>
      <c r="E561" s="26"/>
      <c r="F561" s="26"/>
      <c r="G561" s="26"/>
      <c r="H561" s="19"/>
    </row>
    <row r="562" spans="1:8" x14ac:dyDescent="0.25">
      <c r="A562" s="18"/>
      <c r="B562" s="29" t="s">
        <v>17</v>
      </c>
      <c r="C562" s="26"/>
      <c r="D562" s="26"/>
      <c r="E562" s="30"/>
      <c r="F562" s="30"/>
      <c r="G562" s="30"/>
      <c r="H562" s="19"/>
    </row>
    <row r="563" spans="1:8" x14ac:dyDescent="0.25">
      <c r="A563" s="18"/>
      <c r="B563" s="26"/>
      <c r="C563" s="31" t="s">
        <v>106</v>
      </c>
      <c r="D563" s="26"/>
      <c r="E563" s="32">
        <f>'Neraca '!H793</f>
        <v>0</v>
      </c>
      <c r="F563" s="33"/>
      <c r="G563" s="32">
        <v>0</v>
      </c>
      <c r="H563" s="19"/>
    </row>
    <row r="564" spans="1:8" x14ac:dyDescent="0.25">
      <c r="A564" s="18"/>
      <c r="B564" s="26" t="s">
        <v>105</v>
      </c>
      <c r="C564" s="26"/>
      <c r="D564" s="26"/>
      <c r="F564" s="30"/>
      <c r="H564" s="19"/>
    </row>
    <row r="565" spans="1:8" x14ac:dyDescent="0.25">
      <c r="A565" s="18"/>
      <c r="B565" s="26"/>
      <c r="C565" s="26" t="s">
        <v>104</v>
      </c>
      <c r="D565" s="26"/>
      <c r="E565" s="8">
        <f>'Neraca '!L768+'Neraca '!L772</f>
        <v>0</v>
      </c>
      <c r="F565" s="30"/>
      <c r="G565" s="8">
        <v>0</v>
      </c>
      <c r="H565" s="19"/>
    </row>
    <row r="566" spans="1:8" x14ac:dyDescent="0.25">
      <c r="A566" s="18"/>
      <c r="B566" s="26"/>
      <c r="C566" s="26" t="s">
        <v>103</v>
      </c>
      <c r="D566" s="26"/>
      <c r="E566" s="8">
        <f>-'Neraca '!L792+'Neraca '!L759</f>
        <v>0</v>
      </c>
      <c r="F566" s="30"/>
      <c r="G566" s="44">
        <v>0</v>
      </c>
      <c r="H566" s="19"/>
    </row>
    <row r="567" spans="1:8" x14ac:dyDescent="0.25">
      <c r="A567" s="18"/>
      <c r="B567" s="31" t="s">
        <v>102</v>
      </c>
      <c r="C567" s="31"/>
      <c r="D567" s="31"/>
      <c r="E567" s="34">
        <f>SUM(E563:E566)</f>
        <v>0</v>
      </c>
      <c r="F567" s="33"/>
      <c r="G567" s="34">
        <f>SUM(G563:G566)</f>
        <v>0</v>
      </c>
      <c r="H567" s="19"/>
    </row>
    <row r="568" spans="1:8" x14ac:dyDescent="0.25">
      <c r="A568" s="18"/>
      <c r="B568" s="26"/>
      <c r="C568" s="26" t="s">
        <v>101</v>
      </c>
      <c r="D568" s="26"/>
      <c r="E568" s="8">
        <f>'Neraca '!L760</f>
        <v>0</v>
      </c>
      <c r="F568" s="30"/>
      <c r="G568" s="8">
        <v>0</v>
      </c>
      <c r="H568" s="19"/>
    </row>
    <row r="569" spans="1:8" x14ac:dyDescent="0.25">
      <c r="A569" s="18"/>
      <c r="B569" s="26"/>
      <c r="C569" s="26" t="s">
        <v>100</v>
      </c>
      <c r="D569" s="26"/>
      <c r="E569" s="8">
        <f>'Neraca '!L761</f>
        <v>0</v>
      </c>
      <c r="F569" s="30"/>
      <c r="G569" s="8">
        <v>0</v>
      </c>
      <c r="H569" s="19"/>
    </row>
    <row r="570" spans="1:8" x14ac:dyDescent="0.25">
      <c r="A570" s="18"/>
      <c r="B570" s="26"/>
      <c r="C570" s="26" t="s">
        <v>99</v>
      </c>
      <c r="D570" s="26"/>
      <c r="E570" s="8">
        <f>'Neraca '!L762</f>
        <v>0</v>
      </c>
      <c r="F570" s="30"/>
      <c r="G570" s="8">
        <v>0</v>
      </c>
      <c r="H570" s="19"/>
    </row>
    <row r="571" spans="1:8" x14ac:dyDescent="0.25">
      <c r="A571" s="18"/>
      <c r="B571" s="26"/>
      <c r="C571" s="26" t="s">
        <v>98</v>
      </c>
      <c r="D571" s="26"/>
      <c r="E571" s="8"/>
      <c r="F571" s="30"/>
      <c r="G571" s="111"/>
      <c r="H571" s="19"/>
    </row>
    <row r="572" spans="1:8" x14ac:dyDescent="0.25">
      <c r="A572" s="18"/>
      <c r="B572" s="26"/>
      <c r="C572" s="26" t="s">
        <v>648</v>
      </c>
      <c r="D572" s="26"/>
      <c r="E572" s="8">
        <f>'Neraca '!L786</f>
        <v>0</v>
      </c>
      <c r="F572" s="30"/>
      <c r="G572" s="645">
        <v>0</v>
      </c>
      <c r="H572" s="19"/>
    </row>
    <row r="573" spans="1:8" x14ac:dyDescent="0.25">
      <c r="A573" s="18"/>
      <c r="B573" s="26"/>
      <c r="C573" s="26" t="s">
        <v>97</v>
      </c>
      <c r="D573" s="26"/>
      <c r="E573" s="44">
        <f>-'Neraca '!L783</f>
        <v>0</v>
      </c>
      <c r="F573" s="30"/>
      <c r="G573" s="44"/>
      <c r="H573" s="19"/>
    </row>
    <row r="574" spans="1:8" x14ac:dyDescent="0.25">
      <c r="A574" s="18"/>
      <c r="B574" s="26"/>
      <c r="C574" s="26" t="s">
        <v>647</v>
      </c>
      <c r="D574" s="26"/>
      <c r="E574" s="8">
        <f>-'Neraca '!L785</f>
        <v>0</v>
      </c>
      <c r="F574" s="30"/>
      <c r="G574" s="44">
        <v>0</v>
      </c>
      <c r="H574" s="19"/>
    </row>
    <row r="575" spans="1:8" x14ac:dyDescent="0.25">
      <c r="A575" s="18"/>
      <c r="B575" s="26"/>
      <c r="C575" s="26" t="s">
        <v>290</v>
      </c>
      <c r="D575" s="26"/>
      <c r="E575" s="8">
        <f>-'Neraca '!L784</f>
        <v>0</v>
      </c>
      <c r="F575" s="30"/>
      <c r="G575" s="96"/>
      <c r="H575" s="19"/>
    </row>
    <row r="576" spans="1:8" x14ac:dyDescent="0.25">
      <c r="A576" s="18"/>
      <c r="B576" s="26"/>
      <c r="C576" s="26" t="s">
        <v>96</v>
      </c>
      <c r="D576" s="26"/>
      <c r="E576" s="8"/>
      <c r="F576" s="30"/>
      <c r="G576" s="8"/>
      <c r="H576" s="19"/>
    </row>
    <row r="577" spans="1:8" x14ac:dyDescent="0.25">
      <c r="A577" s="18"/>
      <c r="B577" s="26"/>
      <c r="C577" s="26" t="s">
        <v>95</v>
      </c>
      <c r="D577" s="26"/>
      <c r="F577" s="30"/>
      <c r="H577" s="19"/>
    </row>
    <row r="578" spans="1:8" x14ac:dyDescent="0.25">
      <c r="A578" s="18"/>
      <c r="B578" s="26"/>
      <c r="C578" s="26" t="s">
        <v>94</v>
      </c>
      <c r="D578" s="26"/>
      <c r="F578" s="30"/>
      <c r="H578" s="19"/>
    </row>
    <row r="579" spans="1:8" x14ac:dyDescent="0.25">
      <c r="A579" s="18"/>
      <c r="B579" s="26"/>
      <c r="C579" s="26" t="s">
        <v>93</v>
      </c>
      <c r="D579" s="26"/>
      <c r="F579" s="30"/>
      <c r="H579" s="19"/>
    </row>
    <row r="580" spans="1:8" x14ac:dyDescent="0.25">
      <c r="A580" s="18"/>
      <c r="B580" s="26"/>
      <c r="C580" s="26" t="s">
        <v>92</v>
      </c>
      <c r="D580" s="26"/>
      <c r="F580" s="30"/>
      <c r="H580" s="19"/>
    </row>
    <row r="581" spans="1:8" x14ac:dyDescent="0.25">
      <c r="A581" s="18"/>
      <c r="B581" s="26"/>
      <c r="C581" s="35" t="s">
        <v>18</v>
      </c>
      <c r="D581" s="35"/>
      <c r="E581" s="34">
        <f>SUM(E567:E580)</f>
        <v>0</v>
      </c>
      <c r="F581" s="36"/>
      <c r="G581" s="34">
        <f>SUM(G567:G580)</f>
        <v>0</v>
      </c>
      <c r="H581" s="19"/>
    </row>
    <row r="582" spans="1:8" x14ac:dyDescent="0.25">
      <c r="A582" s="18"/>
      <c r="B582" s="29" t="s">
        <v>19</v>
      </c>
      <c r="C582" s="26"/>
      <c r="D582" s="26"/>
      <c r="F582" s="30"/>
      <c r="H582" s="19"/>
    </row>
    <row r="583" spans="1:8" x14ac:dyDescent="0.25">
      <c r="A583" s="18"/>
      <c r="B583" s="26"/>
      <c r="C583" s="26" t="s">
        <v>91</v>
      </c>
      <c r="D583" s="26"/>
      <c r="E583" s="8">
        <f>'Neraca '!L767+'Neraca '!L771</f>
        <v>0</v>
      </c>
      <c r="F583" s="30"/>
      <c r="G583" s="8">
        <v>0</v>
      </c>
      <c r="H583" s="19"/>
    </row>
    <row r="584" spans="1:8" x14ac:dyDescent="0.25">
      <c r="A584" s="18"/>
      <c r="B584" s="26"/>
      <c r="C584" s="26" t="s">
        <v>90</v>
      </c>
      <c r="D584" s="26"/>
      <c r="F584" s="30"/>
      <c r="G584" s="111"/>
      <c r="H584" s="19"/>
    </row>
    <row r="585" spans="1:8" x14ac:dyDescent="0.25">
      <c r="A585" s="18"/>
      <c r="B585" s="26"/>
      <c r="C585" s="26" t="s">
        <v>301</v>
      </c>
      <c r="D585" s="26"/>
      <c r="E585" s="8"/>
      <c r="F585" s="30"/>
      <c r="H585" s="19"/>
    </row>
    <row r="586" spans="1:8" x14ac:dyDescent="0.25">
      <c r="A586" s="18"/>
      <c r="B586" s="26"/>
      <c r="C586" s="35" t="s">
        <v>89</v>
      </c>
      <c r="D586" s="31"/>
      <c r="E586" s="37">
        <f>SUM(E583:E585)</f>
        <v>0</v>
      </c>
      <c r="F586" s="36"/>
      <c r="G586" s="37">
        <f>SUM(G583:G585)</f>
        <v>0</v>
      </c>
      <c r="H586" s="19"/>
    </row>
    <row r="587" spans="1:8" x14ac:dyDescent="0.25">
      <c r="A587" s="18"/>
      <c r="B587" s="29" t="s">
        <v>20</v>
      </c>
      <c r="C587" s="26"/>
      <c r="D587" s="26"/>
      <c r="F587" s="30"/>
      <c r="G587" s="96"/>
      <c r="H587" s="19"/>
    </row>
    <row r="588" spans="1:8" x14ac:dyDescent="0.25">
      <c r="A588" s="18"/>
      <c r="B588" s="29"/>
      <c r="C588" s="26" t="s">
        <v>267</v>
      </c>
      <c r="D588" s="26"/>
      <c r="F588" s="30"/>
      <c r="G588" s="96"/>
      <c r="H588" s="19"/>
    </row>
    <row r="589" spans="1:8" x14ac:dyDescent="0.25">
      <c r="A589" s="18"/>
      <c r="B589" s="26"/>
      <c r="C589" s="26" t="s">
        <v>292</v>
      </c>
      <c r="D589" s="26"/>
      <c r="E589" s="8"/>
      <c r="F589" s="30"/>
      <c r="G589" s="96"/>
      <c r="H589" s="21"/>
    </row>
    <row r="590" spans="1:8" x14ac:dyDescent="0.25">
      <c r="A590" s="18"/>
      <c r="B590" s="26"/>
      <c r="C590" s="26" t="s">
        <v>282</v>
      </c>
      <c r="D590" s="26"/>
      <c r="E590" s="8"/>
      <c r="F590" s="30"/>
      <c r="G590" s="96"/>
      <c r="H590" s="19"/>
    </row>
    <row r="591" spans="1:8" x14ac:dyDescent="0.25">
      <c r="A591" s="18"/>
      <c r="B591" s="26"/>
      <c r="C591" s="35" t="s">
        <v>21</v>
      </c>
      <c r="D591" s="26"/>
      <c r="E591" s="42">
        <f>SUM(E589:E590)</f>
        <v>0</v>
      </c>
      <c r="F591" s="38"/>
      <c r="G591" s="42">
        <f>SUM(G588:G590)</f>
        <v>0</v>
      </c>
      <c r="H591" s="19"/>
    </row>
    <row r="592" spans="1:8" x14ac:dyDescent="0.25">
      <c r="A592" s="18"/>
      <c r="B592" s="26"/>
      <c r="C592" s="29"/>
      <c r="D592" s="26"/>
      <c r="F592" s="30"/>
      <c r="H592" s="19"/>
    </row>
    <row r="593" spans="1:9" x14ac:dyDescent="0.25">
      <c r="A593" s="18"/>
      <c r="B593" s="29" t="s">
        <v>88</v>
      </c>
      <c r="C593" s="26"/>
      <c r="D593" s="26"/>
      <c r="E593" s="38">
        <f>E581+E586+E591</f>
        <v>0</v>
      </c>
      <c r="F593" s="38"/>
      <c r="G593" s="38">
        <f>G581+G586+G591</f>
        <v>0</v>
      </c>
      <c r="H593" s="17"/>
    </row>
    <row r="594" spans="1:9" x14ac:dyDescent="0.25">
      <c r="A594" s="18"/>
      <c r="B594" s="29" t="s">
        <v>87</v>
      </c>
      <c r="C594" s="26"/>
      <c r="D594" s="26"/>
      <c r="E594" s="38">
        <f>G595</f>
        <v>0</v>
      </c>
      <c r="F594" s="38"/>
      <c r="G594" s="38">
        <v>0</v>
      </c>
      <c r="H594" s="17"/>
    </row>
    <row r="595" spans="1:9" ht="15.75" thickBot="1" x14ac:dyDescent="0.3">
      <c r="A595" s="16"/>
      <c r="B595" s="39" t="s">
        <v>86</v>
      </c>
      <c r="C595" s="40"/>
      <c r="D595" s="40"/>
      <c r="E595" s="41">
        <f>SUM(E593:E594)</f>
        <v>0</v>
      </c>
      <c r="F595" s="41"/>
      <c r="G595" s="41">
        <f>SUM(G593:G594)</f>
        <v>0</v>
      </c>
      <c r="H595" s="15"/>
    </row>
    <row r="596" spans="1:9" ht="15.75" x14ac:dyDescent="0.3">
      <c r="A596" s="2"/>
      <c r="B596" s="2"/>
      <c r="C596" s="3"/>
      <c r="D596" s="3"/>
      <c r="E596" s="102">
        <f>'Neraca '!H756</f>
        <v>0</v>
      </c>
      <c r="F596" s="103"/>
      <c r="G596" s="146">
        <f>'Neraca '!J756</f>
        <v>0</v>
      </c>
      <c r="H596" s="4"/>
    </row>
    <row r="597" spans="1:9" x14ac:dyDescent="0.25">
      <c r="A597" s="748" t="s">
        <v>658</v>
      </c>
      <c r="B597" s="748"/>
      <c r="C597" s="748"/>
      <c r="E597" s="697" t="s">
        <v>566</v>
      </c>
      <c r="F597" s="697"/>
      <c r="G597" s="697"/>
      <c r="H597" s="697"/>
    </row>
    <row r="598" spans="1:9" x14ac:dyDescent="0.25">
      <c r="A598" s="749" t="s">
        <v>657</v>
      </c>
      <c r="B598" s="749"/>
      <c r="C598" s="749"/>
      <c r="D598" s="124"/>
      <c r="E598" s="697" t="s">
        <v>649</v>
      </c>
      <c r="F598" s="697"/>
      <c r="G598" s="697"/>
      <c r="H598" s="697"/>
    </row>
    <row r="599" spans="1:9" x14ac:dyDescent="0.25">
      <c r="A599" s="172"/>
      <c r="B599" s="6"/>
      <c r="C599" s="173"/>
      <c r="D599" s="697"/>
      <c r="E599" s="697"/>
      <c r="F599" s="697"/>
      <c r="G599" s="697"/>
      <c r="H599" s="697"/>
      <c r="I599" s="43">
        <f>E595-E596</f>
        <v>0</v>
      </c>
    </row>
    <row r="600" spans="1:9" x14ac:dyDescent="0.25">
      <c r="A600" s="174"/>
      <c r="B600" s="6"/>
      <c r="C600" s="173"/>
      <c r="D600" s="697"/>
      <c r="E600" s="697"/>
      <c r="F600" s="697"/>
      <c r="G600" s="697"/>
      <c r="H600" s="697"/>
    </row>
    <row r="601" spans="1:9" x14ac:dyDescent="0.25">
      <c r="A601" s="750" t="s">
        <v>656</v>
      </c>
      <c r="B601" s="750"/>
      <c r="C601" s="750"/>
      <c r="E601" s="697" t="s">
        <v>567</v>
      </c>
      <c r="F601" s="697"/>
      <c r="G601" s="697"/>
      <c r="H601" s="697"/>
    </row>
    <row r="602" spans="1:9" ht="15.75" x14ac:dyDescent="0.3">
      <c r="A602" s="3"/>
      <c r="B602" s="10"/>
      <c r="C602" s="1"/>
      <c r="D602" s="1"/>
      <c r="E602" s="13"/>
      <c r="F602" s="13"/>
      <c r="G602" s="105"/>
      <c r="H602" s="10"/>
    </row>
    <row r="603" spans="1:9" ht="15.75" x14ac:dyDescent="0.3">
      <c r="A603" s="3"/>
      <c r="B603" s="10"/>
      <c r="C603" s="1"/>
      <c r="D603" s="1"/>
      <c r="E603" s="13"/>
      <c r="F603" s="13"/>
      <c r="G603" s="105"/>
      <c r="H603" s="10"/>
    </row>
    <row r="604" spans="1:9" ht="15.75" x14ac:dyDescent="0.3">
      <c r="A604" s="3"/>
      <c r="B604" s="10"/>
      <c r="C604" s="1"/>
      <c r="D604" s="1"/>
      <c r="E604" s="13"/>
      <c r="F604" s="13"/>
      <c r="G604" s="104"/>
      <c r="H604" s="10"/>
    </row>
    <row r="605" spans="1:9" x14ac:dyDescent="0.25">
      <c r="A605" s="2"/>
      <c r="B605" s="10"/>
      <c r="C605" s="1"/>
      <c r="D605" s="1"/>
      <c r="E605" s="13"/>
      <c r="F605" s="13"/>
      <c r="G605" s="104"/>
      <c r="H605" s="10"/>
    </row>
    <row r="606" spans="1:9" x14ac:dyDescent="0.25">
      <c r="A606" s="2"/>
      <c r="B606" s="10"/>
      <c r="C606" s="1"/>
      <c r="D606" s="1"/>
      <c r="E606" s="13"/>
      <c r="F606" s="13"/>
      <c r="G606" s="13"/>
      <c r="H606" s="10"/>
    </row>
    <row r="607" spans="1:9" x14ac:dyDescent="0.25">
      <c r="A607" s="2"/>
      <c r="B607" s="10"/>
      <c r="C607" s="1"/>
      <c r="D607" s="1"/>
      <c r="E607" s="13"/>
      <c r="F607" s="13"/>
      <c r="G607" s="104"/>
      <c r="H607" s="10"/>
    </row>
    <row r="608" spans="1:9" x14ac:dyDescent="0.25">
      <c r="A608" s="2"/>
      <c r="B608" s="10"/>
      <c r="C608" s="1"/>
      <c r="D608" s="1"/>
      <c r="E608" s="13"/>
      <c r="F608" s="13"/>
      <c r="G608" s="109"/>
      <c r="H608" s="10"/>
    </row>
    <row r="609" spans="1:8" x14ac:dyDescent="0.25">
      <c r="A609" s="2"/>
      <c r="B609" s="10"/>
      <c r="C609" s="1"/>
      <c r="D609" s="1"/>
      <c r="E609" s="13"/>
      <c r="F609" s="13"/>
      <c r="G609" s="110"/>
      <c r="H609" s="10"/>
    </row>
    <row r="614" spans="1:8" x14ac:dyDescent="0.25">
      <c r="B614" s="175"/>
    </row>
    <row r="616" spans="1:8" x14ac:dyDescent="0.25">
      <c r="B616" s="175" t="s">
        <v>652</v>
      </c>
    </row>
    <row r="617" spans="1:8" x14ac:dyDescent="0.25">
      <c r="A617" s="25"/>
      <c r="B617" s="24"/>
      <c r="C617" s="24"/>
      <c r="D617" s="24"/>
      <c r="E617" s="101"/>
      <c r="F617" s="101"/>
      <c r="G617" s="101"/>
      <c r="H617" s="23"/>
    </row>
    <row r="618" spans="1:8" x14ac:dyDescent="0.25">
      <c r="A618" s="741" t="s">
        <v>650</v>
      </c>
      <c r="B618" s="742"/>
      <c r="C618" s="742"/>
      <c r="D618" s="742"/>
      <c r="E618" s="742"/>
      <c r="F618" s="742"/>
      <c r="G618" s="742"/>
      <c r="H618" s="743"/>
    </row>
    <row r="619" spans="1:8" x14ac:dyDescent="0.25">
      <c r="A619" s="741" t="s">
        <v>107</v>
      </c>
      <c r="B619" s="742"/>
      <c r="C619" s="742"/>
      <c r="D619" s="742"/>
      <c r="E619" s="742"/>
      <c r="F619" s="742"/>
      <c r="G619" s="742"/>
      <c r="H619" s="743"/>
    </row>
    <row r="620" spans="1:8" x14ac:dyDescent="0.25">
      <c r="A620" s="18"/>
      <c r="B620" s="20"/>
      <c r="C620" s="20"/>
      <c r="D620" s="20"/>
      <c r="E620" s="26"/>
      <c r="F620" s="26"/>
      <c r="G620" s="26"/>
      <c r="H620" s="19"/>
    </row>
    <row r="621" spans="1:8" x14ac:dyDescent="0.25">
      <c r="A621" s="9"/>
      <c r="B621" s="744" t="s">
        <v>15</v>
      </c>
      <c r="C621" s="745"/>
      <c r="D621" s="26"/>
      <c r="E621" s="27" t="s">
        <v>1040</v>
      </c>
      <c r="F621" s="26"/>
      <c r="G621" s="27" t="s">
        <v>704</v>
      </c>
      <c r="H621" s="19"/>
    </row>
    <row r="622" spans="1:8" x14ac:dyDescent="0.25">
      <c r="A622" s="22"/>
      <c r="B622" s="746"/>
      <c r="C622" s="747"/>
      <c r="D622" s="26"/>
      <c r="E622" s="28" t="s">
        <v>22</v>
      </c>
      <c r="F622" s="26"/>
      <c r="G622" s="28" t="s">
        <v>22</v>
      </c>
      <c r="H622" s="19"/>
    </row>
    <row r="623" spans="1:8" x14ac:dyDescent="0.25">
      <c r="A623" s="18"/>
      <c r="B623" s="26"/>
      <c r="C623" s="26"/>
      <c r="D623" s="26"/>
      <c r="E623" s="26"/>
      <c r="F623" s="26"/>
      <c r="G623" s="26"/>
      <c r="H623" s="19"/>
    </row>
    <row r="624" spans="1:8" x14ac:dyDescent="0.25">
      <c r="A624" s="18"/>
      <c r="B624" s="29" t="s">
        <v>17</v>
      </c>
      <c r="C624" s="26"/>
      <c r="D624" s="26"/>
      <c r="E624" s="30"/>
      <c r="F624" s="30"/>
      <c r="G624" s="30"/>
      <c r="H624" s="19"/>
    </row>
    <row r="625" spans="1:8" x14ac:dyDescent="0.25">
      <c r="A625" s="18"/>
      <c r="B625" s="26"/>
      <c r="C625" s="31" t="s">
        <v>106</v>
      </c>
      <c r="D625" s="26"/>
      <c r="E625" s="32">
        <f>'Neraca '!H874</f>
        <v>0</v>
      </c>
      <c r="F625" s="33"/>
      <c r="G625" s="32">
        <v>0</v>
      </c>
      <c r="H625" s="19"/>
    </row>
    <row r="626" spans="1:8" x14ac:dyDescent="0.25">
      <c r="A626" s="18"/>
      <c r="B626" s="26" t="s">
        <v>105</v>
      </c>
      <c r="C626" s="26"/>
      <c r="D626" s="26"/>
      <c r="F626" s="30"/>
      <c r="H626" s="19"/>
    </row>
    <row r="627" spans="1:8" x14ac:dyDescent="0.25">
      <c r="A627" s="18"/>
      <c r="B627" s="26"/>
      <c r="C627" s="26" t="s">
        <v>104</v>
      </c>
      <c r="D627" s="26"/>
      <c r="E627" s="8">
        <f>'Neraca '!L849+'Neraca '!L853</f>
        <v>0</v>
      </c>
      <c r="F627" s="30"/>
      <c r="G627" s="8">
        <v>0</v>
      </c>
      <c r="H627" s="19"/>
    </row>
    <row r="628" spans="1:8" x14ac:dyDescent="0.25">
      <c r="A628" s="18"/>
      <c r="B628" s="26"/>
      <c r="C628" s="26" t="s">
        <v>103</v>
      </c>
      <c r="D628" s="26"/>
      <c r="E628" s="8">
        <f>-'Neraca '!L873+'Neraca '!L840</f>
        <v>0</v>
      </c>
      <c r="F628" s="30"/>
      <c r="G628" s="44">
        <v>0</v>
      </c>
      <c r="H628" s="19"/>
    </row>
    <row r="629" spans="1:8" x14ac:dyDescent="0.25">
      <c r="A629" s="18"/>
      <c r="B629" s="31" t="s">
        <v>102</v>
      </c>
      <c r="C629" s="31"/>
      <c r="D629" s="31"/>
      <c r="E629" s="34">
        <f>SUM(E625:E628)</f>
        <v>0</v>
      </c>
      <c r="F629" s="33"/>
      <c r="G629" s="34">
        <f>SUM(G625:G628)</f>
        <v>0</v>
      </c>
      <c r="H629" s="19"/>
    </row>
    <row r="630" spans="1:8" x14ac:dyDescent="0.25">
      <c r="A630" s="18"/>
      <c r="B630" s="26"/>
      <c r="C630" s="26" t="s">
        <v>101</v>
      </c>
      <c r="D630" s="26"/>
      <c r="E630" s="8">
        <f>'Neraca '!L841</f>
        <v>0</v>
      </c>
      <c r="F630" s="30"/>
      <c r="G630" s="8">
        <v>0</v>
      </c>
      <c r="H630" s="19"/>
    </row>
    <row r="631" spans="1:8" x14ac:dyDescent="0.25">
      <c r="A631" s="18"/>
      <c r="B631" s="26"/>
      <c r="C631" s="26" t="s">
        <v>100</v>
      </c>
      <c r="D631" s="26"/>
      <c r="E631" s="8">
        <f>'Neraca '!L842</f>
        <v>0</v>
      </c>
      <c r="F631" s="30"/>
      <c r="G631" s="8">
        <v>0</v>
      </c>
      <c r="H631" s="19"/>
    </row>
    <row r="632" spans="1:8" x14ac:dyDescent="0.25">
      <c r="A632" s="18"/>
      <c r="B632" s="26"/>
      <c r="C632" s="26" t="s">
        <v>99</v>
      </c>
      <c r="D632" s="26"/>
      <c r="E632" s="8">
        <f>'Neraca '!L843</f>
        <v>0</v>
      </c>
      <c r="F632" s="30"/>
      <c r="G632" s="8">
        <v>0</v>
      </c>
      <c r="H632" s="19"/>
    </row>
    <row r="633" spans="1:8" x14ac:dyDescent="0.25">
      <c r="A633" s="18"/>
      <c r="B633" s="26"/>
      <c r="C633" s="26" t="s">
        <v>98</v>
      </c>
      <c r="D633" s="26"/>
      <c r="E633" s="8"/>
      <c r="F633" s="30"/>
      <c r="G633" s="111"/>
      <c r="H633" s="19"/>
    </row>
    <row r="634" spans="1:8" x14ac:dyDescent="0.25">
      <c r="A634" s="18"/>
      <c r="B634" s="26"/>
      <c r="C634" s="26" t="s">
        <v>648</v>
      </c>
      <c r="D634" s="26"/>
      <c r="E634" s="8">
        <f>'Neraca '!L867</f>
        <v>0</v>
      </c>
      <c r="F634" s="30"/>
      <c r="G634" s="645">
        <v>0</v>
      </c>
      <c r="H634" s="19"/>
    </row>
    <row r="635" spans="1:8" x14ac:dyDescent="0.25">
      <c r="A635" s="18"/>
      <c r="B635" s="26"/>
      <c r="C635" s="26" t="s">
        <v>97</v>
      </c>
      <c r="D635" s="26"/>
      <c r="F635" s="30"/>
      <c r="G635" s="44"/>
      <c r="H635" s="19"/>
    </row>
    <row r="636" spans="1:8" x14ac:dyDescent="0.25">
      <c r="A636" s="18"/>
      <c r="B636" s="26"/>
      <c r="C636" s="26" t="s">
        <v>647</v>
      </c>
      <c r="D636" s="26"/>
      <c r="E636" s="8">
        <f>-'Neraca '!L866</f>
        <v>0</v>
      </c>
      <c r="F636" s="30"/>
      <c r="G636" s="44">
        <v>0</v>
      </c>
      <c r="H636" s="19"/>
    </row>
    <row r="637" spans="1:8" x14ac:dyDescent="0.25">
      <c r="A637" s="18"/>
      <c r="B637" s="26"/>
      <c r="C637" s="26" t="s">
        <v>290</v>
      </c>
      <c r="D637" s="26"/>
      <c r="E637" s="8"/>
      <c r="F637" s="30"/>
      <c r="G637" s="96"/>
      <c r="H637" s="19"/>
    </row>
    <row r="638" spans="1:8" x14ac:dyDescent="0.25">
      <c r="A638" s="18"/>
      <c r="B638" s="26"/>
      <c r="C638" s="26" t="s">
        <v>96</v>
      </c>
      <c r="D638" s="26"/>
      <c r="E638" s="8"/>
      <c r="F638" s="30"/>
      <c r="G638" s="8"/>
      <c r="H638" s="19"/>
    </row>
    <row r="639" spans="1:8" x14ac:dyDescent="0.25">
      <c r="A639" s="18"/>
      <c r="B639" s="26"/>
      <c r="C639" s="26" t="s">
        <v>95</v>
      </c>
      <c r="D639" s="26"/>
      <c r="F639" s="30"/>
      <c r="H639" s="19"/>
    </row>
    <row r="640" spans="1:8" x14ac:dyDescent="0.25">
      <c r="A640" s="18"/>
      <c r="B640" s="26"/>
      <c r="C640" s="26" t="s">
        <v>94</v>
      </c>
      <c r="D640" s="26"/>
      <c r="F640" s="30"/>
      <c r="H640" s="19"/>
    </row>
    <row r="641" spans="1:8" x14ac:dyDescent="0.25">
      <c r="A641" s="18"/>
      <c r="B641" s="26"/>
      <c r="C641" s="26" t="s">
        <v>93</v>
      </c>
      <c r="D641" s="26"/>
      <c r="F641" s="30"/>
      <c r="H641" s="19"/>
    </row>
    <row r="642" spans="1:8" x14ac:dyDescent="0.25">
      <c r="A642" s="18"/>
      <c r="B642" s="26"/>
      <c r="C642" s="26" t="s">
        <v>92</v>
      </c>
      <c r="D642" s="26"/>
      <c r="F642" s="30"/>
      <c r="H642" s="19"/>
    </row>
    <row r="643" spans="1:8" x14ac:dyDescent="0.25">
      <c r="A643" s="18"/>
      <c r="B643" s="26"/>
      <c r="C643" s="35" t="s">
        <v>18</v>
      </c>
      <c r="D643" s="35"/>
      <c r="E643" s="34">
        <f>SUM(E629:E642)</f>
        <v>0</v>
      </c>
      <c r="F643" s="36"/>
      <c r="G643" s="34">
        <f>SUM(G629:G642)</f>
        <v>0</v>
      </c>
      <c r="H643" s="19"/>
    </row>
    <row r="644" spans="1:8" x14ac:dyDescent="0.25">
      <c r="A644" s="18"/>
      <c r="B644" s="29" t="s">
        <v>19</v>
      </c>
      <c r="C644" s="26"/>
      <c r="D644" s="26"/>
      <c r="F644" s="30"/>
      <c r="H644" s="19"/>
    </row>
    <row r="645" spans="1:8" x14ac:dyDescent="0.25">
      <c r="A645" s="18"/>
      <c r="B645" s="26"/>
      <c r="C645" s="26" t="s">
        <v>91</v>
      </c>
      <c r="D645" s="26"/>
      <c r="E645" s="8">
        <f>'Neraca '!L852+'Neraca '!L848</f>
        <v>0</v>
      </c>
      <c r="F645" s="30"/>
      <c r="G645" s="8">
        <v>0</v>
      </c>
      <c r="H645" s="19"/>
    </row>
    <row r="646" spans="1:8" x14ac:dyDescent="0.25">
      <c r="A646" s="18"/>
      <c r="B646" s="26"/>
      <c r="C646" s="26" t="s">
        <v>90</v>
      </c>
      <c r="D646" s="26"/>
      <c r="F646" s="30"/>
      <c r="G646" s="111"/>
      <c r="H646" s="19"/>
    </row>
    <row r="647" spans="1:8" x14ac:dyDescent="0.25">
      <c r="A647" s="18"/>
      <c r="B647" s="26"/>
      <c r="C647" s="26" t="s">
        <v>301</v>
      </c>
      <c r="D647" s="26"/>
      <c r="E647" s="8"/>
      <c r="F647" s="30"/>
      <c r="H647" s="19"/>
    </row>
    <row r="648" spans="1:8" x14ac:dyDescent="0.25">
      <c r="A648" s="18"/>
      <c r="B648" s="26"/>
      <c r="C648" s="35" t="s">
        <v>89</v>
      </c>
      <c r="D648" s="31"/>
      <c r="E648" s="37">
        <f>SUM(E645:E647)</f>
        <v>0</v>
      </c>
      <c r="F648" s="36"/>
      <c r="G648" s="37">
        <f>SUM(G645:G647)</f>
        <v>0</v>
      </c>
      <c r="H648" s="19"/>
    </row>
    <row r="649" spans="1:8" x14ac:dyDescent="0.25">
      <c r="A649" s="18"/>
      <c r="B649" s="29" t="s">
        <v>20</v>
      </c>
      <c r="C649" s="26"/>
      <c r="D649" s="26"/>
      <c r="F649" s="30"/>
      <c r="G649" s="96"/>
      <c r="H649" s="19"/>
    </row>
    <row r="650" spans="1:8" x14ac:dyDescent="0.25">
      <c r="A650" s="18"/>
      <c r="B650" s="29"/>
      <c r="C650" s="26" t="s">
        <v>267</v>
      </c>
      <c r="D650" s="26"/>
      <c r="F650" s="30"/>
      <c r="G650" s="96"/>
      <c r="H650" s="19"/>
    </row>
    <row r="651" spans="1:8" x14ac:dyDescent="0.25">
      <c r="A651" s="18"/>
      <c r="B651" s="26"/>
      <c r="C651" s="26" t="s">
        <v>292</v>
      </c>
      <c r="D651" s="26"/>
      <c r="E651" s="8"/>
      <c r="F651" s="30"/>
      <c r="G651" s="96"/>
      <c r="H651" s="21"/>
    </row>
    <row r="652" spans="1:8" x14ac:dyDescent="0.25">
      <c r="A652" s="18"/>
      <c r="B652" s="26"/>
      <c r="C652" s="26" t="s">
        <v>282</v>
      </c>
      <c r="D652" s="26"/>
      <c r="E652" s="8"/>
      <c r="F652" s="30"/>
      <c r="G652" s="96"/>
      <c r="H652" s="19"/>
    </row>
    <row r="653" spans="1:8" x14ac:dyDescent="0.25">
      <c r="A653" s="18"/>
      <c r="B653" s="26"/>
      <c r="C653" s="35" t="s">
        <v>21</v>
      </c>
      <c r="D653" s="26"/>
      <c r="E653" s="42">
        <f>SUM(E651:E652)</f>
        <v>0</v>
      </c>
      <c r="F653" s="38"/>
      <c r="G653" s="42">
        <f>SUM(G650:G652)</f>
        <v>0</v>
      </c>
      <c r="H653" s="19"/>
    </row>
    <row r="654" spans="1:8" x14ac:dyDescent="0.25">
      <c r="A654" s="18"/>
      <c r="B654" s="26"/>
      <c r="C654" s="29"/>
      <c r="D654" s="26"/>
      <c r="F654" s="30"/>
      <c r="H654" s="19"/>
    </row>
    <row r="655" spans="1:8" x14ac:dyDescent="0.25">
      <c r="A655" s="18"/>
      <c r="B655" s="29" t="s">
        <v>88</v>
      </c>
      <c r="C655" s="26"/>
      <c r="D655" s="26"/>
      <c r="E655" s="38">
        <f>E643+E648+E653</f>
        <v>0</v>
      </c>
      <c r="F655" s="38"/>
      <c r="G655" s="38">
        <f>G643+G648+G653</f>
        <v>0</v>
      </c>
      <c r="H655" s="17"/>
    </row>
    <row r="656" spans="1:8" x14ac:dyDescent="0.25">
      <c r="A656" s="18"/>
      <c r="B656" s="29" t="s">
        <v>87</v>
      </c>
      <c r="C656" s="26"/>
      <c r="D656" s="26"/>
      <c r="E656" s="38">
        <f>G657</f>
        <v>0</v>
      </c>
      <c r="F656" s="38"/>
      <c r="G656" s="38">
        <v>0</v>
      </c>
      <c r="H656" s="17"/>
    </row>
    <row r="657" spans="1:8" ht="15.75" thickBot="1" x14ac:dyDescent="0.3">
      <c r="A657" s="16"/>
      <c r="B657" s="39" t="s">
        <v>86</v>
      </c>
      <c r="C657" s="40"/>
      <c r="D657" s="40"/>
      <c r="E657" s="41">
        <f>SUM(E655:E656)</f>
        <v>0</v>
      </c>
      <c r="F657" s="41"/>
      <c r="G657" s="41">
        <f>SUM(G655:G656)</f>
        <v>0</v>
      </c>
      <c r="H657" s="15"/>
    </row>
    <row r="658" spans="1:8" ht="15.75" x14ac:dyDescent="0.3">
      <c r="A658" s="2"/>
      <c r="B658" s="2"/>
      <c r="C658" s="3"/>
      <c r="D658" s="3"/>
      <c r="E658" s="102">
        <f>'Neraca '!H837</f>
        <v>0</v>
      </c>
      <c r="F658" s="103"/>
      <c r="G658" s="146">
        <f>'Neraca '!J837</f>
        <v>0</v>
      </c>
      <c r="H658" s="4"/>
    </row>
    <row r="659" spans="1:8" x14ac:dyDescent="0.25">
      <c r="A659" s="748" t="s">
        <v>658</v>
      </c>
      <c r="B659" s="748"/>
      <c r="C659" s="748"/>
      <c r="E659" s="697" t="s">
        <v>566</v>
      </c>
      <c r="F659" s="697"/>
      <c r="G659" s="697"/>
      <c r="H659" s="697"/>
    </row>
    <row r="660" spans="1:8" x14ac:dyDescent="0.25">
      <c r="A660" s="749" t="s">
        <v>686</v>
      </c>
      <c r="B660" s="749"/>
      <c r="C660" s="749"/>
      <c r="D660" s="124"/>
      <c r="E660" s="697" t="s">
        <v>680</v>
      </c>
      <c r="F660" s="697"/>
      <c r="G660" s="697"/>
      <c r="H660" s="697"/>
    </row>
    <row r="661" spans="1:8" x14ac:dyDescent="0.25">
      <c r="A661" s="172"/>
      <c r="B661" s="6"/>
      <c r="C661" s="173"/>
      <c r="D661" s="697"/>
      <c r="E661" s="697"/>
      <c r="F661" s="697"/>
      <c r="G661" s="697"/>
      <c r="H661" s="697"/>
    </row>
    <row r="662" spans="1:8" x14ac:dyDescent="0.25">
      <c r="A662" s="174"/>
      <c r="B662" s="6"/>
      <c r="C662" s="173"/>
      <c r="D662" s="697"/>
      <c r="E662" s="697"/>
      <c r="F662" s="697"/>
      <c r="G662" s="697"/>
      <c r="H662" s="697"/>
    </row>
    <row r="663" spans="1:8" x14ac:dyDescent="0.25">
      <c r="A663" s="750" t="s">
        <v>656</v>
      </c>
      <c r="B663" s="750"/>
      <c r="C663" s="750"/>
      <c r="E663" s="697" t="s">
        <v>567</v>
      </c>
      <c r="F663" s="697"/>
      <c r="G663" s="697"/>
      <c r="H663" s="697"/>
    </row>
    <row r="664" spans="1:8" ht="15.75" x14ac:dyDescent="0.3">
      <c r="A664" s="3"/>
      <c r="B664" s="10"/>
      <c r="C664" s="1"/>
      <c r="D664" s="1"/>
      <c r="E664" s="13"/>
      <c r="F664" s="13"/>
      <c r="G664" s="105"/>
      <c r="H664" s="10"/>
    </row>
    <row r="665" spans="1:8" ht="15.75" x14ac:dyDescent="0.3">
      <c r="A665" s="3"/>
      <c r="B665" s="10"/>
      <c r="C665" s="1"/>
      <c r="D665" s="1"/>
      <c r="E665" s="13"/>
      <c r="F665" s="13"/>
      <c r="G665" s="105"/>
      <c r="H665" s="10"/>
    </row>
    <row r="666" spans="1:8" ht="15.75" x14ac:dyDescent="0.3">
      <c r="A666" s="3"/>
      <c r="B666" s="10"/>
      <c r="C666" s="1"/>
      <c r="D666" s="1"/>
      <c r="E666" s="13"/>
      <c r="F666" s="13"/>
      <c r="G666" s="104"/>
      <c r="H666" s="10"/>
    </row>
    <row r="667" spans="1:8" x14ac:dyDescent="0.25">
      <c r="A667" s="2"/>
      <c r="B667" s="10"/>
      <c r="C667" s="1"/>
      <c r="D667" s="1"/>
      <c r="E667" s="13"/>
      <c r="F667" s="13"/>
      <c r="G667" s="104"/>
      <c r="H667" s="10"/>
    </row>
    <row r="668" spans="1:8" x14ac:dyDescent="0.25">
      <c r="A668" s="2"/>
      <c r="B668" s="10"/>
      <c r="C668" s="1"/>
      <c r="D668" s="1"/>
      <c r="E668" s="13"/>
      <c r="F668" s="13"/>
      <c r="G668" s="13"/>
      <c r="H668" s="10"/>
    </row>
    <row r="669" spans="1:8" x14ac:dyDescent="0.25">
      <c r="A669" s="2"/>
      <c r="B669" s="10"/>
      <c r="C669" s="1"/>
      <c r="D669" s="1"/>
      <c r="E669" s="13"/>
      <c r="F669" s="13"/>
      <c r="G669" s="104"/>
      <c r="H669" s="10"/>
    </row>
    <row r="670" spans="1:8" x14ac:dyDescent="0.25">
      <c r="A670" s="2"/>
      <c r="B670" s="10"/>
      <c r="C670" s="1"/>
      <c r="D670" s="1"/>
      <c r="E670" s="13"/>
      <c r="F670" s="13"/>
      <c r="G670" s="109"/>
      <c r="H670" s="10"/>
    </row>
    <row r="671" spans="1:8" x14ac:dyDescent="0.25">
      <c r="A671" s="2"/>
      <c r="B671" s="10"/>
      <c r="C671" s="1"/>
      <c r="D671" s="1"/>
      <c r="E671" s="13"/>
      <c r="F671" s="13"/>
      <c r="G671" s="110"/>
      <c r="H671" s="10"/>
    </row>
    <row r="676" spans="1:9" x14ac:dyDescent="0.25">
      <c r="B676" s="175"/>
    </row>
    <row r="678" spans="1:9" x14ac:dyDescent="0.25">
      <c r="B678" s="175" t="s">
        <v>652</v>
      </c>
    </row>
    <row r="679" spans="1:9" x14ac:dyDescent="0.25">
      <c r="A679" s="25"/>
      <c r="B679" s="24"/>
      <c r="C679" s="24"/>
      <c r="D679" s="24"/>
      <c r="E679" s="101"/>
      <c r="F679" s="101"/>
      <c r="G679" s="101"/>
      <c r="H679" s="23"/>
    </row>
    <row r="680" spans="1:9" x14ac:dyDescent="0.25">
      <c r="A680" s="741" t="s">
        <v>650</v>
      </c>
      <c r="B680" s="742"/>
      <c r="C680" s="742"/>
      <c r="D680" s="742"/>
      <c r="E680" s="742"/>
      <c r="F680" s="742"/>
      <c r="G680" s="742"/>
      <c r="H680" s="743"/>
    </row>
    <row r="681" spans="1:9" x14ac:dyDescent="0.25">
      <c r="A681" s="741" t="s">
        <v>107</v>
      </c>
      <c r="B681" s="742"/>
      <c r="C681" s="742"/>
      <c r="D681" s="742"/>
      <c r="E681" s="742"/>
      <c r="F681" s="742"/>
      <c r="G681" s="742"/>
      <c r="H681" s="743"/>
    </row>
    <row r="682" spans="1:9" x14ac:dyDescent="0.25">
      <c r="A682" s="18"/>
      <c r="B682" s="20"/>
      <c r="C682" s="20"/>
      <c r="D682" s="20"/>
      <c r="E682" s="26"/>
      <c r="F682" s="26"/>
      <c r="G682" s="26"/>
      <c r="H682" s="19"/>
    </row>
    <row r="683" spans="1:9" x14ac:dyDescent="0.25">
      <c r="A683" s="9"/>
      <c r="B683" s="744" t="s">
        <v>15</v>
      </c>
      <c r="C683" s="745"/>
      <c r="D683" s="26"/>
      <c r="E683" s="27" t="s">
        <v>1042</v>
      </c>
      <c r="F683" s="26"/>
      <c r="G683" s="27" t="s">
        <v>704</v>
      </c>
      <c r="H683" s="19"/>
    </row>
    <row r="684" spans="1:9" x14ac:dyDescent="0.25">
      <c r="A684" s="22"/>
      <c r="B684" s="746"/>
      <c r="C684" s="747"/>
      <c r="D684" s="26"/>
      <c r="E684" s="28" t="s">
        <v>22</v>
      </c>
      <c r="F684" s="26"/>
      <c r="G684" s="28" t="s">
        <v>22</v>
      </c>
      <c r="H684" s="19"/>
    </row>
    <row r="685" spans="1:9" x14ac:dyDescent="0.25">
      <c r="A685" s="18"/>
      <c r="B685" s="26"/>
      <c r="C685" s="26"/>
      <c r="D685" s="26"/>
      <c r="E685" s="26"/>
      <c r="F685" s="26"/>
      <c r="G685" s="26"/>
      <c r="H685" s="19"/>
    </row>
    <row r="686" spans="1:9" x14ac:dyDescent="0.25">
      <c r="A686" s="18"/>
      <c r="B686" s="29" t="s">
        <v>17</v>
      </c>
      <c r="C686" s="26"/>
      <c r="D686" s="26"/>
      <c r="E686" s="30"/>
      <c r="F686" s="30"/>
      <c r="G686" s="30"/>
      <c r="H686" s="19"/>
    </row>
    <row r="687" spans="1:9" x14ac:dyDescent="0.25">
      <c r="A687" s="18"/>
      <c r="B687" s="26"/>
      <c r="C687" s="31" t="s">
        <v>106</v>
      </c>
      <c r="D687" s="26"/>
      <c r="E687" s="32">
        <f>'Neraca '!H959</f>
        <v>0</v>
      </c>
      <c r="F687" s="33"/>
      <c r="G687" s="32">
        <v>0</v>
      </c>
      <c r="H687" s="19"/>
      <c r="I687" s="148"/>
    </row>
    <row r="688" spans="1:9" x14ac:dyDescent="0.25">
      <c r="A688" s="18"/>
      <c r="B688" s="26" t="s">
        <v>105</v>
      </c>
      <c r="C688" s="26"/>
      <c r="D688" s="26"/>
      <c r="F688" s="30"/>
      <c r="H688" s="19"/>
      <c r="I688" s="148"/>
    </row>
    <row r="689" spans="1:9" x14ac:dyDescent="0.25">
      <c r="A689" s="18"/>
      <c r="B689" s="26"/>
      <c r="C689" s="26" t="s">
        <v>104</v>
      </c>
      <c r="D689" s="26"/>
      <c r="E689" s="8">
        <f>'Neraca '!L934+'Neraca '!L938</f>
        <v>0</v>
      </c>
      <c r="F689" s="30"/>
      <c r="G689" s="8">
        <v>0</v>
      </c>
      <c r="H689" s="19"/>
      <c r="I689" s="148"/>
    </row>
    <row r="690" spans="1:9" x14ac:dyDescent="0.25">
      <c r="A690" s="18"/>
      <c r="B690" s="26"/>
      <c r="C690" s="26" t="s">
        <v>103</v>
      </c>
      <c r="D690" s="26"/>
      <c r="E690" s="8">
        <f>(-'Neraca '!L958)</f>
        <v>0</v>
      </c>
      <c r="F690" s="30"/>
      <c r="G690" s="44">
        <v>0</v>
      </c>
      <c r="H690" s="19"/>
      <c r="I690" s="148"/>
    </row>
    <row r="691" spans="1:9" x14ac:dyDescent="0.25">
      <c r="A691" s="18"/>
      <c r="B691" s="31" t="s">
        <v>102</v>
      </c>
      <c r="C691" s="31"/>
      <c r="D691" s="31"/>
      <c r="E691" s="34">
        <f>SUM(E687:E690)</f>
        <v>0</v>
      </c>
      <c r="F691" s="33"/>
      <c r="G691" s="34">
        <f>SUM(G687:G690)</f>
        <v>0</v>
      </c>
      <c r="H691" s="19"/>
      <c r="I691" s="148"/>
    </row>
    <row r="692" spans="1:9" x14ac:dyDescent="0.25">
      <c r="A692" s="18"/>
      <c r="B692" s="26"/>
      <c r="C692" s="26" t="s">
        <v>101</v>
      </c>
      <c r="D692" s="26"/>
      <c r="E692" s="8">
        <f>'Neraca '!L926</f>
        <v>0</v>
      </c>
      <c r="F692" s="30"/>
      <c r="G692" s="8">
        <v>0</v>
      </c>
      <c r="H692" s="19"/>
      <c r="I692" s="148"/>
    </row>
    <row r="693" spans="1:9" x14ac:dyDescent="0.25">
      <c r="A693" s="18"/>
      <c r="B693" s="26"/>
      <c r="C693" s="26" t="s">
        <v>100</v>
      </c>
      <c r="D693" s="26"/>
      <c r="E693" s="8">
        <f>'Neraca '!L927</f>
        <v>0</v>
      </c>
      <c r="F693" s="30"/>
      <c r="G693" s="8">
        <v>0</v>
      </c>
      <c r="H693" s="19"/>
      <c r="I693" s="148"/>
    </row>
    <row r="694" spans="1:9" x14ac:dyDescent="0.25">
      <c r="A694" s="18"/>
      <c r="B694" s="26"/>
      <c r="C694" s="26" t="s">
        <v>99</v>
      </c>
      <c r="D694" s="26"/>
      <c r="E694" s="8">
        <f>'Neraca '!L928</f>
        <v>0</v>
      </c>
      <c r="F694" s="30"/>
      <c r="G694" s="8">
        <v>0</v>
      </c>
      <c r="H694" s="19"/>
      <c r="I694" s="148"/>
    </row>
    <row r="695" spans="1:9" x14ac:dyDescent="0.25">
      <c r="A695" s="18"/>
      <c r="B695" s="26"/>
      <c r="C695" s="26" t="s">
        <v>98</v>
      </c>
      <c r="D695" s="26"/>
      <c r="E695" s="8"/>
      <c r="F695" s="30"/>
      <c r="G695" s="111"/>
      <c r="H695" s="19"/>
      <c r="I695" s="148"/>
    </row>
    <row r="696" spans="1:9" x14ac:dyDescent="0.25">
      <c r="A696" s="18"/>
      <c r="B696" s="26"/>
      <c r="C696" s="26" t="s">
        <v>648</v>
      </c>
      <c r="D696" s="26"/>
      <c r="E696" s="8">
        <f>-'Neraca '!L952</f>
        <v>0</v>
      </c>
      <c r="F696" s="30"/>
      <c r="G696" s="645">
        <v>0</v>
      </c>
      <c r="H696" s="19"/>
      <c r="I696" s="148"/>
    </row>
    <row r="697" spans="1:9" x14ac:dyDescent="0.25">
      <c r="A697" s="18"/>
      <c r="B697" s="26"/>
      <c r="C697" s="26" t="s">
        <v>97</v>
      </c>
      <c r="D697" s="26"/>
      <c r="F697" s="30"/>
      <c r="G697" s="44"/>
      <c r="H697" s="19"/>
      <c r="I697" s="148"/>
    </row>
    <row r="698" spans="1:9" x14ac:dyDescent="0.25">
      <c r="A698" s="18"/>
      <c r="B698" s="26"/>
      <c r="C698" s="26" t="s">
        <v>647</v>
      </c>
      <c r="D698" s="26"/>
      <c r="E698" s="8">
        <f>-'Neraca '!L951</f>
        <v>0</v>
      </c>
      <c r="F698" s="30"/>
      <c r="G698" s="44">
        <v>0</v>
      </c>
      <c r="H698" s="19"/>
      <c r="I698" s="148"/>
    </row>
    <row r="699" spans="1:9" x14ac:dyDescent="0.25">
      <c r="A699" s="18"/>
      <c r="B699" s="26"/>
      <c r="C699" s="26" t="s">
        <v>290</v>
      </c>
      <c r="D699" s="26"/>
      <c r="E699" s="8"/>
      <c r="F699" s="30"/>
      <c r="G699" s="96"/>
      <c r="H699" s="19"/>
      <c r="I699" s="148"/>
    </row>
    <row r="700" spans="1:9" x14ac:dyDescent="0.25">
      <c r="A700" s="18"/>
      <c r="B700" s="26"/>
      <c r="C700" s="26" t="s">
        <v>96</v>
      </c>
      <c r="D700" s="26"/>
      <c r="E700" s="8"/>
      <c r="F700" s="30"/>
      <c r="G700" s="8"/>
      <c r="H700" s="19"/>
      <c r="I700" s="148"/>
    </row>
    <row r="701" spans="1:9" x14ac:dyDescent="0.25">
      <c r="A701" s="18"/>
      <c r="B701" s="26"/>
      <c r="C701" s="26" t="s">
        <v>95</v>
      </c>
      <c r="D701" s="26"/>
      <c r="F701" s="30"/>
      <c r="H701" s="19"/>
      <c r="I701" s="148"/>
    </row>
    <row r="702" spans="1:9" x14ac:dyDescent="0.25">
      <c r="A702" s="18"/>
      <c r="B702" s="26"/>
      <c r="C702" s="26" t="s">
        <v>94</v>
      </c>
      <c r="D702" s="26"/>
      <c r="F702" s="30"/>
      <c r="H702" s="19"/>
      <c r="I702" s="148"/>
    </row>
    <row r="703" spans="1:9" x14ac:dyDescent="0.25">
      <c r="A703" s="18"/>
      <c r="B703" s="26"/>
      <c r="C703" s="26" t="s">
        <v>93</v>
      </c>
      <c r="D703" s="26"/>
      <c r="F703" s="30"/>
      <c r="H703" s="19"/>
      <c r="I703" s="148"/>
    </row>
    <row r="704" spans="1:9" x14ac:dyDescent="0.25">
      <c r="A704" s="18"/>
      <c r="B704" s="26"/>
      <c r="C704" s="26" t="s">
        <v>92</v>
      </c>
      <c r="D704" s="26"/>
      <c r="F704" s="30"/>
      <c r="H704" s="19"/>
      <c r="I704" s="148"/>
    </row>
    <row r="705" spans="1:9" x14ac:dyDescent="0.25">
      <c r="A705" s="18"/>
      <c r="B705" s="26"/>
      <c r="C705" s="35" t="s">
        <v>18</v>
      </c>
      <c r="D705" s="35"/>
      <c r="E705" s="34">
        <f>SUM(E691:E704)</f>
        <v>0</v>
      </c>
      <c r="F705" s="36"/>
      <c r="G705" s="34">
        <f>SUM(G691:G704)</f>
        <v>0</v>
      </c>
      <c r="H705" s="19"/>
      <c r="I705" s="148"/>
    </row>
    <row r="706" spans="1:9" x14ac:dyDescent="0.25">
      <c r="A706" s="18"/>
      <c r="B706" s="29" t="s">
        <v>19</v>
      </c>
      <c r="C706" s="26"/>
      <c r="D706" s="26"/>
      <c r="F706" s="30"/>
      <c r="H706" s="19"/>
      <c r="I706" s="148"/>
    </row>
    <row r="707" spans="1:9" x14ac:dyDescent="0.25">
      <c r="A707" s="18"/>
      <c r="B707" s="26"/>
      <c r="C707" s="26" t="s">
        <v>91</v>
      </c>
      <c r="D707" s="26"/>
      <c r="E707" s="8">
        <f>'Neraca '!L933+'Neraca '!L937</f>
        <v>0</v>
      </c>
      <c r="F707" s="30"/>
      <c r="G707" s="8">
        <v>0</v>
      </c>
      <c r="H707" s="19"/>
      <c r="I707" s="148"/>
    </row>
    <row r="708" spans="1:9" x14ac:dyDescent="0.25">
      <c r="A708" s="18"/>
      <c r="B708" s="26"/>
      <c r="C708" s="26" t="s">
        <v>90</v>
      </c>
      <c r="D708" s="26"/>
      <c r="F708" s="30"/>
      <c r="G708" s="111"/>
      <c r="H708" s="19"/>
      <c r="I708" s="148"/>
    </row>
    <row r="709" spans="1:9" x14ac:dyDescent="0.25">
      <c r="A709" s="18"/>
      <c r="B709" s="26"/>
      <c r="C709" s="26" t="s">
        <v>301</v>
      </c>
      <c r="D709" s="26"/>
      <c r="E709" s="8">
        <f>'Neraca '!L718</f>
        <v>0</v>
      </c>
      <c r="F709" s="30"/>
      <c r="H709" s="19"/>
      <c r="I709" s="148"/>
    </row>
    <row r="710" spans="1:9" x14ac:dyDescent="0.25">
      <c r="A710" s="18"/>
      <c r="B710" s="26"/>
      <c r="C710" s="35" t="s">
        <v>89</v>
      </c>
      <c r="D710" s="31"/>
      <c r="E710" s="37">
        <f>SUM(E707:E709)</f>
        <v>0</v>
      </c>
      <c r="F710" s="36"/>
      <c r="G710" s="37">
        <f>SUM(G707:G709)</f>
        <v>0</v>
      </c>
      <c r="H710" s="19"/>
      <c r="I710" s="148"/>
    </row>
    <row r="711" spans="1:9" x14ac:dyDescent="0.25">
      <c r="A711" s="18"/>
      <c r="B711" s="29" t="s">
        <v>20</v>
      </c>
      <c r="C711" s="26"/>
      <c r="D711" s="26"/>
      <c r="F711" s="30"/>
      <c r="G711" s="96"/>
      <c r="H711" s="19"/>
      <c r="I711" s="148"/>
    </row>
    <row r="712" spans="1:9" x14ac:dyDescent="0.25">
      <c r="A712" s="18"/>
      <c r="B712" s="29"/>
      <c r="C712" s="26" t="s">
        <v>267</v>
      </c>
      <c r="D712" s="26"/>
      <c r="F712" s="30"/>
      <c r="G712" s="96"/>
      <c r="H712" s="19"/>
      <c r="I712" s="148"/>
    </row>
    <row r="713" spans="1:9" x14ac:dyDescent="0.25">
      <c r="A713" s="18"/>
      <c r="B713" s="26"/>
      <c r="C713" s="26" t="s">
        <v>292</v>
      </c>
      <c r="D713" s="26"/>
      <c r="E713" s="8"/>
      <c r="F713" s="30"/>
      <c r="G713" s="96"/>
      <c r="H713" s="21"/>
      <c r="I713" s="148"/>
    </row>
    <row r="714" spans="1:9" x14ac:dyDescent="0.25">
      <c r="A714" s="18"/>
      <c r="B714" s="26"/>
      <c r="C714" s="26" t="s">
        <v>282</v>
      </c>
      <c r="D714" s="26"/>
      <c r="E714" s="8"/>
      <c r="F714" s="30"/>
      <c r="G714" s="96"/>
      <c r="H714" s="19"/>
      <c r="I714" s="148"/>
    </row>
    <row r="715" spans="1:9" x14ac:dyDescent="0.25">
      <c r="A715" s="18"/>
      <c r="B715" s="26"/>
      <c r="C715" s="35" t="s">
        <v>21</v>
      </c>
      <c r="D715" s="26"/>
      <c r="E715" s="42">
        <f>SUM(E713:E714)</f>
        <v>0</v>
      </c>
      <c r="F715" s="38"/>
      <c r="G715" s="42">
        <f>SUM(G712:G714)</f>
        <v>0</v>
      </c>
      <c r="H715" s="19"/>
      <c r="I715" s="148"/>
    </row>
    <row r="716" spans="1:9" x14ac:dyDescent="0.25">
      <c r="A716" s="18"/>
      <c r="B716" s="26"/>
      <c r="C716" s="29"/>
      <c r="D716" s="26"/>
      <c r="F716" s="30"/>
      <c r="H716" s="19"/>
      <c r="I716" s="148"/>
    </row>
    <row r="717" spans="1:9" x14ac:dyDescent="0.25">
      <c r="A717" s="18"/>
      <c r="B717" s="29" t="s">
        <v>88</v>
      </c>
      <c r="C717" s="26"/>
      <c r="D717" s="26"/>
      <c r="E717" s="38">
        <f>E705+E710+E715</f>
        <v>0</v>
      </c>
      <c r="F717" s="38"/>
      <c r="G717" s="38">
        <f>G705+G710+G715</f>
        <v>0</v>
      </c>
      <c r="H717" s="17"/>
      <c r="I717" s="148"/>
    </row>
    <row r="718" spans="1:9" x14ac:dyDescent="0.25">
      <c r="A718" s="18"/>
      <c r="B718" s="29" t="s">
        <v>87</v>
      </c>
      <c r="C718" s="26"/>
      <c r="D718" s="26"/>
      <c r="E718" s="38">
        <f>G719</f>
        <v>0</v>
      </c>
      <c r="F718" s="38"/>
      <c r="G718" s="38">
        <v>0</v>
      </c>
      <c r="H718" s="17"/>
      <c r="I718" s="148"/>
    </row>
    <row r="719" spans="1:9" ht="15.75" thickBot="1" x14ac:dyDescent="0.3">
      <c r="A719" s="16"/>
      <c r="B719" s="39" t="s">
        <v>86</v>
      </c>
      <c r="C719" s="40"/>
      <c r="D719" s="40"/>
      <c r="E719" s="41">
        <f>SUM(E717:E718)</f>
        <v>0</v>
      </c>
      <c r="F719" s="41"/>
      <c r="G719" s="41">
        <f>SUM(G717:G718)</f>
        <v>0</v>
      </c>
      <c r="H719" s="15"/>
    </row>
    <row r="720" spans="1:9" ht="24.75" customHeight="1" x14ac:dyDescent="0.3">
      <c r="A720" s="2"/>
      <c r="B720" s="2"/>
      <c r="C720" s="3"/>
      <c r="D720" s="3"/>
      <c r="E720" s="102">
        <f>'Neraca '!H922</f>
        <v>0</v>
      </c>
      <c r="F720" s="103"/>
      <c r="G720" s="146">
        <f>'Neraca '!J922</f>
        <v>0</v>
      </c>
      <c r="H720" s="4"/>
      <c r="I720" s="43">
        <f>E720-E719</f>
        <v>0</v>
      </c>
    </row>
    <row r="721" spans="1:9" x14ac:dyDescent="0.25">
      <c r="A721" s="739" t="s">
        <v>580</v>
      </c>
      <c r="B721" s="739"/>
      <c r="C721" s="739"/>
      <c r="E721" s="697" t="s">
        <v>566</v>
      </c>
      <c r="F721" s="697"/>
      <c r="G721" s="697"/>
      <c r="H721" s="697"/>
      <c r="I721" s="43">
        <f>G720-G719</f>
        <v>0</v>
      </c>
    </row>
    <row r="722" spans="1:9" x14ac:dyDescent="0.25">
      <c r="A722" s="697" t="s">
        <v>678</v>
      </c>
      <c r="B722" s="697"/>
      <c r="C722" s="697"/>
      <c r="D722" s="124"/>
      <c r="E722" s="697" t="s">
        <v>680</v>
      </c>
      <c r="F722" s="697"/>
      <c r="G722" s="697"/>
      <c r="H722" s="697"/>
    </row>
    <row r="723" spans="1:9" x14ac:dyDescent="0.25">
      <c r="A723" s="172"/>
      <c r="B723" s="6"/>
      <c r="C723" s="173"/>
      <c r="D723" s="697"/>
      <c r="E723" s="697"/>
      <c r="F723" s="697"/>
      <c r="G723" s="697"/>
      <c r="H723" s="697"/>
    </row>
    <row r="724" spans="1:9" x14ac:dyDescent="0.25">
      <c r="A724" s="174"/>
      <c r="B724" s="6"/>
      <c r="C724" s="173"/>
      <c r="D724" s="697"/>
      <c r="E724" s="697"/>
      <c r="F724" s="697"/>
      <c r="G724" s="697"/>
      <c r="H724" s="697"/>
    </row>
    <row r="725" spans="1:9" ht="15" customHeight="1" x14ac:dyDescent="0.25">
      <c r="A725" s="740" t="s">
        <v>1038</v>
      </c>
      <c r="B725" s="740"/>
      <c r="C725" s="740"/>
      <c r="E725" s="697" t="s">
        <v>567</v>
      </c>
      <c r="F725" s="697"/>
      <c r="G725" s="697"/>
      <c r="H725" s="697"/>
    </row>
    <row r="726" spans="1:9" ht="15.75" x14ac:dyDescent="0.3">
      <c r="A726" s="3"/>
      <c r="B726" s="10"/>
      <c r="C726" s="1"/>
      <c r="D726" s="1"/>
      <c r="E726" s="13"/>
      <c r="F726" s="13"/>
      <c r="G726" s="105"/>
      <c r="H726" s="10"/>
    </row>
    <row r="727" spans="1:9" x14ac:dyDescent="0.25">
      <c r="A727" s="2"/>
      <c r="B727" s="10"/>
      <c r="C727" s="1"/>
      <c r="D727" s="1"/>
      <c r="E727" s="13"/>
      <c r="F727" s="13"/>
      <c r="G727" s="104"/>
      <c r="H727" s="10"/>
    </row>
    <row r="728" spans="1:9" x14ac:dyDescent="0.25">
      <c r="A728" s="2"/>
      <c r="B728" s="10"/>
      <c r="C728" s="1"/>
      <c r="D728" s="1"/>
      <c r="E728" s="13"/>
      <c r="F728" s="13"/>
      <c r="G728" s="13"/>
      <c r="H728" s="10"/>
    </row>
    <row r="729" spans="1:9" x14ac:dyDescent="0.25">
      <c r="A729" s="2"/>
      <c r="B729" s="10"/>
      <c r="C729" s="1"/>
      <c r="D729" s="1"/>
      <c r="E729" s="13"/>
      <c r="F729" s="13"/>
      <c r="G729" s="104"/>
      <c r="H729" s="10"/>
    </row>
    <row r="730" spans="1:9" x14ac:dyDescent="0.25">
      <c r="A730" s="2"/>
      <c r="B730" s="10"/>
      <c r="C730" s="1"/>
      <c r="D730" s="1"/>
      <c r="E730" s="13"/>
      <c r="F730" s="13"/>
      <c r="G730" s="109"/>
      <c r="H730" s="10"/>
    </row>
    <row r="731" spans="1:9" x14ac:dyDescent="0.25">
      <c r="A731" s="2"/>
      <c r="B731" s="10"/>
      <c r="C731" s="1"/>
      <c r="D731" s="1"/>
      <c r="E731" s="13"/>
      <c r="F731" s="13"/>
      <c r="G731" s="110"/>
      <c r="H731" s="10"/>
    </row>
  </sheetData>
  <mergeCells count="157">
    <mergeCell ref="A1:B1"/>
    <mergeCell ref="A3:H3"/>
    <mergeCell ref="E173:H173"/>
    <mergeCell ref="E107:H107"/>
    <mergeCell ref="E110:H110"/>
    <mergeCell ref="A128:H128"/>
    <mergeCell ref="A129:H129"/>
    <mergeCell ref="B178:H178"/>
    <mergeCell ref="D172:H172"/>
    <mergeCell ref="A173:C173"/>
    <mergeCell ref="B68:C69"/>
    <mergeCell ref="A106:C106"/>
    <mergeCell ref="E106:H106"/>
    <mergeCell ref="A4:H4"/>
    <mergeCell ref="A5:H5"/>
    <mergeCell ref="B7:C8"/>
    <mergeCell ref="A65:H65"/>
    <mergeCell ref="A66:H66"/>
    <mergeCell ref="A46:C46"/>
    <mergeCell ref="A47:C47"/>
    <mergeCell ref="D48:H48"/>
    <mergeCell ref="D49:H49"/>
    <mergeCell ref="B52:H52"/>
    <mergeCell ref="B53:H53"/>
    <mergeCell ref="B175:H175"/>
    <mergeCell ref="B176:H176"/>
    <mergeCell ref="A107:C107"/>
    <mergeCell ref="D108:H108"/>
    <mergeCell ref="D109:H109"/>
    <mergeCell ref="A190:H190"/>
    <mergeCell ref="A191:H191"/>
    <mergeCell ref="B193:C194"/>
    <mergeCell ref="B131:C132"/>
    <mergeCell ref="A170:C170"/>
    <mergeCell ref="D171:H171"/>
    <mergeCell ref="B114:H114"/>
    <mergeCell ref="B115:H115"/>
    <mergeCell ref="A110:C110"/>
    <mergeCell ref="B112:H112"/>
    <mergeCell ref="B113:H113"/>
    <mergeCell ref="A169:C169"/>
    <mergeCell ref="E169:H169"/>
    <mergeCell ref="E170:H170"/>
    <mergeCell ref="E46:H46"/>
    <mergeCell ref="E47:H47"/>
    <mergeCell ref="A50:C50"/>
    <mergeCell ref="E50:H50"/>
    <mergeCell ref="B54:H54"/>
    <mergeCell ref="B55:H55"/>
    <mergeCell ref="B497:C498"/>
    <mergeCell ref="A474:C474"/>
    <mergeCell ref="E474:H474"/>
    <mergeCell ref="A475:C475"/>
    <mergeCell ref="E475:H475"/>
    <mergeCell ref="D476:H476"/>
    <mergeCell ref="D477:H477"/>
    <mergeCell ref="A478:C478"/>
    <mergeCell ref="E478:H478"/>
    <mergeCell ref="A494:H494"/>
    <mergeCell ref="A434:H434"/>
    <mergeCell ref="B436:C437"/>
    <mergeCell ref="A495:H495"/>
    <mergeCell ref="B177:H177"/>
    <mergeCell ref="D294:H294"/>
    <mergeCell ref="A295:C295"/>
    <mergeCell ref="A250:H250"/>
    <mergeCell ref="A251:H251"/>
    <mergeCell ref="A353:C353"/>
    <mergeCell ref="D354:H354"/>
    <mergeCell ref="D355:H355"/>
    <mergeCell ref="A356:C356"/>
    <mergeCell ref="B358:H358"/>
    <mergeCell ref="B359:H359"/>
    <mergeCell ref="A352:C352"/>
    <mergeCell ref="E352:H352"/>
    <mergeCell ref="A291:C291"/>
    <mergeCell ref="B298:H298"/>
    <mergeCell ref="A292:C292"/>
    <mergeCell ref="A231:C231"/>
    <mergeCell ref="E291:H291"/>
    <mergeCell ref="E231:H231"/>
    <mergeCell ref="B299:H299"/>
    <mergeCell ref="A311:H311"/>
    <mergeCell ref="A312:H312"/>
    <mergeCell ref="D293:H293"/>
    <mergeCell ref="B314:C315"/>
    <mergeCell ref="E295:H295"/>
    <mergeCell ref="E232:H232"/>
    <mergeCell ref="E235:H235"/>
    <mergeCell ref="D233:H233"/>
    <mergeCell ref="B237:H237"/>
    <mergeCell ref="B238:H238"/>
    <mergeCell ref="B239:H239"/>
    <mergeCell ref="B300:H300"/>
    <mergeCell ref="B253:C254"/>
    <mergeCell ref="B297:H297"/>
    <mergeCell ref="E292:H292"/>
    <mergeCell ref="B240:H240"/>
    <mergeCell ref="D234:H234"/>
    <mergeCell ref="A235:C235"/>
    <mergeCell ref="B360:H360"/>
    <mergeCell ref="B361:H361"/>
    <mergeCell ref="E353:H353"/>
    <mergeCell ref="E356:H356"/>
    <mergeCell ref="A539:C539"/>
    <mergeCell ref="E539:H539"/>
    <mergeCell ref="D415:H415"/>
    <mergeCell ref="D416:H416"/>
    <mergeCell ref="A372:H372"/>
    <mergeCell ref="A413:C413"/>
    <mergeCell ref="A414:C414"/>
    <mergeCell ref="A417:C417"/>
    <mergeCell ref="E413:H413"/>
    <mergeCell ref="E414:H414"/>
    <mergeCell ref="E417:H417"/>
    <mergeCell ref="A373:H373"/>
    <mergeCell ref="B375:C376"/>
    <mergeCell ref="A535:C535"/>
    <mergeCell ref="E535:H535"/>
    <mergeCell ref="A536:C536"/>
    <mergeCell ref="E536:H536"/>
    <mergeCell ref="D537:H537"/>
    <mergeCell ref="D538:H538"/>
    <mergeCell ref="A433:H433"/>
    <mergeCell ref="A601:C601"/>
    <mergeCell ref="E601:H601"/>
    <mergeCell ref="A556:H556"/>
    <mergeCell ref="A557:H557"/>
    <mergeCell ref="B559:C560"/>
    <mergeCell ref="A597:C597"/>
    <mergeCell ref="E597:H597"/>
    <mergeCell ref="A598:C598"/>
    <mergeCell ref="E598:H598"/>
    <mergeCell ref="D599:H599"/>
    <mergeCell ref="D600:H600"/>
    <mergeCell ref="A721:C721"/>
    <mergeCell ref="E721:H721"/>
    <mergeCell ref="A722:C722"/>
    <mergeCell ref="E722:H722"/>
    <mergeCell ref="D723:H723"/>
    <mergeCell ref="D724:H724"/>
    <mergeCell ref="A725:C725"/>
    <mergeCell ref="E725:H725"/>
    <mergeCell ref="A618:H618"/>
    <mergeCell ref="B621:C622"/>
    <mergeCell ref="A659:C659"/>
    <mergeCell ref="E659:H659"/>
    <mergeCell ref="A660:C660"/>
    <mergeCell ref="E660:H660"/>
    <mergeCell ref="D661:H661"/>
    <mergeCell ref="D662:H662"/>
    <mergeCell ref="A663:C663"/>
    <mergeCell ref="E663:H663"/>
    <mergeCell ref="A680:H680"/>
    <mergeCell ref="A681:H681"/>
    <mergeCell ref="B683:C684"/>
    <mergeCell ref="A619:H619"/>
  </mergeCells>
  <pageMargins left="0.91" right="0.7" top="0.56999999999999995" bottom="0.75" header="0.3" footer="0.3"/>
  <pageSetup paperSize="5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547D-CDD1-4D90-AC13-1331F44FFC03}">
  <sheetPr>
    <tabColor rgb="FFFFFF00"/>
  </sheetPr>
  <dimension ref="A1:N919"/>
  <sheetViews>
    <sheetView showWhiteSpace="0" view="pageLayout" zoomScaleNormal="100" workbookViewId="0">
      <selection activeCell="G167" sqref="G167"/>
    </sheetView>
  </sheetViews>
  <sheetFormatPr defaultColWidth="9.140625" defaultRowHeight="14.25" x14ac:dyDescent="0.2"/>
  <cols>
    <col min="1" max="1" width="1" style="112" customWidth="1"/>
    <col min="2" max="2" width="2.28515625" style="112" customWidth="1"/>
    <col min="3" max="3" width="2.7109375" style="112" customWidth="1"/>
    <col min="4" max="4" width="1.85546875" style="112" customWidth="1"/>
    <col min="5" max="5" width="40.42578125" style="112" customWidth="1"/>
    <col min="6" max="6" width="1" style="112" customWidth="1"/>
    <col min="7" max="7" width="17.5703125" style="124" customWidth="1"/>
    <col min="8" max="8" width="1" style="124" customWidth="1"/>
    <col min="9" max="9" width="17.5703125" style="124" customWidth="1"/>
    <col min="10" max="10" width="9.140625" style="112" hidden="1" customWidth="1"/>
    <col min="11" max="11" width="1" style="112" customWidth="1"/>
    <col min="12" max="12" width="21.28515625" style="592" customWidth="1"/>
    <col min="13" max="13" width="18.42578125" style="112" customWidth="1"/>
    <col min="14" max="14" width="9.140625" style="112" customWidth="1"/>
    <col min="15" max="16384" width="9.140625" style="112"/>
  </cols>
  <sheetData>
    <row r="1" spans="1:11" x14ac:dyDescent="0.2">
      <c r="A1" s="728" t="s">
        <v>890</v>
      </c>
      <c r="B1" s="728"/>
      <c r="C1" s="590" t="s">
        <v>891</v>
      </c>
      <c r="D1" s="124"/>
      <c r="E1" s="124"/>
      <c r="F1" s="124"/>
    </row>
    <row r="2" spans="1:11" x14ac:dyDescent="0.2">
      <c r="B2" s="124"/>
      <c r="C2" s="124"/>
      <c r="D2" s="124"/>
      <c r="E2" s="124"/>
      <c r="F2" s="124"/>
    </row>
    <row r="3" spans="1:11" ht="15" x14ac:dyDescent="0.25">
      <c r="A3" s="141"/>
      <c r="B3" s="762"/>
      <c r="C3" s="762"/>
      <c r="D3" s="762"/>
      <c r="E3" s="762"/>
      <c r="F3" s="762"/>
      <c r="G3" s="762"/>
      <c r="H3" s="762"/>
      <c r="I3" s="762"/>
      <c r="J3" s="591"/>
      <c r="K3" s="591"/>
    </row>
    <row r="4" spans="1:11" ht="15" x14ac:dyDescent="0.25">
      <c r="A4" s="125"/>
      <c r="B4" s="696" t="s">
        <v>650</v>
      </c>
      <c r="C4" s="696"/>
      <c r="D4" s="696"/>
      <c r="E4" s="696"/>
      <c r="F4" s="696"/>
      <c r="G4" s="696"/>
      <c r="H4" s="696"/>
      <c r="I4" s="696"/>
      <c r="J4" s="136"/>
      <c r="K4" s="136"/>
    </row>
    <row r="5" spans="1:11" ht="15" x14ac:dyDescent="0.25">
      <c r="A5" s="125"/>
      <c r="B5" s="696" t="s">
        <v>891</v>
      </c>
      <c r="C5" s="696"/>
      <c r="D5" s="696"/>
      <c r="E5" s="696"/>
      <c r="F5" s="696"/>
      <c r="G5" s="696"/>
      <c r="H5" s="696"/>
      <c r="I5" s="696"/>
      <c r="J5" s="136"/>
      <c r="K5" s="136"/>
    </row>
    <row r="6" spans="1:11" ht="15" x14ac:dyDescent="0.25">
      <c r="A6" s="125"/>
      <c r="B6" s="742" t="s">
        <v>892</v>
      </c>
      <c r="C6" s="742"/>
      <c r="D6" s="742"/>
      <c r="E6" s="742"/>
      <c r="F6" s="742"/>
      <c r="G6" s="742"/>
      <c r="H6" s="742"/>
      <c r="I6" s="742"/>
      <c r="J6" s="136"/>
      <c r="K6" s="136"/>
    </row>
    <row r="7" spans="1:11" x14ac:dyDescent="0.2">
      <c r="A7" s="125"/>
      <c r="B7" s="124"/>
      <c r="C7" s="124"/>
      <c r="D7" s="124"/>
      <c r="E7" s="124"/>
      <c r="F7" s="124"/>
      <c r="J7" s="136"/>
      <c r="K7" s="136"/>
    </row>
    <row r="8" spans="1:11" x14ac:dyDescent="0.2">
      <c r="A8" s="125"/>
      <c r="B8" s="755" t="s">
        <v>30</v>
      </c>
      <c r="C8" s="756"/>
      <c r="D8" s="756"/>
      <c r="E8" s="757"/>
      <c r="F8" s="127"/>
      <c r="G8" s="201" t="s">
        <v>934</v>
      </c>
      <c r="H8" s="127"/>
      <c r="I8" s="201" t="s">
        <v>934</v>
      </c>
      <c r="J8" s="136"/>
      <c r="K8" s="136"/>
    </row>
    <row r="9" spans="1:11" x14ac:dyDescent="0.2">
      <c r="A9" s="125"/>
      <c r="B9" s="758"/>
      <c r="C9" s="759"/>
      <c r="D9" s="759"/>
      <c r="E9" s="760"/>
      <c r="F9" s="127"/>
      <c r="G9" s="202">
        <v>2025</v>
      </c>
      <c r="H9" s="127"/>
      <c r="I9" s="202">
        <v>2024</v>
      </c>
      <c r="J9" s="136"/>
      <c r="K9" s="136"/>
    </row>
    <row r="10" spans="1:11" x14ac:dyDescent="0.2">
      <c r="A10" s="125"/>
      <c r="B10" s="203" t="s">
        <v>893</v>
      </c>
      <c r="C10" s="203" t="s">
        <v>906</v>
      </c>
      <c r="D10" s="203"/>
      <c r="E10" s="124"/>
      <c r="F10" s="124"/>
      <c r="G10" s="204"/>
      <c r="H10" s="204"/>
      <c r="I10" s="204"/>
      <c r="J10" s="136"/>
      <c r="K10" s="136"/>
    </row>
    <row r="11" spans="1:11" x14ac:dyDescent="0.2">
      <c r="A11" s="125"/>
      <c r="B11" s="6"/>
      <c r="C11" s="128" t="s">
        <v>894</v>
      </c>
      <c r="D11" s="124"/>
      <c r="E11" s="124"/>
      <c r="F11" s="124"/>
      <c r="G11" s="204"/>
      <c r="H11" s="204"/>
      <c r="I11" s="210"/>
      <c r="J11" s="136"/>
      <c r="K11" s="136"/>
    </row>
    <row r="12" spans="1:11" x14ac:dyDescent="0.2">
      <c r="A12" s="125"/>
      <c r="B12" s="6"/>
      <c r="C12" s="124"/>
      <c r="D12" s="124">
        <v>1</v>
      </c>
      <c r="E12" s="124" t="s">
        <v>895</v>
      </c>
      <c r="F12" s="124"/>
      <c r="G12" s="204">
        <f>I875</f>
        <v>0</v>
      </c>
      <c r="H12" s="204"/>
      <c r="I12" s="210">
        <v>6000650100</v>
      </c>
      <c r="J12" s="136"/>
      <c r="K12" s="136"/>
    </row>
    <row r="13" spans="1:11" x14ac:dyDescent="0.2">
      <c r="A13" s="125"/>
      <c r="B13" s="6"/>
      <c r="C13" s="124"/>
      <c r="D13" s="124">
        <v>2</v>
      </c>
      <c r="E13" s="124" t="s">
        <v>896</v>
      </c>
      <c r="F13" s="124"/>
      <c r="G13" s="204">
        <f t="shared" ref="G13:G16" si="0">I876</f>
        <v>0</v>
      </c>
      <c r="H13" s="204"/>
      <c r="I13" s="210">
        <v>386252632</v>
      </c>
      <c r="J13" s="136"/>
      <c r="K13" s="136"/>
    </row>
    <row r="14" spans="1:11" x14ac:dyDescent="0.2">
      <c r="A14" s="125"/>
      <c r="B14" s="6"/>
      <c r="C14" s="124"/>
      <c r="D14" s="124">
        <v>3</v>
      </c>
      <c r="E14" s="124" t="s">
        <v>897</v>
      </c>
      <c r="F14" s="124"/>
      <c r="G14" s="204">
        <f t="shared" si="0"/>
        <v>0</v>
      </c>
      <c r="H14" s="204"/>
      <c r="I14" s="210">
        <v>2041490791</v>
      </c>
      <c r="J14" s="136"/>
      <c r="K14" s="136"/>
    </row>
    <row r="15" spans="1:11" x14ac:dyDescent="0.2">
      <c r="A15" s="125"/>
      <c r="B15" s="6"/>
      <c r="C15" s="124"/>
      <c r="D15" s="124">
        <v>4</v>
      </c>
      <c r="E15" s="124" t="s">
        <v>902</v>
      </c>
      <c r="F15" s="124"/>
      <c r="G15" s="204">
        <f t="shared" si="0"/>
        <v>0</v>
      </c>
      <c r="H15" s="204"/>
      <c r="I15" s="210"/>
      <c r="J15" s="136"/>
      <c r="K15" s="136"/>
    </row>
    <row r="16" spans="1:11" x14ac:dyDescent="0.2">
      <c r="A16" s="125"/>
      <c r="B16" s="6"/>
      <c r="C16" s="124"/>
      <c r="D16" s="124">
        <v>5</v>
      </c>
      <c r="E16" s="124" t="s">
        <v>898</v>
      </c>
      <c r="F16" s="124"/>
      <c r="G16" s="204">
        <f t="shared" si="0"/>
        <v>0</v>
      </c>
      <c r="H16" s="204"/>
      <c r="I16" s="210"/>
      <c r="J16" s="136"/>
      <c r="K16" s="136"/>
    </row>
    <row r="17" spans="1:13" x14ac:dyDescent="0.2">
      <c r="A17" s="125"/>
      <c r="B17" s="6"/>
      <c r="C17" s="124"/>
      <c r="D17" s="124"/>
      <c r="E17" s="124"/>
      <c r="F17" s="124"/>
      <c r="G17" s="204"/>
      <c r="H17" s="204"/>
      <c r="I17" s="210"/>
      <c r="J17" s="136"/>
      <c r="K17" s="136"/>
    </row>
    <row r="18" spans="1:13" x14ac:dyDescent="0.2">
      <c r="A18" s="125"/>
      <c r="B18" s="6"/>
      <c r="C18" s="128"/>
      <c r="D18" s="128" t="s">
        <v>55</v>
      </c>
      <c r="E18" s="128"/>
      <c r="F18" s="124"/>
      <c r="G18" s="205">
        <f>SUM(G12:G16)</f>
        <v>0</v>
      </c>
      <c r="H18" s="204"/>
      <c r="I18" s="488">
        <f>SUM(I12:I16)</f>
        <v>8428393523</v>
      </c>
      <c r="J18" s="136"/>
      <c r="K18" s="136"/>
    </row>
    <row r="19" spans="1:13" x14ac:dyDescent="0.2">
      <c r="A19" s="125"/>
      <c r="B19" s="6"/>
      <c r="C19" s="128"/>
      <c r="D19" s="128"/>
      <c r="E19" s="128"/>
      <c r="F19" s="124"/>
      <c r="G19" s="149"/>
      <c r="H19" s="204"/>
      <c r="I19" s="433"/>
      <c r="J19" s="136"/>
      <c r="K19" s="136"/>
    </row>
    <row r="20" spans="1:13" x14ac:dyDescent="0.2">
      <c r="A20" s="125"/>
      <c r="B20" s="6"/>
      <c r="C20" s="128" t="s">
        <v>899</v>
      </c>
      <c r="D20" s="124"/>
      <c r="E20" s="124"/>
      <c r="F20" s="124"/>
      <c r="G20" s="204"/>
      <c r="H20" s="204"/>
      <c r="I20" s="210"/>
      <c r="J20" s="136"/>
      <c r="K20" s="136"/>
      <c r="L20" s="603">
        <f>[3]JU!$E$1021</f>
        <v>1204164</v>
      </c>
    </row>
    <row r="21" spans="1:13" x14ac:dyDescent="0.2">
      <c r="A21" s="125"/>
      <c r="B21" s="6"/>
      <c r="C21" s="124"/>
      <c r="D21" s="124">
        <v>1</v>
      </c>
      <c r="E21" s="206" t="s">
        <v>328</v>
      </c>
      <c r="F21" s="124"/>
      <c r="G21" s="204">
        <f>I884</f>
        <v>0</v>
      </c>
      <c r="H21" s="204"/>
      <c r="I21" s="597">
        <f>1111320581-1204164</f>
        <v>1110116417</v>
      </c>
      <c r="J21" s="136"/>
      <c r="K21" s="136"/>
      <c r="L21" s="592" t="s">
        <v>944</v>
      </c>
    </row>
    <row r="22" spans="1:13" x14ac:dyDescent="0.2">
      <c r="A22" s="125"/>
      <c r="B22" s="6"/>
      <c r="C22" s="124"/>
      <c r="D22" s="124">
        <v>2</v>
      </c>
      <c r="E22" s="206" t="s">
        <v>329</v>
      </c>
      <c r="F22" s="124"/>
      <c r="G22" s="204">
        <f t="shared" ref="G22:G27" si="1">I885</f>
        <v>0</v>
      </c>
      <c r="H22" s="204"/>
      <c r="I22" s="597">
        <f>1595983560</f>
        <v>1595983560</v>
      </c>
      <c r="J22" s="136"/>
      <c r="K22" s="136"/>
    </row>
    <row r="23" spans="1:13" x14ac:dyDescent="0.2">
      <c r="A23" s="125"/>
      <c r="B23" s="6"/>
      <c r="C23" s="124"/>
      <c r="D23" s="124">
        <v>3</v>
      </c>
      <c r="E23" s="206" t="s">
        <v>900</v>
      </c>
      <c r="F23" s="134"/>
      <c r="G23" s="204">
        <f t="shared" si="1"/>
        <v>1200000</v>
      </c>
      <c r="H23" s="204"/>
      <c r="I23" s="597">
        <f>791611737</f>
        <v>791611737</v>
      </c>
      <c r="J23" s="136"/>
      <c r="K23" s="136"/>
    </row>
    <row r="24" spans="1:13" x14ac:dyDescent="0.2">
      <c r="A24" s="125"/>
      <c r="B24" s="6"/>
      <c r="C24" s="124"/>
      <c r="D24" s="124">
        <v>4</v>
      </c>
      <c r="E24" s="206" t="s">
        <v>901</v>
      </c>
      <c r="F24" s="124"/>
      <c r="G24" s="204">
        <f t="shared" si="1"/>
        <v>0</v>
      </c>
      <c r="H24" s="204"/>
      <c r="I24" s="597">
        <f>8414279225-(I21+I22+I23+I34+I25+I27)</f>
        <v>4086728863</v>
      </c>
      <c r="J24" s="136"/>
      <c r="K24" s="136"/>
      <c r="L24" s="592" t="s">
        <v>936</v>
      </c>
    </row>
    <row r="25" spans="1:13" x14ac:dyDescent="0.2">
      <c r="A25" s="125"/>
      <c r="B25" s="6"/>
      <c r="C25" s="124"/>
      <c r="D25" s="124">
        <v>5</v>
      </c>
      <c r="E25" s="206" t="s">
        <v>887</v>
      </c>
      <c r="F25" s="134"/>
      <c r="G25" s="204">
        <f t="shared" si="1"/>
        <v>0</v>
      </c>
      <c r="H25" s="204"/>
      <c r="I25" s="210">
        <v>110400</v>
      </c>
      <c r="J25" s="136"/>
      <c r="K25" s="136"/>
      <c r="L25" s="601">
        <v>8414279225</v>
      </c>
      <c r="M25" s="602" t="s">
        <v>942</v>
      </c>
    </row>
    <row r="26" spans="1:13" x14ac:dyDescent="0.2">
      <c r="A26" s="125"/>
      <c r="B26" s="6"/>
      <c r="C26" s="124"/>
      <c r="D26" s="124">
        <v>6</v>
      </c>
      <c r="E26" s="206" t="s">
        <v>903</v>
      </c>
      <c r="F26" s="134"/>
      <c r="G26" s="204">
        <f t="shared" si="1"/>
        <v>0</v>
      </c>
      <c r="H26" s="204"/>
      <c r="I26" s="210"/>
      <c r="J26" s="136"/>
      <c r="K26" s="136"/>
    </row>
    <row r="27" spans="1:13" x14ac:dyDescent="0.2">
      <c r="A27" s="125"/>
      <c r="B27" s="6"/>
      <c r="C27" s="124"/>
      <c r="D27" s="124">
        <v>7</v>
      </c>
      <c r="E27" s="206" t="s">
        <v>904</v>
      </c>
      <c r="F27" s="134"/>
      <c r="G27" s="204">
        <f t="shared" si="1"/>
        <v>0</v>
      </c>
      <c r="H27" s="204"/>
      <c r="I27" s="210">
        <v>13680368</v>
      </c>
      <c r="J27" s="136"/>
      <c r="K27" s="136"/>
      <c r="L27" s="592" t="s">
        <v>943</v>
      </c>
    </row>
    <row r="28" spans="1:13" x14ac:dyDescent="0.2">
      <c r="A28" s="125"/>
      <c r="B28" s="134"/>
      <c r="C28" s="128"/>
      <c r="D28" s="124"/>
      <c r="E28" s="206"/>
      <c r="F28" s="124"/>
      <c r="G28" s="204"/>
      <c r="H28" s="204"/>
      <c r="I28" s="210"/>
      <c r="J28" s="136"/>
      <c r="K28" s="136"/>
    </row>
    <row r="29" spans="1:13" x14ac:dyDescent="0.2">
      <c r="A29" s="125"/>
      <c r="B29" s="6"/>
      <c r="C29" s="124"/>
      <c r="D29" s="128" t="s">
        <v>67</v>
      </c>
      <c r="E29" s="127"/>
      <c r="F29" s="208"/>
      <c r="G29" s="205">
        <f>SUM(G21:G28)</f>
        <v>1200000</v>
      </c>
      <c r="H29" s="204"/>
      <c r="I29" s="488">
        <f>SUM(I21:I28)</f>
        <v>7598231345</v>
      </c>
      <c r="J29" s="136"/>
      <c r="K29" s="136"/>
    </row>
    <row r="30" spans="1:13" x14ac:dyDescent="0.2">
      <c r="A30" s="125"/>
      <c r="B30" s="6"/>
      <c r="C30" s="124"/>
      <c r="D30" s="124"/>
      <c r="E30" s="124"/>
      <c r="F30" s="124"/>
      <c r="G30" s="204"/>
      <c r="H30" s="204"/>
      <c r="I30" s="210"/>
      <c r="J30" s="136"/>
    </row>
    <row r="31" spans="1:13" x14ac:dyDescent="0.2">
      <c r="A31" s="125"/>
      <c r="B31" s="6"/>
      <c r="C31" s="128" t="s">
        <v>905</v>
      </c>
      <c r="D31" s="128"/>
      <c r="E31" s="128"/>
      <c r="F31" s="124"/>
      <c r="G31" s="488">
        <f>G18-G29</f>
        <v>-1200000</v>
      </c>
      <c r="H31" s="204"/>
      <c r="I31" s="488">
        <f>I18-I29</f>
        <v>830162178</v>
      </c>
    </row>
    <row r="32" spans="1:13" x14ac:dyDescent="0.2">
      <c r="A32" s="125"/>
      <c r="B32" s="6"/>
      <c r="C32" s="124"/>
      <c r="D32" s="124"/>
      <c r="E32" s="124"/>
      <c r="F32" s="124"/>
      <c r="G32" s="204"/>
      <c r="H32" s="204"/>
      <c r="I32" s="210"/>
      <c r="J32" s="136"/>
    </row>
    <row r="33" spans="1:13" x14ac:dyDescent="0.2">
      <c r="A33" s="125"/>
      <c r="B33" s="203" t="s">
        <v>907</v>
      </c>
      <c r="C33" s="203" t="s">
        <v>908</v>
      </c>
      <c r="D33" s="151"/>
      <c r="E33" s="134"/>
      <c r="F33" s="134"/>
      <c r="G33" s="204"/>
      <c r="H33" s="204"/>
      <c r="I33" s="210"/>
      <c r="J33" s="136"/>
      <c r="L33" s="592" t="s">
        <v>937</v>
      </c>
    </row>
    <row r="34" spans="1:13" x14ac:dyDescent="0.2">
      <c r="A34" s="125"/>
      <c r="B34" s="134"/>
      <c r="C34" s="128"/>
      <c r="D34" s="124" t="s">
        <v>909</v>
      </c>
      <c r="E34" s="124"/>
      <c r="F34" s="124"/>
      <c r="G34" s="204">
        <f>I897</f>
        <v>0</v>
      </c>
      <c r="H34" s="204"/>
      <c r="I34" s="210">
        <f>782747880+33300000</f>
        <v>816047880</v>
      </c>
      <c r="J34" s="136"/>
      <c r="L34" s="592" t="s">
        <v>938</v>
      </c>
      <c r="M34" s="592">
        <v>203476069</v>
      </c>
    </row>
    <row r="35" spans="1:13" x14ac:dyDescent="0.2">
      <c r="A35" s="125"/>
      <c r="B35" s="6"/>
      <c r="C35" s="128" t="s">
        <v>910</v>
      </c>
      <c r="D35" s="151"/>
      <c r="E35" s="151"/>
      <c r="F35" s="151"/>
      <c r="G35" s="205">
        <f>SUM(G34)</f>
        <v>0</v>
      </c>
      <c r="H35" s="149"/>
      <c r="I35" s="488">
        <f>SUM(I34)</f>
        <v>816047880</v>
      </c>
      <c r="J35" s="136"/>
      <c r="L35" s="592" t="s">
        <v>939</v>
      </c>
      <c r="M35" s="592">
        <v>111540600</v>
      </c>
    </row>
    <row r="36" spans="1:13" x14ac:dyDescent="0.2">
      <c r="A36" s="125"/>
      <c r="B36" s="6"/>
      <c r="C36" s="694"/>
      <c r="D36" s="694"/>
      <c r="E36" s="694"/>
      <c r="F36" s="124"/>
      <c r="G36" s="433"/>
      <c r="H36" s="210"/>
      <c r="I36" s="433"/>
      <c r="J36" s="136"/>
      <c r="L36" s="592" t="s">
        <v>940</v>
      </c>
      <c r="M36" s="592">
        <v>805603800</v>
      </c>
    </row>
    <row r="37" spans="1:13" x14ac:dyDescent="0.2">
      <c r="A37" s="125"/>
      <c r="B37" s="203" t="s">
        <v>911</v>
      </c>
      <c r="C37" s="203" t="s">
        <v>912</v>
      </c>
      <c r="D37" s="124"/>
      <c r="E37" s="124"/>
      <c r="F37" s="124"/>
      <c r="G37" s="210"/>
      <c r="H37" s="210"/>
      <c r="I37" s="210"/>
      <c r="J37" s="136"/>
      <c r="L37" s="599" t="s">
        <v>941</v>
      </c>
      <c r="M37" s="592">
        <v>112943995</v>
      </c>
    </row>
    <row r="38" spans="1:13" x14ac:dyDescent="0.2">
      <c r="A38" s="125"/>
      <c r="B38" s="195"/>
      <c r="C38" s="195"/>
      <c r="D38" s="124" t="s">
        <v>913</v>
      </c>
      <c r="E38" s="195"/>
      <c r="F38" s="134"/>
      <c r="G38" s="433">
        <f>I901</f>
        <v>0</v>
      </c>
      <c r="H38" s="210"/>
      <c r="I38" s="433"/>
      <c r="J38" s="136"/>
      <c r="K38" s="136"/>
      <c r="L38" s="599"/>
      <c r="M38" s="592"/>
    </row>
    <row r="39" spans="1:13" x14ac:dyDescent="0.2">
      <c r="A39" s="125"/>
      <c r="B39" s="203"/>
      <c r="C39" s="124"/>
      <c r="D39" s="124" t="s">
        <v>914</v>
      </c>
      <c r="E39" s="124"/>
      <c r="F39" s="124"/>
      <c r="G39" s="433">
        <f t="shared" ref="G39:G41" si="2">I902</f>
        <v>0</v>
      </c>
      <c r="H39" s="204"/>
      <c r="I39" s="210"/>
      <c r="J39" s="136"/>
      <c r="K39" s="136"/>
      <c r="L39" s="599"/>
      <c r="M39" s="600">
        <f>SUM(M34:M38)</f>
        <v>1233564464</v>
      </c>
    </row>
    <row r="40" spans="1:13" x14ac:dyDescent="0.2">
      <c r="A40" s="125"/>
      <c r="B40" s="6"/>
      <c r="C40" s="124"/>
      <c r="D40" s="151" t="s">
        <v>915</v>
      </c>
      <c r="E40" s="134"/>
      <c r="F40" s="134"/>
      <c r="G40" s="433">
        <f t="shared" si="2"/>
        <v>0</v>
      </c>
      <c r="H40" s="204"/>
      <c r="I40" s="210"/>
      <c r="J40" s="136"/>
      <c r="K40" s="136"/>
    </row>
    <row r="41" spans="1:13" x14ac:dyDescent="0.2">
      <c r="A41" s="125"/>
      <c r="B41" s="134"/>
      <c r="C41" s="128"/>
      <c r="D41" s="124" t="s">
        <v>916</v>
      </c>
      <c r="E41" s="124"/>
      <c r="F41" s="124"/>
      <c r="G41" s="433">
        <f t="shared" si="2"/>
        <v>0</v>
      </c>
      <c r="H41" s="204"/>
      <c r="I41" s="210"/>
      <c r="J41" s="136"/>
      <c r="K41" s="136"/>
    </row>
    <row r="42" spans="1:13" x14ac:dyDescent="0.2">
      <c r="A42" s="125"/>
      <c r="B42" s="6"/>
      <c r="C42" s="128" t="s">
        <v>917</v>
      </c>
      <c r="D42" s="151"/>
      <c r="E42" s="151"/>
      <c r="F42" s="151"/>
      <c r="G42" s="596">
        <f>SUM(G38:G41)</f>
        <v>0</v>
      </c>
      <c r="H42" s="204"/>
      <c r="I42" s="598">
        <f>SUM(I38:I41)</f>
        <v>0</v>
      </c>
      <c r="J42" s="136"/>
      <c r="K42" s="136"/>
    </row>
    <row r="43" spans="1:13" x14ac:dyDescent="0.2">
      <c r="A43" s="125"/>
      <c r="B43" s="6"/>
      <c r="C43" s="124"/>
      <c r="D43" s="124"/>
      <c r="E43" s="124"/>
      <c r="F43" s="124"/>
      <c r="G43" s="593"/>
      <c r="H43" s="204"/>
      <c r="I43" s="210"/>
      <c r="J43" s="136"/>
      <c r="K43" s="136"/>
    </row>
    <row r="44" spans="1:13" x14ac:dyDescent="0.2">
      <c r="A44" s="125"/>
      <c r="B44" s="203" t="s">
        <v>918</v>
      </c>
      <c r="C44" s="203" t="s">
        <v>919</v>
      </c>
      <c r="D44" s="130"/>
      <c r="E44" s="130"/>
      <c r="F44" s="124"/>
      <c r="G44" s="149">
        <f>G31-G35+G42</f>
        <v>-1200000</v>
      </c>
      <c r="H44" s="204"/>
      <c r="I44" s="433">
        <f>I31-I35+I42</f>
        <v>14114298</v>
      </c>
      <c r="J44" s="136"/>
      <c r="K44" s="136"/>
    </row>
    <row r="45" spans="1:13" x14ac:dyDescent="0.2">
      <c r="A45" s="125"/>
      <c r="B45" s="6"/>
      <c r="C45" s="124"/>
      <c r="D45" s="124"/>
      <c r="E45" s="124"/>
      <c r="F45" s="124"/>
      <c r="G45" s="204"/>
      <c r="H45" s="204"/>
      <c r="I45" s="210"/>
      <c r="J45" s="136"/>
      <c r="K45" s="136"/>
    </row>
    <row r="46" spans="1:13" x14ac:dyDescent="0.2">
      <c r="A46" s="125"/>
      <c r="B46" s="203" t="s">
        <v>920</v>
      </c>
      <c r="C46" s="203" t="s">
        <v>921</v>
      </c>
      <c r="D46" s="130"/>
      <c r="E46" s="124"/>
      <c r="F46" s="124"/>
      <c r="G46" s="149">
        <v>1312251855.8000002</v>
      </c>
      <c r="H46" s="149"/>
      <c r="I46" s="433">
        <v>1298137557.8</v>
      </c>
      <c r="J46" s="136"/>
      <c r="K46" s="136"/>
    </row>
    <row r="47" spans="1:13" x14ac:dyDescent="0.2">
      <c r="A47" s="125"/>
      <c r="B47" s="6"/>
      <c r="C47" s="124"/>
      <c r="D47" s="124"/>
      <c r="E47" s="124"/>
      <c r="F47" s="124"/>
      <c r="G47" s="149"/>
      <c r="H47" s="149"/>
      <c r="I47" s="433"/>
      <c r="J47" s="136"/>
      <c r="K47" s="136"/>
    </row>
    <row r="48" spans="1:13" x14ac:dyDescent="0.2">
      <c r="A48" s="125"/>
      <c r="B48" s="134" t="s">
        <v>922</v>
      </c>
      <c r="C48" s="128" t="s">
        <v>921</v>
      </c>
      <c r="D48" s="124"/>
      <c r="E48" s="124"/>
      <c r="F48" s="124"/>
      <c r="G48" s="149">
        <f>G44+G46</f>
        <v>1311051855.8000002</v>
      </c>
      <c r="H48" s="149"/>
      <c r="I48" s="433">
        <f>I44+I46</f>
        <v>1312251855.8</v>
      </c>
      <c r="J48" s="136"/>
      <c r="K48" s="136"/>
    </row>
    <row r="49" spans="1:11" x14ac:dyDescent="0.2">
      <c r="A49" s="120"/>
      <c r="B49" s="119"/>
      <c r="C49" s="119"/>
      <c r="D49" s="119"/>
      <c r="E49" s="119"/>
      <c r="F49" s="119"/>
      <c r="G49" s="218"/>
      <c r="H49" s="218"/>
      <c r="I49" s="493"/>
      <c r="J49" s="594"/>
      <c r="K49" s="594"/>
    </row>
    <row r="50" spans="1:11" x14ac:dyDescent="0.2">
      <c r="A50" s="761"/>
      <c r="B50" s="761"/>
      <c r="C50" s="761"/>
      <c r="D50" s="761"/>
      <c r="E50" s="761"/>
      <c r="F50" s="124"/>
      <c r="G50" s="219">
        <f>'Neraca '!H12</f>
        <v>0</v>
      </c>
      <c r="H50" s="219"/>
      <c r="I50" s="219"/>
    </row>
    <row r="51" spans="1:11" x14ac:dyDescent="0.2">
      <c r="A51" s="697" t="s">
        <v>579</v>
      </c>
      <c r="B51" s="697"/>
      <c r="C51" s="697"/>
      <c r="D51" s="697"/>
      <c r="E51" s="697"/>
      <c r="F51" s="697" t="s">
        <v>566</v>
      </c>
      <c r="G51" s="697"/>
      <c r="H51" s="697"/>
      <c r="I51" s="697"/>
      <c r="J51" s="697"/>
      <c r="K51" s="697"/>
    </row>
    <row r="52" spans="1:11" x14ac:dyDescent="0.2">
      <c r="A52" s="697" t="s">
        <v>678</v>
      </c>
      <c r="B52" s="697"/>
      <c r="C52" s="697"/>
      <c r="D52" s="697"/>
      <c r="E52" s="697"/>
      <c r="F52" s="697" t="s">
        <v>681</v>
      </c>
      <c r="G52" s="697"/>
      <c r="H52" s="697"/>
      <c r="I52" s="697"/>
      <c r="J52" s="697"/>
      <c r="K52" s="697"/>
    </row>
    <row r="53" spans="1:11" x14ac:dyDescent="0.2">
      <c r="A53" s="697"/>
      <c r="B53" s="697"/>
      <c r="C53" s="697"/>
      <c r="D53" s="697"/>
      <c r="E53" s="697"/>
      <c r="F53" s="697"/>
      <c r="G53" s="697"/>
      <c r="H53" s="697"/>
      <c r="I53" s="697"/>
      <c r="J53" s="697"/>
      <c r="K53" s="697"/>
    </row>
    <row r="54" spans="1:11" x14ac:dyDescent="0.2">
      <c r="A54" s="697"/>
      <c r="B54" s="697"/>
      <c r="C54" s="697"/>
      <c r="D54" s="697"/>
      <c r="E54" s="697"/>
      <c r="F54" s="697"/>
      <c r="G54" s="697"/>
      <c r="H54" s="697"/>
      <c r="I54" s="697"/>
      <c r="J54" s="697"/>
      <c r="K54" s="697"/>
    </row>
    <row r="55" spans="1:11" x14ac:dyDescent="0.2">
      <c r="A55" s="697" t="s">
        <v>655</v>
      </c>
      <c r="B55" s="697"/>
      <c r="C55" s="697"/>
      <c r="D55" s="697"/>
      <c r="E55" s="697"/>
      <c r="F55" s="697" t="s">
        <v>567</v>
      </c>
      <c r="G55" s="697"/>
      <c r="H55" s="697"/>
      <c r="I55" s="697"/>
      <c r="J55" s="697"/>
      <c r="K55" s="697"/>
    </row>
    <row r="56" spans="1:11" x14ac:dyDescent="0.2">
      <c r="A56" s="697"/>
      <c r="B56" s="697"/>
      <c r="C56" s="697"/>
      <c r="D56" s="697"/>
      <c r="E56" s="697"/>
      <c r="F56" s="697"/>
      <c r="G56" s="697"/>
      <c r="H56" s="697"/>
      <c r="I56" s="697"/>
      <c r="J56" s="697"/>
      <c r="K56" s="697"/>
    </row>
    <row r="73" spans="1:11" x14ac:dyDescent="0.2">
      <c r="A73" s="728" t="s">
        <v>890</v>
      </c>
      <c r="B73" s="728"/>
      <c r="C73" s="590" t="s">
        <v>891</v>
      </c>
      <c r="D73" s="124"/>
      <c r="E73" s="124"/>
      <c r="F73" s="124"/>
    </row>
    <row r="74" spans="1:11" x14ac:dyDescent="0.2">
      <c r="B74" s="124"/>
      <c r="C74" s="124"/>
      <c r="D74" s="124"/>
      <c r="E74" s="124"/>
      <c r="F74" s="124"/>
    </row>
    <row r="75" spans="1:11" ht="6.75" customHeight="1" x14ac:dyDescent="0.25">
      <c r="A75" s="141"/>
      <c r="B75" s="762"/>
      <c r="C75" s="762"/>
      <c r="D75" s="762"/>
      <c r="E75" s="762"/>
      <c r="F75" s="762"/>
      <c r="G75" s="762"/>
      <c r="H75" s="762"/>
      <c r="I75" s="762"/>
      <c r="J75" s="591"/>
      <c r="K75" s="591"/>
    </row>
    <row r="76" spans="1:11" ht="17.25" customHeight="1" x14ac:dyDescent="0.25">
      <c r="A76" s="125"/>
      <c r="B76" s="696" t="s">
        <v>650</v>
      </c>
      <c r="C76" s="696"/>
      <c r="D76" s="696"/>
      <c r="E76" s="696"/>
      <c r="F76" s="696"/>
      <c r="G76" s="696"/>
      <c r="H76" s="696"/>
      <c r="I76" s="696"/>
      <c r="J76" s="136"/>
      <c r="K76" s="136"/>
    </row>
    <row r="77" spans="1:11" ht="20.25" customHeight="1" x14ac:dyDescent="0.25">
      <c r="A77" s="125"/>
      <c r="B77" s="696" t="s">
        <v>41</v>
      </c>
      <c r="C77" s="696"/>
      <c r="D77" s="696"/>
      <c r="E77" s="696"/>
      <c r="F77" s="696"/>
      <c r="G77" s="696"/>
      <c r="H77" s="696"/>
      <c r="I77" s="696"/>
      <c r="J77" s="136"/>
      <c r="K77" s="136"/>
    </row>
    <row r="78" spans="1:11" ht="19.5" customHeight="1" x14ac:dyDescent="0.25">
      <c r="A78" s="125"/>
      <c r="B78" s="742" t="s">
        <v>935</v>
      </c>
      <c r="C78" s="742"/>
      <c r="D78" s="742"/>
      <c r="E78" s="742"/>
      <c r="F78" s="742"/>
      <c r="G78" s="742"/>
      <c r="H78" s="742"/>
      <c r="I78" s="742"/>
      <c r="J78" s="136"/>
      <c r="K78" s="136"/>
    </row>
    <row r="79" spans="1:11" ht="9" customHeight="1" x14ac:dyDescent="0.2">
      <c r="A79" s="125"/>
      <c r="B79" s="124"/>
      <c r="C79" s="124"/>
      <c r="D79" s="124"/>
      <c r="E79" s="124"/>
      <c r="F79" s="124"/>
      <c r="J79" s="136"/>
      <c r="K79" s="136"/>
    </row>
    <row r="80" spans="1:11" ht="12" customHeight="1" x14ac:dyDescent="0.2">
      <c r="A80" s="125"/>
      <c r="B80" s="755" t="s">
        <v>30</v>
      </c>
      <c r="C80" s="756"/>
      <c r="D80" s="756"/>
      <c r="E80" s="757"/>
      <c r="F80" s="127"/>
      <c r="G80" s="201" t="s">
        <v>37</v>
      </c>
      <c r="H80" s="127"/>
      <c r="I80" s="201" t="s">
        <v>39</v>
      </c>
      <c r="J80" s="136"/>
      <c r="K80" s="136"/>
    </row>
    <row r="81" spans="1:12" ht="12" customHeight="1" x14ac:dyDescent="0.2">
      <c r="A81" s="125"/>
      <c r="B81" s="758"/>
      <c r="C81" s="759"/>
      <c r="D81" s="759"/>
      <c r="E81" s="760"/>
      <c r="F81" s="127"/>
      <c r="G81" s="202" t="s">
        <v>40</v>
      </c>
      <c r="H81" s="127"/>
      <c r="I81" s="202" t="s">
        <v>40</v>
      </c>
      <c r="J81" s="136"/>
      <c r="K81" s="136"/>
    </row>
    <row r="82" spans="1:12" x14ac:dyDescent="0.2">
      <c r="A82" s="125"/>
      <c r="B82" s="203" t="s">
        <v>893</v>
      </c>
      <c r="C82" s="203" t="s">
        <v>906</v>
      </c>
      <c r="D82" s="203"/>
      <c r="E82" s="124"/>
      <c r="F82" s="124"/>
      <c r="G82" s="204"/>
      <c r="H82" s="204"/>
      <c r="I82" s="204"/>
      <c r="J82" s="136"/>
      <c r="K82" s="136"/>
    </row>
    <row r="83" spans="1:12" x14ac:dyDescent="0.2">
      <c r="A83" s="125"/>
      <c r="B83" s="6"/>
      <c r="C83" s="128" t="s">
        <v>894</v>
      </c>
      <c r="D83" s="124"/>
      <c r="E83" s="124"/>
      <c r="F83" s="124"/>
      <c r="G83" s="204"/>
      <c r="H83" s="204"/>
      <c r="I83" s="204"/>
      <c r="J83" s="136"/>
      <c r="K83" s="136"/>
    </row>
    <row r="84" spans="1:12" x14ac:dyDescent="0.2">
      <c r="A84" s="125"/>
      <c r="B84" s="6"/>
      <c r="C84" s="124"/>
      <c r="D84" s="124">
        <v>1</v>
      </c>
      <c r="E84" s="124" t="s">
        <v>895</v>
      </c>
      <c r="F84" s="124"/>
      <c r="G84" s="204">
        <f>'Lap. Perputaran Uang '!G87</f>
        <v>0</v>
      </c>
      <c r="H84" s="204"/>
      <c r="I84" s="204">
        <f>G84</f>
        <v>0</v>
      </c>
      <c r="J84" s="136"/>
      <c r="K84" s="136"/>
    </row>
    <row r="85" spans="1:12" x14ac:dyDescent="0.2">
      <c r="A85" s="125"/>
      <c r="B85" s="6"/>
      <c r="C85" s="124"/>
      <c r="D85" s="124">
        <v>2</v>
      </c>
      <c r="E85" s="124" t="s">
        <v>896</v>
      </c>
      <c r="F85" s="124"/>
      <c r="G85" s="204">
        <f>'Lap. Perputaran Uang '!G95</f>
        <v>0</v>
      </c>
      <c r="H85" s="204"/>
      <c r="I85" s="204">
        <f>G85</f>
        <v>0</v>
      </c>
      <c r="J85" s="136"/>
      <c r="K85" s="136"/>
    </row>
    <row r="86" spans="1:12" x14ac:dyDescent="0.2">
      <c r="A86" s="125"/>
      <c r="B86" s="6"/>
      <c r="C86" s="124"/>
      <c r="D86" s="124">
        <v>3</v>
      </c>
      <c r="E86" s="124" t="s">
        <v>897</v>
      </c>
      <c r="F86" s="124"/>
      <c r="G86" s="204">
        <f>'Lap. Perputaran Uang '!G102</f>
        <v>0</v>
      </c>
      <c r="H86" s="204"/>
      <c r="I86" s="204">
        <f t="shared" ref="I86" si="3">G86</f>
        <v>0</v>
      </c>
      <c r="J86" s="136"/>
      <c r="K86" s="136"/>
    </row>
    <row r="87" spans="1:12" x14ac:dyDescent="0.2">
      <c r="A87" s="125"/>
      <c r="B87" s="6"/>
      <c r="C87" s="124"/>
      <c r="D87" s="124">
        <v>4</v>
      </c>
      <c r="E87" s="124" t="s">
        <v>902</v>
      </c>
      <c r="F87" s="124"/>
      <c r="G87" s="204"/>
      <c r="H87" s="204"/>
      <c r="I87" s="204"/>
      <c r="J87" s="136"/>
      <c r="K87" s="136"/>
    </row>
    <row r="88" spans="1:12" x14ac:dyDescent="0.2">
      <c r="A88" s="125"/>
      <c r="B88" s="6"/>
      <c r="C88" s="124"/>
      <c r="D88" s="124">
        <v>5</v>
      </c>
      <c r="E88" s="124" t="s">
        <v>898</v>
      </c>
      <c r="F88" s="124"/>
      <c r="G88" s="204"/>
      <c r="H88" s="204"/>
      <c r="I88" s="204"/>
      <c r="J88" s="136"/>
      <c r="K88" s="136"/>
    </row>
    <row r="89" spans="1:12" x14ac:dyDescent="0.2">
      <c r="A89" s="125"/>
      <c r="B89" s="6"/>
      <c r="C89" s="124"/>
      <c r="D89" s="124"/>
      <c r="E89" s="124"/>
      <c r="F89" s="124"/>
      <c r="G89" s="204"/>
      <c r="H89" s="204"/>
      <c r="I89" s="204"/>
      <c r="J89" s="136"/>
      <c r="K89" s="136"/>
    </row>
    <row r="90" spans="1:12" ht="15" customHeight="1" x14ac:dyDescent="0.2">
      <c r="A90" s="125"/>
      <c r="B90" s="6"/>
      <c r="C90" s="128"/>
      <c r="D90" s="128" t="s">
        <v>55</v>
      </c>
      <c r="E90" s="128"/>
      <c r="F90" s="124"/>
      <c r="G90" s="205">
        <f>SUM(G84:G88)</f>
        <v>0</v>
      </c>
      <c r="H90" s="204"/>
      <c r="I90" s="205">
        <f>SUM(I84:I88)</f>
        <v>0</v>
      </c>
      <c r="J90" s="136"/>
      <c r="K90" s="136"/>
    </row>
    <row r="91" spans="1:12" ht="15" customHeight="1" x14ac:dyDescent="0.2">
      <c r="A91" s="125"/>
      <c r="B91" s="6"/>
      <c r="C91" s="128"/>
      <c r="D91" s="128"/>
      <c r="E91" s="128"/>
      <c r="F91" s="124"/>
      <c r="G91" s="149"/>
      <c r="H91" s="204"/>
      <c r="I91" s="149"/>
      <c r="J91" s="136"/>
      <c r="K91" s="136"/>
    </row>
    <row r="92" spans="1:12" ht="11.25" customHeight="1" x14ac:dyDescent="0.2">
      <c r="A92" s="125"/>
      <c r="B92" s="6"/>
      <c r="C92" s="128" t="s">
        <v>899</v>
      </c>
      <c r="D92" s="124"/>
      <c r="E92" s="124"/>
      <c r="F92" s="124"/>
      <c r="G92" s="204"/>
      <c r="H92" s="204"/>
      <c r="I92" s="204"/>
      <c r="J92" s="136"/>
      <c r="K92" s="136"/>
    </row>
    <row r="93" spans="1:12" x14ac:dyDescent="0.2">
      <c r="A93" s="125"/>
      <c r="B93" s="6"/>
      <c r="C93" s="124"/>
      <c r="D93" s="124">
        <v>1</v>
      </c>
      <c r="E93" s="206" t="s">
        <v>328</v>
      </c>
      <c r="F93" s="124"/>
      <c r="G93" s="204">
        <f>'RINCIAN B. LANGSUNG USAHA'!E32</f>
        <v>0</v>
      </c>
      <c r="H93" s="204"/>
      <c r="I93" s="204">
        <f>G93</f>
        <v>0</v>
      </c>
      <c r="J93" s="136"/>
      <c r="K93" s="136"/>
    </row>
    <row r="94" spans="1:12" x14ac:dyDescent="0.2">
      <c r="A94" s="125"/>
      <c r="B94" s="6"/>
      <c r="C94" s="124"/>
      <c r="D94" s="124">
        <v>2</v>
      </c>
      <c r="E94" s="206" t="s">
        <v>329</v>
      </c>
      <c r="F94" s="124"/>
      <c r="G94" s="204">
        <f>'RINCIAN B. LANGSUNG USAHA'!E67-'RINCIAN B. LANGSUNG USAHA'!E53</f>
        <v>0</v>
      </c>
      <c r="H94" s="204"/>
      <c r="I94" s="204">
        <f t="shared" ref="I94:I96" si="4">G94</f>
        <v>0</v>
      </c>
      <c r="J94" s="136"/>
      <c r="K94" s="136"/>
    </row>
    <row r="95" spans="1:12" x14ac:dyDescent="0.2">
      <c r="A95" s="125"/>
      <c r="B95" s="6"/>
      <c r="C95" s="124"/>
      <c r="D95" s="124">
        <v>3</v>
      </c>
      <c r="E95" s="206" t="s">
        <v>900</v>
      </c>
      <c r="F95" s="134"/>
      <c r="G95" s="204">
        <f>'RINCIAN B. LANGSUNG USAHA'!E98-'RINCIAN B. LANGSUNG USAHA'!E92-'RINCIAN B. LANGSUNG USAHA'!E95+1200000</f>
        <v>1200000</v>
      </c>
      <c r="H95" s="204"/>
      <c r="I95" s="204">
        <f t="shared" si="4"/>
        <v>1200000</v>
      </c>
      <c r="J95" s="136"/>
      <c r="K95" s="136"/>
      <c r="L95" s="592">
        <v>1200000</v>
      </c>
    </row>
    <row r="96" spans="1:12" x14ac:dyDescent="0.2">
      <c r="A96" s="125"/>
      <c r="B96" s="6"/>
      <c r="C96" s="124"/>
      <c r="D96" s="124">
        <v>4</v>
      </c>
      <c r="E96" s="206" t="s">
        <v>901</v>
      </c>
      <c r="F96" s="124"/>
      <c r="G96" s="204">
        <f>'RINCIAN B. TDK LANGSUNG'!E77</f>
        <v>0</v>
      </c>
      <c r="H96" s="204"/>
      <c r="I96" s="204">
        <f t="shared" si="4"/>
        <v>0</v>
      </c>
      <c r="J96" s="136"/>
      <c r="K96" s="136"/>
    </row>
    <row r="97" spans="1:11" x14ac:dyDescent="0.2">
      <c r="A97" s="125"/>
      <c r="B97" s="6"/>
      <c r="C97" s="124"/>
      <c r="D97" s="124">
        <v>5</v>
      </c>
      <c r="E97" s="206" t="s">
        <v>887</v>
      </c>
      <c r="F97" s="134"/>
      <c r="G97" s="204"/>
      <c r="H97" s="204"/>
      <c r="I97" s="204"/>
      <c r="J97" s="136"/>
      <c r="K97" s="136"/>
    </row>
    <row r="98" spans="1:11" x14ac:dyDescent="0.2">
      <c r="A98" s="125"/>
      <c r="B98" s="6"/>
      <c r="C98" s="124"/>
      <c r="D98" s="124">
        <v>6</v>
      </c>
      <c r="E98" s="206" t="s">
        <v>903</v>
      </c>
      <c r="F98" s="134"/>
      <c r="G98" s="204"/>
      <c r="H98" s="204"/>
      <c r="I98" s="204"/>
      <c r="J98" s="136"/>
      <c r="K98" s="136"/>
    </row>
    <row r="99" spans="1:11" x14ac:dyDescent="0.2">
      <c r="A99" s="125"/>
      <c r="B99" s="6"/>
      <c r="C99" s="124"/>
      <c r="D99" s="124">
        <v>7</v>
      </c>
      <c r="E99" s="206" t="s">
        <v>904</v>
      </c>
      <c r="F99" s="134"/>
      <c r="G99" s="204"/>
      <c r="H99" s="204"/>
      <c r="I99" s="204"/>
      <c r="J99" s="136"/>
      <c r="K99" s="136"/>
    </row>
    <row r="100" spans="1:11" x14ac:dyDescent="0.2">
      <c r="A100" s="125"/>
      <c r="B100" s="134"/>
      <c r="C100" s="128"/>
      <c r="D100" s="124"/>
      <c r="E100" s="206"/>
      <c r="F100" s="124"/>
      <c r="G100" s="204"/>
      <c r="H100" s="204"/>
      <c r="I100" s="204"/>
      <c r="J100" s="136"/>
      <c r="K100" s="136"/>
    </row>
    <row r="101" spans="1:11" x14ac:dyDescent="0.2">
      <c r="A101" s="125"/>
      <c r="B101" s="6"/>
      <c r="C101" s="124"/>
      <c r="D101" s="128" t="s">
        <v>67</v>
      </c>
      <c r="E101" s="127"/>
      <c r="F101" s="208"/>
      <c r="G101" s="205">
        <f>SUM(G93:G100)</f>
        <v>1200000</v>
      </c>
      <c r="H101" s="204"/>
      <c r="I101" s="205">
        <f>SUM(I93:I100)</f>
        <v>1200000</v>
      </c>
      <c r="J101" s="136"/>
      <c r="K101" s="136"/>
    </row>
    <row r="102" spans="1:11" ht="15.75" customHeight="1" x14ac:dyDescent="0.2">
      <c r="A102" s="125"/>
      <c r="B102" s="6"/>
      <c r="C102" s="124"/>
      <c r="D102" s="124"/>
      <c r="E102" s="124"/>
      <c r="F102" s="124"/>
      <c r="G102" s="204"/>
      <c r="H102" s="204"/>
      <c r="I102" s="204"/>
      <c r="J102" s="136"/>
      <c r="K102" s="136"/>
    </row>
    <row r="103" spans="1:11" x14ac:dyDescent="0.2">
      <c r="A103" s="125"/>
      <c r="B103" s="6"/>
      <c r="C103" s="128" t="s">
        <v>905</v>
      </c>
      <c r="D103" s="128"/>
      <c r="E103" s="128"/>
      <c r="F103" s="124"/>
      <c r="G103" s="488">
        <f>G90-G101</f>
        <v>-1200000</v>
      </c>
      <c r="H103" s="204"/>
      <c r="I103" s="488">
        <f>I90-I101</f>
        <v>-1200000</v>
      </c>
      <c r="K103" s="136"/>
    </row>
    <row r="104" spans="1:11" x14ac:dyDescent="0.2">
      <c r="A104" s="125"/>
      <c r="B104" s="6"/>
      <c r="C104" s="124"/>
      <c r="D104" s="124"/>
      <c r="E104" s="124"/>
      <c r="F104" s="124"/>
      <c r="G104" s="204"/>
      <c r="H104" s="204"/>
      <c r="I104" s="204"/>
      <c r="J104" s="136"/>
      <c r="K104" s="136"/>
    </row>
    <row r="105" spans="1:11" x14ac:dyDescent="0.2">
      <c r="A105" s="125"/>
      <c r="B105" s="203" t="s">
        <v>907</v>
      </c>
      <c r="C105" s="203" t="s">
        <v>908</v>
      </c>
      <c r="D105" s="151"/>
      <c r="E105" s="134"/>
      <c r="F105" s="134"/>
      <c r="G105" s="204"/>
      <c r="H105" s="204"/>
      <c r="I105" s="204"/>
      <c r="J105" s="136"/>
      <c r="K105" s="136"/>
    </row>
    <row r="106" spans="1:11" x14ac:dyDescent="0.2">
      <c r="A106" s="125"/>
      <c r="B106" s="134"/>
      <c r="C106" s="128"/>
      <c r="D106" s="124" t="s">
        <v>909</v>
      </c>
      <c r="E106" s="124"/>
      <c r="F106" s="124"/>
      <c r="G106" s="204">
        <f>'Lap. Perputaran Uang '!G113</f>
        <v>0</v>
      </c>
      <c r="H106" s="204"/>
      <c r="I106" s="204">
        <f>G106</f>
        <v>0</v>
      </c>
      <c r="J106" s="136"/>
      <c r="K106" s="136"/>
    </row>
    <row r="107" spans="1:11" x14ac:dyDescent="0.2">
      <c r="A107" s="125"/>
      <c r="B107" s="6"/>
      <c r="C107" s="128" t="s">
        <v>910</v>
      </c>
      <c r="D107" s="151"/>
      <c r="E107" s="151"/>
      <c r="F107" s="151"/>
      <c r="G107" s="205">
        <f>SUM(G106)</f>
        <v>0</v>
      </c>
      <c r="H107" s="149"/>
      <c r="I107" s="205">
        <f>SUM(I106)</f>
        <v>0</v>
      </c>
      <c r="J107" s="136"/>
      <c r="K107" s="136"/>
    </row>
    <row r="108" spans="1:11" x14ac:dyDescent="0.2">
      <c r="A108" s="125"/>
      <c r="B108" s="6"/>
      <c r="C108" s="694"/>
      <c r="D108" s="694"/>
      <c r="E108" s="694"/>
      <c r="F108" s="124"/>
      <c r="G108" s="433"/>
      <c r="H108" s="210"/>
      <c r="I108" s="433"/>
      <c r="J108" s="136"/>
      <c r="K108" s="136"/>
    </row>
    <row r="109" spans="1:11" ht="16.5" customHeight="1" x14ac:dyDescent="0.2">
      <c r="A109" s="125"/>
      <c r="B109" s="203" t="s">
        <v>911</v>
      </c>
      <c r="C109" s="203" t="s">
        <v>912</v>
      </c>
      <c r="D109" s="124"/>
      <c r="E109" s="124"/>
      <c r="F109" s="124"/>
      <c r="G109" s="210"/>
      <c r="H109" s="210"/>
      <c r="I109" s="210"/>
      <c r="J109" s="136"/>
      <c r="K109" s="136"/>
    </row>
    <row r="110" spans="1:11" x14ac:dyDescent="0.2">
      <c r="A110" s="125"/>
      <c r="B110" s="195"/>
      <c r="C110" s="195"/>
      <c r="D110" s="124" t="s">
        <v>913</v>
      </c>
      <c r="E110" s="195"/>
      <c r="F110" s="134"/>
      <c r="G110" s="433"/>
      <c r="H110" s="210"/>
      <c r="I110" s="433"/>
      <c r="J110" s="136"/>
      <c r="K110" s="136"/>
    </row>
    <row r="111" spans="1:11" x14ac:dyDescent="0.2">
      <c r="A111" s="125"/>
      <c r="B111" s="203"/>
      <c r="C111" s="124"/>
      <c r="D111" s="124" t="s">
        <v>914</v>
      </c>
      <c r="E111" s="124"/>
      <c r="F111" s="124"/>
      <c r="G111" s="204"/>
      <c r="H111" s="204"/>
      <c r="I111" s="204"/>
      <c r="J111" s="136"/>
      <c r="K111" s="136"/>
    </row>
    <row r="112" spans="1:11" x14ac:dyDescent="0.2">
      <c r="A112" s="125"/>
      <c r="B112" s="6"/>
      <c r="C112" s="124"/>
      <c r="D112" s="151" t="s">
        <v>915</v>
      </c>
      <c r="E112" s="134"/>
      <c r="F112" s="134"/>
      <c r="G112" s="204"/>
      <c r="H112" s="204"/>
      <c r="I112" s="204"/>
      <c r="J112" s="136"/>
      <c r="K112" s="136"/>
    </row>
    <row r="113" spans="1:14" x14ac:dyDescent="0.2">
      <c r="A113" s="125"/>
      <c r="B113" s="134"/>
      <c r="C113" s="128"/>
      <c r="D113" s="124" t="s">
        <v>916</v>
      </c>
      <c r="E113" s="124"/>
      <c r="F113" s="124"/>
      <c r="G113" s="593"/>
      <c r="H113" s="204"/>
      <c r="I113" s="204"/>
      <c r="J113" s="136"/>
      <c r="K113" s="136"/>
    </row>
    <row r="114" spans="1:14" x14ac:dyDescent="0.2">
      <c r="A114" s="125"/>
      <c r="B114" s="6"/>
      <c r="C114" s="128" t="s">
        <v>917</v>
      </c>
      <c r="D114" s="151"/>
      <c r="E114" s="151"/>
      <c r="F114" s="151"/>
      <c r="G114" s="596">
        <f>SUM(G110:G113)</f>
        <v>0</v>
      </c>
      <c r="H114" s="204"/>
      <c r="I114" s="596">
        <f>SUM(I110:I113)</f>
        <v>0</v>
      </c>
      <c r="J114" s="136"/>
      <c r="K114" s="136"/>
    </row>
    <row r="115" spans="1:14" x14ac:dyDescent="0.2">
      <c r="A115" s="125"/>
      <c r="B115" s="6"/>
      <c r="C115" s="124"/>
      <c r="D115" s="124"/>
      <c r="E115" s="124"/>
      <c r="F115" s="124"/>
      <c r="G115" s="593"/>
      <c r="H115" s="204"/>
      <c r="I115" s="204"/>
      <c r="J115" s="136"/>
      <c r="K115" s="136"/>
    </row>
    <row r="116" spans="1:14" x14ac:dyDescent="0.2">
      <c r="A116" s="125"/>
      <c r="B116" s="203" t="s">
        <v>918</v>
      </c>
      <c r="C116" s="203" t="s">
        <v>919</v>
      </c>
      <c r="D116" s="130"/>
      <c r="E116" s="130"/>
      <c r="F116" s="124"/>
      <c r="G116" s="149">
        <f>G103-G107+G114</f>
        <v>-1200000</v>
      </c>
      <c r="H116" s="204"/>
      <c r="I116" s="149">
        <f>I103-I107+I114</f>
        <v>-1200000</v>
      </c>
      <c r="J116" s="136"/>
      <c r="K116" s="136"/>
    </row>
    <row r="117" spans="1:14" x14ac:dyDescent="0.2">
      <c r="A117" s="125"/>
      <c r="B117" s="6"/>
      <c r="C117" s="124"/>
      <c r="D117" s="124"/>
      <c r="E117" s="124"/>
      <c r="F117" s="124"/>
      <c r="G117" s="204"/>
      <c r="H117" s="204"/>
      <c r="I117" s="204"/>
      <c r="J117" s="136"/>
      <c r="K117" s="136"/>
    </row>
    <row r="118" spans="1:14" x14ac:dyDescent="0.2">
      <c r="A118" s="125"/>
      <c r="B118" s="203" t="s">
        <v>920</v>
      </c>
      <c r="C118" s="203" t="s">
        <v>921</v>
      </c>
      <c r="D118" s="130"/>
      <c r="E118" s="124"/>
      <c r="F118" s="124"/>
      <c r="G118" s="149">
        <v>1312251855.8000002</v>
      </c>
      <c r="H118" s="149"/>
      <c r="I118" s="149">
        <v>1312251855.8000002</v>
      </c>
      <c r="J118" s="136"/>
      <c r="K118" s="136"/>
    </row>
    <row r="119" spans="1:14" x14ac:dyDescent="0.2">
      <c r="A119" s="125"/>
      <c r="B119" s="6"/>
      <c r="C119" s="124"/>
      <c r="D119" s="124"/>
      <c r="E119" s="124"/>
      <c r="F119" s="124"/>
      <c r="G119" s="149"/>
      <c r="H119" s="149"/>
      <c r="I119" s="149"/>
      <c r="J119" s="136"/>
      <c r="K119" s="136"/>
    </row>
    <row r="120" spans="1:14" x14ac:dyDescent="0.2">
      <c r="A120" s="125"/>
      <c r="B120" s="134" t="s">
        <v>922</v>
      </c>
      <c r="C120" s="128" t="s">
        <v>921</v>
      </c>
      <c r="D120" s="124"/>
      <c r="E120" s="124"/>
      <c r="F120" s="124"/>
      <c r="G120" s="149">
        <f>G116+G118</f>
        <v>1311051855.8000002</v>
      </c>
      <c r="H120" s="149"/>
      <c r="I120" s="149">
        <f>I116+I118</f>
        <v>1311051855.8000002</v>
      </c>
      <c r="J120" s="136"/>
      <c r="K120" s="136"/>
    </row>
    <row r="121" spans="1:14" x14ac:dyDescent="0.2">
      <c r="A121" s="120"/>
      <c r="B121" s="119"/>
      <c r="C121" s="119"/>
      <c r="D121" s="119"/>
      <c r="E121" s="119"/>
      <c r="F121" s="119"/>
      <c r="G121" s="218"/>
      <c r="H121" s="218"/>
      <c r="I121" s="218"/>
      <c r="J121" s="594"/>
      <c r="K121" s="594"/>
    </row>
    <row r="122" spans="1:14" ht="20.25" customHeight="1" x14ac:dyDescent="0.2">
      <c r="A122" s="761"/>
      <c r="B122" s="761"/>
      <c r="C122" s="761"/>
      <c r="D122" s="761"/>
      <c r="E122" s="761"/>
      <c r="F122" s="124"/>
      <c r="G122" s="219">
        <f>'Lap. Perputaran Uang '!I120</f>
        <v>0</v>
      </c>
      <c r="H122" s="219"/>
      <c r="I122" s="219"/>
      <c r="L122" s="212">
        <f>G120-G122</f>
        <v>1311051855.8000002</v>
      </c>
      <c r="M122" s="219"/>
      <c r="N122" s="219"/>
    </row>
    <row r="123" spans="1:14" x14ac:dyDescent="0.2">
      <c r="A123" s="697" t="s">
        <v>579</v>
      </c>
      <c r="B123" s="697"/>
      <c r="C123" s="697"/>
      <c r="D123" s="697"/>
      <c r="E123" s="697"/>
      <c r="F123" s="697" t="s">
        <v>566</v>
      </c>
      <c r="G123" s="697"/>
      <c r="H123" s="697"/>
      <c r="I123" s="697"/>
      <c r="J123" s="697"/>
      <c r="K123" s="697"/>
      <c r="L123" s="212"/>
      <c r="M123" s="200"/>
      <c r="N123" s="200"/>
    </row>
    <row r="124" spans="1:14" x14ac:dyDescent="0.2">
      <c r="A124" s="697" t="s">
        <v>678</v>
      </c>
      <c r="B124" s="697"/>
      <c r="C124" s="697"/>
      <c r="D124" s="697"/>
      <c r="E124" s="697"/>
      <c r="F124" s="697" t="s">
        <v>681</v>
      </c>
      <c r="G124" s="697"/>
      <c r="H124" s="697"/>
      <c r="I124" s="697"/>
      <c r="J124" s="697"/>
      <c r="K124" s="697"/>
      <c r="L124" s="212"/>
      <c r="M124" s="200"/>
      <c r="N124" s="200"/>
    </row>
    <row r="125" spans="1:14" x14ac:dyDescent="0.2">
      <c r="A125" s="697"/>
      <c r="B125" s="697"/>
      <c r="C125" s="697"/>
      <c r="D125" s="697"/>
      <c r="E125" s="697"/>
      <c r="F125" s="697"/>
      <c r="G125" s="697"/>
      <c r="H125" s="697"/>
      <c r="I125" s="697"/>
      <c r="J125" s="697"/>
      <c r="K125" s="697"/>
      <c r="L125" s="212"/>
      <c r="M125" s="200"/>
      <c r="N125" s="200"/>
    </row>
    <row r="126" spans="1:14" x14ac:dyDescent="0.2">
      <c r="A126" s="697"/>
      <c r="B126" s="697"/>
      <c r="C126" s="697"/>
      <c r="D126" s="697"/>
      <c r="E126" s="697"/>
      <c r="F126" s="697"/>
      <c r="G126" s="697"/>
      <c r="H126" s="697"/>
      <c r="I126" s="697"/>
      <c r="J126" s="697"/>
      <c r="K126" s="697"/>
      <c r="L126" s="212"/>
      <c r="M126" s="200"/>
      <c r="N126" s="200"/>
    </row>
    <row r="127" spans="1:14" x14ac:dyDescent="0.2">
      <c r="A127" s="697" t="s">
        <v>655</v>
      </c>
      <c r="B127" s="697"/>
      <c r="C127" s="697"/>
      <c r="D127" s="697"/>
      <c r="E127" s="697"/>
      <c r="F127" s="697" t="s">
        <v>567</v>
      </c>
      <c r="G127" s="697"/>
      <c r="H127" s="697"/>
      <c r="I127" s="697"/>
      <c r="J127" s="697"/>
      <c r="K127" s="697"/>
      <c r="L127" s="212"/>
      <c r="M127" s="200"/>
      <c r="N127" s="200"/>
    </row>
    <row r="128" spans="1:14" x14ac:dyDescent="0.2">
      <c r="A128" s="697"/>
      <c r="B128" s="697"/>
      <c r="C128" s="697"/>
      <c r="D128" s="697"/>
      <c r="E128" s="697"/>
      <c r="F128" s="697"/>
      <c r="G128" s="697"/>
      <c r="H128" s="697"/>
      <c r="I128" s="697"/>
      <c r="J128" s="697"/>
      <c r="K128" s="697"/>
      <c r="L128" s="212"/>
      <c r="M128" s="200"/>
      <c r="N128" s="200"/>
    </row>
    <row r="129" spans="1:14" x14ac:dyDescent="0.2">
      <c r="A129" s="697"/>
      <c r="B129" s="697"/>
      <c r="C129" s="697"/>
      <c r="D129" s="697"/>
      <c r="E129" s="697"/>
      <c r="F129" s="697"/>
      <c r="G129" s="697"/>
      <c r="H129" s="697"/>
      <c r="I129" s="697"/>
      <c r="J129" s="697"/>
      <c r="K129" s="697"/>
      <c r="L129" s="212"/>
      <c r="M129" s="200"/>
      <c r="N129" s="200"/>
    </row>
    <row r="130" spans="1:14" x14ac:dyDescent="0.2">
      <c r="A130" s="697"/>
      <c r="B130" s="697"/>
      <c r="C130" s="697"/>
      <c r="D130" s="697"/>
      <c r="E130" s="697"/>
      <c r="F130" s="697"/>
      <c r="G130" s="697"/>
      <c r="H130" s="697"/>
      <c r="I130" s="697"/>
      <c r="J130" s="697"/>
      <c r="K130" s="697"/>
      <c r="L130" s="212"/>
      <c r="M130" s="763"/>
      <c r="N130" s="763"/>
    </row>
    <row r="131" spans="1:14" x14ac:dyDescent="0.2">
      <c r="A131" s="697"/>
      <c r="B131" s="697"/>
      <c r="C131" s="697"/>
      <c r="D131" s="697"/>
      <c r="E131" s="697"/>
      <c r="F131" s="697"/>
      <c r="G131" s="697"/>
      <c r="H131" s="697"/>
      <c r="I131" s="697"/>
      <c r="J131" s="697"/>
      <c r="K131" s="697"/>
      <c r="L131" s="212"/>
      <c r="M131" s="200"/>
      <c r="N131" s="200"/>
    </row>
    <row r="132" spans="1:14" x14ac:dyDescent="0.2">
      <c r="A132" s="697"/>
      <c r="B132" s="697"/>
      <c r="C132" s="697"/>
      <c r="D132" s="697"/>
      <c r="E132" s="697"/>
      <c r="F132" s="697"/>
      <c r="G132" s="697"/>
      <c r="H132" s="697"/>
      <c r="I132" s="697"/>
      <c r="J132" s="697"/>
      <c r="K132" s="697"/>
      <c r="L132" s="212"/>
      <c r="M132" s="200"/>
      <c r="N132" s="200"/>
    </row>
    <row r="134" spans="1:14" x14ac:dyDescent="0.2">
      <c r="B134" s="124"/>
      <c r="C134" s="124"/>
      <c r="D134" s="124"/>
      <c r="E134" s="124"/>
      <c r="F134" s="124"/>
      <c r="G134" s="200"/>
      <c r="H134" s="200"/>
      <c r="I134" s="200"/>
    </row>
    <row r="135" spans="1:14" x14ac:dyDescent="0.2">
      <c r="B135" s="124"/>
      <c r="C135" s="124"/>
      <c r="D135" s="124"/>
      <c r="E135" s="124"/>
      <c r="F135" s="124"/>
      <c r="G135" s="200"/>
    </row>
    <row r="136" spans="1:14" x14ac:dyDescent="0.2">
      <c r="B136" s="124"/>
      <c r="C136" s="124"/>
      <c r="D136" s="124"/>
      <c r="E136" s="124"/>
      <c r="F136" s="124"/>
    </row>
    <row r="137" spans="1:14" x14ac:dyDescent="0.2">
      <c r="B137" s="124"/>
      <c r="C137" s="124"/>
      <c r="D137" s="124"/>
      <c r="E137" s="124"/>
      <c r="F137" s="124"/>
    </row>
    <row r="138" spans="1:14" x14ac:dyDescent="0.2">
      <c r="B138" s="124"/>
      <c r="C138" s="124"/>
      <c r="D138" s="124"/>
      <c r="E138" s="124"/>
      <c r="F138" s="124"/>
    </row>
    <row r="139" spans="1:14" x14ac:dyDescent="0.2">
      <c r="B139" s="124"/>
      <c r="C139" s="124"/>
      <c r="D139" s="124"/>
      <c r="E139" s="124"/>
      <c r="F139" s="124"/>
    </row>
    <row r="140" spans="1:14" x14ac:dyDescent="0.2">
      <c r="B140" s="124"/>
      <c r="C140" s="124"/>
      <c r="D140" s="124"/>
      <c r="E140" s="124"/>
      <c r="F140" s="124"/>
    </row>
    <row r="141" spans="1:14" x14ac:dyDescent="0.2">
      <c r="B141" s="124"/>
      <c r="C141" s="124"/>
      <c r="D141" s="124"/>
      <c r="E141" s="124"/>
      <c r="F141" s="124"/>
    </row>
    <row r="142" spans="1:14" x14ac:dyDescent="0.2">
      <c r="B142" s="124"/>
      <c r="C142" s="124"/>
      <c r="D142" s="124"/>
      <c r="E142" s="124"/>
      <c r="F142" s="124"/>
    </row>
    <row r="143" spans="1:14" x14ac:dyDescent="0.2">
      <c r="B143" s="124"/>
      <c r="C143" s="124"/>
      <c r="D143" s="124"/>
      <c r="E143" s="124"/>
      <c r="F143" s="124"/>
    </row>
    <row r="144" spans="1:14" x14ac:dyDescent="0.2">
      <c r="A144" s="728" t="s">
        <v>890</v>
      </c>
      <c r="B144" s="728"/>
      <c r="C144" s="590" t="s">
        <v>891</v>
      </c>
      <c r="D144" s="124"/>
      <c r="E144" s="124"/>
      <c r="F144" s="124"/>
    </row>
    <row r="145" spans="1:11" x14ac:dyDescent="0.2">
      <c r="B145" s="124"/>
      <c r="C145" s="124"/>
      <c r="D145" s="124"/>
      <c r="E145" s="124"/>
      <c r="F145" s="124"/>
    </row>
    <row r="146" spans="1:11" ht="15" x14ac:dyDescent="0.25">
      <c r="A146" s="141"/>
      <c r="B146" s="762"/>
      <c r="C146" s="762"/>
      <c r="D146" s="762"/>
      <c r="E146" s="762"/>
      <c r="F146" s="762"/>
      <c r="G146" s="762"/>
      <c r="H146" s="762"/>
      <c r="I146" s="762"/>
      <c r="J146" s="591"/>
      <c r="K146" s="591"/>
    </row>
    <row r="147" spans="1:11" ht="15" x14ac:dyDescent="0.25">
      <c r="A147" s="125"/>
      <c r="B147" s="696" t="s">
        <v>650</v>
      </c>
      <c r="C147" s="696"/>
      <c r="D147" s="696"/>
      <c r="E147" s="696"/>
      <c r="F147" s="696"/>
      <c r="G147" s="696"/>
      <c r="H147" s="696"/>
      <c r="I147" s="696"/>
      <c r="J147" s="136"/>
      <c r="K147" s="136"/>
    </row>
    <row r="148" spans="1:11" ht="15" x14ac:dyDescent="0.25">
      <c r="A148" s="125"/>
      <c r="B148" s="696" t="s">
        <v>41</v>
      </c>
      <c r="C148" s="696"/>
      <c r="D148" s="696"/>
      <c r="E148" s="696"/>
      <c r="F148" s="696"/>
      <c r="G148" s="696"/>
      <c r="H148" s="696"/>
      <c r="I148" s="696"/>
      <c r="J148" s="136"/>
      <c r="K148" s="136"/>
    </row>
    <row r="149" spans="1:11" ht="15" x14ac:dyDescent="0.25">
      <c r="A149" s="125"/>
      <c r="B149" s="742" t="s">
        <v>923</v>
      </c>
      <c r="C149" s="742"/>
      <c r="D149" s="742"/>
      <c r="E149" s="742"/>
      <c r="F149" s="742"/>
      <c r="G149" s="742"/>
      <c r="H149" s="742"/>
      <c r="I149" s="742"/>
      <c r="J149" s="136"/>
      <c r="K149" s="136"/>
    </row>
    <row r="150" spans="1:11" x14ac:dyDescent="0.2">
      <c r="A150" s="125"/>
      <c r="B150" s="124"/>
      <c r="C150" s="124"/>
      <c r="D150" s="124"/>
      <c r="E150" s="124"/>
      <c r="F150" s="124"/>
      <c r="J150" s="136"/>
      <c r="K150" s="136"/>
    </row>
    <row r="151" spans="1:11" x14ac:dyDescent="0.2">
      <c r="A151" s="125"/>
      <c r="B151" s="755" t="s">
        <v>30</v>
      </c>
      <c r="C151" s="756"/>
      <c r="D151" s="756"/>
      <c r="E151" s="757"/>
      <c r="F151" s="127"/>
      <c r="G151" s="201" t="s">
        <v>37</v>
      </c>
      <c r="H151" s="127"/>
      <c r="I151" s="201" t="s">
        <v>39</v>
      </c>
      <c r="J151" s="136"/>
      <c r="K151" s="136"/>
    </row>
    <row r="152" spans="1:11" x14ac:dyDescent="0.2">
      <c r="A152" s="125"/>
      <c r="B152" s="758"/>
      <c r="C152" s="759"/>
      <c r="D152" s="759"/>
      <c r="E152" s="760"/>
      <c r="F152" s="127"/>
      <c r="G152" s="202" t="s">
        <v>40</v>
      </c>
      <c r="H152" s="127"/>
      <c r="I152" s="202" t="s">
        <v>40</v>
      </c>
      <c r="J152" s="136"/>
      <c r="K152" s="136"/>
    </row>
    <row r="153" spans="1:11" x14ac:dyDescent="0.2">
      <c r="A153" s="125"/>
      <c r="B153" s="203" t="s">
        <v>893</v>
      </c>
      <c r="C153" s="203" t="s">
        <v>906</v>
      </c>
      <c r="D153" s="203"/>
      <c r="E153" s="124"/>
      <c r="F153" s="124"/>
      <c r="G153" s="204"/>
      <c r="H153" s="204"/>
      <c r="I153" s="204"/>
      <c r="J153" s="136"/>
      <c r="K153" s="136"/>
    </row>
    <row r="154" spans="1:11" x14ac:dyDescent="0.2">
      <c r="A154" s="125"/>
      <c r="B154" s="6"/>
      <c r="C154" s="128" t="s">
        <v>894</v>
      </c>
      <c r="D154" s="124"/>
      <c r="E154" s="124"/>
      <c r="F154" s="124"/>
      <c r="G154" s="204"/>
      <c r="H154" s="204"/>
      <c r="I154" s="204"/>
      <c r="J154" s="136"/>
      <c r="K154" s="136"/>
    </row>
    <row r="155" spans="1:11" x14ac:dyDescent="0.2">
      <c r="A155" s="125"/>
      <c r="B155" s="6"/>
      <c r="C155" s="124"/>
      <c r="D155" s="124">
        <v>1</v>
      </c>
      <c r="E155" s="124" t="s">
        <v>895</v>
      </c>
      <c r="F155" s="124"/>
      <c r="G155" s="204"/>
      <c r="H155" s="204"/>
      <c r="I155" s="204">
        <f>G155+I84</f>
        <v>0</v>
      </c>
      <c r="J155" s="136"/>
      <c r="K155" s="136"/>
    </row>
    <row r="156" spans="1:11" x14ac:dyDescent="0.2">
      <c r="A156" s="125"/>
      <c r="B156" s="6"/>
      <c r="C156" s="124"/>
      <c r="D156" s="124">
        <v>2</v>
      </c>
      <c r="E156" s="124" t="s">
        <v>896</v>
      </c>
      <c r="F156" s="124"/>
      <c r="G156" s="204"/>
      <c r="H156" s="204"/>
      <c r="I156" s="204">
        <f t="shared" ref="I156:I160" si="5">G156+I85</f>
        <v>0</v>
      </c>
      <c r="J156" s="136"/>
      <c r="K156" s="136"/>
    </row>
    <row r="157" spans="1:11" x14ac:dyDescent="0.2">
      <c r="A157" s="125"/>
      <c r="B157" s="6"/>
      <c r="C157" s="124"/>
      <c r="D157" s="124">
        <v>3</v>
      </c>
      <c r="E157" s="124" t="s">
        <v>897</v>
      </c>
      <c r="F157" s="124"/>
      <c r="G157" s="204"/>
      <c r="H157" s="204"/>
      <c r="I157" s="204">
        <f t="shared" si="5"/>
        <v>0</v>
      </c>
      <c r="J157" s="136"/>
      <c r="K157" s="136"/>
    </row>
    <row r="158" spans="1:11" x14ac:dyDescent="0.2">
      <c r="A158" s="125"/>
      <c r="B158" s="6"/>
      <c r="C158" s="124"/>
      <c r="D158" s="124">
        <v>4</v>
      </c>
      <c r="E158" s="124" t="s">
        <v>902</v>
      </c>
      <c r="F158" s="124"/>
      <c r="G158" s="204"/>
      <c r="H158" s="204"/>
      <c r="I158" s="204">
        <f t="shared" si="5"/>
        <v>0</v>
      </c>
      <c r="J158" s="136"/>
      <c r="K158" s="136"/>
    </row>
    <row r="159" spans="1:11" x14ac:dyDescent="0.2">
      <c r="A159" s="125"/>
      <c r="B159" s="6"/>
      <c r="C159" s="124"/>
      <c r="D159" s="124">
        <v>5</v>
      </c>
      <c r="E159" s="124" t="s">
        <v>898</v>
      </c>
      <c r="F159" s="124"/>
      <c r="G159" s="204"/>
      <c r="H159" s="204"/>
      <c r="I159" s="204">
        <f t="shared" si="5"/>
        <v>0</v>
      </c>
      <c r="J159" s="136"/>
      <c r="K159" s="136"/>
    </row>
    <row r="160" spans="1:11" x14ac:dyDescent="0.2">
      <c r="A160" s="125"/>
      <c r="B160" s="6"/>
      <c r="C160" s="124"/>
      <c r="D160" s="124"/>
      <c r="E160" s="124"/>
      <c r="F160" s="124"/>
      <c r="G160" s="204"/>
      <c r="H160" s="204"/>
      <c r="I160" s="204">
        <f t="shared" si="5"/>
        <v>0</v>
      </c>
      <c r="J160" s="136"/>
      <c r="K160" s="136"/>
    </row>
    <row r="161" spans="1:11" x14ac:dyDescent="0.2">
      <c r="A161" s="125"/>
      <c r="B161" s="6"/>
      <c r="C161" s="128"/>
      <c r="D161" s="128" t="s">
        <v>55</v>
      </c>
      <c r="E161" s="128"/>
      <c r="F161" s="124"/>
      <c r="G161" s="205">
        <f>SUM(G155:G159)</f>
        <v>0</v>
      </c>
      <c r="H161" s="204"/>
      <c r="I161" s="205">
        <f>SUM(I155:I159)</f>
        <v>0</v>
      </c>
      <c r="J161" s="136"/>
      <c r="K161" s="136"/>
    </row>
    <row r="162" spans="1:11" x14ac:dyDescent="0.2">
      <c r="A162" s="125"/>
      <c r="B162" s="6"/>
      <c r="C162" s="128"/>
      <c r="D162" s="128"/>
      <c r="E162" s="128"/>
      <c r="F162" s="124"/>
      <c r="G162" s="149"/>
      <c r="H162" s="204"/>
      <c r="I162" s="149"/>
      <c r="J162" s="136"/>
      <c r="K162" s="136"/>
    </row>
    <row r="163" spans="1:11" x14ac:dyDescent="0.2">
      <c r="A163" s="125"/>
      <c r="B163" s="6"/>
      <c r="C163" s="128" t="s">
        <v>899</v>
      </c>
      <c r="D163" s="124"/>
      <c r="E163" s="124"/>
      <c r="F163" s="124"/>
      <c r="G163" s="204"/>
      <c r="H163" s="204"/>
      <c r="I163" s="204"/>
      <c r="J163" s="136"/>
      <c r="K163" s="136"/>
    </row>
    <row r="164" spans="1:11" x14ac:dyDescent="0.2">
      <c r="A164" s="125"/>
      <c r="B164" s="6"/>
      <c r="C164" s="124"/>
      <c r="D164" s="124">
        <v>1</v>
      </c>
      <c r="E164" s="206" t="s">
        <v>328</v>
      </c>
      <c r="F164" s="124"/>
      <c r="G164" s="204"/>
      <c r="H164" s="204"/>
      <c r="I164" s="204">
        <f>G164+I93</f>
        <v>0</v>
      </c>
      <c r="J164" s="136"/>
      <c r="K164" s="136"/>
    </row>
    <row r="165" spans="1:11" x14ac:dyDescent="0.2">
      <c r="A165" s="125"/>
      <c r="B165" s="6"/>
      <c r="C165" s="124"/>
      <c r="D165" s="124">
        <v>2</v>
      </c>
      <c r="E165" s="206" t="s">
        <v>329</v>
      </c>
      <c r="F165" s="124"/>
      <c r="G165" s="204"/>
      <c r="H165" s="204"/>
      <c r="I165" s="204">
        <f t="shared" ref="I165:I170" si="6">G165+I94</f>
        <v>0</v>
      </c>
      <c r="J165" s="136"/>
      <c r="K165" s="136"/>
    </row>
    <row r="166" spans="1:11" x14ac:dyDescent="0.2">
      <c r="A166" s="125"/>
      <c r="B166" s="6"/>
      <c r="C166" s="124"/>
      <c r="D166" s="124">
        <v>3</v>
      </c>
      <c r="E166" s="206" t="s">
        <v>900</v>
      </c>
      <c r="F166" s="134"/>
      <c r="G166" s="204"/>
      <c r="H166" s="204"/>
      <c r="I166" s="204">
        <f t="shared" si="6"/>
        <v>1200000</v>
      </c>
      <c r="J166" s="136"/>
      <c r="K166" s="136"/>
    </row>
    <row r="167" spans="1:11" x14ac:dyDescent="0.2">
      <c r="A167" s="125"/>
      <c r="B167" s="6"/>
      <c r="C167" s="124"/>
      <c r="D167" s="124">
        <v>4</v>
      </c>
      <c r="E167" s="206" t="s">
        <v>901</v>
      </c>
      <c r="F167" s="124"/>
      <c r="G167" s="204"/>
      <c r="H167" s="204"/>
      <c r="I167" s="204">
        <f t="shared" si="6"/>
        <v>0</v>
      </c>
      <c r="J167" s="136"/>
      <c r="K167" s="136"/>
    </row>
    <row r="168" spans="1:11" x14ac:dyDescent="0.2">
      <c r="A168" s="125"/>
      <c r="B168" s="6"/>
      <c r="C168" s="124"/>
      <c r="D168" s="124">
        <v>5</v>
      </c>
      <c r="E168" s="206" t="s">
        <v>887</v>
      </c>
      <c r="F168" s="134"/>
      <c r="G168" s="204"/>
      <c r="H168" s="204"/>
      <c r="I168" s="204">
        <f t="shared" si="6"/>
        <v>0</v>
      </c>
      <c r="J168" s="136"/>
      <c r="K168" s="136"/>
    </row>
    <row r="169" spans="1:11" x14ac:dyDescent="0.2">
      <c r="A169" s="125"/>
      <c r="B169" s="6"/>
      <c r="C169" s="124"/>
      <c r="D169" s="124">
        <v>6</v>
      </c>
      <c r="E169" s="206" t="s">
        <v>903</v>
      </c>
      <c r="F169" s="134"/>
      <c r="G169" s="204"/>
      <c r="H169" s="204"/>
      <c r="I169" s="204">
        <f t="shared" si="6"/>
        <v>0</v>
      </c>
      <c r="J169" s="136"/>
      <c r="K169" s="136"/>
    </row>
    <row r="170" spans="1:11" x14ac:dyDescent="0.2">
      <c r="A170" s="125"/>
      <c r="B170" s="6"/>
      <c r="C170" s="124"/>
      <c r="D170" s="124">
        <v>7</v>
      </c>
      <c r="E170" s="206" t="s">
        <v>904</v>
      </c>
      <c r="F170" s="134"/>
      <c r="G170" s="204"/>
      <c r="H170" s="204"/>
      <c r="I170" s="204">
        <f t="shared" si="6"/>
        <v>0</v>
      </c>
      <c r="J170" s="136"/>
      <c r="K170" s="136"/>
    </row>
    <row r="171" spans="1:11" x14ac:dyDescent="0.2">
      <c r="A171" s="125"/>
      <c r="B171" s="134"/>
      <c r="C171" s="128"/>
      <c r="D171" s="124"/>
      <c r="E171" s="206"/>
      <c r="F171" s="124"/>
      <c r="G171" s="204"/>
      <c r="H171" s="204"/>
      <c r="I171" s="204"/>
      <c r="J171" s="136"/>
      <c r="K171" s="136"/>
    </row>
    <row r="172" spans="1:11" x14ac:dyDescent="0.2">
      <c r="A172" s="125"/>
      <c r="B172" s="6"/>
      <c r="C172" s="124"/>
      <c r="D172" s="128" t="s">
        <v>67</v>
      </c>
      <c r="E172" s="127"/>
      <c r="F172" s="208"/>
      <c r="G172" s="205">
        <f>SUM(G164:G171)</f>
        <v>0</v>
      </c>
      <c r="H172" s="204"/>
      <c r="I172" s="205">
        <f>SUM(I164:I171)</f>
        <v>1200000</v>
      </c>
      <c r="J172" s="136"/>
      <c r="K172" s="136"/>
    </row>
    <row r="173" spans="1:11" x14ac:dyDescent="0.2">
      <c r="A173" s="125"/>
      <c r="B173" s="6"/>
      <c r="C173" s="124"/>
      <c r="D173" s="124"/>
      <c r="E173" s="124"/>
      <c r="F173" s="124"/>
      <c r="G173" s="204"/>
      <c r="H173" s="204"/>
      <c r="I173" s="204"/>
      <c r="J173" s="136"/>
      <c r="K173" s="136"/>
    </row>
    <row r="174" spans="1:11" x14ac:dyDescent="0.2">
      <c r="A174" s="125"/>
      <c r="B174" s="6"/>
      <c r="C174" s="128" t="s">
        <v>905</v>
      </c>
      <c r="D174" s="128"/>
      <c r="E174" s="128"/>
      <c r="F174" s="124"/>
      <c r="G174" s="488">
        <f>G161-G172</f>
        <v>0</v>
      </c>
      <c r="H174" s="204"/>
      <c r="I174" s="488">
        <f>I161-I172</f>
        <v>-1200000</v>
      </c>
      <c r="K174" s="136"/>
    </row>
    <row r="175" spans="1:11" x14ac:dyDescent="0.2">
      <c r="A175" s="125"/>
      <c r="B175" s="6"/>
      <c r="C175" s="124"/>
      <c r="D175" s="124"/>
      <c r="E175" s="124"/>
      <c r="F175" s="124"/>
      <c r="G175" s="204"/>
      <c r="H175" s="204"/>
      <c r="I175" s="204"/>
      <c r="J175" s="136"/>
      <c r="K175" s="136"/>
    </row>
    <row r="176" spans="1:11" x14ac:dyDescent="0.2">
      <c r="A176" s="125"/>
      <c r="B176" s="203" t="s">
        <v>907</v>
      </c>
      <c r="C176" s="203" t="s">
        <v>908</v>
      </c>
      <c r="D176" s="151"/>
      <c r="E176" s="134"/>
      <c r="F176" s="134"/>
      <c r="G176" s="204"/>
      <c r="H176" s="204"/>
      <c r="I176" s="204"/>
      <c r="J176" s="136"/>
      <c r="K176" s="136"/>
    </row>
    <row r="177" spans="1:11" x14ac:dyDescent="0.2">
      <c r="A177" s="125"/>
      <c r="B177" s="134"/>
      <c r="C177" s="128"/>
      <c r="D177" s="124" t="s">
        <v>909</v>
      </c>
      <c r="E177" s="124"/>
      <c r="F177" s="124"/>
      <c r="G177" s="204">
        <f>'Lap. Perputaran Uang '!G185</f>
        <v>0</v>
      </c>
      <c r="H177" s="204"/>
      <c r="I177" s="204">
        <f>G177+I106</f>
        <v>0</v>
      </c>
      <c r="J177" s="136"/>
      <c r="K177" s="136"/>
    </row>
    <row r="178" spans="1:11" x14ac:dyDescent="0.2">
      <c r="A178" s="125"/>
      <c r="B178" s="6"/>
      <c r="C178" s="128" t="s">
        <v>910</v>
      </c>
      <c r="D178" s="151"/>
      <c r="E178" s="151"/>
      <c r="F178" s="151"/>
      <c r="G178" s="205">
        <f>SUM(G177)</f>
        <v>0</v>
      </c>
      <c r="H178" s="149"/>
      <c r="I178" s="205">
        <f>SUM(I177)</f>
        <v>0</v>
      </c>
      <c r="J178" s="136"/>
      <c r="K178" s="136"/>
    </row>
    <row r="179" spans="1:11" x14ac:dyDescent="0.2">
      <c r="A179" s="125"/>
      <c r="B179" s="6"/>
      <c r="C179" s="694"/>
      <c r="D179" s="694"/>
      <c r="E179" s="694"/>
      <c r="F179" s="124"/>
      <c r="G179" s="433"/>
      <c r="H179" s="210"/>
      <c r="I179" s="433"/>
      <c r="J179" s="136"/>
      <c r="K179" s="136"/>
    </row>
    <row r="180" spans="1:11" x14ac:dyDescent="0.2">
      <c r="A180" s="125"/>
      <c r="B180" s="203" t="s">
        <v>911</v>
      </c>
      <c r="C180" s="203" t="s">
        <v>912</v>
      </c>
      <c r="D180" s="124"/>
      <c r="E180" s="124"/>
      <c r="F180" s="124"/>
      <c r="G180" s="210"/>
      <c r="H180" s="210"/>
      <c r="I180" s="210"/>
      <c r="J180" s="136"/>
      <c r="K180" s="136"/>
    </row>
    <row r="181" spans="1:11" x14ac:dyDescent="0.2">
      <c r="A181" s="125"/>
      <c r="B181" s="195"/>
      <c r="C181" s="195"/>
      <c r="D181" s="124" t="s">
        <v>913</v>
      </c>
      <c r="E181" s="195"/>
      <c r="F181" s="134"/>
      <c r="G181" s="433"/>
      <c r="H181" s="210"/>
      <c r="I181" s="204">
        <f>G181+I110</f>
        <v>0</v>
      </c>
      <c r="J181" s="136"/>
      <c r="K181" s="136"/>
    </row>
    <row r="182" spans="1:11" x14ac:dyDescent="0.2">
      <c r="A182" s="125"/>
      <c r="B182" s="203"/>
      <c r="C182" s="124"/>
      <c r="D182" s="124" t="s">
        <v>914</v>
      </c>
      <c r="E182" s="124"/>
      <c r="F182" s="124"/>
      <c r="G182" s="204"/>
      <c r="H182" s="204"/>
      <c r="I182" s="204">
        <f t="shared" ref="I182:I184" si="7">G182+I111</f>
        <v>0</v>
      </c>
      <c r="J182" s="136"/>
      <c r="K182" s="136"/>
    </row>
    <row r="183" spans="1:11" x14ac:dyDescent="0.2">
      <c r="A183" s="125"/>
      <c r="B183" s="6"/>
      <c r="C183" s="124"/>
      <c r="D183" s="151" t="s">
        <v>915</v>
      </c>
      <c r="E183" s="134"/>
      <c r="F183" s="134"/>
      <c r="G183" s="204"/>
      <c r="H183" s="204"/>
      <c r="I183" s="204">
        <f t="shared" si="7"/>
        <v>0</v>
      </c>
      <c r="J183" s="136"/>
      <c r="K183" s="136"/>
    </row>
    <row r="184" spans="1:11" x14ac:dyDescent="0.2">
      <c r="A184" s="125"/>
      <c r="B184" s="134"/>
      <c r="C184" s="128"/>
      <c r="D184" s="124" t="s">
        <v>916</v>
      </c>
      <c r="E184" s="124"/>
      <c r="F184" s="124"/>
      <c r="G184" s="593"/>
      <c r="H184" s="204"/>
      <c r="I184" s="204">
        <f t="shared" si="7"/>
        <v>0</v>
      </c>
      <c r="J184" s="136"/>
      <c r="K184" s="136"/>
    </row>
    <row r="185" spans="1:11" x14ac:dyDescent="0.2">
      <c r="A185" s="125"/>
      <c r="B185" s="6"/>
      <c r="C185" s="128" t="s">
        <v>917</v>
      </c>
      <c r="D185" s="151"/>
      <c r="E185" s="151"/>
      <c r="F185" s="151"/>
      <c r="G185" s="596">
        <f>SUM(G181:G184)</f>
        <v>0</v>
      </c>
      <c r="H185" s="204"/>
      <c r="I185" s="596">
        <f>SUM(I181:I184)</f>
        <v>0</v>
      </c>
      <c r="J185" s="136"/>
      <c r="K185" s="136"/>
    </row>
    <row r="186" spans="1:11" x14ac:dyDescent="0.2">
      <c r="A186" s="125"/>
      <c r="B186" s="6"/>
      <c r="C186" s="124"/>
      <c r="D186" s="124"/>
      <c r="E186" s="124"/>
      <c r="F186" s="124"/>
      <c r="G186" s="593"/>
      <c r="H186" s="204"/>
      <c r="I186" s="204"/>
      <c r="J186" s="136"/>
      <c r="K186" s="136"/>
    </row>
    <row r="187" spans="1:11" x14ac:dyDescent="0.2">
      <c r="A187" s="125"/>
      <c r="B187" s="203" t="s">
        <v>918</v>
      </c>
      <c r="C187" s="203" t="s">
        <v>919</v>
      </c>
      <c r="D187" s="130"/>
      <c r="E187" s="130"/>
      <c r="F187" s="124"/>
      <c r="G187" s="149">
        <f>G174-G178+G185</f>
        <v>0</v>
      </c>
      <c r="H187" s="204"/>
      <c r="I187" s="149">
        <f>I174-I178+I185</f>
        <v>-1200000</v>
      </c>
      <c r="J187" s="136"/>
      <c r="K187" s="136"/>
    </row>
    <row r="188" spans="1:11" x14ac:dyDescent="0.2">
      <c r="A188" s="125"/>
      <c r="B188" s="6"/>
      <c r="C188" s="124"/>
      <c r="D188" s="124"/>
      <c r="E188" s="124"/>
      <c r="F188" s="124"/>
      <c r="G188" s="204"/>
      <c r="H188" s="204"/>
      <c r="I188" s="204"/>
      <c r="J188" s="136"/>
      <c r="K188" s="136"/>
    </row>
    <row r="189" spans="1:11" x14ac:dyDescent="0.2">
      <c r="A189" s="125"/>
      <c r="B189" s="203" t="s">
        <v>920</v>
      </c>
      <c r="C189" s="203" t="s">
        <v>921</v>
      </c>
      <c r="D189" s="130"/>
      <c r="E189" s="124"/>
      <c r="F189" s="124"/>
      <c r="G189" s="149">
        <f>G120</f>
        <v>1311051855.8000002</v>
      </c>
      <c r="H189" s="149"/>
      <c r="I189" s="149">
        <v>1312251855.8000002</v>
      </c>
      <c r="J189" s="136"/>
      <c r="K189" s="136"/>
    </row>
    <row r="190" spans="1:11" x14ac:dyDescent="0.2">
      <c r="A190" s="125"/>
      <c r="B190" s="6"/>
      <c r="C190" s="124"/>
      <c r="D190" s="124"/>
      <c r="E190" s="124"/>
      <c r="F190" s="124"/>
      <c r="G190" s="149"/>
      <c r="H190" s="149"/>
      <c r="I190" s="149"/>
      <c r="J190" s="136"/>
      <c r="K190" s="136"/>
    </row>
    <row r="191" spans="1:11" x14ac:dyDescent="0.2">
      <c r="A191" s="125"/>
      <c r="B191" s="134" t="s">
        <v>922</v>
      </c>
      <c r="C191" s="128" t="s">
        <v>921</v>
      </c>
      <c r="D191" s="124"/>
      <c r="E191" s="124"/>
      <c r="F191" s="124"/>
      <c r="G191" s="149">
        <f>G187+G189</f>
        <v>1311051855.8000002</v>
      </c>
      <c r="H191" s="149"/>
      <c r="I191" s="149">
        <f>I187+I189</f>
        <v>1311051855.8000002</v>
      </c>
      <c r="J191" s="136"/>
      <c r="K191" s="136"/>
    </row>
    <row r="192" spans="1:11" x14ac:dyDescent="0.2">
      <c r="A192" s="120"/>
      <c r="B192" s="119"/>
      <c r="C192" s="119"/>
      <c r="D192" s="119"/>
      <c r="E192" s="119"/>
      <c r="F192" s="119"/>
      <c r="G192" s="218"/>
      <c r="H192" s="218"/>
      <c r="I192" s="218"/>
      <c r="J192" s="594"/>
      <c r="K192" s="594"/>
    </row>
    <row r="193" spans="1:11" x14ac:dyDescent="0.2">
      <c r="A193" s="761"/>
      <c r="B193" s="761"/>
      <c r="C193" s="761"/>
      <c r="D193" s="761"/>
      <c r="E193" s="761"/>
      <c r="F193" s="124"/>
      <c r="G193" s="219">
        <f>'Lap. Perputaran Uang '!I192</f>
        <v>0</v>
      </c>
      <c r="H193" s="219"/>
      <c r="I193" s="219"/>
    </row>
    <row r="194" spans="1:11" x14ac:dyDescent="0.2">
      <c r="A194" s="697" t="s">
        <v>579</v>
      </c>
      <c r="B194" s="697"/>
      <c r="C194" s="697"/>
      <c r="D194" s="697"/>
      <c r="E194" s="697"/>
      <c r="F194" s="697" t="s">
        <v>566</v>
      </c>
      <c r="G194" s="697"/>
      <c r="H194" s="697"/>
      <c r="I194" s="697"/>
      <c r="J194" s="697"/>
      <c r="K194" s="697"/>
    </row>
    <row r="195" spans="1:11" x14ac:dyDescent="0.2">
      <c r="A195" s="697" t="s">
        <v>678</v>
      </c>
      <c r="B195" s="697"/>
      <c r="C195" s="697"/>
      <c r="D195" s="697"/>
      <c r="E195" s="697"/>
      <c r="F195" s="697" t="s">
        <v>681</v>
      </c>
      <c r="G195" s="697"/>
      <c r="H195" s="697"/>
      <c r="I195" s="697"/>
      <c r="J195" s="697"/>
      <c r="K195" s="697"/>
    </row>
    <row r="196" spans="1:11" x14ac:dyDescent="0.2">
      <c r="A196" s="697"/>
      <c r="B196" s="697"/>
      <c r="C196" s="697"/>
      <c r="D196" s="697"/>
      <c r="E196" s="697"/>
      <c r="F196" s="697"/>
      <c r="G196" s="697"/>
      <c r="H196" s="697"/>
      <c r="I196" s="697"/>
      <c r="J196" s="697"/>
      <c r="K196" s="697"/>
    </row>
    <row r="197" spans="1:11" x14ac:dyDescent="0.2">
      <c r="A197" s="697"/>
      <c r="B197" s="697"/>
      <c r="C197" s="697"/>
      <c r="D197" s="697"/>
      <c r="E197" s="697"/>
      <c r="F197" s="697"/>
      <c r="G197" s="697"/>
      <c r="H197" s="697"/>
      <c r="I197" s="697"/>
      <c r="J197" s="697"/>
      <c r="K197" s="697"/>
    </row>
    <row r="198" spans="1:11" x14ac:dyDescent="0.2">
      <c r="A198" s="697" t="s">
        <v>655</v>
      </c>
      <c r="B198" s="697"/>
      <c r="C198" s="697"/>
      <c r="D198" s="697"/>
      <c r="E198" s="697"/>
      <c r="F198" s="697" t="s">
        <v>567</v>
      </c>
      <c r="G198" s="697"/>
      <c r="H198" s="697"/>
      <c r="I198" s="697"/>
      <c r="J198" s="697"/>
      <c r="K198" s="697"/>
    </row>
    <row r="199" spans="1:11" x14ac:dyDescent="0.2">
      <c r="A199" s="697"/>
      <c r="B199" s="697"/>
      <c r="C199" s="697"/>
      <c r="D199" s="697"/>
      <c r="E199" s="697"/>
      <c r="F199" s="697"/>
      <c r="G199" s="697"/>
      <c r="H199" s="697"/>
      <c r="I199" s="697"/>
      <c r="J199" s="697"/>
      <c r="K199" s="697"/>
    </row>
    <row r="200" spans="1:11" x14ac:dyDescent="0.2">
      <c r="A200" s="697"/>
      <c r="B200" s="697"/>
      <c r="C200" s="697"/>
      <c r="D200" s="697"/>
      <c r="E200" s="697"/>
      <c r="F200" s="697"/>
      <c r="G200" s="697"/>
      <c r="H200" s="697"/>
      <c r="I200" s="697"/>
      <c r="J200" s="697"/>
      <c r="K200" s="697"/>
    </row>
    <row r="201" spans="1:11" x14ac:dyDescent="0.2">
      <c r="A201" s="697"/>
      <c r="B201" s="697"/>
      <c r="C201" s="697"/>
      <c r="D201" s="697"/>
      <c r="E201" s="697"/>
      <c r="F201" s="697"/>
      <c r="G201" s="697"/>
      <c r="H201" s="697"/>
      <c r="I201" s="697"/>
      <c r="J201" s="697"/>
      <c r="K201" s="697"/>
    </row>
    <row r="202" spans="1:11" x14ac:dyDescent="0.2">
      <c r="A202" s="697"/>
      <c r="B202" s="697"/>
      <c r="C202" s="697"/>
      <c r="D202" s="697"/>
      <c r="E202" s="697"/>
      <c r="F202" s="697"/>
      <c r="G202" s="697"/>
      <c r="H202" s="697"/>
      <c r="I202" s="697"/>
      <c r="J202" s="697"/>
      <c r="K202" s="697"/>
    </row>
    <row r="216" spans="1:11" x14ac:dyDescent="0.2">
      <c r="A216" s="728" t="s">
        <v>890</v>
      </c>
      <c r="B216" s="728"/>
      <c r="C216" s="590" t="s">
        <v>891</v>
      </c>
      <c r="D216" s="124"/>
      <c r="E216" s="124"/>
      <c r="F216" s="124"/>
    </row>
    <row r="217" spans="1:11" x14ac:dyDescent="0.2">
      <c r="B217" s="124"/>
      <c r="C217" s="124"/>
      <c r="D217" s="124"/>
      <c r="E217" s="124"/>
      <c r="F217" s="124"/>
    </row>
    <row r="218" spans="1:11" ht="15" x14ac:dyDescent="0.25">
      <c r="A218" s="141"/>
      <c r="B218" s="762"/>
      <c r="C218" s="762"/>
      <c r="D218" s="762"/>
      <c r="E218" s="762"/>
      <c r="F218" s="762"/>
      <c r="G218" s="762"/>
      <c r="H218" s="762"/>
      <c r="I218" s="762"/>
      <c r="J218" s="591"/>
      <c r="K218" s="591"/>
    </row>
    <row r="219" spans="1:11" ht="15" x14ac:dyDescent="0.25">
      <c r="A219" s="125"/>
      <c r="B219" s="696" t="s">
        <v>650</v>
      </c>
      <c r="C219" s="696"/>
      <c r="D219" s="696"/>
      <c r="E219" s="696"/>
      <c r="F219" s="696"/>
      <c r="G219" s="696"/>
      <c r="H219" s="696"/>
      <c r="I219" s="696"/>
      <c r="J219" s="136"/>
      <c r="K219" s="136"/>
    </row>
    <row r="220" spans="1:11" ht="15" x14ac:dyDescent="0.25">
      <c r="A220" s="125"/>
      <c r="B220" s="696" t="s">
        <v>41</v>
      </c>
      <c r="C220" s="696"/>
      <c r="D220" s="696"/>
      <c r="E220" s="696"/>
      <c r="F220" s="696"/>
      <c r="G220" s="696"/>
      <c r="H220" s="696"/>
      <c r="I220" s="696"/>
      <c r="J220" s="136"/>
      <c r="K220" s="136"/>
    </row>
    <row r="221" spans="1:11" ht="15" x14ac:dyDescent="0.25">
      <c r="A221" s="125"/>
      <c r="B221" s="742" t="s">
        <v>924</v>
      </c>
      <c r="C221" s="742"/>
      <c r="D221" s="742"/>
      <c r="E221" s="742"/>
      <c r="F221" s="742"/>
      <c r="G221" s="742"/>
      <c r="H221" s="742"/>
      <c r="I221" s="742"/>
      <c r="J221" s="136"/>
      <c r="K221" s="136"/>
    </row>
    <row r="222" spans="1:11" x14ac:dyDescent="0.2">
      <c r="A222" s="125"/>
      <c r="B222" s="124"/>
      <c r="C222" s="124"/>
      <c r="D222" s="124"/>
      <c r="E222" s="124"/>
      <c r="F222" s="124"/>
      <c r="J222" s="136"/>
      <c r="K222" s="136"/>
    </row>
    <row r="223" spans="1:11" x14ac:dyDescent="0.2">
      <c r="A223" s="125"/>
      <c r="B223" s="755" t="s">
        <v>30</v>
      </c>
      <c r="C223" s="756"/>
      <c r="D223" s="756"/>
      <c r="E223" s="757"/>
      <c r="F223" s="127"/>
      <c r="G223" s="201" t="s">
        <v>37</v>
      </c>
      <c r="H223" s="127"/>
      <c r="I223" s="201" t="s">
        <v>39</v>
      </c>
      <c r="J223" s="136"/>
      <c r="K223" s="136"/>
    </row>
    <row r="224" spans="1:11" x14ac:dyDescent="0.2">
      <c r="A224" s="125"/>
      <c r="B224" s="758"/>
      <c r="C224" s="759"/>
      <c r="D224" s="759"/>
      <c r="E224" s="760"/>
      <c r="F224" s="127"/>
      <c r="G224" s="202" t="s">
        <v>40</v>
      </c>
      <c r="H224" s="127"/>
      <c r="I224" s="202" t="s">
        <v>40</v>
      </c>
      <c r="J224" s="136"/>
      <c r="K224" s="136"/>
    </row>
    <row r="225" spans="1:11" x14ac:dyDescent="0.2">
      <c r="A225" s="125"/>
      <c r="B225" s="203" t="s">
        <v>893</v>
      </c>
      <c r="C225" s="203" t="s">
        <v>906</v>
      </c>
      <c r="D225" s="203"/>
      <c r="E225" s="124"/>
      <c r="F225" s="124"/>
      <c r="G225" s="204"/>
      <c r="H225" s="204"/>
      <c r="I225" s="204"/>
      <c r="J225" s="136"/>
      <c r="K225" s="136"/>
    </row>
    <row r="226" spans="1:11" x14ac:dyDescent="0.2">
      <c r="A226" s="125"/>
      <c r="B226" s="6"/>
      <c r="C226" s="128" t="s">
        <v>894</v>
      </c>
      <c r="D226" s="124"/>
      <c r="E226" s="124"/>
      <c r="F226" s="124"/>
      <c r="G226" s="204"/>
      <c r="H226" s="204"/>
      <c r="I226" s="204"/>
      <c r="J226" s="136"/>
      <c r="K226" s="136"/>
    </row>
    <row r="227" spans="1:11" x14ac:dyDescent="0.2">
      <c r="A227" s="125"/>
      <c r="B227" s="6"/>
      <c r="C227" s="124"/>
      <c r="D227" s="124">
        <v>1</v>
      </c>
      <c r="E227" s="124" t="s">
        <v>895</v>
      </c>
      <c r="F227" s="124"/>
      <c r="G227" s="204"/>
      <c r="H227" s="204"/>
      <c r="I227" s="204">
        <f>G227+I155</f>
        <v>0</v>
      </c>
      <c r="J227" s="136"/>
      <c r="K227" s="136"/>
    </row>
    <row r="228" spans="1:11" x14ac:dyDescent="0.2">
      <c r="A228" s="125"/>
      <c r="B228" s="6"/>
      <c r="C228" s="124"/>
      <c r="D228" s="124">
        <v>2</v>
      </c>
      <c r="E228" s="124" t="s">
        <v>896</v>
      </c>
      <c r="F228" s="124"/>
      <c r="G228" s="204"/>
      <c r="H228" s="204"/>
      <c r="I228" s="204">
        <f t="shared" ref="I228:I231" si="8">G228+I156</f>
        <v>0</v>
      </c>
      <c r="J228" s="136"/>
      <c r="K228" s="136"/>
    </row>
    <row r="229" spans="1:11" x14ac:dyDescent="0.2">
      <c r="A229" s="125"/>
      <c r="B229" s="6"/>
      <c r="C229" s="124"/>
      <c r="D229" s="124">
        <v>3</v>
      </c>
      <c r="E229" s="124" t="s">
        <v>897</v>
      </c>
      <c r="F229" s="124"/>
      <c r="G229" s="204"/>
      <c r="H229" s="204"/>
      <c r="I229" s="204">
        <f t="shared" si="8"/>
        <v>0</v>
      </c>
      <c r="J229" s="136"/>
      <c r="K229" s="136"/>
    </row>
    <row r="230" spans="1:11" x14ac:dyDescent="0.2">
      <c r="A230" s="125"/>
      <c r="B230" s="6"/>
      <c r="C230" s="124"/>
      <c r="D230" s="124">
        <v>4</v>
      </c>
      <c r="E230" s="124" t="s">
        <v>902</v>
      </c>
      <c r="F230" s="124"/>
      <c r="G230" s="204"/>
      <c r="H230" s="204"/>
      <c r="I230" s="204">
        <f t="shared" si="8"/>
        <v>0</v>
      </c>
      <c r="J230" s="136"/>
      <c r="K230" s="136"/>
    </row>
    <row r="231" spans="1:11" x14ac:dyDescent="0.2">
      <c r="A231" s="125"/>
      <c r="B231" s="6"/>
      <c r="C231" s="124"/>
      <c r="D231" s="124">
        <v>5</v>
      </c>
      <c r="E231" s="124" t="s">
        <v>898</v>
      </c>
      <c r="F231" s="124"/>
      <c r="G231" s="204"/>
      <c r="H231" s="204"/>
      <c r="I231" s="204">
        <f t="shared" si="8"/>
        <v>0</v>
      </c>
      <c r="J231" s="136"/>
      <c r="K231" s="136"/>
    </row>
    <row r="232" spans="1:11" x14ac:dyDescent="0.2">
      <c r="A232" s="125"/>
      <c r="B232" s="6"/>
      <c r="C232" s="124"/>
      <c r="D232" s="124"/>
      <c r="E232" s="124"/>
      <c r="F232" s="124"/>
      <c r="G232" s="204"/>
      <c r="H232" s="204"/>
      <c r="I232" s="204"/>
      <c r="J232" s="136"/>
      <c r="K232" s="136"/>
    </row>
    <row r="233" spans="1:11" x14ac:dyDescent="0.2">
      <c r="A233" s="125"/>
      <c r="B233" s="6"/>
      <c r="C233" s="128"/>
      <c r="D233" s="128" t="s">
        <v>55</v>
      </c>
      <c r="E233" s="128"/>
      <c r="F233" s="124"/>
      <c r="G233" s="205">
        <f>SUM(G227:G231)</f>
        <v>0</v>
      </c>
      <c r="H233" s="204"/>
      <c r="I233" s="205">
        <f>SUM(I227:I231)</f>
        <v>0</v>
      </c>
      <c r="J233" s="136"/>
      <c r="K233" s="136"/>
    </row>
    <row r="234" spans="1:11" x14ac:dyDescent="0.2">
      <c r="A234" s="125"/>
      <c r="B234" s="6"/>
      <c r="C234" s="128"/>
      <c r="D234" s="128"/>
      <c r="E234" s="128"/>
      <c r="F234" s="124"/>
      <c r="G234" s="149"/>
      <c r="H234" s="204"/>
      <c r="I234" s="149"/>
      <c r="J234" s="136"/>
      <c r="K234" s="136"/>
    </row>
    <row r="235" spans="1:11" x14ac:dyDescent="0.2">
      <c r="A235" s="125"/>
      <c r="B235" s="6"/>
      <c r="C235" s="128" t="s">
        <v>899</v>
      </c>
      <c r="D235" s="124"/>
      <c r="E235" s="124"/>
      <c r="F235" s="124"/>
      <c r="G235" s="204"/>
      <c r="H235" s="204"/>
      <c r="I235" s="204"/>
      <c r="J235" s="136"/>
      <c r="K235" s="136"/>
    </row>
    <row r="236" spans="1:11" x14ac:dyDescent="0.2">
      <c r="A236" s="125"/>
      <c r="B236" s="6"/>
      <c r="C236" s="124"/>
      <c r="D236" s="124">
        <v>1</v>
      </c>
      <c r="E236" s="206" t="s">
        <v>328</v>
      </c>
      <c r="F236" s="124"/>
      <c r="G236" s="204"/>
      <c r="H236" s="204"/>
      <c r="I236" s="204">
        <f>G236+I164</f>
        <v>0</v>
      </c>
      <c r="J236" s="136"/>
      <c r="K236" s="136"/>
    </row>
    <row r="237" spans="1:11" x14ac:dyDescent="0.2">
      <c r="A237" s="125"/>
      <c r="B237" s="6"/>
      <c r="C237" s="124"/>
      <c r="D237" s="124">
        <v>2</v>
      </c>
      <c r="E237" s="206" t="s">
        <v>329</v>
      </c>
      <c r="F237" s="124"/>
      <c r="G237" s="204"/>
      <c r="H237" s="204"/>
      <c r="I237" s="204">
        <f t="shared" ref="I237:I242" si="9">G237+I165</f>
        <v>0</v>
      </c>
      <c r="J237" s="136"/>
      <c r="K237" s="136"/>
    </row>
    <row r="238" spans="1:11" x14ac:dyDescent="0.2">
      <c r="A238" s="125"/>
      <c r="B238" s="6"/>
      <c r="C238" s="124"/>
      <c r="D238" s="124">
        <v>3</v>
      </c>
      <c r="E238" s="206" t="s">
        <v>900</v>
      </c>
      <c r="F238" s="134"/>
      <c r="G238" s="204"/>
      <c r="H238" s="204"/>
      <c r="I238" s="204">
        <f t="shared" si="9"/>
        <v>1200000</v>
      </c>
      <c r="J238" s="136"/>
      <c r="K238" s="136"/>
    </row>
    <row r="239" spans="1:11" x14ac:dyDescent="0.2">
      <c r="A239" s="125"/>
      <c r="B239" s="6"/>
      <c r="C239" s="124"/>
      <c r="D239" s="124">
        <v>4</v>
      </c>
      <c r="E239" s="206" t="s">
        <v>901</v>
      </c>
      <c r="F239" s="124"/>
      <c r="G239" s="204"/>
      <c r="H239" s="204"/>
      <c r="I239" s="204">
        <f t="shared" si="9"/>
        <v>0</v>
      </c>
      <c r="J239" s="136"/>
      <c r="K239" s="136"/>
    </row>
    <row r="240" spans="1:11" x14ac:dyDescent="0.2">
      <c r="A240" s="125"/>
      <c r="B240" s="6"/>
      <c r="C240" s="124"/>
      <c r="D240" s="124">
        <v>5</v>
      </c>
      <c r="E240" s="206" t="s">
        <v>887</v>
      </c>
      <c r="F240" s="134"/>
      <c r="G240" s="204"/>
      <c r="H240" s="204"/>
      <c r="I240" s="204">
        <f t="shared" si="9"/>
        <v>0</v>
      </c>
      <c r="J240" s="136"/>
      <c r="K240" s="136"/>
    </row>
    <row r="241" spans="1:11" x14ac:dyDescent="0.2">
      <c r="A241" s="125"/>
      <c r="B241" s="6"/>
      <c r="C241" s="124"/>
      <c r="D241" s="124">
        <v>6</v>
      </c>
      <c r="E241" s="206" t="s">
        <v>903</v>
      </c>
      <c r="F241" s="134"/>
      <c r="G241" s="204"/>
      <c r="H241" s="204"/>
      <c r="I241" s="204">
        <f t="shared" si="9"/>
        <v>0</v>
      </c>
      <c r="J241" s="136"/>
      <c r="K241" s="136"/>
    </row>
    <row r="242" spans="1:11" x14ac:dyDescent="0.2">
      <c r="A242" s="125"/>
      <c r="B242" s="6"/>
      <c r="C242" s="124"/>
      <c r="D242" s="124">
        <v>7</v>
      </c>
      <c r="E242" s="206" t="s">
        <v>904</v>
      </c>
      <c r="F242" s="134"/>
      <c r="G242" s="204"/>
      <c r="H242" s="204"/>
      <c r="I242" s="204">
        <f t="shared" si="9"/>
        <v>0</v>
      </c>
      <c r="J242" s="136"/>
      <c r="K242" s="136"/>
    </row>
    <row r="243" spans="1:11" x14ac:dyDescent="0.2">
      <c r="A243" s="125"/>
      <c r="B243" s="134"/>
      <c r="C243" s="128"/>
      <c r="D243" s="124"/>
      <c r="E243" s="206"/>
      <c r="F243" s="124"/>
      <c r="G243" s="204"/>
      <c r="H243" s="204"/>
      <c r="I243" s="204"/>
      <c r="J243" s="136"/>
      <c r="K243" s="136"/>
    </row>
    <row r="244" spans="1:11" x14ac:dyDescent="0.2">
      <c r="A244" s="125"/>
      <c r="B244" s="6"/>
      <c r="C244" s="124"/>
      <c r="D244" s="128" t="s">
        <v>67</v>
      </c>
      <c r="E244" s="127"/>
      <c r="F244" s="208"/>
      <c r="G244" s="205">
        <f>SUM(G236:G243)</f>
        <v>0</v>
      </c>
      <c r="H244" s="204"/>
      <c r="I244" s="205">
        <f>SUM(I236:I243)</f>
        <v>1200000</v>
      </c>
      <c r="J244" s="136"/>
      <c r="K244" s="136"/>
    </row>
    <row r="245" spans="1:11" x14ac:dyDescent="0.2">
      <c r="A245" s="125"/>
      <c r="B245" s="6"/>
      <c r="C245" s="124"/>
      <c r="D245" s="124"/>
      <c r="E245" s="124"/>
      <c r="F245" s="124"/>
      <c r="G245" s="204"/>
      <c r="H245" s="204"/>
      <c r="I245" s="204"/>
      <c r="J245" s="136"/>
      <c r="K245" s="136"/>
    </row>
    <row r="246" spans="1:11" x14ac:dyDescent="0.2">
      <c r="A246" s="125"/>
      <c r="B246" s="6"/>
      <c r="C246" s="128" t="s">
        <v>905</v>
      </c>
      <c r="D246" s="128"/>
      <c r="E246" s="128"/>
      <c r="F246" s="124"/>
      <c r="G246" s="488">
        <f>G233-G244</f>
        <v>0</v>
      </c>
      <c r="H246" s="204"/>
      <c r="I246" s="488">
        <f>I233-I244</f>
        <v>-1200000</v>
      </c>
      <c r="K246" s="136"/>
    </row>
    <row r="247" spans="1:11" x14ac:dyDescent="0.2">
      <c r="A247" s="125"/>
      <c r="B247" s="6"/>
      <c r="C247" s="124"/>
      <c r="D247" s="124"/>
      <c r="E247" s="124"/>
      <c r="F247" s="124"/>
      <c r="G247" s="204"/>
      <c r="H247" s="204"/>
      <c r="I247" s="204"/>
      <c r="J247" s="136"/>
      <c r="K247" s="136"/>
    </row>
    <row r="248" spans="1:11" x14ac:dyDescent="0.2">
      <c r="A248" s="125"/>
      <c r="B248" s="203" t="s">
        <v>907</v>
      </c>
      <c r="C248" s="203" t="s">
        <v>908</v>
      </c>
      <c r="D248" s="151"/>
      <c r="E248" s="134"/>
      <c r="F248" s="134"/>
      <c r="G248" s="204"/>
      <c r="H248" s="204"/>
      <c r="I248" s="204"/>
      <c r="J248" s="136"/>
      <c r="K248" s="136"/>
    </row>
    <row r="249" spans="1:11" x14ac:dyDescent="0.2">
      <c r="A249" s="125"/>
      <c r="B249" s="134"/>
      <c r="C249" s="128"/>
      <c r="D249" s="124" t="s">
        <v>909</v>
      </c>
      <c r="E249" s="124"/>
      <c r="F249" s="124"/>
      <c r="G249" s="204"/>
      <c r="H249" s="204"/>
      <c r="I249" s="204">
        <f>G249+I177</f>
        <v>0</v>
      </c>
      <c r="J249" s="136"/>
      <c r="K249" s="136"/>
    </row>
    <row r="250" spans="1:11" x14ac:dyDescent="0.2">
      <c r="A250" s="125"/>
      <c r="B250" s="6"/>
      <c r="C250" s="128" t="s">
        <v>910</v>
      </c>
      <c r="D250" s="151"/>
      <c r="E250" s="151"/>
      <c r="F250" s="151"/>
      <c r="G250" s="205">
        <f>SUM(G249)</f>
        <v>0</v>
      </c>
      <c r="H250" s="149"/>
      <c r="I250" s="205">
        <f>SUM(I249)</f>
        <v>0</v>
      </c>
      <c r="J250" s="136"/>
      <c r="K250" s="136"/>
    </row>
    <row r="251" spans="1:11" x14ac:dyDescent="0.2">
      <c r="A251" s="125"/>
      <c r="B251" s="6"/>
      <c r="C251" s="694"/>
      <c r="D251" s="694"/>
      <c r="E251" s="694"/>
      <c r="F251" s="124"/>
      <c r="G251" s="433"/>
      <c r="H251" s="210"/>
      <c r="I251" s="433"/>
      <c r="J251" s="136"/>
      <c r="K251" s="136"/>
    </row>
    <row r="252" spans="1:11" x14ac:dyDescent="0.2">
      <c r="A252" s="125"/>
      <c r="B252" s="203" t="s">
        <v>911</v>
      </c>
      <c r="C252" s="203" t="s">
        <v>912</v>
      </c>
      <c r="D252" s="124"/>
      <c r="E252" s="124"/>
      <c r="F252" s="124"/>
      <c r="G252" s="210"/>
      <c r="H252" s="210"/>
      <c r="I252" s="210"/>
      <c r="J252" s="136"/>
      <c r="K252" s="136"/>
    </row>
    <row r="253" spans="1:11" x14ac:dyDescent="0.2">
      <c r="A253" s="125"/>
      <c r="B253" s="195"/>
      <c r="C253" s="195"/>
      <c r="D253" s="124" t="s">
        <v>913</v>
      </c>
      <c r="E253" s="195"/>
      <c r="F253" s="134"/>
      <c r="G253" s="433"/>
      <c r="H253" s="210"/>
      <c r="I253" s="204">
        <f>G253+I182</f>
        <v>0</v>
      </c>
      <c r="J253" s="136"/>
      <c r="K253" s="136"/>
    </row>
    <row r="254" spans="1:11" x14ac:dyDescent="0.2">
      <c r="A254" s="125"/>
      <c r="B254" s="203"/>
      <c r="C254" s="124"/>
      <c r="D254" s="124" t="s">
        <v>914</v>
      </c>
      <c r="E254" s="124"/>
      <c r="F254" s="124"/>
      <c r="G254" s="204"/>
      <c r="H254" s="204"/>
      <c r="I254" s="204">
        <f t="shared" ref="I254:I256" si="10">G254+I183</f>
        <v>0</v>
      </c>
      <c r="J254" s="136"/>
      <c r="K254" s="136"/>
    </row>
    <row r="255" spans="1:11" x14ac:dyDescent="0.2">
      <c r="A255" s="125"/>
      <c r="B255" s="6"/>
      <c r="C255" s="124"/>
      <c r="D255" s="151" t="s">
        <v>915</v>
      </c>
      <c r="E255" s="134"/>
      <c r="F255" s="134"/>
      <c r="G255" s="204"/>
      <c r="H255" s="204"/>
      <c r="I255" s="204">
        <f t="shared" si="10"/>
        <v>0</v>
      </c>
      <c r="J255" s="136"/>
      <c r="K255" s="136"/>
    </row>
    <row r="256" spans="1:11" x14ac:dyDescent="0.2">
      <c r="A256" s="125"/>
      <c r="B256" s="134"/>
      <c r="C256" s="128"/>
      <c r="D256" s="124" t="s">
        <v>916</v>
      </c>
      <c r="E256" s="124"/>
      <c r="F256" s="124"/>
      <c r="G256" s="593"/>
      <c r="H256" s="204"/>
      <c r="I256" s="204">
        <f t="shared" si="10"/>
        <v>0</v>
      </c>
      <c r="J256" s="136"/>
      <c r="K256" s="136"/>
    </row>
    <row r="257" spans="1:11" x14ac:dyDescent="0.2">
      <c r="A257" s="125"/>
      <c r="B257" s="6"/>
      <c r="C257" s="128" t="s">
        <v>917</v>
      </c>
      <c r="D257" s="151"/>
      <c r="E257" s="151"/>
      <c r="F257" s="151"/>
      <c r="G257" s="596">
        <f>SUM(G253:G256)</f>
        <v>0</v>
      </c>
      <c r="H257" s="204"/>
      <c r="I257" s="596">
        <f>SUM(I253:I256)</f>
        <v>0</v>
      </c>
      <c r="J257" s="136"/>
      <c r="K257" s="136"/>
    </row>
    <row r="258" spans="1:11" x14ac:dyDescent="0.2">
      <c r="A258" s="125"/>
      <c r="B258" s="6"/>
      <c r="C258" s="124"/>
      <c r="D258" s="124"/>
      <c r="E258" s="124"/>
      <c r="F258" s="124"/>
      <c r="G258" s="593"/>
      <c r="H258" s="204"/>
      <c r="I258" s="204"/>
      <c r="J258" s="136"/>
      <c r="K258" s="136"/>
    </row>
    <row r="259" spans="1:11" x14ac:dyDescent="0.2">
      <c r="A259" s="125"/>
      <c r="B259" s="203" t="s">
        <v>918</v>
      </c>
      <c r="C259" s="203" t="s">
        <v>919</v>
      </c>
      <c r="D259" s="130"/>
      <c r="E259" s="130"/>
      <c r="F259" s="124"/>
      <c r="G259" s="149">
        <f>G246-G250+G257</f>
        <v>0</v>
      </c>
      <c r="H259" s="204"/>
      <c r="I259" s="149">
        <f>I246-I250+I257</f>
        <v>-1200000</v>
      </c>
      <c r="J259" s="136"/>
      <c r="K259" s="136"/>
    </row>
    <row r="260" spans="1:11" x14ac:dyDescent="0.2">
      <c r="A260" s="125"/>
      <c r="B260" s="6"/>
      <c r="C260" s="124"/>
      <c r="D260" s="124"/>
      <c r="E260" s="124"/>
      <c r="F260" s="124"/>
      <c r="G260" s="204"/>
      <c r="H260" s="204"/>
      <c r="I260" s="204"/>
      <c r="J260" s="136"/>
      <c r="K260" s="136"/>
    </row>
    <row r="261" spans="1:11" x14ac:dyDescent="0.2">
      <c r="A261" s="125"/>
      <c r="B261" s="203" t="s">
        <v>920</v>
      </c>
      <c r="C261" s="203" t="s">
        <v>921</v>
      </c>
      <c r="D261" s="130"/>
      <c r="E261" s="124"/>
      <c r="F261" s="124"/>
      <c r="G261" s="149">
        <f>G191</f>
        <v>1311051855.8000002</v>
      </c>
      <c r="H261" s="149"/>
      <c r="I261" s="149">
        <v>1312251855.8000002</v>
      </c>
      <c r="J261" s="136"/>
      <c r="K261" s="136"/>
    </row>
    <row r="262" spans="1:11" x14ac:dyDescent="0.2">
      <c r="A262" s="125"/>
      <c r="B262" s="6"/>
      <c r="C262" s="124"/>
      <c r="D262" s="124"/>
      <c r="E262" s="124"/>
      <c r="F262" s="124"/>
      <c r="G262" s="149"/>
      <c r="H262" s="149"/>
      <c r="I262" s="149"/>
      <c r="J262" s="136"/>
      <c r="K262" s="136"/>
    </row>
    <row r="263" spans="1:11" x14ac:dyDescent="0.2">
      <c r="A263" s="125"/>
      <c r="B263" s="134" t="s">
        <v>922</v>
      </c>
      <c r="C263" s="128" t="s">
        <v>921</v>
      </c>
      <c r="D263" s="124"/>
      <c r="E263" s="124"/>
      <c r="F263" s="124"/>
      <c r="G263" s="149">
        <f>G259+G261</f>
        <v>1311051855.8000002</v>
      </c>
      <c r="H263" s="149"/>
      <c r="I263" s="149">
        <f>I259+I261</f>
        <v>1311051855.8000002</v>
      </c>
      <c r="J263" s="136"/>
      <c r="K263" s="136"/>
    </row>
    <row r="264" spans="1:11" x14ac:dyDescent="0.2">
      <c r="A264" s="120"/>
      <c r="B264" s="119"/>
      <c r="C264" s="119"/>
      <c r="D264" s="119"/>
      <c r="E264" s="119"/>
      <c r="F264" s="119"/>
      <c r="G264" s="218"/>
      <c r="H264" s="218"/>
      <c r="I264" s="218"/>
      <c r="J264" s="594"/>
      <c r="K264" s="594"/>
    </row>
    <row r="265" spans="1:11" x14ac:dyDescent="0.2">
      <c r="A265" s="761"/>
      <c r="B265" s="761"/>
      <c r="C265" s="761"/>
      <c r="D265" s="761"/>
      <c r="E265" s="761"/>
      <c r="F265" s="124"/>
      <c r="G265" s="219">
        <f>'Lap. Perputaran Uang '!I267</f>
        <v>0</v>
      </c>
      <c r="H265" s="219"/>
      <c r="I265" s="219"/>
    </row>
    <row r="266" spans="1:11" x14ac:dyDescent="0.2">
      <c r="A266" s="697" t="s">
        <v>579</v>
      </c>
      <c r="B266" s="697"/>
      <c r="C266" s="697"/>
      <c r="D266" s="697"/>
      <c r="E266" s="697"/>
      <c r="F266" s="697" t="s">
        <v>566</v>
      </c>
      <c r="G266" s="697"/>
      <c r="H266" s="697"/>
      <c r="I266" s="697"/>
      <c r="J266" s="697"/>
      <c r="K266" s="697"/>
    </row>
    <row r="267" spans="1:11" x14ac:dyDescent="0.2">
      <c r="A267" s="697" t="s">
        <v>678</v>
      </c>
      <c r="B267" s="697"/>
      <c r="C267" s="697"/>
      <c r="D267" s="697"/>
      <c r="E267" s="697"/>
      <c r="F267" s="697" t="s">
        <v>681</v>
      </c>
      <c r="G267" s="697"/>
      <c r="H267" s="697"/>
      <c r="I267" s="697"/>
      <c r="J267" s="697"/>
      <c r="K267" s="697"/>
    </row>
    <row r="268" spans="1:11" x14ac:dyDescent="0.2">
      <c r="A268" s="697"/>
      <c r="B268" s="697"/>
      <c r="C268" s="697"/>
      <c r="D268" s="697"/>
      <c r="E268" s="697"/>
      <c r="F268" s="697"/>
      <c r="G268" s="697"/>
      <c r="H268" s="697"/>
      <c r="I268" s="697"/>
      <c r="J268" s="697"/>
      <c r="K268" s="697"/>
    </row>
    <row r="269" spans="1:11" x14ac:dyDescent="0.2">
      <c r="A269" s="697"/>
      <c r="B269" s="697"/>
      <c r="C269" s="697"/>
      <c r="D269" s="697"/>
      <c r="E269" s="697"/>
      <c r="F269" s="697"/>
      <c r="G269" s="697"/>
      <c r="H269" s="697"/>
      <c r="I269" s="697"/>
      <c r="J269" s="697"/>
      <c r="K269" s="697"/>
    </row>
    <row r="270" spans="1:11" x14ac:dyDescent="0.2">
      <c r="A270" s="697" t="s">
        <v>655</v>
      </c>
      <c r="B270" s="697"/>
      <c r="C270" s="697"/>
      <c r="D270" s="697"/>
      <c r="E270" s="697"/>
      <c r="F270" s="697" t="s">
        <v>567</v>
      </c>
      <c r="G270" s="697"/>
      <c r="H270" s="697"/>
      <c r="I270" s="697"/>
      <c r="J270" s="697"/>
      <c r="K270" s="697"/>
    </row>
    <row r="271" spans="1:11" x14ac:dyDescent="0.2">
      <c r="A271" s="697"/>
      <c r="B271" s="697"/>
      <c r="C271" s="697"/>
      <c r="D271" s="697"/>
      <c r="E271" s="697"/>
      <c r="F271" s="697"/>
      <c r="G271" s="697"/>
      <c r="H271" s="697"/>
      <c r="I271" s="697"/>
      <c r="J271" s="697"/>
      <c r="K271" s="697"/>
    </row>
    <row r="272" spans="1:11" x14ac:dyDescent="0.2">
      <c r="A272" s="697"/>
      <c r="B272" s="697"/>
      <c r="C272" s="697"/>
      <c r="D272" s="697"/>
      <c r="E272" s="697"/>
      <c r="F272" s="697"/>
      <c r="G272" s="697"/>
      <c r="H272" s="697"/>
      <c r="I272" s="697"/>
      <c r="J272" s="697"/>
      <c r="K272" s="697"/>
    </row>
    <row r="288" spans="1:6" x14ac:dyDescent="0.2">
      <c r="A288" s="728" t="s">
        <v>890</v>
      </c>
      <c r="B288" s="728"/>
      <c r="C288" s="590" t="s">
        <v>891</v>
      </c>
      <c r="D288" s="124"/>
      <c r="E288" s="124"/>
      <c r="F288" s="124"/>
    </row>
    <row r="289" spans="1:11" x14ac:dyDescent="0.2">
      <c r="B289" s="124"/>
      <c r="C289" s="124"/>
      <c r="D289" s="124"/>
      <c r="E289" s="124"/>
      <c r="F289" s="124"/>
    </row>
    <row r="290" spans="1:11" ht="15" x14ac:dyDescent="0.25">
      <c r="A290" s="141"/>
      <c r="B290" s="762"/>
      <c r="C290" s="762"/>
      <c r="D290" s="762"/>
      <c r="E290" s="762"/>
      <c r="F290" s="762"/>
      <c r="G290" s="762"/>
      <c r="H290" s="762"/>
      <c r="I290" s="762"/>
      <c r="J290" s="591"/>
      <c r="K290" s="591"/>
    </row>
    <row r="291" spans="1:11" ht="15" x14ac:dyDescent="0.25">
      <c r="A291" s="125"/>
      <c r="B291" s="696" t="s">
        <v>650</v>
      </c>
      <c r="C291" s="696"/>
      <c r="D291" s="696"/>
      <c r="E291" s="696"/>
      <c r="F291" s="696"/>
      <c r="G291" s="696"/>
      <c r="H291" s="696"/>
      <c r="I291" s="696"/>
      <c r="J291" s="136"/>
      <c r="K291" s="136"/>
    </row>
    <row r="292" spans="1:11" ht="15" x14ac:dyDescent="0.25">
      <c r="A292" s="125"/>
      <c r="B292" s="696" t="s">
        <v>41</v>
      </c>
      <c r="C292" s="696"/>
      <c r="D292" s="696"/>
      <c r="E292" s="696"/>
      <c r="F292" s="696"/>
      <c r="G292" s="696"/>
      <c r="H292" s="696"/>
      <c r="I292" s="696"/>
      <c r="J292" s="136"/>
      <c r="K292" s="136"/>
    </row>
    <row r="293" spans="1:11" ht="15" x14ac:dyDescent="0.25">
      <c r="A293" s="125"/>
      <c r="B293" s="742" t="s">
        <v>925</v>
      </c>
      <c r="C293" s="742"/>
      <c r="D293" s="742"/>
      <c r="E293" s="742"/>
      <c r="F293" s="742"/>
      <c r="G293" s="742"/>
      <c r="H293" s="742"/>
      <c r="I293" s="742"/>
      <c r="J293" s="136"/>
      <c r="K293" s="136"/>
    </row>
    <row r="294" spans="1:11" x14ac:dyDescent="0.2">
      <c r="A294" s="125"/>
      <c r="B294" s="124"/>
      <c r="C294" s="124"/>
      <c r="D294" s="124"/>
      <c r="E294" s="124"/>
      <c r="F294" s="124"/>
      <c r="J294" s="136"/>
      <c r="K294" s="136"/>
    </row>
    <row r="295" spans="1:11" x14ac:dyDescent="0.2">
      <c r="A295" s="125"/>
      <c r="B295" s="755" t="s">
        <v>30</v>
      </c>
      <c r="C295" s="756"/>
      <c r="D295" s="756"/>
      <c r="E295" s="757"/>
      <c r="F295" s="127"/>
      <c r="G295" s="201" t="s">
        <v>37</v>
      </c>
      <c r="H295" s="127"/>
      <c r="I295" s="201" t="s">
        <v>39</v>
      </c>
      <c r="J295" s="136"/>
      <c r="K295" s="136"/>
    </row>
    <row r="296" spans="1:11" x14ac:dyDescent="0.2">
      <c r="A296" s="125"/>
      <c r="B296" s="758"/>
      <c r="C296" s="759"/>
      <c r="D296" s="759"/>
      <c r="E296" s="760"/>
      <c r="F296" s="127"/>
      <c r="G296" s="202" t="s">
        <v>40</v>
      </c>
      <c r="H296" s="127"/>
      <c r="I296" s="202" t="s">
        <v>40</v>
      </c>
      <c r="J296" s="136"/>
      <c r="K296" s="136"/>
    </row>
    <row r="297" spans="1:11" x14ac:dyDescent="0.2">
      <c r="A297" s="125"/>
      <c r="B297" s="203" t="s">
        <v>893</v>
      </c>
      <c r="C297" s="203" t="s">
        <v>906</v>
      </c>
      <c r="D297" s="203"/>
      <c r="E297" s="124"/>
      <c r="F297" s="124"/>
      <c r="G297" s="204"/>
      <c r="H297" s="204"/>
      <c r="I297" s="204"/>
      <c r="J297" s="136"/>
      <c r="K297" s="136"/>
    </row>
    <row r="298" spans="1:11" x14ac:dyDescent="0.2">
      <c r="A298" s="125"/>
      <c r="B298" s="6"/>
      <c r="C298" s="128" t="s">
        <v>894</v>
      </c>
      <c r="D298" s="124"/>
      <c r="E298" s="124"/>
      <c r="F298" s="124"/>
      <c r="G298" s="204"/>
      <c r="H298" s="204"/>
      <c r="I298" s="204"/>
      <c r="J298" s="136"/>
      <c r="K298" s="136"/>
    </row>
    <row r="299" spans="1:11" x14ac:dyDescent="0.2">
      <c r="A299" s="125"/>
      <c r="B299" s="6"/>
      <c r="C299" s="124"/>
      <c r="D299" s="124">
        <v>1</v>
      </c>
      <c r="E299" s="124" t="s">
        <v>895</v>
      </c>
      <c r="F299" s="124"/>
      <c r="G299" s="204"/>
      <c r="H299" s="204"/>
      <c r="I299" s="204">
        <f>G299+I227</f>
        <v>0</v>
      </c>
      <c r="J299" s="136"/>
      <c r="K299" s="136"/>
    </row>
    <row r="300" spans="1:11" x14ac:dyDescent="0.2">
      <c r="A300" s="125"/>
      <c r="B300" s="6"/>
      <c r="C300" s="124"/>
      <c r="D300" s="124">
        <v>2</v>
      </c>
      <c r="E300" s="124" t="s">
        <v>896</v>
      </c>
      <c r="F300" s="124"/>
      <c r="G300" s="204"/>
      <c r="H300" s="204"/>
      <c r="I300" s="204">
        <f t="shared" ref="I300:I303" si="11">G300+I228</f>
        <v>0</v>
      </c>
      <c r="J300" s="136"/>
      <c r="K300" s="136"/>
    </row>
    <row r="301" spans="1:11" x14ac:dyDescent="0.2">
      <c r="A301" s="125"/>
      <c r="B301" s="6"/>
      <c r="C301" s="124"/>
      <c r="D301" s="124">
        <v>3</v>
      </c>
      <c r="E301" s="124" t="s">
        <v>897</v>
      </c>
      <c r="F301" s="124"/>
      <c r="G301" s="204"/>
      <c r="H301" s="204"/>
      <c r="I301" s="204">
        <f t="shared" si="11"/>
        <v>0</v>
      </c>
      <c r="J301" s="136"/>
      <c r="K301" s="136"/>
    </row>
    <row r="302" spans="1:11" x14ac:dyDescent="0.2">
      <c r="A302" s="125"/>
      <c r="B302" s="6"/>
      <c r="C302" s="124"/>
      <c r="D302" s="124">
        <v>4</v>
      </c>
      <c r="E302" s="124" t="s">
        <v>902</v>
      </c>
      <c r="F302" s="124"/>
      <c r="G302" s="204"/>
      <c r="H302" s="204"/>
      <c r="I302" s="204">
        <f t="shared" si="11"/>
        <v>0</v>
      </c>
      <c r="J302" s="136"/>
      <c r="K302" s="136"/>
    </row>
    <row r="303" spans="1:11" x14ac:dyDescent="0.2">
      <c r="A303" s="125"/>
      <c r="B303" s="6"/>
      <c r="C303" s="124"/>
      <c r="D303" s="124">
        <v>5</v>
      </c>
      <c r="E303" s="124" t="s">
        <v>898</v>
      </c>
      <c r="F303" s="124"/>
      <c r="G303" s="204"/>
      <c r="H303" s="204"/>
      <c r="I303" s="204">
        <f t="shared" si="11"/>
        <v>0</v>
      </c>
      <c r="J303" s="136"/>
      <c r="K303" s="136"/>
    </row>
    <row r="304" spans="1:11" x14ac:dyDescent="0.2">
      <c r="A304" s="125"/>
      <c r="B304" s="6"/>
      <c r="C304" s="124"/>
      <c r="D304" s="124"/>
      <c r="E304" s="124"/>
      <c r="F304" s="124"/>
      <c r="G304" s="204"/>
      <c r="H304" s="204"/>
      <c r="I304" s="204"/>
      <c r="J304" s="136"/>
      <c r="K304" s="136"/>
    </row>
    <row r="305" spans="1:11" x14ac:dyDescent="0.2">
      <c r="A305" s="125"/>
      <c r="B305" s="6"/>
      <c r="C305" s="128"/>
      <c r="D305" s="128" t="s">
        <v>55</v>
      </c>
      <c r="E305" s="128"/>
      <c r="F305" s="124"/>
      <c r="G305" s="205">
        <f>SUM(G299:G303)</f>
        <v>0</v>
      </c>
      <c r="H305" s="204"/>
      <c r="I305" s="205">
        <f>SUM(I299:I303)</f>
        <v>0</v>
      </c>
      <c r="J305" s="136"/>
      <c r="K305" s="136"/>
    </row>
    <row r="306" spans="1:11" x14ac:dyDescent="0.2">
      <c r="A306" s="125"/>
      <c r="B306" s="6"/>
      <c r="C306" s="128"/>
      <c r="D306" s="128"/>
      <c r="E306" s="128"/>
      <c r="F306" s="124"/>
      <c r="G306" s="149"/>
      <c r="H306" s="204"/>
      <c r="I306" s="149"/>
      <c r="J306" s="136"/>
      <c r="K306" s="136"/>
    </row>
    <row r="307" spans="1:11" x14ac:dyDescent="0.2">
      <c r="A307" s="125"/>
      <c r="B307" s="6"/>
      <c r="C307" s="128" t="s">
        <v>899</v>
      </c>
      <c r="D307" s="124"/>
      <c r="E307" s="124"/>
      <c r="F307" s="124"/>
      <c r="G307" s="204"/>
      <c r="H307" s="204"/>
      <c r="I307" s="204"/>
      <c r="J307" s="136"/>
      <c r="K307" s="136"/>
    </row>
    <row r="308" spans="1:11" x14ac:dyDescent="0.2">
      <c r="A308" s="125"/>
      <c r="B308" s="6"/>
      <c r="C308" s="124"/>
      <c r="D308" s="124">
        <v>1</v>
      </c>
      <c r="E308" s="206" t="s">
        <v>328</v>
      </c>
      <c r="F308" s="124"/>
      <c r="G308" s="204"/>
      <c r="H308" s="204"/>
      <c r="I308" s="204">
        <f>G308+I236</f>
        <v>0</v>
      </c>
      <c r="J308" s="136"/>
      <c r="K308" s="136"/>
    </row>
    <row r="309" spans="1:11" x14ac:dyDescent="0.2">
      <c r="A309" s="125"/>
      <c r="B309" s="6"/>
      <c r="C309" s="124"/>
      <c r="D309" s="124">
        <v>2</v>
      </c>
      <c r="E309" s="206" t="s">
        <v>329</v>
      </c>
      <c r="F309" s="124"/>
      <c r="G309" s="204"/>
      <c r="H309" s="204"/>
      <c r="I309" s="204">
        <f t="shared" ref="I309:I314" si="12">G309+I237</f>
        <v>0</v>
      </c>
      <c r="J309" s="136"/>
      <c r="K309" s="136"/>
    </row>
    <row r="310" spans="1:11" x14ac:dyDescent="0.2">
      <c r="A310" s="125"/>
      <c r="B310" s="6"/>
      <c r="C310" s="124"/>
      <c r="D310" s="124">
        <v>3</v>
      </c>
      <c r="E310" s="206" t="s">
        <v>900</v>
      </c>
      <c r="F310" s="134"/>
      <c r="G310" s="204"/>
      <c r="H310" s="204"/>
      <c r="I310" s="204">
        <f t="shared" si="12"/>
        <v>1200000</v>
      </c>
      <c r="J310" s="136"/>
      <c r="K310" s="136"/>
    </row>
    <row r="311" spans="1:11" x14ac:dyDescent="0.2">
      <c r="A311" s="125"/>
      <c r="B311" s="6"/>
      <c r="C311" s="124"/>
      <c r="D311" s="124">
        <v>4</v>
      </c>
      <c r="E311" s="206" t="s">
        <v>901</v>
      </c>
      <c r="F311" s="124"/>
      <c r="G311" s="204"/>
      <c r="H311" s="204"/>
      <c r="I311" s="204">
        <f t="shared" si="12"/>
        <v>0</v>
      </c>
      <c r="J311" s="136"/>
      <c r="K311" s="136"/>
    </row>
    <row r="312" spans="1:11" x14ac:dyDescent="0.2">
      <c r="A312" s="125"/>
      <c r="B312" s="6"/>
      <c r="C312" s="124"/>
      <c r="D312" s="124">
        <v>5</v>
      </c>
      <c r="E312" s="206" t="s">
        <v>887</v>
      </c>
      <c r="F312" s="134"/>
      <c r="G312" s="204"/>
      <c r="H312" s="204"/>
      <c r="I312" s="204">
        <f t="shared" si="12"/>
        <v>0</v>
      </c>
      <c r="J312" s="136"/>
      <c r="K312" s="136"/>
    </row>
    <row r="313" spans="1:11" x14ac:dyDescent="0.2">
      <c r="A313" s="125"/>
      <c r="B313" s="6"/>
      <c r="C313" s="124"/>
      <c r="D313" s="124">
        <v>6</v>
      </c>
      <c r="E313" s="206" t="s">
        <v>903</v>
      </c>
      <c r="F313" s="134"/>
      <c r="G313" s="204"/>
      <c r="H313" s="204"/>
      <c r="I313" s="204">
        <f t="shared" si="12"/>
        <v>0</v>
      </c>
      <c r="J313" s="136"/>
      <c r="K313" s="136"/>
    </row>
    <row r="314" spans="1:11" x14ac:dyDescent="0.2">
      <c r="A314" s="125"/>
      <c r="B314" s="6"/>
      <c r="C314" s="124"/>
      <c r="D314" s="124">
        <v>7</v>
      </c>
      <c r="E314" s="206" t="s">
        <v>904</v>
      </c>
      <c r="F314" s="134"/>
      <c r="G314" s="204"/>
      <c r="H314" s="204"/>
      <c r="I314" s="204">
        <f t="shared" si="12"/>
        <v>0</v>
      </c>
      <c r="J314" s="136"/>
      <c r="K314" s="136"/>
    </row>
    <row r="315" spans="1:11" x14ac:dyDescent="0.2">
      <c r="A315" s="125"/>
      <c r="B315" s="134"/>
      <c r="C315" s="128"/>
      <c r="D315" s="124"/>
      <c r="E315" s="206"/>
      <c r="F315" s="124"/>
      <c r="G315" s="204"/>
      <c r="H315" s="204"/>
      <c r="I315" s="204"/>
      <c r="J315" s="136"/>
      <c r="K315" s="136"/>
    </row>
    <row r="316" spans="1:11" x14ac:dyDescent="0.2">
      <c r="A316" s="125"/>
      <c r="B316" s="6"/>
      <c r="C316" s="124"/>
      <c r="D316" s="128" t="s">
        <v>67</v>
      </c>
      <c r="E316" s="127"/>
      <c r="F316" s="208"/>
      <c r="G316" s="205">
        <f>SUM(G308:G315)</f>
        <v>0</v>
      </c>
      <c r="H316" s="204"/>
      <c r="I316" s="205">
        <f>SUM(I308:I315)</f>
        <v>1200000</v>
      </c>
      <c r="J316" s="136"/>
      <c r="K316" s="136"/>
    </row>
    <row r="317" spans="1:11" x14ac:dyDescent="0.2">
      <c r="A317" s="125"/>
      <c r="B317" s="6"/>
      <c r="C317" s="124"/>
      <c r="D317" s="124"/>
      <c r="E317" s="124"/>
      <c r="F317" s="124"/>
      <c r="G317" s="204"/>
      <c r="H317" s="204"/>
      <c r="I317" s="204"/>
      <c r="J317" s="136"/>
      <c r="K317" s="136"/>
    </row>
    <row r="318" spans="1:11" x14ac:dyDescent="0.2">
      <c r="A318" s="125"/>
      <c r="B318" s="6"/>
      <c r="C318" s="128" t="s">
        <v>905</v>
      </c>
      <c r="D318" s="128"/>
      <c r="E318" s="128"/>
      <c r="F318" s="124"/>
      <c r="G318" s="488">
        <f>G305-G316</f>
        <v>0</v>
      </c>
      <c r="H318" s="204"/>
      <c r="I318" s="488">
        <f>I305-I316</f>
        <v>-1200000</v>
      </c>
      <c r="K318" s="136"/>
    </row>
    <row r="319" spans="1:11" x14ac:dyDescent="0.2">
      <c r="A319" s="125"/>
      <c r="B319" s="6"/>
      <c r="C319" s="124"/>
      <c r="D319" s="124"/>
      <c r="E319" s="124"/>
      <c r="F319" s="124"/>
      <c r="G319" s="204"/>
      <c r="H319" s="204"/>
      <c r="I319" s="204"/>
      <c r="J319" s="136"/>
      <c r="K319" s="136"/>
    </row>
    <row r="320" spans="1:11" x14ac:dyDescent="0.2">
      <c r="A320" s="125"/>
      <c r="B320" s="203" t="s">
        <v>907</v>
      </c>
      <c r="C320" s="203" t="s">
        <v>908</v>
      </c>
      <c r="D320" s="151"/>
      <c r="E320" s="134"/>
      <c r="F320" s="134"/>
      <c r="G320" s="204"/>
      <c r="H320" s="204"/>
      <c r="I320" s="204"/>
      <c r="J320" s="136"/>
      <c r="K320" s="136"/>
    </row>
    <row r="321" spans="1:11" x14ac:dyDescent="0.2">
      <c r="A321" s="125"/>
      <c r="B321" s="134"/>
      <c r="C321" s="128"/>
      <c r="D321" s="124" t="s">
        <v>909</v>
      </c>
      <c r="E321" s="124"/>
      <c r="F321" s="124"/>
      <c r="G321" s="204"/>
      <c r="H321" s="204"/>
      <c r="I321" s="204">
        <f>G321+I249</f>
        <v>0</v>
      </c>
      <c r="J321" s="136"/>
      <c r="K321" s="136"/>
    </row>
    <row r="322" spans="1:11" x14ac:dyDescent="0.2">
      <c r="A322" s="125"/>
      <c r="B322" s="6"/>
      <c r="C322" s="128" t="s">
        <v>910</v>
      </c>
      <c r="D322" s="151"/>
      <c r="E322" s="151"/>
      <c r="F322" s="151"/>
      <c r="G322" s="205">
        <f>SUM(G321)</f>
        <v>0</v>
      </c>
      <c r="H322" s="149"/>
      <c r="I322" s="205">
        <f>SUM(I321)</f>
        <v>0</v>
      </c>
      <c r="J322" s="136"/>
      <c r="K322" s="136"/>
    </row>
    <row r="323" spans="1:11" x14ac:dyDescent="0.2">
      <c r="A323" s="125"/>
      <c r="B323" s="6"/>
      <c r="C323" s="694"/>
      <c r="D323" s="694"/>
      <c r="E323" s="694"/>
      <c r="F323" s="124"/>
      <c r="G323" s="433"/>
      <c r="H323" s="210"/>
      <c r="I323" s="433"/>
      <c r="J323" s="136"/>
      <c r="K323" s="136"/>
    </row>
    <row r="324" spans="1:11" x14ac:dyDescent="0.2">
      <c r="A324" s="125"/>
      <c r="B324" s="203" t="s">
        <v>911</v>
      </c>
      <c r="C324" s="203" t="s">
        <v>912</v>
      </c>
      <c r="D324" s="124"/>
      <c r="E324" s="124"/>
      <c r="F324" s="124"/>
      <c r="G324" s="210"/>
      <c r="H324" s="210"/>
      <c r="I324" s="210"/>
      <c r="J324" s="136"/>
      <c r="K324" s="136"/>
    </row>
    <row r="325" spans="1:11" x14ac:dyDescent="0.2">
      <c r="A325" s="125"/>
      <c r="B325" s="195"/>
      <c r="C325" s="195"/>
      <c r="D325" s="124" t="s">
        <v>913</v>
      </c>
      <c r="E325" s="195"/>
      <c r="F325" s="134"/>
      <c r="G325" s="433"/>
      <c r="H325" s="210"/>
      <c r="I325" s="204">
        <f>G325+I254</f>
        <v>0</v>
      </c>
      <c r="J325" s="136"/>
      <c r="K325" s="136"/>
    </row>
    <row r="326" spans="1:11" x14ac:dyDescent="0.2">
      <c r="A326" s="125"/>
      <c r="B326" s="203"/>
      <c r="C326" s="124"/>
      <c r="D326" s="124" t="s">
        <v>914</v>
      </c>
      <c r="E326" s="124"/>
      <c r="F326" s="124"/>
      <c r="G326" s="204"/>
      <c r="H326" s="204"/>
      <c r="I326" s="204">
        <f t="shared" ref="I326:I328" si="13">G326+I255</f>
        <v>0</v>
      </c>
      <c r="J326" s="136"/>
      <c r="K326" s="136"/>
    </row>
    <row r="327" spans="1:11" x14ac:dyDescent="0.2">
      <c r="A327" s="125"/>
      <c r="B327" s="6"/>
      <c r="C327" s="124"/>
      <c r="D327" s="151" t="s">
        <v>915</v>
      </c>
      <c r="E327" s="134"/>
      <c r="F327" s="134"/>
      <c r="G327" s="204"/>
      <c r="H327" s="204"/>
      <c r="I327" s="204">
        <f t="shared" si="13"/>
        <v>0</v>
      </c>
      <c r="J327" s="136"/>
      <c r="K327" s="136"/>
    </row>
    <row r="328" spans="1:11" x14ac:dyDescent="0.2">
      <c r="A328" s="125"/>
      <c r="B328" s="134"/>
      <c r="C328" s="128"/>
      <c r="D328" s="124" t="s">
        <v>916</v>
      </c>
      <c r="E328" s="124"/>
      <c r="F328" s="124"/>
      <c r="G328" s="593"/>
      <c r="H328" s="204"/>
      <c r="I328" s="204">
        <f t="shared" si="13"/>
        <v>0</v>
      </c>
      <c r="J328" s="136"/>
      <c r="K328" s="136"/>
    </row>
    <row r="329" spans="1:11" x14ac:dyDescent="0.2">
      <c r="A329" s="125"/>
      <c r="B329" s="6"/>
      <c r="C329" s="128" t="s">
        <v>917</v>
      </c>
      <c r="D329" s="151"/>
      <c r="E329" s="151"/>
      <c r="F329" s="151"/>
      <c r="G329" s="596">
        <f>SUM(G325:G328)</f>
        <v>0</v>
      </c>
      <c r="H329" s="204"/>
      <c r="I329" s="596">
        <f>SUM(I325:I328)</f>
        <v>0</v>
      </c>
      <c r="J329" s="136"/>
      <c r="K329" s="136"/>
    </row>
    <row r="330" spans="1:11" x14ac:dyDescent="0.2">
      <c r="A330" s="125"/>
      <c r="B330" s="6"/>
      <c r="C330" s="124"/>
      <c r="D330" s="124"/>
      <c r="E330" s="124"/>
      <c r="F330" s="124"/>
      <c r="G330" s="593"/>
      <c r="H330" s="204"/>
      <c r="I330" s="204"/>
      <c r="J330" s="136"/>
      <c r="K330" s="136"/>
    </row>
    <row r="331" spans="1:11" x14ac:dyDescent="0.2">
      <c r="A331" s="125"/>
      <c r="B331" s="203" t="s">
        <v>918</v>
      </c>
      <c r="C331" s="203" t="s">
        <v>919</v>
      </c>
      <c r="D331" s="130"/>
      <c r="E331" s="130"/>
      <c r="F331" s="124"/>
      <c r="G331" s="149">
        <f>G318-G322+G329</f>
        <v>0</v>
      </c>
      <c r="H331" s="204"/>
      <c r="I331" s="149">
        <f>I318-I322+I329</f>
        <v>-1200000</v>
      </c>
      <c r="J331" s="136"/>
      <c r="K331" s="136"/>
    </row>
    <row r="332" spans="1:11" x14ac:dyDescent="0.2">
      <c r="A332" s="125"/>
      <c r="B332" s="6"/>
      <c r="C332" s="124"/>
      <c r="D332" s="124"/>
      <c r="E332" s="124"/>
      <c r="F332" s="124"/>
      <c r="G332" s="204"/>
      <c r="H332" s="204"/>
      <c r="I332" s="204"/>
      <c r="J332" s="136"/>
      <c r="K332" s="136"/>
    </row>
    <row r="333" spans="1:11" x14ac:dyDescent="0.2">
      <c r="A333" s="125"/>
      <c r="B333" s="203" t="s">
        <v>920</v>
      </c>
      <c r="C333" s="203" t="s">
        <v>921</v>
      </c>
      <c r="D333" s="130"/>
      <c r="E333" s="124"/>
      <c r="F333" s="124"/>
      <c r="G333" s="149">
        <f>G263</f>
        <v>1311051855.8000002</v>
      </c>
      <c r="H333" s="149"/>
      <c r="I333" s="149">
        <v>1312251855.8000002</v>
      </c>
      <c r="J333" s="136"/>
      <c r="K333" s="136"/>
    </row>
    <row r="334" spans="1:11" x14ac:dyDescent="0.2">
      <c r="A334" s="125"/>
      <c r="B334" s="6"/>
      <c r="C334" s="124"/>
      <c r="D334" s="124"/>
      <c r="E334" s="124"/>
      <c r="F334" s="124"/>
      <c r="G334" s="149"/>
      <c r="H334" s="149"/>
      <c r="I334" s="149"/>
      <c r="J334" s="136"/>
      <c r="K334" s="136"/>
    </row>
    <row r="335" spans="1:11" x14ac:dyDescent="0.2">
      <c r="A335" s="125"/>
      <c r="B335" s="134" t="s">
        <v>922</v>
      </c>
      <c r="C335" s="128" t="s">
        <v>921</v>
      </c>
      <c r="D335" s="124"/>
      <c r="E335" s="124"/>
      <c r="F335" s="124"/>
      <c r="G335" s="149">
        <f>G331+G333</f>
        <v>1311051855.8000002</v>
      </c>
      <c r="H335" s="149"/>
      <c r="I335" s="149">
        <f>I331+I333</f>
        <v>1311051855.8000002</v>
      </c>
      <c r="J335" s="136"/>
      <c r="K335" s="136"/>
    </row>
    <row r="336" spans="1:11" x14ac:dyDescent="0.2">
      <c r="A336" s="120"/>
      <c r="B336" s="119"/>
      <c r="C336" s="119"/>
      <c r="D336" s="119"/>
      <c r="E336" s="119"/>
      <c r="F336" s="119"/>
      <c r="G336" s="218"/>
      <c r="H336" s="218"/>
      <c r="I336" s="218"/>
      <c r="J336" s="594"/>
      <c r="K336" s="594"/>
    </row>
    <row r="337" spans="1:11" x14ac:dyDescent="0.2">
      <c r="A337" s="761"/>
      <c r="B337" s="761"/>
      <c r="C337" s="761"/>
      <c r="D337" s="761"/>
      <c r="E337" s="761"/>
      <c r="F337" s="124"/>
      <c r="G337" s="219">
        <f>'Lap. Perputaran Uang '!I342</f>
        <v>0</v>
      </c>
      <c r="H337" s="219"/>
      <c r="I337" s="219"/>
    </row>
    <row r="338" spans="1:11" x14ac:dyDescent="0.2">
      <c r="A338" s="697" t="s">
        <v>579</v>
      </c>
      <c r="B338" s="697"/>
      <c r="C338" s="697"/>
      <c r="D338" s="697"/>
      <c r="E338" s="697"/>
      <c r="F338" s="697" t="s">
        <v>566</v>
      </c>
      <c r="G338" s="697"/>
      <c r="H338" s="697"/>
      <c r="I338" s="697"/>
      <c r="J338" s="697"/>
      <c r="K338" s="697"/>
    </row>
    <row r="339" spans="1:11" x14ac:dyDescent="0.2">
      <c r="A339" s="697" t="s">
        <v>678</v>
      </c>
      <c r="B339" s="697"/>
      <c r="C339" s="697"/>
      <c r="D339" s="697"/>
      <c r="E339" s="697"/>
      <c r="F339" s="697" t="s">
        <v>681</v>
      </c>
      <c r="G339" s="697"/>
      <c r="H339" s="697"/>
      <c r="I339" s="697"/>
      <c r="J339" s="697"/>
      <c r="K339" s="697"/>
    </row>
    <row r="340" spans="1:11" x14ac:dyDescent="0.2">
      <c r="A340" s="697"/>
      <c r="B340" s="697"/>
      <c r="C340" s="697"/>
      <c r="D340" s="697"/>
      <c r="E340" s="697"/>
      <c r="F340" s="697"/>
      <c r="G340" s="697"/>
      <c r="H340" s="697"/>
      <c r="I340" s="697"/>
      <c r="J340" s="697"/>
      <c r="K340" s="697"/>
    </row>
    <row r="341" spans="1:11" x14ac:dyDescent="0.2">
      <c r="A341" s="697"/>
      <c r="B341" s="697"/>
      <c r="C341" s="697"/>
      <c r="D341" s="697"/>
      <c r="E341" s="697"/>
      <c r="F341" s="697"/>
      <c r="G341" s="697"/>
      <c r="H341" s="697"/>
      <c r="I341" s="697"/>
      <c r="J341" s="697"/>
      <c r="K341" s="697"/>
    </row>
    <row r="342" spans="1:11" x14ac:dyDescent="0.2">
      <c r="A342" s="697" t="s">
        <v>655</v>
      </c>
      <c r="B342" s="697"/>
      <c r="C342" s="697"/>
      <c r="D342" s="697"/>
      <c r="E342" s="697"/>
      <c r="F342" s="697" t="s">
        <v>567</v>
      </c>
      <c r="G342" s="697"/>
      <c r="H342" s="697"/>
      <c r="I342" s="697"/>
      <c r="J342" s="697"/>
      <c r="K342" s="697"/>
    </row>
    <row r="343" spans="1:11" x14ac:dyDescent="0.2">
      <c r="A343" s="697"/>
      <c r="B343" s="697"/>
      <c r="C343" s="697"/>
      <c r="D343" s="697"/>
      <c r="E343" s="697"/>
      <c r="F343" s="697"/>
      <c r="G343" s="697"/>
      <c r="H343" s="697"/>
      <c r="I343" s="697"/>
      <c r="J343" s="697"/>
      <c r="K343" s="697"/>
    </row>
    <row r="344" spans="1:11" x14ac:dyDescent="0.2">
      <c r="A344" s="697"/>
      <c r="B344" s="697"/>
      <c r="C344" s="697"/>
      <c r="D344" s="697"/>
      <c r="E344" s="697"/>
      <c r="F344" s="697"/>
      <c r="G344" s="697"/>
      <c r="H344" s="697"/>
      <c r="I344" s="697"/>
      <c r="J344" s="697"/>
      <c r="K344" s="697"/>
    </row>
    <row r="360" spans="1:11" x14ac:dyDescent="0.2">
      <c r="A360" s="728" t="s">
        <v>890</v>
      </c>
      <c r="B360" s="728"/>
      <c r="C360" s="590" t="s">
        <v>891</v>
      </c>
      <c r="D360" s="124"/>
      <c r="E360" s="124"/>
      <c r="F360" s="124"/>
    </row>
    <row r="361" spans="1:11" x14ac:dyDescent="0.2">
      <c r="B361" s="124"/>
      <c r="C361" s="124"/>
      <c r="D361" s="124"/>
      <c r="E361" s="124"/>
      <c r="F361" s="124"/>
    </row>
    <row r="362" spans="1:11" ht="15" x14ac:dyDescent="0.25">
      <c r="A362" s="141"/>
      <c r="B362" s="762"/>
      <c r="C362" s="762"/>
      <c r="D362" s="762"/>
      <c r="E362" s="762"/>
      <c r="F362" s="762"/>
      <c r="G362" s="762"/>
      <c r="H362" s="762"/>
      <c r="I362" s="762"/>
      <c r="J362" s="591"/>
      <c r="K362" s="591"/>
    </row>
    <row r="363" spans="1:11" ht="15" x14ac:dyDescent="0.25">
      <c r="A363" s="125"/>
      <c r="B363" s="696" t="s">
        <v>650</v>
      </c>
      <c r="C363" s="696"/>
      <c r="D363" s="696"/>
      <c r="E363" s="696"/>
      <c r="F363" s="696"/>
      <c r="G363" s="696"/>
      <c r="H363" s="696"/>
      <c r="I363" s="696"/>
      <c r="J363" s="136"/>
      <c r="K363" s="136"/>
    </row>
    <row r="364" spans="1:11" ht="15" x14ac:dyDescent="0.25">
      <c r="A364" s="125"/>
      <c r="B364" s="696" t="s">
        <v>41</v>
      </c>
      <c r="C364" s="696"/>
      <c r="D364" s="696"/>
      <c r="E364" s="696"/>
      <c r="F364" s="696"/>
      <c r="G364" s="696"/>
      <c r="H364" s="696"/>
      <c r="I364" s="696"/>
      <c r="J364" s="136"/>
      <c r="K364" s="136"/>
    </row>
    <row r="365" spans="1:11" ht="15" x14ac:dyDescent="0.25">
      <c r="A365" s="125"/>
      <c r="B365" s="742" t="s">
        <v>926</v>
      </c>
      <c r="C365" s="742"/>
      <c r="D365" s="742"/>
      <c r="E365" s="742"/>
      <c r="F365" s="742"/>
      <c r="G365" s="742"/>
      <c r="H365" s="742"/>
      <c r="I365" s="742"/>
      <c r="J365" s="136"/>
      <c r="K365" s="136"/>
    </row>
    <row r="366" spans="1:11" x14ac:dyDescent="0.2">
      <c r="A366" s="125"/>
      <c r="B366" s="124"/>
      <c r="C366" s="124"/>
      <c r="D366" s="124"/>
      <c r="E366" s="124"/>
      <c r="F366" s="124"/>
      <c r="J366" s="136"/>
      <c r="K366" s="136"/>
    </row>
    <row r="367" spans="1:11" x14ac:dyDescent="0.2">
      <c r="A367" s="125"/>
      <c r="B367" s="755" t="s">
        <v>30</v>
      </c>
      <c r="C367" s="756"/>
      <c r="D367" s="756"/>
      <c r="E367" s="757"/>
      <c r="F367" s="127"/>
      <c r="G367" s="201" t="s">
        <v>37</v>
      </c>
      <c r="H367" s="127"/>
      <c r="I367" s="201" t="s">
        <v>39</v>
      </c>
      <c r="J367" s="136"/>
      <c r="K367" s="136"/>
    </row>
    <row r="368" spans="1:11" x14ac:dyDescent="0.2">
      <c r="A368" s="125"/>
      <c r="B368" s="758"/>
      <c r="C368" s="759"/>
      <c r="D368" s="759"/>
      <c r="E368" s="760"/>
      <c r="F368" s="127"/>
      <c r="G368" s="202" t="s">
        <v>40</v>
      </c>
      <c r="H368" s="127"/>
      <c r="I368" s="202" t="s">
        <v>40</v>
      </c>
      <c r="J368" s="136"/>
      <c r="K368" s="136"/>
    </row>
    <row r="369" spans="1:11" x14ac:dyDescent="0.2">
      <c r="A369" s="125"/>
      <c r="B369" s="203" t="s">
        <v>893</v>
      </c>
      <c r="C369" s="203" t="s">
        <v>906</v>
      </c>
      <c r="D369" s="203"/>
      <c r="E369" s="124"/>
      <c r="F369" s="124"/>
      <c r="G369" s="204"/>
      <c r="H369" s="204"/>
      <c r="I369" s="204"/>
      <c r="J369" s="136"/>
      <c r="K369" s="136"/>
    </row>
    <row r="370" spans="1:11" x14ac:dyDescent="0.2">
      <c r="A370" s="125"/>
      <c r="B370" s="6"/>
      <c r="C370" s="128" t="s">
        <v>894</v>
      </c>
      <c r="D370" s="124"/>
      <c r="E370" s="124"/>
      <c r="F370" s="124"/>
      <c r="G370" s="204"/>
      <c r="H370" s="204"/>
      <c r="I370" s="204"/>
      <c r="J370" s="136"/>
      <c r="K370" s="136"/>
    </row>
    <row r="371" spans="1:11" x14ac:dyDescent="0.2">
      <c r="A371" s="125"/>
      <c r="B371" s="6"/>
      <c r="C371" s="124"/>
      <c r="D371" s="124">
        <v>1</v>
      </c>
      <c r="E371" s="124" t="s">
        <v>895</v>
      </c>
      <c r="F371" s="124"/>
      <c r="G371" s="204"/>
      <c r="H371" s="204"/>
      <c r="I371" s="204">
        <f>G371+I299</f>
        <v>0</v>
      </c>
      <c r="J371" s="136"/>
      <c r="K371" s="136"/>
    </row>
    <row r="372" spans="1:11" x14ac:dyDescent="0.2">
      <c r="A372" s="125"/>
      <c r="B372" s="6"/>
      <c r="C372" s="124"/>
      <c r="D372" s="124">
        <v>2</v>
      </c>
      <c r="E372" s="124" t="s">
        <v>896</v>
      </c>
      <c r="F372" s="124"/>
      <c r="G372" s="204"/>
      <c r="H372" s="204"/>
      <c r="I372" s="204">
        <f t="shared" ref="I372:I375" si="14">G372+I300</f>
        <v>0</v>
      </c>
      <c r="J372" s="136"/>
      <c r="K372" s="136"/>
    </row>
    <row r="373" spans="1:11" x14ac:dyDescent="0.2">
      <c r="A373" s="125"/>
      <c r="B373" s="6"/>
      <c r="C373" s="124"/>
      <c r="D373" s="124">
        <v>3</v>
      </c>
      <c r="E373" s="124" t="s">
        <v>897</v>
      </c>
      <c r="F373" s="124"/>
      <c r="G373" s="204"/>
      <c r="H373" s="204"/>
      <c r="I373" s="204">
        <f t="shared" si="14"/>
        <v>0</v>
      </c>
      <c r="J373" s="136"/>
      <c r="K373" s="136"/>
    </row>
    <row r="374" spans="1:11" x14ac:dyDescent="0.2">
      <c r="A374" s="125"/>
      <c r="B374" s="6"/>
      <c r="C374" s="124"/>
      <c r="D374" s="124">
        <v>4</v>
      </c>
      <c r="E374" s="124" t="s">
        <v>902</v>
      </c>
      <c r="F374" s="124"/>
      <c r="G374" s="204"/>
      <c r="H374" s="204"/>
      <c r="I374" s="204">
        <f t="shared" si="14"/>
        <v>0</v>
      </c>
      <c r="J374" s="136"/>
      <c r="K374" s="136"/>
    </row>
    <row r="375" spans="1:11" x14ac:dyDescent="0.2">
      <c r="A375" s="125"/>
      <c r="B375" s="6"/>
      <c r="C375" s="124"/>
      <c r="D375" s="124">
        <v>5</v>
      </c>
      <c r="E375" s="124" t="s">
        <v>898</v>
      </c>
      <c r="F375" s="124"/>
      <c r="G375" s="204"/>
      <c r="H375" s="204"/>
      <c r="I375" s="204">
        <f t="shared" si="14"/>
        <v>0</v>
      </c>
      <c r="J375" s="136"/>
      <c r="K375" s="136"/>
    </row>
    <row r="376" spans="1:11" x14ac:dyDescent="0.2">
      <c r="A376" s="125"/>
      <c r="B376" s="6"/>
      <c r="C376" s="124"/>
      <c r="D376" s="124"/>
      <c r="E376" s="124"/>
      <c r="F376" s="124"/>
      <c r="G376" s="204"/>
      <c r="H376" s="204"/>
      <c r="I376" s="204"/>
      <c r="J376" s="136"/>
      <c r="K376" s="136"/>
    </row>
    <row r="377" spans="1:11" x14ac:dyDescent="0.2">
      <c r="A377" s="125"/>
      <c r="B377" s="6"/>
      <c r="C377" s="128"/>
      <c r="D377" s="128" t="s">
        <v>55</v>
      </c>
      <c r="E377" s="128"/>
      <c r="F377" s="124"/>
      <c r="G377" s="205">
        <f>SUM(G371:G375)</f>
        <v>0</v>
      </c>
      <c r="H377" s="204"/>
      <c r="I377" s="205">
        <f>SUM(I371:I375)</f>
        <v>0</v>
      </c>
      <c r="J377" s="136"/>
      <c r="K377" s="136"/>
    </row>
    <row r="378" spans="1:11" x14ac:dyDescent="0.2">
      <c r="A378" s="125"/>
      <c r="B378" s="6"/>
      <c r="C378" s="128"/>
      <c r="D378" s="128"/>
      <c r="E378" s="128"/>
      <c r="F378" s="124"/>
      <c r="G378" s="149"/>
      <c r="H378" s="204"/>
      <c r="I378" s="149"/>
      <c r="J378" s="136"/>
      <c r="K378" s="136"/>
    </row>
    <row r="379" spans="1:11" x14ac:dyDescent="0.2">
      <c r="A379" s="125"/>
      <c r="B379" s="6"/>
      <c r="C379" s="128" t="s">
        <v>899</v>
      </c>
      <c r="D379" s="124"/>
      <c r="E379" s="124"/>
      <c r="F379" s="124"/>
      <c r="G379" s="204"/>
      <c r="H379" s="204"/>
      <c r="I379" s="204"/>
      <c r="J379" s="136"/>
      <c r="K379" s="136"/>
    </row>
    <row r="380" spans="1:11" x14ac:dyDescent="0.2">
      <c r="A380" s="125"/>
      <c r="B380" s="6"/>
      <c r="C380" s="124"/>
      <c r="D380" s="124">
        <v>1</v>
      </c>
      <c r="E380" s="206" t="s">
        <v>328</v>
      </c>
      <c r="F380" s="124"/>
      <c r="G380" s="204"/>
      <c r="H380" s="204"/>
      <c r="I380" s="204">
        <f>G380+I308</f>
        <v>0</v>
      </c>
      <c r="J380" s="136"/>
      <c r="K380" s="136"/>
    </row>
    <row r="381" spans="1:11" x14ac:dyDescent="0.2">
      <c r="A381" s="125"/>
      <c r="B381" s="6"/>
      <c r="C381" s="124"/>
      <c r="D381" s="124">
        <v>2</v>
      </c>
      <c r="E381" s="206" t="s">
        <v>329</v>
      </c>
      <c r="F381" s="124"/>
      <c r="G381" s="204"/>
      <c r="H381" s="204"/>
      <c r="I381" s="204">
        <f t="shared" ref="I381:I386" si="15">G381+I309</f>
        <v>0</v>
      </c>
      <c r="J381" s="136"/>
      <c r="K381" s="136"/>
    </row>
    <row r="382" spans="1:11" x14ac:dyDescent="0.2">
      <c r="A382" s="125"/>
      <c r="B382" s="6"/>
      <c r="C382" s="124"/>
      <c r="D382" s="124">
        <v>3</v>
      </c>
      <c r="E382" s="206" t="s">
        <v>900</v>
      </c>
      <c r="F382" s="134"/>
      <c r="G382" s="204"/>
      <c r="H382" s="204"/>
      <c r="I382" s="204">
        <f t="shared" si="15"/>
        <v>1200000</v>
      </c>
      <c r="J382" s="136"/>
      <c r="K382" s="136"/>
    </row>
    <row r="383" spans="1:11" x14ac:dyDescent="0.2">
      <c r="A383" s="125"/>
      <c r="B383" s="6"/>
      <c r="C383" s="124"/>
      <c r="D383" s="124">
        <v>4</v>
      </c>
      <c r="E383" s="206" t="s">
        <v>901</v>
      </c>
      <c r="F383" s="124"/>
      <c r="G383" s="204"/>
      <c r="H383" s="204"/>
      <c r="I383" s="204">
        <f t="shared" si="15"/>
        <v>0</v>
      </c>
      <c r="J383" s="136"/>
      <c r="K383" s="136"/>
    </row>
    <row r="384" spans="1:11" x14ac:dyDescent="0.2">
      <c r="A384" s="125"/>
      <c r="B384" s="6"/>
      <c r="C384" s="124"/>
      <c r="D384" s="124">
        <v>5</v>
      </c>
      <c r="E384" s="206" t="s">
        <v>887</v>
      </c>
      <c r="F384" s="134"/>
      <c r="G384" s="204"/>
      <c r="H384" s="204"/>
      <c r="I384" s="204">
        <f t="shared" si="15"/>
        <v>0</v>
      </c>
      <c r="J384" s="136"/>
      <c r="K384" s="136"/>
    </row>
    <row r="385" spans="1:11" x14ac:dyDescent="0.2">
      <c r="A385" s="125"/>
      <c r="B385" s="6"/>
      <c r="C385" s="124"/>
      <c r="D385" s="124">
        <v>6</v>
      </c>
      <c r="E385" s="206" t="s">
        <v>903</v>
      </c>
      <c r="F385" s="134"/>
      <c r="G385" s="204"/>
      <c r="H385" s="204"/>
      <c r="I385" s="204">
        <f t="shared" si="15"/>
        <v>0</v>
      </c>
      <c r="J385" s="136"/>
      <c r="K385" s="136"/>
    </row>
    <row r="386" spans="1:11" x14ac:dyDescent="0.2">
      <c r="A386" s="125"/>
      <c r="B386" s="6"/>
      <c r="C386" s="124"/>
      <c r="D386" s="124">
        <v>7</v>
      </c>
      <c r="E386" s="206" t="s">
        <v>904</v>
      </c>
      <c r="F386" s="134"/>
      <c r="G386" s="204"/>
      <c r="H386" s="204"/>
      <c r="I386" s="204">
        <f t="shared" si="15"/>
        <v>0</v>
      </c>
      <c r="J386" s="136"/>
      <c r="K386" s="136"/>
    </row>
    <row r="387" spans="1:11" x14ac:dyDescent="0.2">
      <c r="A387" s="125"/>
      <c r="B387" s="134"/>
      <c r="C387" s="128"/>
      <c r="D387" s="124"/>
      <c r="E387" s="206"/>
      <c r="F387" s="124"/>
      <c r="G387" s="204"/>
      <c r="H387" s="204"/>
      <c r="I387" s="204"/>
      <c r="J387" s="136"/>
      <c r="K387" s="136"/>
    </row>
    <row r="388" spans="1:11" x14ac:dyDescent="0.2">
      <c r="A388" s="125"/>
      <c r="B388" s="6"/>
      <c r="C388" s="124"/>
      <c r="D388" s="128" t="s">
        <v>67</v>
      </c>
      <c r="E388" s="127"/>
      <c r="F388" s="208"/>
      <c r="G388" s="205">
        <f>SUM(G380:G387)</f>
        <v>0</v>
      </c>
      <c r="H388" s="204"/>
      <c r="I388" s="205">
        <f>SUM(I380:I387)</f>
        <v>1200000</v>
      </c>
      <c r="J388" s="136"/>
      <c r="K388" s="136"/>
    </row>
    <row r="389" spans="1:11" x14ac:dyDescent="0.2">
      <c r="A389" s="125"/>
      <c r="B389" s="6"/>
      <c r="C389" s="124"/>
      <c r="D389" s="124"/>
      <c r="E389" s="124"/>
      <c r="F389" s="124"/>
      <c r="G389" s="204"/>
      <c r="H389" s="204"/>
      <c r="I389" s="204"/>
      <c r="J389" s="136"/>
      <c r="K389" s="136"/>
    </row>
    <row r="390" spans="1:11" x14ac:dyDescent="0.2">
      <c r="A390" s="125"/>
      <c r="B390" s="6"/>
      <c r="C390" s="128" t="s">
        <v>905</v>
      </c>
      <c r="D390" s="128"/>
      <c r="E390" s="128"/>
      <c r="F390" s="124"/>
      <c r="G390" s="488">
        <f>G377-G388</f>
        <v>0</v>
      </c>
      <c r="H390" s="204"/>
      <c r="I390" s="488">
        <f>I377-I388</f>
        <v>-1200000</v>
      </c>
      <c r="K390" s="136"/>
    </row>
    <row r="391" spans="1:11" x14ac:dyDescent="0.2">
      <c r="A391" s="125"/>
      <c r="B391" s="6"/>
      <c r="C391" s="124"/>
      <c r="D391" s="124"/>
      <c r="E391" s="124"/>
      <c r="F391" s="124"/>
      <c r="G391" s="204"/>
      <c r="H391" s="204"/>
      <c r="I391" s="204"/>
      <c r="J391" s="136"/>
      <c r="K391" s="136"/>
    </row>
    <row r="392" spans="1:11" x14ac:dyDescent="0.2">
      <c r="A392" s="125"/>
      <c r="B392" s="203" t="s">
        <v>907</v>
      </c>
      <c r="C392" s="203" t="s">
        <v>908</v>
      </c>
      <c r="D392" s="151"/>
      <c r="E392" s="134"/>
      <c r="F392" s="134"/>
      <c r="G392" s="204"/>
      <c r="H392" s="204"/>
      <c r="I392" s="204"/>
      <c r="J392" s="136"/>
      <c r="K392" s="136"/>
    </row>
    <row r="393" spans="1:11" x14ac:dyDescent="0.2">
      <c r="A393" s="125"/>
      <c r="B393" s="134"/>
      <c r="C393" s="128"/>
      <c r="D393" s="124" t="s">
        <v>909</v>
      </c>
      <c r="E393" s="124"/>
      <c r="F393" s="124"/>
      <c r="G393" s="204"/>
      <c r="H393" s="204"/>
      <c r="I393" s="204">
        <f>G393+I321</f>
        <v>0</v>
      </c>
      <c r="J393" s="136"/>
      <c r="K393" s="136"/>
    </row>
    <row r="394" spans="1:11" x14ac:dyDescent="0.2">
      <c r="A394" s="125"/>
      <c r="B394" s="6"/>
      <c r="C394" s="128" t="s">
        <v>910</v>
      </c>
      <c r="D394" s="151"/>
      <c r="E394" s="151"/>
      <c r="F394" s="151"/>
      <c r="G394" s="205">
        <f>SUM(G393)</f>
        <v>0</v>
      </c>
      <c r="H394" s="149"/>
      <c r="I394" s="205">
        <f>SUM(I393)</f>
        <v>0</v>
      </c>
      <c r="J394" s="136"/>
      <c r="K394" s="136"/>
    </row>
    <row r="395" spans="1:11" x14ac:dyDescent="0.2">
      <c r="A395" s="125"/>
      <c r="B395" s="6"/>
      <c r="C395" s="694"/>
      <c r="D395" s="694"/>
      <c r="E395" s="694"/>
      <c r="F395" s="124"/>
      <c r="G395" s="433"/>
      <c r="H395" s="210"/>
      <c r="I395" s="433"/>
      <c r="J395" s="136"/>
      <c r="K395" s="136"/>
    </row>
    <row r="396" spans="1:11" x14ac:dyDescent="0.2">
      <c r="A396" s="125"/>
      <c r="B396" s="203" t="s">
        <v>911</v>
      </c>
      <c r="C396" s="203" t="s">
        <v>912</v>
      </c>
      <c r="D396" s="124"/>
      <c r="E396" s="124"/>
      <c r="F396" s="124"/>
      <c r="G396" s="210"/>
      <c r="H396" s="210"/>
      <c r="I396" s="210"/>
      <c r="J396" s="136"/>
      <c r="K396" s="136"/>
    </row>
    <row r="397" spans="1:11" x14ac:dyDescent="0.2">
      <c r="A397" s="125"/>
      <c r="B397" s="195"/>
      <c r="C397" s="195"/>
      <c r="D397" s="124" t="s">
        <v>913</v>
      </c>
      <c r="E397" s="195"/>
      <c r="F397" s="134"/>
      <c r="G397" s="433"/>
      <c r="H397" s="210"/>
      <c r="I397" s="204">
        <f>G397+I326</f>
        <v>0</v>
      </c>
      <c r="J397" s="136"/>
      <c r="K397" s="136"/>
    </row>
    <row r="398" spans="1:11" x14ac:dyDescent="0.2">
      <c r="A398" s="125"/>
      <c r="B398" s="203"/>
      <c r="C398" s="124"/>
      <c r="D398" s="124" t="s">
        <v>914</v>
      </c>
      <c r="E398" s="124"/>
      <c r="F398" s="124"/>
      <c r="G398" s="204"/>
      <c r="H398" s="204"/>
      <c r="I398" s="204">
        <f t="shared" ref="I398:I400" si="16">G398+I327</f>
        <v>0</v>
      </c>
      <c r="J398" s="136"/>
      <c r="K398" s="136"/>
    </row>
    <row r="399" spans="1:11" x14ac:dyDescent="0.2">
      <c r="A399" s="125"/>
      <c r="B399" s="6"/>
      <c r="C399" s="124"/>
      <c r="D399" s="151" t="s">
        <v>915</v>
      </c>
      <c r="E399" s="134"/>
      <c r="F399" s="134"/>
      <c r="G399" s="204"/>
      <c r="H399" s="204"/>
      <c r="I399" s="204">
        <f t="shared" si="16"/>
        <v>0</v>
      </c>
      <c r="J399" s="136"/>
      <c r="K399" s="136"/>
    </row>
    <row r="400" spans="1:11" x14ac:dyDescent="0.2">
      <c r="A400" s="125"/>
      <c r="B400" s="134"/>
      <c r="C400" s="128"/>
      <c r="D400" s="124" t="s">
        <v>916</v>
      </c>
      <c r="E400" s="124"/>
      <c r="F400" s="124"/>
      <c r="G400" s="593"/>
      <c r="H400" s="204"/>
      <c r="I400" s="204">
        <f t="shared" si="16"/>
        <v>0</v>
      </c>
      <c r="J400" s="136"/>
      <c r="K400" s="136"/>
    </row>
    <row r="401" spans="1:11" x14ac:dyDescent="0.2">
      <c r="A401" s="125"/>
      <c r="B401" s="6"/>
      <c r="C401" s="128" t="s">
        <v>917</v>
      </c>
      <c r="D401" s="151"/>
      <c r="E401" s="151"/>
      <c r="F401" s="151"/>
      <c r="G401" s="596">
        <f>SUM(G397:G400)</f>
        <v>0</v>
      </c>
      <c r="H401" s="204"/>
      <c r="I401" s="596">
        <f>SUM(I397:I400)</f>
        <v>0</v>
      </c>
      <c r="J401" s="136"/>
      <c r="K401" s="136"/>
    </row>
    <row r="402" spans="1:11" x14ac:dyDescent="0.2">
      <c r="A402" s="125"/>
      <c r="B402" s="6"/>
      <c r="C402" s="124"/>
      <c r="D402" s="124"/>
      <c r="E402" s="124"/>
      <c r="F402" s="124"/>
      <c r="G402" s="593"/>
      <c r="H402" s="204"/>
      <c r="I402" s="204"/>
      <c r="J402" s="136"/>
      <c r="K402" s="136"/>
    </row>
    <row r="403" spans="1:11" x14ac:dyDescent="0.2">
      <c r="A403" s="125"/>
      <c r="B403" s="203" t="s">
        <v>918</v>
      </c>
      <c r="C403" s="203" t="s">
        <v>919</v>
      </c>
      <c r="D403" s="130"/>
      <c r="E403" s="130"/>
      <c r="F403" s="124"/>
      <c r="G403" s="149">
        <f>G390-G394+G401</f>
        <v>0</v>
      </c>
      <c r="H403" s="204"/>
      <c r="I403" s="149">
        <f>I390-I394+I401</f>
        <v>-1200000</v>
      </c>
      <c r="J403" s="136"/>
      <c r="K403" s="136"/>
    </row>
    <row r="404" spans="1:11" x14ac:dyDescent="0.2">
      <c r="A404" s="125"/>
      <c r="B404" s="6"/>
      <c r="C404" s="124"/>
      <c r="D404" s="124"/>
      <c r="E404" s="124"/>
      <c r="F404" s="124"/>
      <c r="G404" s="204"/>
      <c r="H404" s="204"/>
      <c r="I404" s="204"/>
      <c r="J404" s="136"/>
      <c r="K404" s="136"/>
    </row>
    <row r="405" spans="1:11" x14ac:dyDescent="0.2">
      <c r="A405" s="125"/>
      <c r="B405" s="203" t="s">
        <v>920</v>
      </c>
      <c r="C405" s="203" t="s">
        <v>921</v>
      </c>
      <c r="D405" s="130"/>
      <c r="E405" s="124"/>
      <c r="F405" s="124"/>
      <c r="G405" s="149">
        <f>G335</f>
        <v>1311051855.8000002</v>
      </c>
      <c r="H405" s="149"/>
      <c r="I405" s="149">
        <v>1312251855.8000002</v>
      </c>
      <c r="J405" s="136"/>
      <c r="K405" s="136"/>
    </row>
    <row r="406" spans="1:11" x14ac:dyDescent="0.2">
      <c r="A406" s="125"/>
      <c r="B406" s="6"/>
      <c r="C406" s="124"/>
      <c r="D406" s="124"/>
      <c r="E406" s="124"/>
      <c r="F406" s="124"/>
      <c r="G406" s="149"/>
      <c r="H406" s="149"/>
      <c r="I406" s="149"/>
      <c r="J406" s="136"/>
      <c r="K406" s="136"/>
    </row>
    <row r="407" spans="1:11" x14ac:dyDescent="0.2">
      <c r="A407" s="125"/>
      <c r="B407" s="134" t="s">
        <v>922</v>
      </c>
      <c r="C407" s="128" t="s">
        <v>921</v>
      </c>
      <c r="D407" s="124"/>
      <c r="E407" s="124"/>
      <c r="F407" s="124"/>
      <c r="G407" s="149">
        <f>G403+G405</f>
        <v>1311051855.8000002</v>
      </c>
      <c r="H407" s="149"/>
      <c r="I407" s="149">
        <f>I403+I405</f>
        <v>1311051855.8000002</v>
      </c>
      <c r="J407" s="136"/>
      <c r="K407" s="136"/>
    </row>
    <row r="408" spans="1:11" x14ac:dyDescent="0.2">
      <c r="A408" s="120"/>
      <c r="B408" s="119"/>
      <c r="C408" s="119"/>
      <c r="D408" s="119"/>
      <c r="E408" s="119"/>
      <c r="F408" s="119"/>
      <c r="G408" s="218"/>
      <c r="H408" s="218"/>
      <c r="I408" s="218"/>
      <c r="J408" s="594"/>
      <c r="K408" s="594"/>
    </row>
    <row r="409" spans="1:11" x14ac:dyDescent="0.2">
      <c r="A409" s="761"/>
      <c r="B409" s="761"/>
      <c r="C409" s="761"/>
      <c r="D409" s="761"/>
      <c r="E409" s="761"/>
      <c r="F409" s="124"/>
      <c r="G409" s="219">
        <f>'Lap. Perputaran Uang '!I417</f>
        <v>0</v>
      </c>
      <c r="H409" s="219"/>
      <c r="I409" s="219"/>
    </row>
    <row r="410" spans="1:11" x14ac:dyDescent="0.2">
      <c r="A410" s="697" t="s">
        <v>579</v>
      </c>
      <c r="B410" s="697"/>
      <c r="C410" s="697"/>
      <c r="D410" s="697"/>
      <c r="E410" s="697"/>
      <c r="F410" s="697" t="s">
        <v>566</v>
      </c>
      <c r="G410" s="697"/>
      <c r="H410" s="697"/>
      <c r="I410" s="697"/>
      <c r="J410" s="697"/>
      <c r="K410" s="697"/>
    </row>
    <row r="411" spans="1:11" x14ac:dyDescent="0.2">
      <c r="A411" s="697" t="s">
        <v>678</v>
      </c>
      <c r="B411" s="697"/>
      <c r="C411" s="697"/>
      <c r="D411" s="697"/>
      <c r="E411" s="697"/>
      <c r="F411" s="697" t="s">
        <v>681</v>
      </c>
      <c r="G411" s="697"/>
      <c r="H411" s="697"/>
      <c r="I411" s="697"/>
      <c r="J411" s="697"/>
      <c r="K411" s="697"/>
    </row>
    <row r="412" spans="1:11" x14ac:dyDescent="0.2">
      <c r="A412" s="697"/>
      <c r="B412" s="697"/>
      <c r="C412" s="697"/>
      <c r="D412" s="697"/>
      <c r="E412" s="697"/>
      <c r="F412" s="697"/>
      <c r="G412" s="697"/>
      <c r="H412" s="697"/>
      <c r="I412" s="697"/>
      <c r="J412" s="697"/>
      <c r="K412" s="697"/>
    </row>
    <row r="413" spans="1:11" x14ac:dyDescent="0.2">
      <c r="A413" s="697"/>
      <c r="B413" s="697"/>
      <c r="C413" s="697"/>
      <c r="D413" s="697"/>
      <c r="E413" s="697"/>
      <c r="F413" s="697"/>
      <c r="G413" s="697"/>
      <c r="H413" s="697"/>
      <c r="I413" s="697"/>
      <c r="J413" s="697"/>
      <c r="K413" s="697"/>
    </row>
    <row r="414" spans="1:11" x14ac:dyDescent="0.2">
      <c r="A414" s="697" t="s">
        <v>655</v>
      </c>
      <c r="B414" s="697"/>
      <c r="C414" s="697"/>
      <c r="D414" s="697"/>
      <c r="E414" s="697"/>
      <c r="F414" s="697" t="s">
        <v>567</v>
      </c>
      <c r="G414" s="697"/>
      <c r="H414" s="697"/>
      <c r="I414" s="697"/>
      <c r="J414" s="697"/>
      <c r="K414" s="697"/>
    </row>
    <row r="415" spans="1:11" x14ac:dyDescent="0.2">
      <c r="A415" s="697"/>
      <c r="B415" s="697"/>
      <c r="C415" s="697"/>
      <c r="D415" s="697"/>
      <c r="E415" s="697"/>
      <c r="F415" s="697"/>
      <c r="G415" s="697"/>
      <c r="H415" s="697"/>
      <c r="I415" s="697"/>
      <c r="J415" s="697"/>
      <c r="K415" s="697"/>
    </row>
    <row r="416" spans="1:11" x14ac:dyDescent="0.2">
      <c r="A416" s="697"/>
      <c r="B416" s="697"/>
      <c r="C416" s="697"/>
      <c r="D416" s="697"/>
      <c r="E416" s="697"/>
      <c r="F416" s="697"/>
      <c r="G416" s="697"/>
      <c r="H416" s="697"/>
      <c r="I416" s="697"/>
      <c r="J416" s="697"/>
      <c r="K416" s="697"/>
    </row>
    <row r="432" spans="1:6" x14ac:dyDescent="0.2">
      <c r="A432" s="728" t="s">
        <v>890</v>
      </c>
      <c r="B432" s="728"/>
      <c r="C432" s="590" t="s">
        <v>891</v>
      </c>
      <c r="D432" s="124"/>
      <c r="E432" s="124"/>
      <c r="F432" s="124"/>
    </row>
    <row r="433" spans="1:11" x14ac:dyDescent="0.2">
      <c r="B433" s="124"/>
      <c r="C433" s="124"/>
      <c r="D433" s="124"/>
      <c r="E433" s="124"/>
      <c r="F433" s="124"/>
    </row>
    <row r="434" spans="1:11" ht="15" x14ac:dyDescent="0.25">
      <c r="A434" s="141"/>
      <c r="B434" s="762"/>
      <c r="C434" s="762"/>
      <c r="D434" s="762"/>
      <c r="E434" s="762"/>
      <c r="F434" s="762"/>
      <c r="G434" s="762"/>
      <c r="H434" s="762"/>
      <c r="I434" s="762"/>
      <c r="J434" s="591"/>
      <c r="K434" s="591"/>
    </row>
    <row r="435" spans="1:11" ht="15" x14ac:dyDescent="0.25">
      <c r="A435" s="125"/>
      <c r="B435" s="696" t="s">
        <v>650</v>
      </c>
      <c r="C435" s="696"/>
      <c r="D435" s="696"/>
      <c r="E435" s="696"/>
      <c r="F435" s="696"/>
      <c r="G435" s="696"/>
      <c r="H435" s="696"/>
      <c r="I435" s="696"/>
      <c r="J435" s="136"/>
      <c r="K435" s="136"/>
    </row>
    <row r="436" spans="1:11" ht="15" x14ac:dyDescent="0.25">
      <c r="A436" s="125"/>
      <c r="B436" s="696" t="s">
        <v>41</v>
      </c>
      <c r="C436" s="696"/>
      <c r="D436" s="696"/>
      <c r="E436" s="696"/>
      <c r="F436" s="696"/>
      <c r="G436" s="696"/>
      <c r="H436" s="696"/>
      <c r="I436" s="696"/>
      <c r="J436" s="136"/>
      <c r="K436" s="136"/>
    </row>
    <row r="437" spans="1:11" ht="15" x14ac:dyDescent="0.25">
      <c r="A437" s="125"/>
      <c r="B437" s="742" t="s">
        <v>927</v>
      </c>
      <c r="C437" s="742"/>
      <c r="D437" s="742"/>
      <c r="E437" s="742"/>
      <c r="F437" s="742"/>
      <c r="G437" s="742"/>
      <c r="H437" s="742"/>
      <c r="I437" s="742"/>
      <c r="J437" s="136"/>
      <c r="K437" s="136"/>
    </row>
    <row r="438" spans="1:11" x14ac:dyDescent="0.2">
      <c r="A438" s="125"/>
      <c r="B438" s="124"/>
      <c r="C438" s="124"/>
      <c r="D438" s="124"/>
      <c r="E438" s="124"/>
      <c r="F438" s="124"/>
      <c r="J438" s="136"/>
      <c r="K438" s="136"/>
    </row>
    <row r="439" spans="1:11" x14ac:dyDescent="0.2">
      <c r="A439" s="125"/>
      <c r="B439" s="755" t="s">
        <v>30</v>
      </c>
      <c r="C439" s="756"/>
      <c r="D439" s="756"/>
      <c r="E439" s="757"/>
      <c r="F439" s="127"/>
      <c r="G439" s="201" t="s">
        <v>37</v>
      </c>
      <c r="H439" s="127"/>
      <c r="I439" s="201" t="s">
        <v>39</v>
      </c>
      <c r="J439" s="136"/>
      <c r="K439" s="136"/>
    </row>
    <row r="440" spans="1:11" x14ac:dyDescent="0.2">
      <c r="A440" s="125"/>
      <c r="B440" s="758"/>
      <c r="C440" s="759"/>
      <c r="D440" s="759"/>
      <c r="E440" s="760"/>
      <c r="F440" s="127"/>
      <c r="G440" s="202" t="s">
        <v>40</v>
      </c>
      <c r="H440" s="127"/>
      <c r="I440" s="202" t="s">
        <v>40</v>
      </c>
      <c r="J440" s="136"/>
      <c r="K440" s="136"/>
    </row>
    <row r="441" spans="1:11" x14ac:dyDescent="0.2">
      <c r="A441" s="125"/>
      <c r="B441" s="203" t="s">
        <v>893</v>
      </c>
      <c r="C441" s="203" t="s">
        <v>906</v>
      </c>
      <c r="D441" s="203"/>
      <c r="E441" s="124"/>
      <c r="F441" s="124"/>
      <c r="G441" s="204"/>
      <c r="H441" s="204"/>
      <c r="I441" s="204"/>
      <c r="J441" s="136"/>
      <c r="K441" s="136"/>
    </row>
    <row r="442" spans="1:11" x14ac:dyDescent="0.2">
      <c r="A442" s="125"/>
      <c r="B442" s="6"/>
      <c r="C442" s="128" t="s">
        <v>894</v>
      </c>
      <c r="D442" s="124"/>
      <c r="E442" s="124"/>
      <c r="F442" s="124"/>
      <c r="G442" s="204"/>
      <c r="H442" s="204"/>
      <c r="I442" s="204"/>
      <c r="J442" s="136"/>
      <c r="K442" s="136"/>
    </row>
    <row r="443" spans="1:11" x14ac:dyDescent="0.2">
      <c r="A443" s="125"/>
      <c r="B443" s="6"/>
      <c r="C443" s="124"/>
      <c r="D443" s="124">
        <v>1</v>
      </c>
      <c r="E443" s="124" t="s">
        <v>895</v>
      </c>
      <c r="F443" s="124"/>
      <c r="G443" s="204"/>
      <c r="H443" s="204"/>
      <c r="I443" s="204">
        <f>G443+I371</f>
        <v>0</v>
      </c>
      <c r="J443" s="136"/>
      <c r="K443" s="136"/>
    </row>
    <row r="444" spans="1:11" x14ac:dyDescent="0.2">
      <c r="A444" s="125"/>
      <c r="B444" s="6"/>
      <c r="C444" s="124"/>
      <c r="D444" s="124">
        <v>2</v>
      </c>
      <c r="E444" s="124" t="s">
        <v>896</v>
      </c>
      <c r="F444" s="124"/>
      <c r="G444" s="204"/>
      <c r="H444" s="204"/>
      <c r="I444" s="204">
        <f t="shared" ref="I444:I447" si="17">G444+I372</f>
        <v>0</v>
      </c>
      <c r="J444" s="136"/>
      <c r="K444" s="136"/>
    </row>
    <row r="445" spans="1:11" x14ac:dyDescent="0.2">
      <c r="A445" s="125"/>
      <c r="B445" s="6"/>
      <c r="C445" s="124"/>
      <c r="D445" s="124">
        <v>3</v>
      </c>
      <c r="E445" s="124" t="s">
        <v>897</v>
      </c>
      <c r="F445" s="124"/>
      <c r="G445" s="204"/>
      <c r="H445" s="204"/>
      <c r="I445" s="204">
        <f t="shared" si="17"/>
        <v>0</v>
      </c>
      <c r="J445" s="136"/>
      <c r="K445" s="136"/>
    </row>
    <row r="446" spans="1:11" x14ac:dyDescent="0.2">
      <c r="A446" s="125"/>
      <c r="B446" s="6"/>
      <c r="C446" s="124"/>
      <c r="D446" s="124">
        <v>4</v>
      </c>
      <c r="E446" s="124" t="s">
        <v>902</v>
      </c>
      <c r="F446" s="124"/>
      <c r="G446" s="204"/>
      <c r="H446" s="204"/>
      <c r="I446" s="204">
        <f t="shared" si="17"/>
        <v>0</v>
      </c>
      <c r="J446" s="136"/>
      <c r="K446" s="136"/>
    </row>
    <row r="447" spans="1:11" x14ac:dyDescent="0.2">
      <c r="A447" s="125"/>
      <c r="B447" s="6"/>
      <c r="C447" s="124"/>
      <c r="D447" s="124">
        <v>5</v>
      </c>
      <c r="E447" s="124" t="s">
        <v>898</v>
      </c>
      <c r="F447" s="124"/>
      <c r="G447" s="204"/>
      <c r="H447" s="204"/>
      <c r="I447" s="204">
        <f t="shared" si="17"/>
        <v>0</v>
      </c>
      <c r="J447" s="136"/>
      <c r="K447" s="136"/>
    </row>
    <row r="448" spans="1:11" x14ac:dyDescent="0.2">
      <c r="A448" s="125"/>
      <c r="B448" s="6"/>
      <c r="C448" s="124"/>
      <c r="D448" s="124"/>
      <c r="E448" s="124"/>
      <c r="F448" s="124"/>
      <c r="G448" s="204"/>
      <c r="H448" s="204"/>
      <c r="I448" s="204"/>
      <c r="J448" s="136"/>
      <c r="K448" s="136"/>
    </row>
    <row r="449" spans="1:11" x14ac:dyDescent="0.2">
      <c r="A449" s="125"/>
      <c r="B449" s="6"/>
      <c r="C449" s="128"/>
      <c r="D449" s="128" t="s">
        <v>55</v>
      </c>
      <c r="E449" s="128"/>
      <c r="F449" s="124"/>
      <c r="G449" s="205">
        <f>SUM(G443:G447)</f>
        <v>0</v>
      </c>
      <c r="H449" s="204"/>
      <c r="I449" s="205">
        <f>SUM(I443:I447)</f>
        <v>0</v>
      </c>
      <c r="J449" s="136"/>
      <c r="K449" s="136"/>
    </row>
    <row r="450" spans="1:11" x14ac:dyDescent="0.2">
      <c r="A450" s="125"/>
      <c r="B450" s="6"/>
      <c r="C450" s="128"/>
      <c r="D450" s="128"/>
      <c r="E450" s="128"/>
      <c r="F450" s="124"/>
      <c r="G450" s="149"/>
      <c r="H450" s="204"/>
      <c r="I450" s="149"/>
      <c r="J450" s="136"/>
      <c r="K450" s="136"/>
    </row>
    <row r="451" spans="1:11" x14ac:dyDescent="0.2">
      <c r="A451" s="125"/>
      <c r="B451" s="6"/>
      <c r="C451" s="128" t="s">
        <v>899</v>
      </c>
      <c r="D451" s="124"/>
      <c r="E451" s="124"/>
      <c r="F451" s="124"/>
      <c r="G451" s="204"/>
      <c r="H451" s="204"/>
      <c r="I451" s="204"/>
      <c r="J451" s="136"/>
      <c r="K451" s="136"/>
    </row>
    <row r="452" spans="1:11" x14ac:dyDescent="0.2">
      <c r="A452" s="125"/>
      <c r="B452" s="6"/>
      <c r="C452" s="124"/>
      <c r="D452" s="124">
        <v>1</v>
      </c>
      <c r="E452" s="206" t="s">
        <v>328</v>
      </c>
      <c r="F452" s="124"/>
      <c r="G452" s="204"/>
      <c r="H452" s="204"/>
      <c r="I452" s="204">
        <f>G452+I380</f>
        <v>0</v>
      </c>
      <c r="J452" s="136"/>
      <c r="K452" s="136"/>
    </row>
    <row r="453" spans="1:11" x14ac:dyDescent="0.2">
      <c r="A453" s="125"/>
      <c r="B453" s="6"/>
      <c r="C453" s="124"/>
      <c r="D453" s="124">
        <v>2</v>
      </c>
      <c r="E453" s="206" t="s">
        <v>329</v>
      </c>
      <c r="F453" s="124"/>
      <c r="G453" s="204"/>
      <c r="H453" s="204"/>
      <c r="I453" s="204">
        <f t="shared" ref="I453:I458" si="18">G453+I381</f>
        <v>0</v>
      </c>
      <c r="J453" s="136"/>
      <c r="K453" s="136"/>
    </row>
    <row r="454" spans="1:11" x14ac:dyDescent="0.2">
      <c r="A454" s="125"/>
      <c r="B454" s="6"/>
      <c r="C454" s="124"/>
      <c r="D454" s="124">
        <v>3</v>
      </c>
      <c r="E454" s="206" t="s">
        <v>900</v>
      </c>
      <c r="F454" s="134"/>
      <c r="G454" s="204"/>
      <c r="H454" s="204"/>
      <c r="I454" s="204">
        <f t="shared" si="18"/>
        <v>1200000</v>
      </c>
      <c r="J454" s="136"/>
      <c r="K454" s="136"/>
    </row>
    <row r="455" spans="1:11" x14ac:dyDescent="0.2">
      <c r="A455" s="125"/>
      <c r="B455" s="6"/>
      <c r="C455" s="124"/>
      <c r="D455" s="124">
        <v>4</v>
      </c>
      <c r="E455" s="206" t="s">
        <v>901</v>
      </c>
      <c r="F455" s="124"/>
      <c r="G455" s="204"/>
      <c r="H455" s="204"/>
      <c r="I455" s="204">
        <f t="shared" si="18"/>
        <v>0</v>
      </c>
      <c r="J455" s="136"/>
      <c r="K455" s="136"/>
    </row>
    <row r="456" spans="1:11" x14ac:dyDescent="0.2">
      <c r="A456" s="125"/>
      <c r="B456" s="6"/>
      <c r="C456" s="124"/>
      <c r="D456" s="124">
        <v>5</v>
      </c>
      <c r="E456" s="206" t="s">
        <v>887</v>
      </c>
      <c r="F456" s="134"/>
      <c r="G456" s="204"/>
      <c r="H456" s="204"/>
      <c r="I456" s="204">
        <f t="shared" si="18"/>
        <v>0</v>
      </c>
      <c r="J456" s="136"/>
      <c r="K456" s="136"/>
    </row>
    <row r="457" spans="1:11" x14ac:dyDescent="0.2">
      <c r="A457" s="125"/>
      <c r="B457" s="6"/>
      <c r="C457" s="124"/>
      <c r="D457" s="124">
        <v>6</v>
      </c>
      <c r="E457" s="206" t="s">
        <v>903</v>
      </c>
      <c r="F457" s="134"/>
      <c r="G457" s="204"/>
      <c r="H457" s="204"/>
      <c r="I457" s="204">
        <f t="shared" si="18"/>
        <v>0</v>
      </c>
      <c r="J457" s="136"/>
      <c r="K457" s="136"/>
    </row>
    <row r="458" spans="1:11" x14ac:dyDescent="0.2">
      <c r="A458" s="125"/>
      <c r="B458" s="6"/>
      <c r="C458" s="124"/>
      <c r="D458" s="124">
        <v>7</v>
      </c>
      <c r="E458" s="206" t="s">
        <v>904</v>
      </c>
      <c r="F458" s="134"/>
      <c r="G458" s="204"/>
      <c r="H458" s="204"/>
      <c r="I458" s="204">
        <f t="shared" si="18"/>
        <v>0</v>
      </c>
      <c r="J458" s="136"/>
      <c r="K458" s="136"/>
    </row>
    <row r="459" spans="1:11" x14ac:dyDescent="0.2">
      <c r="A459" s="125"/>
      <c r="B459" s="134"/>
      <c r="C459" s="128"/>
      <c r="D459" s="124"/>
      <c r="E459" s="206"/>
      <c r="F459" s="124"/>
      <c r="G459" s="204"/>
      <c r="H459" s="204"/>
      <c r="I459" s="204"/>
      <c r="J459" s="136"/>
      <c r="K459" s="136"/>
    </row>
    <row r="460" spans="1:11" x14ac:dyDescent="0.2">
      <c r="A460" s="125"/>
      <c r="B460" s="6"/>
      <c r="C460" s="124"/>
      <c r="D460" s="128" t="s">
        <v>67</v>
      </c>
      <c r="E460" s="127"/>
      <c r="F460" s="208"/>
      <c r="G460" s="205">
        <f>SUM(G452:G459)</f>
        <v>0</v>
      </c>
      <c r="H460" s="204"/>
      <c r="I460" s="205">
        <f>SUM(I452:I459)</f>
        <v>1200000</v>
      </c>
      <c r="J460" s="136"/>
      <c r="K460" s="136"/>
    </row>
    <row r="461" spans="1:11" x14ac:dyDescent="0.2">
      <c r="A461" s="125"/>
      <c r="B461" s="6"/>
      <c r="C461" s="124"/>
      <c r="D461" s="124"/>
      <c r="E461" s="124"/>
      <c r="F461" s="124"/>
      <c r="G461" s="204"/>
      <c r="H461" s="204"/>
      <c r="I461" s="204"/>
      <c r="J461" s="136"/>
      <c r="K461" s="136"/>
    </row>
    <row r="462" spans="1:11" x14ac:dyDescent="0.2">
      <c r="A462" s="125"/>
      <c r="B462" s="6"/>
      <c r="C462" s="128" t="s">
        <v>905</v>
      </c>
      <c r="D462" s="128"/>
      <c r="E462" s="128"/>
      <c r="F462" s="124"/>
      <c r="G462" s="488">
        <f>G449-G460</f>
        <v>0</v>
      </c>
      <c r="H462" s="204"/>
      <c r="I462" s="488">
        <f>I449-I460</f>
        <v>-1200000</v>
      </c>
      <c r="K462" s="136"/>
    </row>
    <row r="463" spans="1:11" x14ac:dyDescent="0.2">
      <c r="A463" s="125"/>
      <c r="B463" s="6"/>
      <c r="C463" s="124"/>
      <c r="D463" s="124"/>
      <c r="E463" s="124"/>
      <c r="F463" s="124"/>
      <c r="G463" s="204"/>
      <c r="H463" s="204"/>
      <c r="I463" s="204"/>
      <c r="J463" s="136"/>
      <c r="K463" s="136"/>
    </row>
    <row r="464" spans="1:11" x14ac:dyDescent="0.2">
      <c r="A464" s="125"/>
      <c r="B464" s="203" t="s">
        <v>907</v>
      </c>
      <c r="C464" s="203" t="s">
        <v>908</v>
      </c>
      <c r="D464" s="151"/>
      <c r="E464" s="134"/>
      <c r="F464" s="134"/>
      <c r="G464" s="204"/>
      <c r="H464" s="204"/>
      <c r="I464" s="204"/>
      <c r="J464" s="136"/>
      <c r="K464" s="136"/>
    </row>
    <row r="465" spans="1:11" x14ac:dyDescent="0.2">
      <c r="A465" s="125"/>
      <c r="B465" s="134"/>
      <c r="C465" s="128"/>
      <c r="D465" s="124" t="s">
        <v>909</v>
      </c>
      <c r="E465" s="124"/>
      <c r="F465" s="124"/>
      <c r="G465" s="204"/>
      <c r="H465" s="204"/>
      <c r="I465" s="204">
        <f>G465+I393</f>
        <v>0</v>
      </c>
      <c r="J465" s="136"/>
      <c r="K465" s="136"/>
    </row>
    <row r="466" spans="1:11" x14ac:dyDescent="0.2">
      <c r="A466" s="125"/>
      <c r="B466" s="6"/>
      <c r="C466" s="128" t="s">
        <v>910</v>
      </c>
      <c r="D466" s="151"/>
      <c r="E466" s="151"/>
      <c r="F466" s="151"/>
      <c r="G466" s="205">
        <f>SUM(G465)</f>
        <v>0</v>
      </c>
      <c r="H466" s="149"/>
      <c r="I466" s="205">
        <f>SUM(I465)</f>
        <v>0</v>
      </c>
      <c r="J466" s="136"/>
      <c r="K466" s="136"/>
    </row>
    <row r="467" spans="1:11" x14ac:dyDescent="0.2">
      <c r="A467" s="125"/>
      <c r="B467" s="6"/>
      <c r="C467" s="694"/>
      <c r="D467" s="694"/>
      <c r="E467" s="694"/>
      <c r="F467" s="124"/>
      <c r="G467" s="433"/>
      <c r="H467" s="210"/>
      <c r="I467" s="433"/>
      <c r="J467" s="136"/>
      <c r="K467" s="136"/>
    </row>
    <row r="468" spans="1:11" x14ac:dyDescent="0.2">
      <c r="A468" s="125"/>
      <c r="B468" s="203" t="s">
        <v>911</v>
      </c>
      <c r="C468" s="203" t="s">
        <v>912</v>
      </c>
      <c r="D468" s="124"/>
      <c r="E468" s="124"/>
      <c r="F468" s="124"/>
      <c r="G468" s="210"/>
      <c r="H468" s="210"/>
      <c r="I468" s="210"/>
      <c r="J468" s="136"/>
      <c r="K468" s="136"/>
    </row>
    <row r="469" spans="1:11" x14ac:dyDescent="0.2">
      <c r="A469" s="125"/>
      <c r="B469" s="195"/>
      <c r="C469" s="195"/>
      <c r="D469" s="124" t="s">
        <v>913</v>
      </c>
      <c r="E469" s="195"/>
      <c r="F469" s="134"/>
      <c r="G469" s="433"/>
      <c r="H469" s="210"/>
      <c r="I469" s="204">
        <f>G469+I398</f>
        <v>0</v>
      </c>
      <c r="J469" s="136"/>
      <c r="K469" s="136"/>
    </row>
    <row r="470" spans="1:11" x14ac:dyDescent="0.2">
      <c r="A470" s="125"/>
      <c r="B470" s="203"/>
      <c r="C470" s="124"/>
      <c r="D470" s="124" t="s">
        <v>914</v>
      </c>
      <c r="E470" s="124"/>
      <c r="F470" s="124"/>
      <c r="G470" s="204"/>
      <c r="H470" s="204"/>
      <c r="I470" s="204">
        <f t="shared" ref="I470:I472" si="19">G470+I399</f>
        <v>0</v>
      </c>
      <c r="J470" s="136"/>
      <c r="K470" s="136"/>
    </row>
    <row r="471" spans="1:11" x14ac:dyDescent="0.2">
      <c r="A471" s="125"/>
      <c r="B471" s="6"/>
      <c r="C471" s="124"/>
      <c r="D471" s="151" t="s">
        <v>915</v>
      </c>
      <c r="E471" s="134"/>
      <c r="F471" s="134"/>
      <c r="G471" s="204"/>
      <c r="H471" s="204"/>
      <c r="I471" s="204">
        <f t="shared" si="19"/>
        <v>0</v>
      </c>
      <c r="J471" s="136"/>
      <c r="K471" s="136"/>
    </row>
    <row r="472" spans="1:11" x14ac:dyDescent="0.2">
      <c r="A472" s="125"/>
      <c r="B472" s="134"/>
      <c r="C472" s="128"/>
      <c r="D472" s="124" t="s">
        <v>916</v>
      </c>
      <c r="E472" s="124"/>
      <c r="F472" s="124"/>
      <c r="G472" s="593"/>
      <c r="H472" s="204"/>
      <c r="I472" s="204">
        <f t="shared" si="19"/>
        <v>0</v>
      </c>
      <c r="J472" s="136"/>
      <c r="K472" s="136"/>
    </row>
    <row r="473" spans="1:11" x14ac:dyDescent="0.2">
      <c r="A473" s="125"/>
      <c r="B473" s="6"/>
      <c r="C473" s="128" t="s">
        <v>917</v>
      </c>
      <c r="D473" s="151"/>
      <c r="E473" s="151"/>
      <c r="F473" s="151"/>
      <c r="G473" s="596">
        <f>SUM(G469:G472)</f>
        <v>0</v>
      </c>
      <c r="H473" s="204"/>
      <c r="I473" s="596">
        <f>SUM(I469:I472)</f>
        <v>0</v>
      </c>
      <c r="J473" s="136"/>
      <c r="K473" s="136"/>
    </row>
    <row r="474" spans="1:11" x14ac:dyDescent="0.2">
      <c r="A474" s="125"/>
      <c r="B474" s="6"/>
      <c r="C474" s="124"/>
      <c r="D474" s="124"/>
      <c r="E474" s="124"/>
      <c r="F474" s="124"/>
      <c r="G474" s="593"/>
      <c r="H474" s="204"/>
      <c r="I474" s="204"/>
      <c r="J474" s="136"/>
      <c r="K474" s="136"/>
    </row>
    <row r="475" spans="1:11" x14ac:dyDescent="0.2">
      <c r="A475" s="125"/>
      <c r="B475" s="203" t="s">
        <v>918</v>
      </c>
      <c r="C475" s="203" t="s">
        <v>919</v>
      </c>
      <c r="D475" s="130"/>
      <c r="E475" s="130"/>
      <c r="F475" s="124"/>
      <c r="G475" s="149">
        <f>G462-G466+G473</f>
        <v>0</v>
      </c>
      <c r="H475" s="204"/>
      <c r="I475" s="149">
        <f>I462-I466+I473</f>
        <v>-1200000</v>
      </c>
      <c r="J475" s="136"/>
      <c r="K475" s="136"/>
    </row>
    <row r="476" spans="1:11" x14ac:dyDescent="0.2">
      <c r="A476" s="125"/>
      <c r="B476" s="6"/>
      <c r="C476" s="124"/>
      <c r="D476" s="124"/>
      <c r="E476" s="124"/>
      <c r="F476" s="124"/>
      <c r="G476" s="204"/>
      <c r="H476" s="204"/>
      <c r="I476" s="204"/>
      <c r="J476" s="136"/>
      <c r="K476" s="136"/>
    </row>
    <row r="477" spans="1:11" x14ac:dyDescent="0.2">
      <c r="A477" s="125"/>
      <c r="B477" s="203" t="s">
        <v>920</v>
      </c>
      <c r="C477" s="203" t="s">
        <v>921</v>
      </c>
      <c r="D477" s="130"/>
      <c r="E477" s="124"/>
      <c r="F477" s="124"/>
      <c r="G477" s="149">
        <f>G407</f>
        <v>1311051855.8000002</v>
      </c>
      <c r="H477" s="149"/>
      <c r="I477" s="149">
        <v>1312251855.8000002</v>
      </c>
      <c r="J477" s="136"/>
      <c r="K477" s="136"/>
    </row>
    <row r="478" spans="1:11" x14ac:dyDescent="0.2">
      <c r="A478" s="125"/>
      <c r="B478" s="6"/>
      <c r="C478" s="124"/>
      <c r="D478" s="124"/>
      <c r="E478" s="124"/>
      <c r="F478" s="124"/>
      <c r="G478" s="149"/>
      <c r="H478" s="149"/>
      <c r="I478" s="149"/>
      <c r="J478" s="136"/>
      <c r="K478" s="136"/>
    </row>
    <row r="479" spans="1:11" x14ac:dyDescent="0.2">
      <c r="A479" s="125"/>
      <c r="B479" s="134" t="s">
        <v>922</v>
      </c>
      <c r="C479" s="128" t="s">
        <v>921</v>
      </c>
      <c r="D479" s="124"/>
      <c r="E479" s="124"/>
      <c r="F479" s="124"/>
      <c r="G479" s="149">
        <f>G475+G477</f>
        <v>1311051855.8000002</v>
      </c>
      <c r="H479" s="149"/>
      <c r="I479" s="149">
        <f>I475+I477</f>
        <v>1311051855.8000002</v>
      </c>
      <c r="J479" s="136"/>
      <c r="K479" s="136"/>
    </row>
    <row r="480" spans="1:11" x14ac:dyDescent="0.2">
      <c r="A480" s="120"/>
      <c r="B480" s="119"/>
      <c r="C480" s="119"/>
      <c r="D480" s="119"/>
      <c r="E480" s="119"/>
      <c r="F480" s="119"/>
      <c r="G480" s="218"/>
      <c r="H480" s="218"/>
      <c r="I480" s="218"/>
      <c r="J480" s="594"/>
      <c r="K480" s="594"/>
    </row>
    <row r="481" spans="1:11" x14ac:dyDescent="0.2">
      <c r="A481" s="761"/>
      <c r="B481" s="761"/>
      <c r="C481" s="761"/>
      <c r="D481" s="761"/>
      <c r="E481" s="761"/>
      <c r="F481" s="124"/>
      <c r="G481" s="219">
        <f>'Lap. Perputaran Uang '!I492</f>
        <v>0</v>
      </c>
      <c r="H481" s="219"/>
      <c r="I481" s="219"/>
    </row>
    <row r="482" spans="1:11" x14ac:dyDescent="0.2">
      <c r="A482" s="697" t="s">
        <v>579</v>
      </c>
      <c r="B482" s="697"/>
      <c r="C482" s="697"/>
      <c r="D482" s="697"/>
      <c r="E482" s="697"/>
      <c r="F482" s="697" t="s">
        <v>566</v>
      </c>
      <c r="G482" s="697"/>
      <c r="H482" s="697"/>
      <c r="I482" s="697"/>
      <c r="J482" s="697"/>
      <c r="K482" s="697"/>
    </row>
    <row r="483" spans="1:11" x14ac:dyDescent="0.2">
      <c r="A483" s="697" t="s">
        <v>678</v>
      </c>
      <c r="B483" s="697"/>
      <c r="C483" s="697"/>
      <c r="D483" s="697"/>
      <c r="E483" s="697"/>
      <c r="F483" s="697" t="s">
        <v>681</v>
      </c>
      <c r="G483" s="697"/>
      <c r="H483" s="697"/>
      <c r="I483" s="697"/>
      <c r="J483" s="697"/>
      <c r="K483" s="697"/>
    </row>
    <row r="484" spans="1:11" x14ac:dyDescent="0.2">
      <c r="A484" s="697"/>
      <c r="B484" s="697"/>
      <c r="C484" s="697"/>
      <c r="D484" s="697"/>
      <c r="E484" s="697"/>
      <c r="F484" s="697"/>
      <c r="G484" s="697"/>
      <c r="H484" s="697"/>
      <c r="I484" s="697"/>
      <c r="J484" s="697"/>
      <c r="K484" s="697"/>
    </row>
    <row r="485" spans="1:11" x14ac:dyDescent="0.2">
      <c r="A485" s="697"/>
      <c r="B485" s="697"/>
      <c r="C485" s="697"/>
      <c r="D485" s="697"/>
      <c r="E485" s="697"/>
      <c r="F485" s="697"/>
      <c r="G485" s="697"/>
      <c r="H485" s="697"/>
      <c r="I485" s="697"/>
      <c r="J485" s="697"/>
      <c r="K485" s="697"/>
    </row>
    <row r="486" spans="1:11" x14ac:dyDescent="0.2">
      <c r="A486" s="697" t="s">
        <v>655</v>
      </c>
      <c r="B486" s="697"/>
      <c r="C486" s="697"/>
      <c r="D486" s="697"/>
      <c r="E486" s="697"/>
      <c r="F486" s="697" t="s">
        <v>567</v>
      </c>
      <c r="G486" s="697"/>
      <c r="H486" s="697"/>
      <c r="I486" s="697"/>
      <c r="J486" s="697"/>
      <c r="K486" s="697"/>
    </row>
    <row r="487" spans="1:11" x14ac:dyDescent="0.2">
      <c r="A487" s="697"/>
      <c r="B487" s="697"/>
      <c r="C487" s="697"/>
      <c r="D487" s="697"/>
      <c r="E487" s="697"/>
      <c r="F487" s="697"/>
      <c r="G487" s="697"/>
      <c r="H487" s="697"/>
      <c r="I487" s="697"/>
      <c r="J487" s="697"/>
      <c r="K487" s="697"/>
    </row>
    <row r="504" spans="1:11" x14ac:dyDescent="0.2">
      <c r="A504" s="728" t="s">
        <v>890</v>
      </c>
      <c r="B504" s="728"/>
      <c r="C504" s="590" t="s">
        <v>891</v>
      </c>
      <c r="D504" s="124"/>
      <c r="E504" s="124"/>
      <c r="F504" s="124"/>
    </row>
    <row r="505" spans="1:11" x14ac:dyDescent="0.2">
      <c r="B505" s="124"/>
      <c r="C505" s="124"/>
      <c r="D505" s="124"/>
      <c r="E505" s="124"/>
      <c r="F505" s="124"/>
    </row>
    <row r="506" spans="1:11" ht="15" x14ac:dyDescent="0.25">
      <c r="A506" s="141"/>
      <c r="B506" s="762"/>
      <c r="C506" s="762"/>
      <c r="D506" s="762"/>
      <c r="E506" s="762"/>
      <c r="F506" s="762"/>
      <c r="G506" s="762"/>
      <c r="H506" s="762"/>
      <c r="I506" s="762"/>
      <c r="J506" s="591"/>
      <c r="K506" s="591"/>
    </row>
    <row r="507" spans="1:11" ht="15" x14ac:dyDescent="0.25">
      <c r="A507" s="125"/>
      <c r="B507" s="696" t="s">
        <v>650</v>
      </c>
      <c r="C507" s="696"/>
      <c r="D507" s="696"/>
      <c r="E507" s="696"/>
      <c r="F507" s="696"/>
      <c r="G507" s="696"/>
      <c r="H507" s="696"/>
      <c r="I507" s="696"/>
      <c r="J507" s="136"/>
      <c r="K507" s="136"/>
    </row>
    <row r="508" spans="1:11" ht="15" x14ac:dyDescent="0.25">
      <c r="A508" s="125"/>
      <c r="B508" s="696" t="s">
        <v>41</v>
      </c>
      <c r="C508" s="696"/>
      <c r="D508" s="696"/>
      <c r="E508" s="696"/>
      <c r="F508" s="696"/>
      <c r="G508" s="696"/>
      <c r="H508" s="696"/>
      <c r="I508" s="696"/>
      <c r="J508" s="136"/>
      <c r="K508" s="136"/>
    </row>
    <row r="509" spans="1:11" ht="15" x14ac:dyDescent="0.25">
      <c r="A509" s="125"/>
      <c r="B509" s="742" t="s">
        <v>928</v>
      </c>
      <c r="C509" s="742"/>
      <c r="D509" s="742"/>
      <c r="E509" s="742"/>
      <c r="F509" s="742"/>
      <c r="G509" s="742"/>
      <c r="H509" s="742"/>
      <c r="I509" s="742"/>
      <c r="J509" s="136"/>
      <c r="K509" s="136"/>
    </row>
    <row r="510" spans="1:11" x14ac:dyDescent="0.2">
      <c r="A510" s="125"/>
      <c r="B510" s="124"/>
      <c r="C510" s="124"/>
      <c r="D510" s="124"/>
      <c r="E510" s="124"/>
      <c r="F510" s="124"/>
      <c r="J510" s="136"/>
      <c r="K510" s="136"/>
    </row>
    <row r="511" spans="1:11" x14ac:dyDescent="0.2">
      <c r="A511" s="125"/>
      <c r="B511" s="755" t="s">
        <v>30</v>
      </c>
      <c r="C511" s="756"/>
      <c r="D511" s="756"/>
      <c r="E511" s="757"/>
      <c r="F511" s="127"/>
      <c r="G511" s="201" t="s">
        <v>37</v>
      </c>
      <c r="H511" s="127"/>
      <c r="I511" s="201" t="s">
        <v>39</v>
      </c>
      <c r="J511" s="136"/>
      <c r="K511" s="136"/>
    </row>
    <row r="512" spans="1:11" x14ac:dyDescent="0.2">
      <c r="A512" s="125"/>
      <c r="B512" s="758"/>
      <c r="C512" s="759"/>
      <c r="D512" s="759"/>
      <c r="E512" s="760"/>
      <c r="F512" s="127"/>
      <c r="G512" s="202" t="s">
        <v>40</v>
      </c>
      <c r="H512" s="127"/>
      <c r="I512" s="202" t="s">
        <v>40</v>
      </c>
      <c r="J512" s="136"/>
      <c r="K512" s="136"/>
    </row>
    <row r="513" spans="1:11" x14ac:dyDescent="0.2">
      <c r="A513" s="125"/>
      <c r="B513" s="203" t="s">
        <v>893</v>
      </c>
      <c r="C513" s="203" t="s">
        <v>906</v>
      </c>
      <c r="D513" s="203"/>
      <c r="E513" s="124"/>
      <c r="F513" s="124"/>
      <c r="G513" s="204"/>
      <c r="H513" s="204"/>
      <c r="I513" s="204"/>
      <c r="J513" s="136"/>
      <c r="K513" s="136"/>
    </row>
    <row r="514" spans="1:11" x14ac:dyDescent="0.2">
      <c r="A514" s="125"/>
      <c r="B514" s="6"/>
      <c r="C514" s="128" t="s">
        <v>894</v>
      </c>
      <c r="D514" s="124"/>
      <c r="E514" s="124"/>
      <c r="F514" s="124"/>
      <c r="G514" s="204"/>
      <c r="H514" s="204"/>
      <c r="I514" s="204"/>
      <c r="J514" s="136"/>
      <c r="K514" s="136"/>
    </row>
    <row r="515" spans="1:11" x14ac:dyDescent="0.2">
      <c r="A515" s="125"/>
      <c r="B515" s="6"/>
      <c r="C515" s="124"/>
      <c r="D515" s="124">
        <v>1</v>
      </c>
      <c r="E515" s="124" t="s">
        <v>895</v>
      </c>
      <c r="F515" s="124"/>
      <c r="G515" s="204"/>
      <c r="H515" s="204"/>
      <c r="I515" s="204">
        <f>G515+I443</f>
        <v>0</v>
      </c>
      <c r="J515" s="136"/>
      <c r="K515" s="136"/>
    </row>
    <row r="516" spans="1:11" x14ac:dyDescent="0.2">
      <c r="A516" s="125"/>
      <c r="B516" s="6"/>
      <c r="C516" s="124"/>
      <c r="D516" s="124">
        <v>2</v>
      </c>
      <c r="E516" s="124" t="s">
        <v>896</v>
      </c>
      <c r="F516" s="124"/>
      <c r="G516" s="204"/>
      <c r="H516" s="204"/>
      <c r="I516" s="204">
        <f t="shared" ref="I516:I519" si="20">G516+I444</f>
        <v>0</v>
      </c>
      <c r="J516" s="136"/>
      <c r="K516" s="136"/>
    </row>
    <row r="517" spans="1:11" x14ac:dyDescent="0.2">
      <c r="A517" s="125"/>
      <c r="B517" s="6"/>
      <c r="C517" s="124"/>
      <c r="D517" s="124">
        <v>3</v>
      </c>
      <c r="E517" s="124" t="s">
        <v>897</v>
      </c>
      <c r="F517" s="124"/>
      <c r="G517" s="204"/>
      <c r="H517" s="204"/>
      <c r="I517" s="204">
        <f t="shared" si="20"/>
        <v>0</v>
      </c>
      <c r="J517" s="136"/>
      <c r="K517" s="136"/>
    </row>
    <row r="518" spans="1:11" x14ac:dyDescent="0.2">
      <c r="A518" s="125"/>
      <c r="B518" s="6"/>
      <c r="C518" s="124"/>
      <c r="D518" s="124">
        <v>4</v>
      </c>
      <c r="E518" s="124" t="s">
        <v>902</v>
      </c>
      <c r="F518" s="124"/>
      <c r="G518" s="204"/>
      <c r="H518" s="204"/>
      <c r="I518" s="204">
        <f t="shared" si="20"/>
        <v>0</v>
      </c>
      <c r="J518" s="136"/>
      <c r="K518" s="136"/>
    </row>
    <row r="519" spans="1:11" x14ac:dyDescent="0.2">
      <c r="A519" s="125"/>
      <c r="B519" s="6"/>
      <c r="C519" s="124"/>
      <c r="D519" s="124">
        <v>5</v>
      </c>
      <c r="E519" s="124" t="s">
        <v>898</v>
      </c>
      <c r="F519" s="124"/>
      <c r="G519" s="204"/>
      <c r="H519" s="204"/>
      <c r="I519" s="204">
        <f t="shared" si="20"/>
        <v>0</v>
      </c>
      <c r="J519" s="136"/>
      <c r="K519" s="136"/>
    </row>
    <row r="520" spans="1:11" x14ac:dyDescent="0.2">
      <c r="A520" s="125"/>
      <c r="B520" s="6"/>
      <c r="C520" s="124"/>
      <c r="D520" s="124"/>
      <c r="E520" s="124"/>
      <c r="F520" s="124"/>
      <c r="G520" s="204"/>
      <c r="H520" s="204"/>
      <c r="I520" s="204"/>
      <c r="J520" s="136"/>
      <c r="K520" s="136"/>
    </row>
    <row r="521" spans="1:11" x14ac:dyDescent="0.2">
      <c r="A521" s="125"/>
      <c r="B521" s="6"/>
      <c r="C521" s="128"/>
      <c r="D521" s="128" t="s">
        <v>55</v>
      </c>
      <c r="E521" s="128"/>
      <c r="F521" s="124"/>
      <c r="G521" s="205">
        <f>SUM(G515:G519)</f>
        <v>0</v>
      </c>
      <c r="H521" s="204"/>
      <c r="I521" s="205">
        <f>SUM(I515:I519)</f>
        <v>0</v>
      </c>
      <c r="J521" s="136"/>
      <c r="K521" s="136"/>
    </row>
    <row r="522" spans="1:11" x14ac:dyDescent="0.2">
      <c r="A522" s="125"/>
      <c r="B522" s="6"/>
      <c r="C522" s="128"/>
      <c r="D522" s="128"/>
      <c r="E522" s="128"/>
      <c r="F522" s="124"/>
      <c r="G522" s="149"/>
      <c r="H522" s="204"/>
      <c r="I522" s="149"/>
      <c r="J522" s="136"/>
      <c r="K522" s="136"/>
    </row>
    <row r="523" spans="1:11" x14ac:dyDescent="0.2">
      <c r="A523" s="125"/>
      <c r="B523" s="6"/>
      <c r="C523" s="128" t="s">
        <v>899</v>
      </c>
      <c r="D523" s="124"/>
      <c r="E523" s="124"/>
      <c r="F523" s="124"/>
      <c r="G523" s="204"/>
      <c r="H523" s="204"/>
      <c r="I523" s="204"/>
      <c r="J523" s="136"/>
      <c r="K523" s="136"/>
    </row>
    <row r="524" spans="1:11" x14ac:dyDescent="0.2">
      <c r="A524" s="125"/>
      <c r="B524" s="6"/>
      <c r="C524" s="124"/>
      <c r="D524" s="124">
        <v>1</v>
      </c>
      <c r="E524" s="206" t="s">
        <v>328</v>
      </c>
      <c r="F524" s="124"/>
      <c r="G524" s="204"/>
      <c r="H524" s="204"/>
      <c r="I524" s="204">
        <f>G524+I452</f>
        <v>0</v>
      </c>
      <c r="J524" s="136"/>
      <c r="K524" s="136"/>
    </row>
    <row r="525" spans="1:11" x14ac:dyDescent="0.2">
      <c r="A525" s="125"/>
      <c r="B525" s="6"/>
      <c r="C525" s="124"/>
      <c r="D525" s="124">
        <v>2</v>
      </c>
      <c r="E525" s="206" t="s">
        <v>329</v>
      </c>
      <c r="F525" s="124"/>
      <c r="G525" s="204"/>
      <c r="H525" s="204"/>
      <c r="I525" s="204">
        <f t="shared" ref="I525:I530" si="21">G525+I453</f>
        <v>0</v>
      </c>
      <c r="J525" s="136"/>
      <c r="K525" s="136"/>
    </row>
    <row r="526" spans="1:11" x14ac:dyDescent="0.2">
      <c r="A526" s="125"/>
      <c r="B526" s="6"/>
      <c r="C526" s="124"/>
      <c r="D526" s="124">
        <v>3</v>
      </c>
      <c r="E526" s="206" t="s">
        <v>900</v>
      </c>
      <c r="F526" s="134"/>
      <c r="G526" s="204"/>
      <c r="H526" s="204"/>
      <c r="I526" s="204">
        <f t="shared" si="21"/>
        <v>1200000</v>
      </c>
      <c r="J526" s="136"/>
      <c r="K526" s="136"/>
    </row>
    <row r="527" spans="1:11" x14ac:dyDescent="0.2">
      <c r="A527" s="125"/>
      <c r="B527" s="6"/>
      <c r="C527" s="124"/>
      <c r="D527" s="124">
        <v>4</v>
      </c>
      <c r="E527" s="206" t="s">
        <v>901</v>
      </c>
      <c r="F527" s="124"/>
      <c r="G527" s="204"/>
      <c r="H527" s="204"/>
      <c r="I527" s="204">
        <f t="shared" si="21"/>
        <v>0</v>
      </c>
      <c r="J527" s="136"/>
      <c r="K527" s="136"/>
    </row>
    <row r="528" spans="1:11" x14ac:dyDescent="0.2">
      <c r="A528" s="125"/>
      <c r="B528" s="6"/>
      <c r="C528" s="124"/>
      <c r="D528" s="124">
        <v>5</v>
      </c>
      <c r="E528" s="206" t="s">
        <v>887</v>
      </c>
      <c r="F528" s="134"/>
      <c r="G528" s="204"/>
      <c r="H528" s="204"/>
      <c r="I528" s="204">
        <f t="shared" si="21"/>
        <v>0</v>
      </c>
      <c r="J528" s="136"/>
      <c r="K528" s="136"/>
    </row>
    <row r="529" spans="1:11" x14ac:dyDescent="0.2">
      <c r="A529" s="125"/>
      <c r="B529" s="6"/>
      <c r="C529" s="124"/>
      <c r="D529" s="124">
        <v>6</v>
      </c>
      <c r="E529" s="206" t="s">
        <v>903</v>
      </c>
      <c r="F529" s="134"/>
      <c r="G529" s="204"/>
      <c r="H529" s="204"/>
      <c r="I529" s="204">
        <f t="shared" si="21"/>
        <v>0</v>
      </c>
      <c r="J529" s="136"/>
      <c r="K529" s="136"/>
    </row>
    <row r="530" spans="1:11" x14ac:dyDescent="0.2">
      <c r="A530" s="125"/>
      <c r="B530" s="6"/>
      <c r="C530" s="124"/>
      <c r="D530" s="124">
        <v>7</v>
      </c>
      <c r="E530" s="206" t="s">
        <v>904</v>
      </c>
      <c r="F530" s="134"/>
      <c r="G530" s="204"/>
      <c r="H530" s="204"/>
      <c r="I530" s="204">
        <f t="shared" si="21"/>
        <v>0</v>
      </c>
      <c r="J530" s="136"/>
      <c r="K530" s="136"/>
    </row>
    <row r="531" spans="1:11" x14ac:dyDescent="0.2">
      <c r="A531" s="125"/>
      <c r="B531" s="134"/>
      <c r="C531" s="128"/>
      <c r="D531" s="124"/>
      <c r="E531" s="206"/>
      <c r="F531" s="124"/>
      <c r="G531" s="204"/>
      <c r="H531" s="204"/>
      <c r="I531" s="204"/>
      <c r="J531" s="136"/>
      <c r="K531" s="136"/>
    </row>
    <row r="532" spans="1:11" x14ac:dyDescent="0.2">
      <c r="A532" s="125"/>
      <c r="B532" s="6"/>
      <c r="C532" s="124"/>
      <c r="D532" s="128" t="s">
        <v>67</v>
      </c>
      <c r="E532" s="127"/>
      <c r="F532" s="208"/>
      <c r="G532" s="205">
        <f>SUM(G524:G531)</f>
        <v>0</v>
      </c>
      <c r="H532" s="204"/>
      <c r="I532" s="205">
        <f>SUM(I524:I531)</f>
        <v>1200000</v>
      </c>
      <c r="J532" s="136"/>
      <c r="K532" s="136"/>
    </row>
    <row r="533" spans="1:11" x14ac:dyDescent="0.2">
      <c r="A533" s="125"/>
      <c r="B533" s="6"/>
      <c r="C533" s="124"/>
      <c r="D533" s="124"/>
      <c r="E533" s="124"/>
      <c r="F533" s="124"/>
      <c r="G533" s="204"/>
      <c r="H533" s="204"/>
      <c r="I533" s="204"/>
      <c r="J533" s="136"/>
      <c r="K533" s="136"/>
    </row>
    <row r="534" spans="1:11" x14ac:dyDescent="0.2">
      <c r="A534" s="125"/>
      <c r="B534" s="6"/>
      <c r="C534" s="128" t="s">
        <v>905</v>
      </c>
      <c r="D534" s="128"/>
      <c r="E534" s="128"/>
      <c r="F534" s="124"/>
      <c r="G534" s="488">
        <f>G521-G532</f>
        <v>0</v>
      </c>
      <c r="H534" s="204"/>
      <c r="I534" s="488">
        <f>I521-I532</f>
        <v>-1200000</v>
      </c>
      <c r="K534" s="136"/>
    </row>
    <row r="535" spans="1:11" x14ac:dyDescent="0.2">
      <c r="A535" s="125"/>
      <c r="B535" s="6"/>
      <c r="C535" s="124"/>
      <c r="D535" s="124"/>
      <c r="E535" s="124"/>
      <c r="F535" s="124"/>
      <c r="G535" s="204"/>
      <c r="H535" s="204"/>
      <c r="I535" s="204"/>
      <c r="J535" s="136"/>
      <c r="K535" s="136"/>
    </row>
    <row r="536" spans="1:11" x14ac:dyDescent="0.2">
      <c r="A536" s="125"/>
      <c r="B536" s="203" t="s">
        <v>907</v>
      </c>
      <c r="C536" s="203" t="s">
        <v>908</v>
      </c>
      <c r="D536" s="151"/>
      <c r="E536" s="134"/>
      <c r="F536" s="134"/>
      <c r="G536" s="204"/>
      <c r="H536" s="204"/>
      <c r="I536" s="204"/>
      <c r="J536" s="136"/>
      <c r="K536" s="136"/>
    </row>
    <row r="537" spans="1:11" x14ac:dyDescent="0.2">
      <c r="A537" s="125"/>
      <c r="B537" s="134"/>
      <c r="C537" s="128"/>
      <c r="D537" s="124" t="s">
        <v>909</v>
      </c>
      <c r="E537" s="124"/>
      <c r="F537" s="124"/>
      <c r="G537" s="204"/>
      <c r="H537" s="204"/>
      <c r="I537" s="204">
        <f>G537+I465</f>
        <v>0</v>
      </c>
      <c r="J537" s="136"/>
      <c r="K537" s="136"/>
    </row>
    <row r="538" spans="1:11" x14ac:dyDescent="0.2">
      <c r="A538" s="125"/>
      <c r="B538" s="6"/>
      <c r="C538" s="128" t="s">
        <v>910</v>
      </c>
      <c r="D538" s="151"/>
      <c r="E538" s="151"/>
      <c r="F538" s="151"/>
      <c r="G538" s="205">
        <f>SUM(G537)</f>
        <v>0</v>
      </c>
      <c r="H538" s="149"/>
      <c r="I538" s="205">
        <f>SUM(I537)</f>
        <v>0</v>
      </c>
      <c r="J538" s="136"/>
      <c r="K538" s="136"/>
    </row>
    <row r="539" spans="1:11" x14ac:dyDescent="0.2">
      <c r="A539" s="125"/>
      <c r="B539" s="6"/>
      <c r="C539" s="694"/>
      <c r="D539" s="694"/>
      <c r="E539" s="694"/>
      <c r="F539" s="124"/>
      <c r="G539" s="433"/>
      <c r="H539" s="210"/>
      <c r="I539" s="433"/>
      <c r="J539" s="136"/>
      <c r="K539" s="136"/>
    </row>
    <row r="540" spans="1:11" x14ac:dyDescent="0.2">
      <c r="A540" s="125"/>
      <c r="B540" s="203" t="s">
        <v>911</v>
      </c>
      <c r="C540" s="203" t="s">
        <v>912</v>
      </c>
      <c r="D540" s="124"/>
      <c r="E540" s="124"/>
      <c r="F540" s="124"/>
      <c r="G540" s="210"/>
      <c r="H540" s="210"/>
      <c r="I540" s="210"/>
      <c r="J540" s="136"/>
      <c r="K540" s="136"/>
    </row>
    <row r="541" spans="1:11" x14ac:dyDescent="0.2">
      <c r="A541" s="125"/>
      <c r="B541" s="195"/>
      <c r="C541" s="195"/>
      <c r="D541" s="124" t="s">
        <v>913</v>
      </c>
      <c r="E541" s="195"/>
      <c r="F541" s="134"/>
      <c r="G541" s="433"/>
      <c r="H541" s="210"/>
      <c r="I541" s="204">
        <f>G541+I470</f>
        <v>0</v>
      </c>
      <c r="J541" s="136"/>
      <c r="K541" s="136"/>
    </row>
    <row r="542" spans="1:11" x14ac:dyDescent="0.2">
      <c r="A542" s="125"/>
      <c r="B542" s="203"/>
      <c r="C542" s="124"/>
      <c r="D542" s="124" t="s">
        <v>914</v>
      </c>
      <c r="E542" s="124"/>
      <c r="F542" s="124"/>
      <c r="G542" s="204"/>
      <c r="H542" s="204"/>
      <c r="I542" s="204">
        <f t="shared" ref="I542:I544" si="22">G542+I471</f>
        <v>0</v>
      </c>
      <c r="J542" s="136"/>
      <c r="K542" s="136"/>
    </row>
    <row r="543" spans="1:11" x14ac:dyDescent="0.2">
      <c r="A543" s="125"/>
      <c r="B543" s="6"/>
      <c r="C543" s="124"/>
      <c r="D543" s="151" t="s">
        <v>915</v>
      </c>
      <c r="E543" s="134"/>
      <c r="F543" s="134"/>
      <c r="G543" s="204"/>
      <c r="H543" s="204"/>
      <c r="I543" s="204">
        <f t="shared" si="22"/>
        <v>0</v>
      </c>
      <c r="J543" s="136"/>
      <c r="K543" s="136"/>
    </row>
    <row r="544" spans="1:11" x14ac:dyDescent="0.2">
      <c r="A544" s="125"/>
      <c r="B544" s="134"/>
      <c r="C544" s="128"/>
      <c r="D544" s="124" t="s">
        <v>916</v>
      </c>
      <c r="E544" s="124"/>
      <c r="F544" s="124"/>
      <c r="G544" s="593"/>
      <c r="H544" s="204"/>
      <c r="I544" s="204">
        <f t="shared" si="22"/>
        <v>0</v>
      </c>
      <c r="J544" s="136"/>
      <c r="K544" s="136"/>
    </row>
    <row r="545" spans="1:11" x14ac:dyDescent="0.2">
      <c r="A545" s="125"/>
      <c r="B545" s="6"/>
      <c r="C545" s="128" t="s">
        <v>917</v>
      </c>
      <c r="D545" s="151"/>
      <c r="E545" s="151"/>
      <c r="F545" s="151"/>
      <c r="G545" s="596">
        <f>SUM(G541:G544)</f>
        <v>0</v>
      </c>
      <c r="H545" s="204"/>
      <c r="I545" s="596">
        <f>SUM(I541:I544)</f>
        <v>0</v>
      </c>
      <c r="J545" s="136"/>
      <c r="K545" s="136"/>
    </row>
    <row r="546" spans="1:11" x14ac:dyDescent="0.2">
      <c r="A546" s="125"/>
      <c r="B546" s="6"/>
      <c r="C546" s="124"/>
      <c r="D546" s="124"/>
      <c r="E546" s="124"/>
      <c r="F546" s="124"/>
      <c r="G546" s="593"/>
      <c r="H546" s="204"/>
      <c r="I546" s="204"/>
      <c r="J546" s="136"/>
      <c r="K546" s="136"/>
    </row>
    <row r="547" spans="1:11" x14ac:dyDescent="0.2">
      <c r="A547" s="125"/>
      <c r="B547" s="203" t="s">
        <v>918</v>
      </c>
      <c r="C547" s="203" t="s">
        <v>919</v>
      </c>
      <c r="D547" s="130"/>
      <c r="E547" s="130"/>
      <c r="F547" s="124"/>
      <c r="G547" s="149">
        <f>G534-G538+G545</f>
        <v>0</v>
      </c>
      <c r="H547" s="204"/>
      <c r="I547" s="149">
        <f>I534-I538+I545</f>
        <v>-1200000</v>
      </c>
      <c r="J547" s="136"/>
      <c r="K547" s="136"/>
    </row>
    <row r="548" spans="1:11" x14ac:dyDescent="0.2">
      <c r="A548" s="125"/>
      <c r="B548" s="6"/>
      <c r="C548" s="124"/>
      <c r="D548" s="124"/>
      <c r="E548" s="124"/>
      <c r="F548" s="124"/>
      <c r="G548" s="204"/>
      <c r="H548" s="204"/>
      <c r="I548" s="204"/>
      <c r="J548" s="136"/>
      <c r="K548" s="136"/>
    </row>
    <row r="549" spans="1:11" x14ac:dyDescent="0.2">
      <c r="A549" s="125"/>
      <c r="B549" s="203" t="s">
        <v>920</v>
      </c>
      <c r="C549" s="203" t="s">
        <v>921</v>
      </c>
      <c r="D549" s="130"/>
      <c r="E549" s="124"/>
      <c r="F549" s="124"/>
      <c r="G549" s="149">
        <f>G479</f>
        <v>1311051855.8000002</v>
      </c>
      <c r="H549" s="149"/>
      <c r="I549" s="149">
        <v>1312251855.8000002</v>
      </c>
      <c r="J549" s="136"/>
      <c r="K549" s="136"/>
    </row>
    <row r="550" spans="1:11" x14ac:dyDescent="0.2">
      <c r="A550" s="125"/>
      <c r="B550" s="6"/>
      <c r="C550" s="124"/>
      <c r="D550" s="124"/>
      <c r="E550" s="124"/>
      <c r="F550" s="124"/>
      <c r="G550" s="149"/>
      <c r="H550" s="149"/>
      <c r="I550" s="149"/>
      <c r="J550" s="136"/>
      <c r="K550" s="136"/>
    </row>
    <row r="551" spans="1:11" x14ac:dyDescent="0.2">
      <c r="A551" s="125"/>
      <c r="B551" s="134" t="s">
        <v>922</v>
      </c>
      <c r="C551" s="128" t="s">
        <v>921</v>
      </c>
      <c r="D551" s="124"/>
      <c r="E551" s="124"/>
      <c r="F551" s="124"/>
      <c r="G551" s="149">
        <f>G547+G549</f>
        <v>1311051855.8000002</v>
      </c>
      <c r="H551" s="149"/>
      <c r="I551" s="149">
        <f>I547+I549</f>
        <v>1311051855.8000002</v>
      </c>
      <c r="J551" s="136"/>
      <c r="K551" s="136"/>
    </row>
    <row r="552" spans="1:11" x14ac:dyDescent="0.2">
      <c r="A552" s="120"/>
      <c r="B552" s="119"/>
      <c r="C552" s="119"/>
      <c r="D552" s="119"/>
      <c r="E552" s="119"/>
      <c r="F552" s="119"/>
      <c r="G552" s="218"/>
      <c r="H552" s="218"/>
      <c r="I552" s="218"/>
      <c r="J552" s="594"/>
      <c r="K552" s="594"/>
    </row>
    <row r="553" spans="1:11" x14ac:dyDescent="0.2">
      <c r="A553" s="761"/>
      <c r="B553" s="761"/>
      <c r="C553" s="761"/>
      <c r="D553" s="761"/>
      <c r="E553" s="761"/>
      <c r="F553" s="124"/>
      <c r="G553" s="219">
        <f>'Lap. Perputaran Uang '!I569</f>
        <v>0</v>
      </c>
      <c r="H553" s="219"/>
      <c r="I553" s="219"/>
    </row>
    <row r="554" spans="1:11" x14ac:dyDescent="0.2">
      <c r="A554" s="697" t="s">
        <v>579</v>
      </c>
      <c r="B554" s="697"/>
      <c r="C554" s="697"/>
      <c r="D554" s="697"/>
      <c r="E554" s="697"/>
      <c r="F554" s="697" t="s">
        <v>566</v>
      </c>
      <c r="G554" s="697"/>
      <c r="H554" s="697"/>
      <c r="I554" s="697"/>
      <c r="J554" s="697"/>
      <c r="K554" s="697"/>
    </row>
    <row r="555" spans="1:11" x14ac:dyDescent="0.2">
      <c r="A555" s="697" t="s">
        <v>678</v>
      </c>
      <c r="B555" s="697"/>
      <c r="C555" s="697"/>
      <c r="D555" s="697"/>
      <c r="E555" s="697"/>
      <c r="F555" s="697" t="s">
        <v>681</v>
      </c>
      <c r="G555" s="697"/>
      <c r="H555" s="697"/>
      <c r="I555" s="697"/>
      <c r="J555" s="697"/>
      <c r="K555" s="697"/>
    </row>
    <row r="556" spans="1:11" x14ac:dyDescent="0.2">
      <c r="A556" s="697"/>
      <c r="B556" s="697"/>
      <c r="C556" s="697"/>
      <c r="D556" s="697"/>
      <c r="E556" s="697"/>
      <c r="F556" s="697"/>
      <c r="G556" s="697"/>
      <c r="H556" s="697"/>
      <c r="I556" s="697"/>
      <c r="J556" s="697"/>
      <c r="K556" s="697"/>
    </row>
    <row r="557" spans="1:11" x14ac:dyDescent="0.2">
      <c r="A557" s="697"/>
      <c r="B557" s="697"/>
      <c r="C557" s="697"/>
      <c r="D557" s="697"/>
      <c r="E557" s="697"/>
      <c r="F557" s="697"/>
      <c r="G557" s="697"/>
      <c r="H557" s="697"/>
      <c r="I557" s="697"/>
      <c r="J557" s="697"/>
      <c r="K557" s="697"/>
    </row>
    <row r="558" spans="1:11" x14ac:dyDescent="0.2">
      <c r="A558" s="697" t="s">
        <v>655</v>
      </c>
      <c r="B558" s="697"/>
      <c r="C558" s="697"/>
      <c r="D558" s="697"/>
      <c r="E558" s="697"/>
      <c r="F558" s="697" t="s">
        <v>567</v>
      </c>
      <c r="G558" s="697"/>
      <c r="H558" s="697"/>
      <c r="I558" s="697"/>
      <c r="J558" s="697"/>
      <c r="K558" s="697"/>
    </row>
    <row r="559" spans="1:11" x14ac:dyDescent="0.2">
      <c r="A559" s="697"/>
      <c r="B559" s="697"/>
      <c r="C559" s="697"/>
      <c r="D559" s="697"/>
      <c r="E559" s="697"/>
      <c r="F559" s="697"/>
      <c r="G559" s="697"/>
      <c r="H559" s="697"/>
      <c r="I559" s="697"/>
      <c r="J559" s="697"/>
      <c r="K559" s="697"/>
    </row>
    <row r="576" spans="1:6" x14ac:dyDescent="0.2">
      <c r="A576" s="728" t="s">
        <v>890</v>
      </c>
      <c r="B576" s="728"/>
      <c r="C576" s="590" t="s">
        <v>891</v>
      </c>
      <c r="D576" s="124"/>
      <c r="E576" s="124"/>
      <c r="F576" s="124"/>
    </row>
    <row r="577" spans="1:11" x14ac:dyDescent="0.2">
      <c r="B577" s="124"/>
      <c r="C577" s="124"/>
      <c r="D577" s="124"/>
      <c r="E577" s="124"/>
      <c r="F577" s="124"/>
    </row>
    <row r="578" spans="1:11" ht="15" x14ac:dyDescent="0.25">
      <c r="A578" s="141"/>
      <c r="B578" s="762"/>
      <c r="C578" s="762"/>
      <c r="D578" s="762"/>
      <c r="E578" s="762"/>
      <c r="F578" s="762"/>
      <c r="G578" s="762"/>
      <c r="H578" s="762"/>
      <c r="I578" s="762"/>
      <c r="J578" s="591"/>
      <c r="K578" s="591"/>
    </row>
    <row r="579" spans="1:11" ht="15" x14ac:dyDescent="0.25">
      <c r="A579" s="125"/>
      <c r="B579" s="696" t="s">
        <v>650</v>
      </c>
      <c r="C579" s="696"/>
      <c r="D579" s="696"/>
      <c r="E579" s="696"/>
      <c r="F579" s="696"/>
      <c r="G579" s="696"/>
      <c r="H579" s="696"/>
      <c r="I579" s="696"/>
      <c r="J579" s="136"/>
      <c r="K579" s="136"/>
    </row>
    <row r="580" spans="1:11" ht="15" x14ac:dyDescent="0.25">
      <c r="A580" s="125"/>
      <c r="B580" s="696" t="s">
        <v>41</v>
      </c>
      <c r="C580" s="696"/>
      <c r="D580" s="696"/>
      <c r="E580" s="696"/>
      <c r="F580" s="696"/>
      <c r="G580" s="696"/>
      <c r="H580" s="696"/>
      <c r="I580" s="696"/>
      <c r="J580" s="136"/>
      <c r="K580" s="136"/>
    </row>
    <row r="581" spans="1:11" ht="15" x14ac:dyDescent="0.25">
      <c r="A581" s="125"/>
      <c r="B581" s="742" t="s">
        <v>929</v>
      </c>
      <c r="C581" s="742"/>
      <c r="D581" s="742"/>
      <c r="E581" s="742"/>
      <c r="F581" s="742"/>
      <c r="G581" s="742"/>
      <c r="H581" s="742"/>
      <c r="I581" s="742"/>
      <c r="J581" s="136"/>
      <c r="K581" s="136"/>
    </row>
    <row r="582" spans="1:11" x14ac:dyDescent="0.2">
      <c r="A582" s="125"/>
      <c r="B582" s="124"/>
      <c r="C582" s="124"/>
      <c r="D582" s="124"/>
      <c r="E582" s="124"/>
      <c r="F582" s="124"/>
      <c r="J582" s="136"/>
      <c r="K582" s="136"/>
    </row>
    <row r="583" spans="1:11" x14ac:dyDescent="0.2">
      <c r="A583" s="125"/>
      <c r="B583" s="755" t="s">
        <v>30</v>
      </c>
      <c r="C583" s="756"/>
      <c r="D583" s="756"/>
      <c r="E583" s="757"/>
      <c r="F583" s="127"/>
      <c r="G583" s="201" t="s">
        <v>37</v>
      </c>
      <c r="H583" s="127"/>
      <c r="I583" s="201" t="s">
        <v>39</v>
      </c>
      <c r="J583" s="136"/>
      <c r="K583" s="136"/>
    </row>
    <row r="584" spans="1:11" x14ac:dyDescent="0.2">
      <c r="A584" s="125"/>
      <c r="B584" s="758"/>
      <c r="C584" s="759"/>
      <c r="D584" s="759"/>
      <c r="E584" s="760"/>
      <c r="F584" s="127"/>
      <c r="G584" s="202" t="s">
        <v>40</v>
      </c>
      <c r="H584" s="127"/>
      <c r="I584" s="202" t="s">
        <v>40</v>
      </c>
      <c r="J584" s="136"/>
      <c r="K584" s="136"/>
    </row>
    <row r="585" spans="1:11" x14ac:dyDescent="0.2">
      <c r="A585" s="125"/>
      <c r="B585" s="203" t="s">
        <v>893</v>
      </c>
      <c r="C585" s="203" t="s">
        <v>906</v>
      </c>
      <c r="D585" s="203"/>
      <c r="E585" s="124"/>
      <c r="F585" s="124"/>
      <c r="G585" s="204"/>
      <c r="H585" s="204"/>
      <c r="I585" s="204"/>
      <c r="J585" s="136"/>
      <c r="K585" s="136"/>
    </row>
    <row r="586" spans="1:11" x14ac:dyDescent="0.2">
      <c r="A586" s="125"/>
      <c r="B586" s="6"/>
      <c r="C586" s="128" t="s">
        <v>894</v>
      </c>
      <c r="D586" s="124"/>
      <c r="E586" s="124"/>
      <c r="F586" s="124"/>
      <c r="G586" s="204"/>
      <c r="H586" s="204"/>
      <c r="I586" s="204"/>
      <c r="J586" s="136"/>
      <c r="K586" s="136"/>
    </row>
    <row r="587" spans="1:11" x14ac:dyDescent="0.2">
      <c r="A587" s="125"/>
      <c r="B587" s="6"/>
      <c r="C587" s="124"/>
      <c r="D587" s="124">
        <v>1</v>
      </c>
      <c r="E587" s="124" t="s">
        <v>895</v>
      </c>
      <c r="F587" s="124"/>
      <c r="G587" s="204"/>
      <c r="H587" s="204"/>
      <c r="I587" s="204">
        <f>G587+I515</f>
        <v>0</v>
      </c>
      <c r="J587" s="136"/>
      <c r="K587" s="136"/>
    </row>
    <row r="588" spans="1:11" x14ac:dyDescent="0.2">
      <c r="A588" s="125"/>
      <c r="B588" s="6"/>
      <c r="C588" s="124"/>
      <c r="D588" s="124">
        <v>2</v>
      </c>
      <c r="E588" s="124" t="s">
        <v>896</v>
      </c>
      <c r="F588" s="124"/>
      <c r="G588" s="204"/>
      <c r="H588" s="204"/>
      <c r="I588" s="204">
        <f t="shared" ref="I588:I591" si="23">G588+I516</f>
        <v>0</v>
      </c>
      <c r="J588" s="136"/>
      <c r="K588" s="136"/>
    </row>
    <row r="589" spans="1:11" x14ac:dyDescent="0.2">
      <c r="A589" s="125"/>
      <c r="B589" s="6"/>
      <c r="C589" s="124"/>
      <c r="D589" s="124">
        <v>3</v>
      </c>
      <c r="E589" s="124" t="s">
        <v>897</v>
      </c>
      <c r="F589" s="124"/>
      <c r="G589" s="204"/>
      <c r="H589" s="204"/>
      <c r="I589" s="204">
        <f t="shared" si="23"/>
        <v>0</v>
      </c>
      <c r="J589" s="136"/>
      <c r="K589" s="136"/>
    </row>
    <row r="590" spans="1:11" x14ac:dyDescent="0.2">
      <c r="A590" s="125"/>
      <c r="B590" s="6"/>
      <c r="C590" s="124"/>
      <c r="D590" s="124">
        <v>4</v>
      </c>
      <c r="E590" s="124" t="s">
        <v>902</v>
      </c>
      <c r="F590" s="124"/>
      <c r="G590" s="204"/>
      <c r="H590" s="204"/>
      <c r="I590" s="204">
        <f t="shared" si="23"/>
        <v>0</v>
      </c>
      <c r="J590" s="136"/>
      <c r="K590" s="136"/>
    </row>
    <row r="591" spans="1:11" x14ac:dyDescent="0.2">
      <c r="A591" s="125"/>
      <c r="B591" s="6"/>
      <c r="C591" s="124"/>
      <c r="D591" s="124">
        <v>5</v>
      </c>
      <c r="E591" s="124" t="s">
        <v>898</v>
      </c>
      <c r="F591" s="124"/>
      <c r="G591" s="204"/>
      <c r="H591" s="204"/>
      <c r="I591" s="204">
        <f t="shared" si="23"/>
        <v>0</v>
      </c>
      <c r="J591" s="136"/>
      <c r="K591" s="136"/>
    </row>
    <row r="592" spans="1:11" x14ac:dyDescent="0.2">
      <c r="A592" s="125"/>
      <c r="B592" s="6"/>
      <c r="C592" s="124"/>
      <c r="D592" s="124"/>
      <c r="E592" s="124"/>
      <c r="F592" s="124"/>
      <c r="G592" s="204"/>
      <c r="H592" s="204"/>
      <c r="I592" s="204"/>
      <c r="J592" s="136"/>
      <c r="K592" s="136"/>
    </row>
    <row r="593" spans="1:11" x14ac:dyDescent="0.2">
      <c r="A593" s="125"/>
      <c r="B593" s="6"/>
      <c r="C593" s="128"/>
      <c r="D593" s="128" t="s">
        <v>55</v>
      </c>
      <c r="E593" s="128"/>
      <c r="F593" s="124"/>
      <c r="G593" s="205">
        <f>SUM(G587:G591)</f>
        <v>0</v>
      </c>
      <c r="H593" s="204"/>
      <c r="I593" s="205">
        <f>SUM(I587:I591)</f>
        <v>0</v>
      </c>
      <c r="J593" s="136"/>
      <c r="K593" s="136"/>
    </row>
    <row r="594" spans="1:11" x14ac:dyDescent="0.2">
      <c r="A594" s="125"/>
      <c r="B594" s="6"/>
      <c r="C594" s="128"/>
      <c r="D594" s="128"/>
      <c r="E594" s="128"/>
      <c r="F594" s="124"/>
      <c r="G594" s="149"/>
      <c r="H594" s="204"/>
      <c r="I594" s="149"/>
      <c r="J594" s="136"/>
      <c r="K594" s="136"/>
    </row>
    <row r="595" spans="1:11" x14ac:dyDescent="0.2">
      <c r="A595" s="125"/>
      <c r="B595" s="6"/>
      <c r="C595" s="128" t="s">
        <v>899</v>
      </c>
      <c r="D595" s="124"/>
      <c r="E595" s="124"/>
      <c r="F595" s="124"/>
      <c r="G595" s="204"/>
      <c r="H595" s="204"/>
      <c r="I595" s="204"/>
      <c r="J595" s="136"/>
      <c r="K595" s="136"/>
    </row>
    <row r="596" spans="1:11" x14ac:dyDescent="0.2">
      <c r="A596" s="125"/>
      <c r="B596" s="6"/>
      <c r="C596" s="124"/>
      <c r="D596" s="124">
        <v>1</v>
      </c>
      <c r="E596" s="206" t="s">
        <v>328</v>
      </c>
      <c r="F596" s="124"/>
      <c r="G596" s="204"/>
      <c r="H596" s="204"/>
      <c r="I596" s="204">
        <f>G596+I524</f>
        <v>0</v>
      </c>
      <c r="J596" s="136"/>
      <c r="K596" s="136"/>
    </row>
    <row r="597" spans="1:11" x14ac:dyDescent="0.2">
      <c r="A597" s="125"/>
      <c r="B597" s="6"/>
      <c r="C597" s="124"/>
      <c r="D597" s="124">
        <v>2</v>
      </c>
      <c r="E597" s="206" t="s">
        <v>329</v>
      </c>
      <c r="F597" s="124"/>
      <c r="G597" s="204"/>
      <c r="H597" s="204"/>
      <c r="I597" s="204">
        <f t="shared" ref="I597:I602" si="24">G597+I525</f>
        <v>0</v>
      </c>
      <c r="J597" s="136"/>
      <c r="K597" s="136"/>
    </row>
    <row r="598" spans="1:11" x14ac:dyDescent="0.2">
      <c r="A598" s="125"/>
      <c r="B598" s="6"/>
      <c r="C598" s="124"/>
      <c r="D598" s="124">
        <v>3</v>
      </c>
      <c r="E598" s="206" t="s">
        <v>900</v>
      </c>
      <c r="F598" s="134"/>
      <c r="G598" s="204"/>
      <c r="H598" s="204"/>
      <c r="I598" s="204">
        <f t="shared" si="24"/>
        <v>1200000</v>
      </c>
      <c r="J598" s="136"/>
      <c r="K598" s="136"/>
    </row>
    <row r="599" spans="1:11" x14ac:dyDescent="0.2">
      <c r="A599" s="125"/>
      <c r="B599" s="6"/>
      <c r="C599" s="124"/>
      <c r="D599" s="124">
        <v>4</v>
      </c>
      <c r="E599" s="206" t="s">
        <v>901</v>
      </c>
      <c r="F599" s="124"/>
      <c r="G599" s="204"/>
      <c r="H599" s="204"/>
      <c r="I599" s="204">
        <f t="shared" si="24"/>
        <v>0</v>
      </c>
      <c r="J599" s="136"/>
      <c r="K599" s="136"/>
    </row>
    <row r="600" spans="1:11" x14ac:dyDescent="0.2">
      <c r="A600" s="125"/>
      <c r="B600" s="6"/>
      <c r="C600" s="124"/>
      <c r="D600" s="124">
        <v>5</v>
      </c>
      <c r="E600" s="206" t="s">
        <v>887</v>
      </c>
      <c r="F600" s="134"/>
      <c r="G600" s="204"/>
      <c r="H600" s="204"/>
      <c r="I600" s="204">
        <f t="shared" si="24"/>
        <v>0</v>
      </c>
      <c r="J600" s="136"/>
      <c r="K600" s="136"/>
    </row>
    <row r="601" spans="1:11" x14ac:dyDescent="0.2">
      <c r="A601" s="125"/>
      <c r="B601" s="6"/>
      <c r="C601" s="124"/>
      <c r="D601" s="124">
        <v>6</v>
      </c>
      <c r="E601" s="206" t="s">
        <v>903</v>
      </c>
      <c r="F601" s="134"/>
      <c r="G601" s="204"/>
      <c r="H601" s="204"/>
      <c r="I601" s="204">
        <f t="shared" si="24"/>
        <v>0</v>
      </c>
      <c r="J601" s="136"/>
      <c r="K601" s="136"/>
    </row>
    <row r="602" spans="1:11" x14ac:dyDescent="0.2">
      <c r="A602" s="125"/>
      <c r="B602" s="6"/>
      <c r="C602" s="124"/>
      <c r="D602" s="124">
        <v>7</v>
      </c>
      <c r="E602" s="206" t="s">
        <v>904</v>
      </c>
      <c r="F602" s="134"/>
      <c r="G602" s="204"/>
      <c r="H602" s="204"/>
      <c r="I602" s="204">
        <f t="shared" si="24"/>
        <v>0</v>
      </c>
      <c r="J602" s="136"/>
      <c r="K602" s="136"/>
    </row>
    <row r="603" spans="1:11" x14ac:dyDescent="0.2">
      <c r="A603" s="125"/>
      <c r="B603" s="134"/>
      <c r="C603" s="128"/>
      <c r="D603" s="124"/>
      <c r="E603" s="206"/>
      <c r="F603" s="124"/>
      <c r="G603" s="204"/>
      <c r="H603" s="204"/>
      <c r="I603" s="204"/>
      <c r="J603" s="136"/>
      <c r="K603" s="136"/>
    </row>
    <row r="604" spans="1:11" x14ac:dyDescent="0.2">
      <c r="A604" s="125"/>
      <c r="B604" s="6"/>
      <c r="C604" s="124"/>
      <c r="D604" s="128" t="s">
        <v>67</v>
      </c>
      <c r="E604" s="127"/>
      <c r="F604" s="208"/>
      <c r="G604" s="205">
        <f>SUM(G596:G603)</f>
        <v>0</v>
      </c>
      <c r="H604" s="204"/>
      <c r="I604" s="205">
        <f>SUM(I596:I603)</f>
        <v>1200000</v>
      </c>
      <c r="J604" s="136"/>
      <c r="K604" s="136"/>
    </row>
    <row r="605" spans="1:11" x14ac:dyDescent="0.2">
      <c r="A605" s="125"/>
      <c r="B605" s="6"/>
      <c r="C605" s="124"/>
      <c r="D605" s="124"/>
      <c r="E605" s="124"/>
      <c r="F605" s="124"/>
      <c r="G605" s="204"/>
      <c r="H605" s="204"/>
      <c r="I605" s="204"/>
      <c r="J605" s="136"/>
      <c r="K605" s="136"/>
    </row>
    <row r="606" spans="1:11" x14ac:dyDescent="0.2">
      <c r="A606" s="125"/>
      <c r="B606" s="6"/>
      <c r="C606" s="128" t="s">
        <v>905</v>
      </c>
      <c r="D606" s="128"/>
      <c r="E606" s="128"/>
      <c r="F606" s="124"/>
      <c r="G606" s="488">
        <f>G593-G604</f>
        <v>0</v>
      </c>
      <c r="H606" s="204"/>
      <c r="I606" s="488">
        <f>I593-I604</f>
        <v>-1200000</v>
      </c>
      <c r="K606" s="136"/>
    </row>
    <row r="607" spans="1:11" x14ac:dyDescent="0.2">
      <c r="A607" s="125"/>
      <c r="B607" s="6"/>
      <c r="C607" s="124"/>
      <c r="D607" s="124"/>
      <c r="E607" s="124"/>
      <c r="F607" s="124"/>
      <c r="G607" s="204"/>
      <c r="H607" s="204"/>
      <c r="I607" s="204"/>
      <c r="J607" s="136"/>
      <c r="K607" s="136"/>
    </row>
    <row r="608" spans="1:11" x14ac:dyDescent="0.2">
      <c r="A608" s="125"/>
      <c r="B608" s="203" t="s">
        <v>907</v>
      </c>
      <c r="C608" s="203" t="s">
        <v>908</v>
      </c>
      <c r="D608" s="151"/>
      <c r="E608" s="134"/>
      <c r="F608" s="134"/>
      <c r="G608" s="204"/>
      <c r="H608" s="204"/>
      <c r="I608" s="204"/>
      <c r="J608" s="136"/>
      <c r="K608" s="136"/>
    </row>
    <row r="609" spans="1:11" x14ac:dyDescent="0.2">
      <c r="A609" s="125"/>
      <c r="B609" s="134"/>
      <c r="C609" s="128"/>
      <c r="D609" s="124" t="s">
        <v>909</v>
      </c>
      <c r="E609" s="124"/>
      <c r="F609" s="124"/>
      <c r="G609" s="204"/>
      <c r="H609" s="204"/>
      <c r="I609" s="204">
        <f>G609+I537</f>
        <v>0</v>
      </c>
      <c r="J609" s="136"/>
      <c r="K609" s="136"/>
    </row>
    <row r="610" spans="1:11" x14ac:dyDescent="0.2">
      <c r="A610" s="125"/>
      <c r="B610" s="6"/>
      <c r="C610" s="128" t="s">
        <v>910</v>
      </c>
      <c r="D610" s="151"/>
      <c r="E610" s="151"/>
      <c r="F610" s="151"/>
      <c r="G610" s="205">
        <f>SUM(G609)</f>
        <v>0</v>
      </c>
      <c r="H610" s="149"/>
      <c r="I610" s="205">
        <f>SUM(I609)</f>
        <v>0</v>
      </c>
      <c r="J610" s="136"/>
      <c r="K610" s="136"/>
    </row>
    <row r="611" spans="1:11" x14ac:dyDescent="0.2">
      <c r="A611" s="125"/>
      <c r="B611" s="6"/>
      <c r="C611" s="694"/>
      <c r="D611" s="694"/>
      <c r="E611" s="694"/>
      <c r="F611" s="124"/>
      <c r="G611" s="433"/>
      <c r="H611" s="210"/>
      <c r="I611" s="433"/>
      <c r="J611" s="136"/>
      <c r="K611" s="136"/>
    </row>
    <row r="612" spans="1:11" x14ac:dyDescent="0.2">
      <c r="A612" s="125"/>
      <c r="B612" s="203" t="s">
        <v>911</v>
      </c>
      <c r="C612" s="203" t="s">
        <v>912</v>
      </c>
      <c r="D612" s="124"/>
      <c r="E612" s="124"/>
      <c r="F612" s="124"/>
      <c r="G612" s="210"/>
      <c r="H612" s="210"/>
      <c r="I612" s="210"/>
      <c r="J612" s="136"/>
      <c r="K612" s="136"/>
    </row>
    <row r="613" spans="1:11" x14ac:dyDescent="0.2">
      <c r="A613" s="125"/>
      <c r="B613" s="195"/>
      <c r="C613" s="195"/>
      <c r="D613" s="124" t="s">
        <v>913</v>
      </c>
      <c r="E613" s="195"/>
      <c r="F613" s="134"/>
      <c r="G613" s="433"/>
      <c r="H613" s="210"/>
      <c r="I613" s="204">
        <f>G613+I542</f>
        <v>0</v>
      </c>
      <c r="J613" s="136"/>
      <c r="K613" s="136"/>
    </row>
    <row r="614" spans="1:11" x14ac:dyDescent="0.2">
      <c r="A614" s="125"/>
      <c r="B614" s="203"/>
      <c r="C614" s="124"/>
      <c r="D614" s="124" t="s">
        <v>914</v>
      </c>
      <c r="E614" s="124"/>
      <c r="F614" s="124"/>
      <c r="G614" s="204"/>
      <c r="H614" s="204"/>
      <c r="I614" s="204">
        <f t="shared" ref="I614:I616" si="25">G614+I543</f>
        <v>0</v>
      </c>
      <c r="J614" s="136"/>
      <c r="K614" s="136"/>
    </row>
    <row r="615" spans="1:11" x14ac:dyDescent="0.2">
      <c r="A615" s="125"/>
      <c r="B615" s="6"/>
      <c r="C615" s="124"/>
      <c r="D615" s="151" t="s">
        <v>915</v>
      </c>
      <c r="E615" s="134"/>
      <c r="F615" s="134"/>
      <c r="G615" s="204"/>
      <c r="H615" s="204"/>
      <c r="I615" s="204">
        <f t="shared" si="25"/>
        <v>0</v>
      </c>
      <c r="J615" s="136"/>
      <c r="K615" s="136"/>
    </row>
    <row r="616" spans="1:11" x14ac:dyDescent="0.2">
      <c r="A616" s="125"/>
      <c r="B616" s="134"/>
      <c r="C616" s="128"/>
      <c r="D616" s="124" t="s">
        <v>916</v>
      </c>
      <c r="E616" s="124"/>
      <c r="F616" s="124"/>
      <c r="G616" s="593"/>
      <c r="H616" s="204"/>
      <c r="I616" s="204">
        <f t="shared" si="25"/>
        <v>0</v>
      </c>
      <c r="J616" s="136"/>
      <c r="K616" s="136"/>
    </row>
    <row r="617" spans="1:11" x14ac:dyDescent="0.2">
      <c r="A617" s="125"/>
      <c r="B617" s="6"/>
      <c r="C617" s="128" t="s">
        <v>917</v>
      </c>
      <c r="D617" s="151"/>
      <c r="E617" s="151"/>
      <c r="F617" s="151"/>
      <c r="G617" s="596">
        <f>SUM(G613:G616)</f>
        <v>0</v>
      </c>
      <c r="H617" s="204"/>
      <c r="I617" s="596">
        <f>SUM(I613:I616)</f>
        <v>0</v>
      </c>
      <c r="J617" s="136"/>
      <c r="K617" s="136"/>
    </row>
    <row r="618" spans="1:11" x14ac:dyDescent="0.2">
      <c r="A618" s="125"/>
      <c r="B618" s="6"/>
      <c r="C618" s="124"/>
      <c r="D618" s="124"/>
      <c r="E618" s="124"/>
      <c r="F618" s="124"/>
      <c r="G618" s="593"/>
      <c r="H618" s="204"/>
      <c r="I618" s="204"/>
      <c r="J618" s="136"/>
      <c r="K618" s="136"/>
    </row>
    <row r="619" spans="1:11" x14ac:dyDescent="0.2">
      <c r="A619" s="125"/>
      <c r="B619" s="203" t="s">
        <v>918</v>
      </c>
      <c r="C619" s="203" t="s">
        <v>919</v>
      </c>
      <c r="D619" s="130"/>
      <c r="E619" s="130"/>
      <c r="F619" s="124"/>
      <c r="G619" s="149">
        <f>G606-G610+G617</f>
        <v>0</v>
      </c>
      <c r="H619" s="204"/>
      <c r="I619" s="149">
        <f>I606-I610+I617</f>
        <v>-1200000</v>
      </c>
      <c r="J619" s="136"/>
      <c r="K619" s="136"/>
    </row>
    <row r="620" spans="1:11" x14ac:dyDescent="0.2">
      <c r="A620" s="125"/>
      <c r="B620" s="6"/>
      <c r="C620" s="124"/>
      <c r="D620" s="124"/>
      <c r="E620" s="124"/>
      <c r="F620" s="124"/>
      <c r="G620" s="204"/>
      <c r="H620" s="204"/>
      <c r="I620" s="204"/>
      <c r="J620" s="136"/>
      <c r="K620" s="136"/>
    </row>
    <row r="621" spans="1:11" x14ac:dyDescent="0.2">
      <c r="A621" s="125"/>
      <c r="B621" s="203" t="s">
        <v>920</v>
      </c>
      <c r="C621" s="203" t="s">
        <v>921</v>
      </c>
      <c r="D621" s="130"/>
      <c r="E621" s="124"/>
      <c r="F621" s="124"/>
      <c r="G621" s="149">
        <f>G551</f>
        <v>1311051855.8000002</v>
      </c>
      <c r="H621" s="149"/>
      <c r="I621" s="149">
        <v>1312251855.8000002</v>
      </c>
      <c r="J621" s="136"/>
      <c r="K621" s="136"/>
    </row>
    <row r="622" spans="1:11" x14ac:dyDescent="0.2">
      <c r="A622" s="125"/>
      <c r="B622" s="6"/>
      <c r="C622" s="124"/>
      <c r="D622" s="124"/>
      <c r="E622" s="124"/>
      <c r="F622" s="124"/>
      <c r="G622" s="149"/>
      <c r="H622" s="149"/>
      <c r="I622" s="149"/>
      <c r="J622" s="136"/>
      <c r="K622" s="136"/>
    </row>
    <row r="623" spans="1:11" x14ac:dyDescent="0.2">
      <c r="A623" s="125"/>
      <c r="B623" s="134" t="s">
        <v>922</v>
      </c>
      <c r="C623" s="128" t="s">
        <v>921</v>
      </c>
      <c r="D623" s="124"/>
      <c r="E623" s="124"/>
      <c r="F623" s="124"/>
      <c r="G623" s="149">
        <f>G619+G621</f>
        <v>1311051855.8000002</v>
      </c>
      <c r="H623" s="149"/>
      <c r="I623" s="149">
        <f>I619+I621</f>
        <v>1311051855.8000002</v>
      </c>
      <c r="J623" s="136"/>
      <c r="K623" s="136"/>
    </row>
    <row r="624" spans="1:11" x14ac:dyDescent="0.2">
      <c r="A624" s="120"/>
      <c r="B624" s="119"/>
      <c r="C624" s="119"/>
      <c r="D624" s="119"/>
      <c r="E624" s="119"/>
      <c r="F624" s="119"/>
      <c r="G624" s="218"/>
      <c r="H624" s="218"/>
      <c r="I624" s="218"/>
      <c r="J624" s="594"/>
      <c r="K624" s="594"/>
    </row>
    <row r="625" spans="1:11" x14ac:dyDescent="0.2">
      <c r="A625" s="761"/>
      <c r="B625" s="761"/>
      <c r="C625" s="761"/>
      <c r="D625" s="761"/>
      <c r="E625" s="761"/>
      <c r="F625" s="124"/>
      <c r="G625" s="219"/>
      <c r="H625" s="219"/>
      <c r="I625" s="219"/>
    </row>
    <row r="626" spans="1:11" x14ac:dyDescent="0.2">
      <c r="A626" s="697" t="s">
        <v>579</v>
      </c>
      <c r="B626" s="697"/>
      <c r="C626" s="697"/>
      <c r="D626" s="697"/>
      <c r="E626" s="697"/>
      <c r="F626" s="697" t="s">
        <v>566</v>
      </c>
      <c r="G626" s="697"/>
      <c r="H626" s="697"/>
      <c r="I626" s="697"/>
      <c r="J626" s="697"/>
      <c r="K626" s="697"/>
    </row>
    <row r="627" spans="1:11" x14ac:dyDescent="0.2">
      <c r="A627" s="697" t="s">
        <v>678</v>
      </c>
      <c r="B627" s="697"/>
      <c r="C627" s="697"/>
      <c r="D627" s="697"/>
      <c r="E627" s="697"/>
      <c r="F627" s="697" t="s">
        <v>681</v>
      </c>
      <c r="G627" s="697"/>
      <c r="H627" s="697"/>
      <c r="I627" s="697"/>
      <c r="J627" s="697"/>
      <c r="K627" s="697"/>
    </row>
    <row r="628" spans="1:11" x14ac:dyDescent="0.2">
      <c r="A628" s="697"/>
      <c r="B628" s="697"/>
      <c r="C628" s="697"/>
      <c r="D628" s="697"/>
      <c r="E628" s="697"/>
      <c r="F628" s="697"/>
      <c r="G628" s="697"/>
      <c r="H628" s="697"/>
      <c r="I628" s="697"/>
      <c r="J628" s="697"/>
      <c r="K628" s="697"/>
    </row>
    <row r="629" spans="1:11" x14ac:dyDescent="0.2">
      <c r="A629" s="697"/>
      <c r="B629" s="697"/>
      <c r="C629" s="697"/>
      <c r="D629" s="697"/>
      <c r="E629" s="697"/>
      <c r="F629" s="697"/>
      <c r="G629" s="697"/>
      <c r="H629" s="697"/>
      <c r="I629" s="697"/>
      <c r="J629" s="697"/>
      <c r="K629" s="697"/>
    </row>
    <row r="630" spans="1:11" x14ac:dyDescent="0.2">
      <c r="A630" s="697" t="s">
        <v>655</v>
      </c>
      <c r="B630" s="697"/>
      <c r="C630" s="697"/>
      <c r="D630" s="697"/>
      <c r="E630" s="697"/>
      <c r="F630" s="697" t="s">
        <v>567</v>
      </c>
      <c r="G630" s="697"/>
      <c r="H630" s="697"/>
      <c r="I630" s="697"/>
      <c r="J630" s="697"/>
      <c r="K630" s="697"/>
    </row>
    <row r="631" spans="1:11" x14ac:dyDescent="0.2">
      <c r="A631" s="697"/>
      <c r="B631" s="697"/>
      <c r="C631" s="697"/>
      <c r="D631" s="697"/>
      <c r="E631" s="697"/>
      <c r="F631" s="697"/>
      <c r="G631" s="697"/>
      <c r="H631" s="697"/>
      <c r="I631" s="697"/>
      <c r="J631" s="697"/>
      <c r="K631" s="697"/>
    </row>
    <row r="648" spans="1:11" x14ac:dyDescent="0.2">
      <c r="A648" s="728" t="s">
        <v>890</v>
      </c>
      <c r="B648" s="728"/>
      <c r="C648" s="590" t="s">
        <v>891</v>
      </c>
      <c r="D648" s="124"/>
      <c r="E648" s="124"/>
      <c r="F648" s="124"/>
    </row>
    <row r="649" spans="1:11" x14ac:dyDescent="0.2">
      <c r="B649" s="124"/>
      <c r="C649" s="124"/>
      <c r="D649" s="124"/>
      <c r="E649" s="124"/>
      <c r="F649" s="124"/>
    </row>
    <row r="650" spans="1:11" ht="15" x14ac:dyDescent="0.25">
      <c r="A650" s="141"/>
      <c r="B650" s="762"/>
      <c r="C650" s="762"/>
      <c r="D650" s="762"/>
      <c r="E650" s="762"/>
      <c r="F650" s="762"/>
      <c r="G650" s="762"/>
      <c r="H650" s="762"/>
      <c r="I650" s="762"/>
      <c r="J650" s="591"/>
      <c r="K650" s="591"/>
    </row>
    <row r="651" spans="1:11" ht="15" x14ac:dyDescent="0.25">
      <c r="A651" s="125"/>
      <c r="B651" s="696" t="s">
        <v>650</v>
      </c>
      <c r="C651" s="696"/>
      <c r="D651" s="696"/>
      <c r="E651" s="696"/>
      <c r="F651" s="696"/>
      <c r="G651" s="696"/>
      <c r="H651" s="696"/>
      <c r="I651" s="696"/>
      <c r="J651" s="136"/>
      <c r="K651" s="136"/>
    </row>
    <row r="652" spans="1:11" ht="15" x14ac:dyDescent="0.25">
      <c r="A652" s="125"/>
      <c r="B652" s="696" t="s">
        <v>41</v>
      </c>
      <c r="C652" s="696"/>
      <c r="D652" s="696"/>
      <c r="E652" s="696"/>
      <c r="F652" s="696"/>
      <c r="G652" s="696"/>
      <c r="H652" s="696"/>
      <c r="I652" s="696"/>
      <c r="J652" s="136"/>
      <c r="K652" s="136"/>
    </row>
    <row r="653" spans="1:11" ht="15" x14ac:dyDescent="0.25">
      <c r="A653" s="125"/>
      <c r="B653" s="742" t="s">
        <v>930</v>
      </c>
      <c r="C653" s="742"/>
      <c r="D653" s="742"/>
      <c r="E653" s="742"/>
      <c r="F653" s="742"/>
      <c r="G653" s="742"/>
      <c r="H653" s="742"/>
      <c r="I653" s="742"/>
      <c r="J653" s="136"/>
      <c r="K653" s="136"/>
    </row>
    <row r="654" spans="1:11" x14ac:dyDescent="0.2">
      <c r="A654" s="125"/>
      <c r="B654" s="124"/>
      <c r="C654" s="124"/>
      <c r="D654" s="124"/>
      <c r="E654" s="124"/>
      <c r="F654" s="124"/>
      <c r="J654" s="136"/>
      <c r="K654" s="136"/>
    </row>
    <row r="655" spans="1:11" x14ac:dyDescent="0.2">
      <c r="A655" s="125"/>
      <c r="B655" s="755" t="s">
        <v>30</v>
      </c>
      <c r="C655" s="756"/>
      <c r="D655" s="756"/>
      <c r="E655" s="757"/>
      <c r="F655" s="127"/>
      <c r="G655" s="201" t="s">
        <v>37</v>
      </c>
      <c r="H655" s="127"/>
      <c r="I655" s="201" t="s">
        <v>39</v>
      </c>
      <c r="J655" s="136"/>
      <c r="K655" s="136"/>
    </row>
    <row r="656" spans="1:11" x14ac:dyDescent="0.2">
      <c r="A656" s="125"/>
      <c r="B656" s="758"/>
      <c r="C656" s="759"/>
      <c r="D656" s="759"/>
      <c r="E656" s="760"/>
      <c r="F656" s="127"/>
      <c r="G656" s="202" t="s">
        <v>40</v>
      </c>
      <c r="H656" s="127"/>
      <c r="I656" s="202" t="s">
        <v>40</v>
      </c>
      <c r="J656" s="136"/>
      <c r="K656" s="136"/>
    </row>
    <row r="657" spans="1:11" x14ac:dyDescent="0.2">
      <c r="A657" s="125"/>
      <c r="B657" s="203" t="s">
        <v>893</v>
      </c>
      <c r="C657" s="203" t="s">
        <v>906</v>
      </c>
      <c r="D657" s="203"/>
      <c r="E657" s="124"/>
      <c r="F657" s="124"/>
      <c r="G657" s="204"/>
      <c r="H657" s="204"/>
      <c r="I657" s="204"/>
      <c r="J657" s="136"/>
      <c r="K657" s="136"/>
    </row>
    <row r="658" spans="1:11" x14ac:dyDescent="0.2">
      <c r="A658" s="125"/>
      <c r="B658" s="6"/>
      <c r="C658" s="128" t="s">
        <v>894</v>
      </c>
      <c r="D658" s="124"/>
      <c r="E658" s="124"/>
      <c r="F658" s="124"/>
      <c r="G658" s="204"/>
      <c r="H658" s="204"/>
      <c r="I658" s="204"/>
      <c r="J658" s="136"/>
      <c r="K658" s="136"/>
    </row>
    <row r="659" spans="1:11" x14ac:dyDescent="0.2">
      <c r="A659" s="125"/>
      <c r="B659" s="6"/>
      <c r="C659" s="124"/>
      <c r="D659" s="124">
        <v>1</v>
      </c>
      <c r="E659" s="124" t="s">
        <v>895</v>
      </c>
      <c r="F659" s="124"/>
      <c r="G659" s="204"/>
      <c r="H659" s="204"/>
      <c r="I659" s="204">
        <f>G659+I587</f>
        <v>0</v>
      </c>
      <c r="J659" s="136"/>
      <c r="K659" s="136"/>
    </row>
    <row r="660" spans="1:11" x14ac:dyDescent="0.2">
      <c r="A660" s="125"/>
      <c r="B660" s="6"/>
      <c r="C660" s="124"/>
      <c r="D660" s="124">
        <v>2</v>
      </c>
      <c r="E660" s="124" t="s">
        <v>896</v>
      </c>
      <c r="F660" s="124"/>
      <c r="G660" s="204"/>
      <c r="H660" s="204"/>
      <c r="I660" s="204">
        <f t="shared" ref="I660:I663" si="26">G660+I588</f>
        <v>0</v>
      </c>
      <c r="J660" s="136"/>
      <c r="K660" s="136"/>
    </row>
    <row r="661" spans="1:11" x14ac:dyDescent="0.2">
      <c r="A661" s="125"/>
      <c r="B661" s="6"/>
      <c r="C661" s="124"/>
      <c r="D661" s="124">
        <v>3</v>
      </c>
      <c r="E661" s="124" t="s">
        <v>897</v>
      </c>
      <c r="F661" s="124"/>
      <c r="G661" s="204"/>
      <c r="H661" s="204"/>
      <c r="I661" s="204">
        <f t="shared" si="26"/>
        <v>0</v>
      </c>
      <c r="J661" s="136"/>
      <c r="K661" s="136"/>
    </row>
    <row r="662" spans="1:11" x14ac:dyDescent="0.2">
      <c r="A662" s="125"/>
      <c r="B662" s="6"/>
      <c r="C662" s="124"/>
      <c r="D662" s="124">
        <v>4</v>
      </c>
      <c r="E662" s="124" t="s">
        <v>902</v>
      </c>
      <c r="F662" s="124"/>
      <c r="G662" s="204"/>
      <c r="H662" s="204"/>
      <c r="I662" s="204">
        <f t="shared" si="26"/>
        <v>0</v>
      </c>
      <c r="J662" s="136"/>
      <c r="K662" s="136"/>
    </row>
    <row r="663" spans="1:11" x14ac:dyDescent="0.2">
      <c r="A663" s="125"/>
      <c r="B663" s="6"/>
      <c r="C663" s="124"/>
      <c r="D663" s="124">
        <v>5</v>
      </c>
      <c r="E663" s="124" t="s">
        <v>898</v>
      </c>
      <c r="F663" s="124"/>
      <c r="G663" s="204"/>
      <c r="H663" s="204"/>
      <c r="I663" s="204">
        <f t="shared" si="26"/>
        <v>0</v>
      </c>
      <c r="J663" s="136"/>
      <c r="K663" s="136"/>
    </row>
    <row r="664" spans="1:11" x14ac:dyDescent="0.2">
      <c r="A664" s="125"/>
      <c r="B664" s="6"/>
      <c r="C664" s="124"/>
      <c r="D664" s="124"/>
      <c r="E664" s="124"/>
      <c r="F664" s="124"/>
      <c r="G664" s="204"/>
      <c r="H664" s="204"/>
      <c r="I664" s="204"/>
      <c r="J664" s="136"/>
      <c r="K664" s="136"/>
    </row>
    <row r="665" spans="1:11" x14ac:dyDescent="0.2">
      <c r="A665" s="125"/>
      <c r="B665" s="6"/>
      <c r="C665" s="128"/>
      <c r="D665" s="128" t="s">
        <v>55</v>
      </c>
      <c r="E665" s="128"/>
      <c r="F665" s="124"/>
      <c r="G665" s="205">
        <f>SUM(G659:G663)</f>
        <v>0</v>
      </c>
      <c r="H665" s="204"/>
      <c r="I665" s="205">
        <f>SUM(I659:I663)</f>
        <v>0</v>
      </c>
      <c r="J665" s="136"/>
      <c r="K665" s="136"/>
    </row>
    <row r="666" spans="1:11" x14ac:dyDescent="0.2">
      <c r="A666" s="125"/>
      <c r="B666" s="6"/>
      <c r="C666" s="128"/>
      <c r="D666" s="128"/>
      <c r="E666" s="128"/>
      <c r="F666" s="124"/>
      <c r="G666" s="149"/>
      <c r="H666" s="204"/>
      <c r="I666" s="149"/>
      <c r="J666" s="136"/>
      <c r="K666" s="136"/>
    </row>
    <row r="667" spans="1:11" x14ac:dyDescent="0.2">
      <c r="A667" s="125"/>
      <c r="B667" s="6"/>
      <c r="C667" s="128" t="s">
        <v>899</v>
      </c>
      <c r="D667" s="124"/>
      <c r="E667" s="124"/>
      <c r="F667" s="124"/>
      <c r="G667" s="204"/>
      <c r="H667" s="204"/>
      <c r="I667" s="204"/>
      <c r="J667" s="136"/>
      <c r="K667" s="136"/>
    </row>
    <row r="668" spans="1:11" x14ac:dyDescent="0.2">
      <c r="A668" s="125"/>
      <c r="B668" s="6"/>
      <c r="C668" s="124"/>
      <c r="D668" s="124">
        <v>1</v>
      </c>
      <c r="E668" s="206" t="s">
        <v>328</v>
      </c>
      <c r="F668" s="124"/>
      <c r="G668" s="204"/>
      <c r="H668" s="204"/>
      <c r="I668" s="204">
        <f>G668+I596</f>
        <v>0</v>
      </c>
      <c r="J668" s="136"/>
      <c r="K668" s="136"/>
    </row>
    <row r="669" spans="1:11" x14ac:dyDescent="0.2">
      <c r="A669" s="125"/>
      <c r="B669" s="6"/>
      <c r="C669" s="124"/>
      <c r="D669" s="124">
        <v>2</v>
      </c>
      <c r="E669" s="206" t="s">
        <v>329</v>
      </c>
      <c r="F669" s="124"/>
      <c r="G669" s="204"/>
      <c r="H669" s="204"/>
      <c r="I669" s="204">
        <f t="shared" ref="I669:I674" si="27">G669+I597</f>
        <v>0</v>
      </c>
      <c r="J669" s="136"/>
      <c r="K669" s="136"/>
    </row>
    <row r="670" spans="1:11" x14ac:dyDescent="0.2">
      <c r="A670" s="125"/>
      <c r="B670" s="6"/>
      <c r="C670" s="124"/>
      <c r="D670" s="124">
        <v>3</v>
      </c>
      <c r="E670" s="206" t="s">
        <v>900</v>
      </c>
      <c r="F670" s="134"/>
      <c r="G670" s="204"/>
      <c r="H670" s="204"/>
      <c r="I670" s="204">
        <f t="shared" si="27"/>
        <v>1200000</v>
      </c>
      <c r="J670" s="136"/>
      <c r="K670" s="136"/>
    </row>
    <row r="671" spans="1:11" x14ac:dyDescent="0.2">
      <c r="A671" s="125"/>
      <c r="B671" s="6"/>
      <c r="C671" s="124"/>
      <c r="D671" s="124">
        <v>4</v>
      </c>
      <c r="E671" s="206" t="s">
        <v>901</v>
      </c>
      <c r="F671" s="124"/>
      <c r="G671" s="204"/>
      <c r="H671" s="204"/>
      <c r="I671" s="204">
        <f t="shared" si="27"/>
        <v>0</v>
      </c>
      <c r="J671" s="136"/>
      <c r="K671" s="136"/>
    </row>
    <row r="672" spans="1:11" x14ac:dyDescent="0.2">
      <c r="A672" s="125"/>
      <c r="B672" s="6"/>
      <c r="C672" s="124"/>
      <c r="D672" s="124">
        <v>5</v>
      </c>
      <c r="E672" s="206" t="s">
        <v>887</v>
      </c>
      <c r="F672" s="134"/>
      <c r="G672" s="204"/>
      <c r="H672" s="204"/>
      <c r="I672" s="204">
        <f t="shared" si="27"/>
        <v>0</v>
      </c>
      <c r="J672" s="136"/>
      <c r="K672" s="136"/>
    </row>
    <row r="673" spans="1:11" x14ac:dyDescent="0.2">
      <c r="A673" s="125"/>
      <c r="B673" s="6"/>
      <c r="C673" s="124"/>
      <c r="D673" s="124">
        <v>6</v>
      </c>
      <c r="E673" s="206" t="s">
        <v>903</v>
      </c>
      <c r="F673" s="134"/>
      <c r="G673" s="204"/>
      <c r="H673" s="204"/>
      <c r="I673" s="204">
        <f t="shared" si="27"/>
        <v>0</v>
      </c>
      <c r="J673" s="136"/>
      <c r="K673" s="136"/>
    </row>
    <row r="674" spans="1:11" x14ac:dyDescent="0.2">
      <c r="A674" s="125"/>
      <c r="B674" s="6"/>
      <c r="C674" s="124"/>
      <c r="D674" s="124">
        <v>7</v>
      </c>
      <c r="E674" s="206" t="s">
        <v>904</v>
      </c>
      <c r="F674" s="134"/>
      <c r="G674" s="204"/>
      <c r="H674" s="204"/>
      <c r="I674" s="204">
        <f t="shared" si="27"/>
        <v>0</v>
      </c>
      <c r="J674" s="136"/>
      <c r="K674" s="136"/>
    </row>
    <row r="675" spans="1:11" x14ac:dyDescent="0.2">
      <c r="A675" s="125"/>
      <c r="B675" s="134"/>
      <c r="C675" s="128"/>
      <c r="D675" s="124"/>
      <c r="E675" s="206"/>
      <c r="F675" s="124"/>
      <c r="G675" s="204"/>
      <c r="H675" s="204"/>
      <c r="I675" s="204"/>
      <c r="J675" s="136"/>
      <c r="K675" s="136"/>
    </row>
    <row r="676" spans="1:11" x14ac:dyDescent="0.2">
      <c r="A676" s="125"/>
      <c r="B676" s="6"/>
      <c r="C676" s="124"/>
      <c r="D676" s="128" t="s">
        <v>67</v>
      </c>
      <c r="E676" s="127"/>
      <c r="F676" s="208"/>
      <c r="G676" s="205">
        <f>SUM(G668:G675)</f>
        <v>0</v>
      </c>
      <c r="H676" s="204"/>
      <c r="I676" s="205">
        <f>SUM(I668:I675)</f>
        <v>1200000</v>
      </c>
      <c r="J676" s="136"/>
      <c r="K676" s="136"/>
    </row>
    <row r="677" spans="1:11" x14ac:dyDescent="0.2">
      <c r="A677" s="125"/>
      <c r="B677" s="6"/>
      <c r="C677" s="124"/>
      <c r="D677" s="124"/>
      <c r="E677" s="124"/>
      <c r="F677" s="124"/>
      <c r="G677" s="204"/>
      <c r="H677" s="204"/>
      <c r="I677" s="204"/>
      <c r="J677" s="136"/>
      <c r="K677" s="136"/>
    </row>
    <row r="678" spans="1:11" x14ac:dyDescent="0.2">
      <c r="A678" s="125"/>
      <c r="B678" s="6"/>
      <c r="C678" s="128" t="s">
        <v>905</v>
      </c>
      <c r="D678" s="128"/>
      <c r="E678" s="128"/>
      <c r="F678" s="124"/>
      <c r="G678" s="488">
        <f>G665-G676</f>
        <v>0</v>
      </c>
      <c r="H678" s="204"/>
      <c r="I678" s="488">
        <f>I665-I676</f>
        <v>-1200000</v>
      </c>
      <c r="K678" s="136"/>
    </row>
    <row r="679" spans="1:11" x14ac:dyDescent="0.2">
      <c r="A679" s="125"/>
      <c r="B679" s="6"/>
      <c r="C679" s="124"/>
      <c r="D679" s="124"/>
      <c r="E679" s="124"/>
      <c r="F679" s="124"/>
      <c r="G679" s="204"/>
      <c r="H679" s="204"/>
      <c r="I679" s="204"/>
      <c r="J679" s="136"/>
      <c r="K679" s="136"/>
    </row>
    <row r="680" spans="1:11" x14ac:dyDescent="0.2">
      <c r="A680" s="125"/>
      <c r="B680" s="203" t="s">
        <v>907</v>
      </c>
      <c r="C680" s="203" t="s">
        <v>908</v>
      </c>
      <c r="D680" s="151"/>
      <c r="E680" s="134"/>
      <c r="F680" s="134"/>
      <c r="G680" s="204"/>
      <c r="H680" s="204"/>
      <c r="I680" s="204"/>
      <c r="J680" s="136"/>
      <c r="K680" s="136"/>
    </row>
    <row r="681" spans="1:11" x14ac:dyDescent="0.2">
      <c r="A681" s="125"/>
      <c r="B681" s="134"/>
      <c r="C681" s="128"/>
      <c r="D681" s="124" t="s">
        <v>909</v>
      </c>
      <c r="E681" s="124"/>
      <c r="F681" s="124"/>
      <c r="G681" s="204"/>
      <c r="H681" s="204"/>
      <c r="I681" s="204">
        <f>G681+I609</f>
        <v>0</v>
      </c>
      <c r="J681" s="136"/>
      <c r="K681" s="136"/>
    </row>
    <row r="682" spans="1:11" x14ac:dyDescent="0.2">
      <c r="A682" s="125"/>
      <c r="B682" s="6"/>
      <c r="C682" s="128" t="s">
        <v>910</v>
      </c>
      <c r="D682" s="151"/>
      <c r="E682" s="151"/>
      <c r="F682" s="151"/>
      <c r="G682" s="205">
        <f>SUM(G681)</f>
        <v>0</v>
      </c>
      <c r="H682" s="149"/>
      <c r="I682" s="205">
        <f>SUM(I681)</f>
        <v>0</v>
      </c>
      <c r="J682" s="136"/>
      <c r="K682" s="136"/>
    </row>
    <row r="683" spans="1:11" x14ac:dyDescent="0.2">
      <c r="A683" s="125"/>
      <c r="B683" s="6"/>
      <c r="C683" s="694"/>
      <c r="D683" s="694"/>
      <c r="E683" s="694"/>
      <c r="F683" s="124"/>
      <c r="G683" s="433"/>
      <c r="H683" s="210"/>
      <c r="I683" s="433"/>
      <c r="J683" s="136"/>
      <c r="K683" s="136"/>
    </row>
    <row r="684" spans="1:11" x14ac:dyDescent="0.2">
      <c r="A684" s="125"/>
      <c r="B684" s="203" t="s">
        <v>911</v>
      </c>
      <c r="C684" s="203" t="s">
        <v>912</v>
      </c>
      <c r="D684" s="124"/>
      <c r="E684" s="124"/>
      <c r="F684" s="124"/>
      <c r="G684" s="210"/>
      <c r="H684" s="210"/>
      <c r="I684" s="210"/>
      <c r="J684" s="136"/>
      <c r="K684" s="136"/>
    </row>
    <row r="685" spans="1:11" x14ac:dyDescent="0.2">
      <c r="A685" s="125"/>
      <c r="B685" s="195"/>
      <c r="C685" s="195"/>
      <c r="D685" s="124" t="s">
        <v>913</v>
      </c>
      <c r="E685" s="195"/>
      <c r="F685" s="134"/>
      <c r="G685" s="433"/>
      <c r="H685" s="210"/>
      <c r="I685" s="204">
        <f>G685+I614</f>
        <v>0</v>
      </c>
      <c r="J685" s="136"/>
      <c r="K685" s="136"/>
    </row>
    <row r="686" spans="1:11" x14ac:dyDescent="0.2">
      <c r="A686" s="125"/>
      <c r="B686" s="203"/>
      <c r="C686" s="124"/>
      <c r="D686" s="124" t="s">
        <v>914</v>
      </c>
      <c r="E686" s="124"/>
      <c r="F686" s="124"/>
      <c r="G686" s="204"/>
      <c r="H686" s="204"/>
      <c r="I686" s="204">
        <f t="shared" ref="I686:I688" si="28">G686+I615</f>
        <v>0</v>
      </c>
      <c r="J686" s="136"/>
      <c r="K686" s="136"/>
    </row>
    <row r="687" spans="1:11" x14ac:dyDescent="0.2">
      <c r="A687" s="125"/>
      <c r="B687" s="6"/>
      <c r="C687" s="124"/>
      <c r="D687" s="151" t="s">
        <v>915</v>
      </c>
      <c r="E687" s="134"/>
      <c r="F687" s="134"/>
      <c r="G687" s="204"/>
      <c r="H687" s="204"/>
      <c r="I687" s="204">
        <f t="shared" si="28"/>
        <v>0</v>
      </c>
      <c r="J687" s="136"/>
      <c r="K687" s="136"/>
    </row>
    <row r="688" spans="1:11" x14ac:dyDescent="0.2">
      <c r="A688" s="125"/>
      <c r="B688" s="134"/>
      <c r="C688" s="128"/>
      <c r="D688" s="124" t="s">
        <v>916</v>
      </c>
      <c r="E688" s="124"/>
      <c r="F688" s="124"/>
      <c r="G688" s="593"/>
      <c r="H688" s="204"/>
      <c r="I688" s="204">
        <f t="shared" si="28"/>
        <v>0</v>
      </c>
      <c r="J688" s="136"/>
      <c r="K688" s="136"/>
    </row>
    <row r="689" spans="1:11" x14ac:dyDescent="0.2">
      <c r="A689" s="125"/>
      <c r="B689" s="6"/>
      <c r="C689" s="128" t="s">
        <v>917</v>
      </c>
      <c r="D689" s="151"/>
      <c r="E689" s="151"/>
      <c r="F689" s="151"/>
      <c r="G689" s="596">
        <f>SUM(G685:G688)</f>
        <v>0</v>
      </c>
      <c r="H689" s="204"/>
      <c r="I689" s="596">
        <f>SUM(I685:I688)</f>
        <v>0</v>
      </c>
      <c r="J689" s="136"/>
      <c r="K689" s="136"/>
    </row>
    <row r="690" spans="1:11" x14ac:dyDescent="0.2">
      <c r="A690" s="125"/>
      <c r="B690" s="6"/>
      <c r="C690" s="124"/>
      <c r="D690" s="124"/>
      <c r="E690" s="124"/>
      <c r="F690" s="124"/>
      <c r="G690" s="593"/>
      <c r="H690" s="204"/>
      <c r="I690" s="204"/>
      <c r="J690" s="136"/>
      <c r="K690" s="136"/>
    </row>
    <row r="691" spans="1:11" x14ac:dyDescent="0.2">
      <c r="A691" s="125"/>
      <c r="B691" s="203" t="s">
        <v>918</v>
      </c>
      <c r="C691" s="203" t="s">
        <v>919</v>
      </c>
      <c r="D691" s="130"/>
      <c r="E691" s="130"/>
      <c r="F691" s="124"/>
      <c r="G691" s="149">
        <f>G678-G682+G689</f>
        <v>0</v>
      </c>
      <c r="H691" s="204"/>
      <c r="I691" s="149">
        <f>I678-I682+I689</f>
        <v>-1200000</v>
      </c>
      <c r="J691" s="136"/>
      <c r="K691" s="136"/>
    </row>
    <row r="692" spans="1:11" x14ac:dyDescent="0.2">
      <c r="A692" s="125"/>
      <c r="B692" s="6"/>
      <c r="C692" s="124"/>
      <c r="D692" s="124"/>
      <c r="E692" s="124"/>
      <c r="F692" s="124"/>
      <c r="G692" s="204"/>
      <c r="H692" s="204"/>
      <c r="I692" s="204"/>
      <c r="J692" s="136"/>
      <c r="K692" s="136"/>
    </row>
    <row r="693" spans="1:11" x14ac:dyDescent="0.2">
      <c r="A693" s="125"/>
      <c r="B693" s="203" t="s">
        <v>920</v>
      </c>
      <c r="C693" s="203" t="s">
        <v>921</v>
      </c>
      <c r="D693" s="130"/>
      <c r="E693" s="124"/>
      <c r="F693" s="124"/>
      <c r="G693" s="149">
        <f>G623</f>
        <v>1311051855.8000002</v>
      </c>
      <c r="H693" s="149"/>
      <c r="I693" s="149">
        <v>1312251855.8000002</v>
      </c>
      <c r="J693" s="136"/>
      <c r="K693" s="136"/>
    </row>
    <row r="694" spans="1:11" x14ac:dyDescent="0.2">
      <c r="A694" s="125"/>
      <c r="B694" s="6"/>
      <c r="C694" s="124"/>
      <c r="D694" s="124"/>
      <c r="E694" s="124"/>
      <c r="F694" s="124"/>
      <c r="G694" s="149"/>
      <c r="H694" s="149"/>
      <c r="I694" s="149"/>
      <c r="J694" s="136"/>
      <c r="K694" s="136"/>
    </row>
    <row r="695" spans="1:11" x14ac:dyDescent="0.2">
      <c r="A695" s="125"/>
      <c r="B695" s="134" t="s">
        <v>922</v>
      </c>
      <c r="C695" s="128" t="s">
        <v>921</v>
      </c>
      <c r="D695" s="124"/>
      <c r="E695" s="124"/>
      <c r="F695" s="124"/>
      <c r="G695" s="149">
        <f>G691+G693</f>
        <v>1311051855.8000002</v>
      </c>
      <c r="H695" s="149"/>
      <c r="I695" s="149">
        <f>I691+I693</f>
        <v>1311051855.8000002</v>
      </c>
      <c r="J695" s="136"/>
      <c r="K695" s="136"/>
    </row>
    <row r="696" spans="1:11" x14ac:dyDescent="0.2">
      <c r="A696" s="120"/>
      <c r="B696" s="119"/>
      <c r="C696" s="119"/>
      <c r="D696" s="119"/>
      <c r="E696" s="119"/>
      <c r="F696" s="119"/>
      <c r="G696" s="218"/>
      <c r="H696" s="218"/>
      <c r="I696" s="218"/>
      <c r="J696" s="594"/>
      <c r="K696" s="594"/>
    </row>
    <row r="697" spans="1:11" x14ac:dyDescent="0.2">
      <c r="A697" s="761"/>
      <c r="B697" s="761"/>
      <c r="C697" s="761"/>
      <c r="D697" s="761"/>
      <c r="E697" s="761"/>
      <c r="F697" s="124"/>
      <c r="G697" s="219"/>
      <c r="H697" s="219"/>
      <c r="I697" s="219"/>
    </row>
    <row r="698" spans="1:11" x14ac:dyDescent="0.2">
      <c r="A698" s="697" t="s">
        <v>579</v>
      </c>
      <c r="B698" s="697"/>
      <c r="C698" s="697"/>
      <c r="D698" s="697"/>
      <c r="E698" s="697"/>
      <c r="F698" s="697" t="s">
        <v>566</v>
      </c>
      <c r="G698" s="697"/>
      <c r="H698" s="697"/>
      <c r="I698" s="697"/>
      <c r="J698" s="697"/>
      <c r="K698" s="697"/>
    </row>
    <row r="699" spans="1:11" x14ac:dyDescent="0.2">
      <c r="A699" s="697" t="s">
        <v>678</v>
      </c>
      <c r="B699" s="697"/>
      <c r="C699" s="697"/>
      <c r="D699" s="697"/>
      <c r="E699" s="697"/>
      <c r="F699" s="697" t="s">
        <v>681</v>
      </c>
      <c r="G699" s="697"/>
      <c r="H699" s="697"/>
      <c r="I699" s="697"/>
      <c r="J699" s="697"/>
      <c r="K699" s="697"/>
    </row>
    <row r="700" spans="1:11" x14ac:dyDescent="0.2">
      <c r="A700" s="697"/>
      <c r="B700" s="697"/>
      <c r="C700" s="697"/>
      <c r="D700" s="697"/>
      <c r="E700" s="697"/>
      <c r="F700" s="697"/>
      <c r="G700" s="697"/>
      <c r="H700" s="697"/>
      <c r="I700" s="697"/>
      <c r="J700" s="697"/>
      <c r="K700" s="697"/>
    </row>
    <row r="701" spans="1:11" x14ac:dyDescent="0.2">
      <c r="A701" s="697"/>
      <c r="B701" s="697"/>
      <c r="C701" s="697"/>
      <c r="D701" s="697"/>
      <c r="E701" s="697"/>
      <c r="F701" s="697"/>
      <c r="G701" s="697"/>
      <c r="H701" s="697"/>
      <c r="I701" s="697"/>
      <c r="J701" s="697"/>
      <c r="K701" s="697"/>
    </row>
    <row r="702" spans="1:11" x14ac:dyDescent="0.2">
      <c r="A702" s="697" t="s">
        <v>655</v>
      </c>
      <c r="B702" s="697"/>
      <c r="C702" s="697"/>
      <c r="D702" s="697"/>
      <c r="E702" s="697"/>
      <c r="F702" s="697" t="s">
        <v>567</v>
      </c>
      <c r="G702" s="697"/>
      <c r="H702" s="697"/>
      <c r="I702" s="697"/>
      <c r="J702" s="697"/>
      <c r="K702" s="697"/>
    </row>
    <row r="703" spans="1:11" x14ac:dyDescent="0.2">
      <c r="A703" s="697"/>
      <c r="B703" s="697"/>
      <c r="C703" s="697"/>
      <c r="D703" s="697"/>
      <c r="E703" s="697"/>
      <c r="F703" s="697"/>
      <c r="G703" s="697"/>
      <c r="H703" s="697"/>
      <c r="I703" s="697"/>
      <c r="J703" s="697"/>
      <c r="K703" s="697"/>
    </row>
    <row r="720" spans="1:6" x14ac:dyDescent="0.2">
      <c r="A720" s="728" t="s">
        <v>890</v>
      </c>
      <c r="B720" s="728"/>
      <c r="C720" s="590" t="s">
        <v>891</v>
      </c>
      <c r="D720" s="124"/>
      <c r="E720" s="124"/>
      <c r="F720" s="124"/>
    </row>
    <row r="721" spans="1:11" x14ac:dyDescent="0.2">
      <c r="B721" s="124"/>
      <c r="C721" s="124"/>
      <c r="D721" s="124"/>
      <c r="E721" s="124"/>
      <c r="F721" s="124"/>
    </row>
    <row r="722" spans="1:11" ht="15" x14ac:dyDescent="0.25">
      <c r="A722" s="141"/>
      <c r="B722" s="762"/>
      <c r="C722" s="762"/>
      <c r="D722" s="762"/>
      <c r="E722" s="762"/>
      <c r="F722" s="762"/>
      <c r="G722" s="762"/>
      <c r="H722" s="762"/>
      <c r="I722" s="762"/>
      <c r="J722" s="591"/>
      <c r="K722" s="591"/>
    </row>
    <row r="723" spans="1:11" ht="15" x14ac:dyDescent="0.25">
      <c r="A723" s="125"/>
      <c r="B723" s="696" t="s">
        <v>650</v>
      </c>
      <c r="C723" s="696"/>
      <c r="D723" s="696"/>
      <c r="E723" s="696"/>
      <c r="F723" s="696"/>
      <c r="G723" s="696"/>
      <c r="H723" s="696"/>
      <c r="I723" s="696"/>
      <c r="J723" s="136"/>
      <c r="K723" s="136"/>
    </row>
    <row r="724" spans="1:11" ht="15" x14ac:dyDescent="0.25">
      <c r="A724" s="125"/>
      <c r="B724" s="696" t="s">
        <v>41</v>
      </c>
      <c r="C724" s="696"/>
      <c r="D724" s="696"/>
      <c r="E724" s="696"/>
      <c r="F724" s="696"/>
      <c r="G724" s="696"/>
      <c r="H724" s="696"/>
      <c r="I724" s="696"/>
      <c r="J724" s="136"/>
      <c r="K724" s="136"/>
    </row>
    <row r="725" spans="1:11" ht="15" x14ac:dyDescent="0.25">
      <c r="A725" s="125"/>
      <c r="B725" s="742" t="s">
        <v>931</v>
      </c>
      <c r="C725" s="742"/>
      <c r="D725" s="742"/>
      <c r="E725" s="742"/>
      <c r="F725" s="742"/>
      <c r="G725" s="742"/>
      <c r="H725" s="742"/>
      <c r="I725" s="742"/>
      <c r="J725" s="136"/>
      <c r="K725" s="136"/>
    </row>
    <row r="726" spans="1:11" x14ac:dyDescent="0.2">
      <c r="A726" s="125"/>
      <c r="B726" s="124"/>
      <c r="C726" s="124"/>
      <c r="D726" s="124"/>
      <c r="E726" s="124"/>
      <c r="F726" s="124"/>
      <c r="J726" s="136"/>
      <c r="K726" s="136"/>
    </row>
    <row r="727" spans="1:11" x14ac:dyDescent="0.2">
      <c r="A727" s="125"/>
      <c r="B727" s="755" t="s">
        <v>30</v>
      </c>
      <c r="C727" s="756"/>
      <c r="D727" s="756"/>
      <c r="E727" s="757"/>
      <c r="F727" s="127"/>
      <c r="G727" s="201" t="s">
        <v>37</v>
      </c>
      <c r="H727" s="127"/>
      <c r="I727" s="201" t="s">
        <v>39</v>
      </c>
      <c r="J727" s="136"/>
      <c r="K727" s="136"/>
    </row>
    <row r="728" spans="1:11" x14ac:dyDescent="0.2">
      <c r="A728" s="125"/>
      <c r="B728" s="758"/>
      <c r="C728" s="759"/>
      <c r="D728" s="759"/>
      <c r="E728" s="760"/>
      <c r="F728" s="127"/>
      <c r="G728" s="202" t="s">
        <v>40</v>
      </c>
      <c r="H728" s="127"/>
      <c r="I728" s="202" t="s">
        <v>40</v>
      </c>
      <c r="J728" s="136"/>
      <c r="K728" s="136"/>
    </row>
    <row r="729" spans="1:11" x14ac:dyDescent="0.2">
      <c r="A729" s="125"/>
      <c r="B729" s="203" t="s">
        <v>893</v>
      </c>
      <c r="C729" s="203" t="s">
        <v>906</v>
      </c>
      <c r="D729" s="203"/>
      <c r="E729" s="124"/>
      <c r="F729" s="124"/>
      <c r="G729" s="204"/>
      <c r="H729" s="204"/>
      <c r="I729" s="204"/>
      <c r="J729" s="136"/>
      <c r="K729" s="136"/>
    </row>
    <row r="730" spans="1:11" x14ac:dyDescent="0.2">
      <c r="A730" s="125"/>
      <c r="B730" s="6"/>
      <c r="C730" s="128" t="s">
        <v>894</v>
      </c>
      <c r="D730" s="124"/>
      <c r="E730" s="124"/>
      <c r="F730" s="124"/>
      <c r="G730" s="204"/>
      <c r="H730" s="204"/>
      <c r="I730" s="204"/>
      <c r="J730" s="136"/>
      <c r="K730" s="136"/>
    </row>
    <row r="731" spans="1:11" x14ac:dyDescent="0.2">
      <c r="A731" s="125"/>
      <c r="B731" s="6"/>
      <c r="C731" s="124"/>
      <c r="D731" s="124">
        <v>1</v>
      </c>
      <c r="E731" s="124" t="s">
        <v>895</v>
      </c>
      <c r="F731" s="124"/>
      <c r="G731" s="204"/>
      <c r="H731" s="204"/>
      <c r="I731" s="204">
        <f>G731+I659</f>
        <v>0</v>
      </c>
      <c r="J731" s="136"/>
      <c r="K731" s="136"/>
    </row>
    <row r="732" spans="1:11" x14ac:dyDescent="0.2">
      <c r="A732" s="125"/>
      <c r="B732" s="6"/>
      <c r="C732" s="124"/>
      <c r="D732" s="124">
        <v>2</v>
      </c>
      <c r="E732" s="124" t="s">
        <v>896</v>
      </c>
      <c r="F732" s="124"/>
      <c r="G732" s="204"/>
      <c r="H732" s="204"/>
      <c r="I732" s="204">
        <f t="shared" ref="I732:I735" si="29">G732+I660</f>
        <v>0</v>
      </c>
      <c r="J732" s="136"/>
      <c r="K732" s="136"/>
    </row>
    <row r="733" spans="1:11" x14ac:dyDescent="0.2">
      <c r="A733" s="125"/>
      <c r="B733" s="6"/>
      <c r="C733" s="124"/>
      <c r="D733" s="124">
        <v>3</v>
      </c>
      <c r="E733" s="124" t="s">
        <v>897</v>
      </c>
      <c r="F733" s="124"/>
      <c r="G733" s="204"/>
      <c r="H733" s="204"/>
      <c r="I733" s="204">
        <f t="shared" si="29"/>
        <v>0</v>
      </c>
      <c r="J733" s="136"/>
      <c r="K733" s="136"/>
    </row>
    <row r="734" spans="1:11" x14ac:dyDescent="0.2">
      <c r="A734" s="125"/>
      <c r="B734" s="6"/>
      <c r="C734" s="124"/>
      <c r="D734" s="124">
        <v>4</v>
      </c>
      <c r="E734" s="124" t="s">
        <v>902</v>
      </c>
      <c r="F734" s="124"/>
      <c r="G734" s="204"/>
      <c r="H734" s="204"/>
      <c r="I734" s="204">
        <f t="shared" si="29"/>
        <v>0</v>
      </c>
      <c r="J734" s="136"/>
      <c r="K734" s="136"/>
    </row>
    <row r="735" spans="1:11" x14ac:dyDescent="0.2">
      <c r="A735" s="125"/>
      <c r="B735" s="6"/>
      <c r="C735" s="124"/>
      <c r="D735" s="124">
        <v>5</v>
      </c>
      <c r="E735" s="124" t="s">
        <v>898</v>
      </c>
      <c r="F735" s="124"/>
      <c r="G735" s="204"/>
      <c r="H735" s="204"/>
      <c r="I735" s="204">
        <f t="shared" si="29"/>
        <v>0</v>
      </c>
      <c r="J735" s="136"/>
      <c r="K735" s="136"/>
    </row>
    <row r="736" spans="1:11" x14ac:dyDescent="0.2">
      <c r="A736" s="125"/>
      <c r="B736" s="6"/>
      <c r="C736" s="124"/>
      <c r="D736" s="124"/>
      <c r="E736" s="124"/>
      <c r="F736" s="124"/>
      <c r="G736" s="204"/>
      <c r="H736" s="204"/>
      <c r="I736" s="204"/>
      <c r="J736" s="136"/>
      <c r="K736" s="136"/>
    </row>
    <row r="737" spans="1:11" x14ac:dyDescent="0.2">
      <c r="A737" s="125"/>
      <c r="B737" s="6"/>
      <c r="C737" s="128"/>
      <c r="D737" s="128" t="s">
        <v>55</v>
      </c>
      <c r="E737" s="128"/>
      <c r="F737" s="124"/>
      <c r="G737" s="205">
        <f>SUM(G731:G735)</f>
        <v>0</v>
      </c>
      <c r="H737" s="204"/>
      <c r="I737" s="205">
        <f>SUM(I731:I735)</f>
        <v>0</v>
      </c>
      <c r="J737" s="136"/>
      <c r="K737" s="136"/>
    </row>
    <row r="738" spans="1:11" x14ac:dyDescent="0.2">
      <c r="A738" s="125"/>
      <c r="B738" s="6"/>
      <c r="C738" s="128"/>
      <c r="D738" s="128"/>
      <c r="E738" s="128"/>
      <c r="F738" s="124"/>
      <c r="G738" s="149"/>
      <c r="H738" s="204"/>
      <c r="I738" s="149"/>
      <c r="J738" s="136"/>
      <c r="K738" s="136"/>
    </row>
    <row r="739" spans="1:11" x14ac:dyDescent="0.2">
      <c r="A739" s="125"/>
      <c r="B739" s="6"/>
      <c r="C739" s="128" t="s">
        <v>899</v>
      </c>
      <c r="D739" s="124"/>
      <c r="E739" s="124"/>
      <c r="F739" s="124"/>
      <c r="G739" s="204"/>
      <c r="H739" s="204"/>
      <c r="I739" s="204"/>
      <c r="J739" s="136"/>
      <c r="K739" s="136"/>
    </row>
    <row r="740" spans="1:11" x14ac:dyDescent="0.2">
      <c r="A740" s="125"/>
      <c r="B740" s="6"/>
      <c r="C740" s="124"/>
      <c r="D740" s="124">
        <v>1</v>
      </c>
      <c r="E740" s="206" t="s">
        <v>328</v>
      </c>
      <c r="F740" s="124"/>
      <c r="G740" s="204"/>
      <c r="H740" s="204"/>
      <c r="I740" s="204">
        <f>G740+I668</f>
        <v>0</v>
      </c>
      <c r="J740" s="136"/>
      <c r="K740" s="136"/>
    </row>
    <row r="741" spans="1:11" x14ac:dyDescent="0.2">
      <c r="A741" s="125"/>
      <c r="B741" s="6"/>
      <c r="C741" s="124"/>
      <c r="D741" s="124">
        <v>2</v>
      </c>
      <c r="E741" s="206" t="s">
        <v>329</v>
      </c>
      <c r="F741" s="124"/>
      <c r="G741" s="204"/>
      <c r="H741" s="204"/>
      <c r="I741" s="204">
        <f t="shared" ref="I741:I746" si="30">G741+I669</f>
        <v>0</v>
      </c>
      <c r="J741" s="136"/>
      <c r="K741" s="136"/>
    </row>
    <row r="742" spans="1:11" x14ac:dyDescent="0.2">
      <c r="A742" s="125"/>
      <c r="B742" s="6"/>
      <c r="C742" s="124"/>
      <c r="D742" s="124">
        <v>3</v>
      </c>
      <c r="E742" s="206" t="s">
        <v>900</v>
      </c>
      <c r="F742" s="134"/>
      <c r="G742" s="204"/>
      <c r="H742" s="204"/>
      <c r="I742" s="204">
        <f t="shared" si="30"/>
        <v>1200000</v>
      </c>
      <c r="J742" s="136"/>
      <c r="K742" s="136"/>
    </row>
    <row r="743" spans="1:11" x14ac:dyDescent="0.2">
      <c r="A743" s="125"/>
      <c r="B743" s="6"/>
      <c r="C743" s="124"/>
      <c r="D743" s="124">
        <v>4</v>
      </c>
      <c r="E743" s="206" t="s">
        <v>901</v>
      </c>
      <c r="F743" s="124"/>
      <c r="G743" s="204"/>
      <c r="H743" s="204"/>
      <c r="I743" s="204">
        <f t="shared" si="30"/>
        <v>0</v>
      </c>
      <c r="J743" s="136"/>
      <c r="K743" s="136"/>
    </row>
    <row r="744" spans="1:11" x14ac:dyDescent="0.2">
      <c r="A744" s="125"/>
      <c r="B744" s="6"/>
      <c r="C744" s="124"/>
      <c r="D744" s="124">
        <v>5</v>
      </c>
      <c r="E744" s="206" t="s">
        <v>887</v>
      </c>
      <c r="F744" s="134"/>
      <c r="G744" s="204"/>
      <c r="H744" s="204"/>
      <c r="I744" s="204">
        <f t="shared" si="30"/>
        <v>0</v>
      </c>
      <c r="J744" s="136"/>
      <c r="K744" s="136"/>
    </row>
    <row r="745" spans="1:11" x14ac:dyDescent="0.2">
      <c r="A745" s="125"/>
      <c r="B745" s="6"/>
      <c r="C745" s="124"/>
      <c r="D745" s="124">
        <v>6</v>
      </c>
      <c r="E745" s="206" t="s">
        <v>903</v>
      </c>
      <c r="F745" s="134"/>
      <c r="G745" s="204"/>
      <c r="H745" s="204"/>
      <c r="I745" s="204">
        <f t="shared" si="30"/>
        <v>0</v>
      </c>
      <c r="J745" s="136"/>
      <c r="K745" s="136"/>
    </row>
    <row r="746" spans="1:11" x14ac:dyDescent="0.2">
      <c r="A746" s="125"/>
      <c r="B746" s="6"/>
      <c r="C746" s="124"/>
      <c r="D746" s="124">
        <v>7</v>
      </c>
      <c r="E746" s="206" t="s">
        <v>904</v>
      </c>
      <c r="F746" s="134"/>
      <c r="G746" s="204"/>
      <c r="H746" s="204"/>
      <c r="I746" s="204">
        <f t="shared" si="30"/>
        <v>0</v>
      </c>
      <c r="J746" s="136"/>
      <c r="K746" s="136"/>
    </row>
    <row r="747" spans="1:11" x14ac:dyDescent="0.2">
      <c r="A747" s="125"/>
      <c r="B747" s="134"/>
      <c r="C747" s="128"/>
      <c r="D747" s="124"/>
      <c r="E747" s="206"/>
      <c r="F747" s="124"/>
      <c r="G747" s="204"/>
      <c r="H747" s="204"/>
      <c r="I747" s="204"/>
      <c r="J747" s="136"/>
      <c r="K747" s="136"/>
    </row>
    <row r="748" spans="1:11" x14ac:dyDescent="0.2">
      <c r="A748" s="125"/>
      <c r="B748" s="6"/>
      <c r="C748" s="124"/>
      <c r="D748" s="128" t="s">
        <v>67</v>
      </c>
      <c r="E748" s="127"/>
      <c r="F748" s="208"/>
      <c r="G748" s="205">
        <f>SUM(G740:G747)</f>
        <v>0</v>
      </c>
      <c r="H748" s="204"/>
      <c r="I748" s="205">
        <f>SUM(I740:I747)</f>
        <v>1200000</v>
      </c>
      <c r="J748" s="136"/>
      <c r="K748" s="136"/>
    </row>
    <row r="749" spans="1:11" x14ac:dyDescent="0.2">
      <c r="A749" s="125"/>
      <c r="B749" s="6"/>
      <c r="C749" s="124"/>
      <c r="D749" s="124"/>
      <c r="E749" s="124"/>
      <c r="F749" s="124"/>
      <c r="G749" s="204"/>
      <c r="H749" s="204"/>
      <c r="I749" s="204"/>
      <c r="J749" s="136"/>
      <c r="K749" s="136"/>
    </row>
    <row r="750" spans="1:11" x14ac:dyDescent="0.2">
      <c r="A750" s="125"/>
      <c r="B750" s="6"/>
      <c r="C750" s="128" t="s">
        <v>905</v>
      </c>
      <c r="D750" s="128"/>
      <c r="E750" s="128"/>
      <c r="F750" s="124"/>
      <c r="G750" s="488">
        <f>G737-G748</f>
        <v>0</v>
      </c>
      <c r="H750" s="204"/>
      <c r="I750" s="488">
        <f>I737-I748</f>
        <v>-1200000</v>
      </c>
      <c r="K750" s="136"/>
    </row>
    <row r="751" spans="1:11" x14ac:dyDescent="0.2">
      <c r="A751" s="125"/>
      <c r="B751" s="6"/>
      <c r="C751" s="124"/>
      <c r="D751" s="124"/>
      <c r="E751" s="124"/>
      <c r="F751" s="124"/>
      <c r="G751" s="204"/>
      <c r="H751" s="204"/>
      <c r="I751" s="204"/>
      <c r="J751" s="136"/>
      <c r="K751" s="136"/>
    </row>
    <row r="752" spans="1:11" x14ac:dyDescent="0.2">
      <c r="A752" s="125"/>
      <c r="B752" s="203" t="s">
        <v>907</v>
      </c>
      <c r="C752" s="203" t="s">
        <v>908</v>
      </c>
      <c r="D752" s="151"/>
      <c r="E752" s="134"/>
      <c r="F752" s="134"/>
      <c r="G752" s="204"/>
      <c r="H752" s="204"/>
      <c r="I752" s="204"/>
      <c r="J752" s="136"/>
      <c r="K752" s="136"/>
    </row>
    <row r="753" spans="1:11" x14ac:dyDescent="0.2">
      <c r="A753" s="125"/>
      <c r="B753" s="134"/>
      <c r="C753" s="128"/>
      <c r="D753" s="124" t="s">
        <v>909</v>
      </c>
      <c r="E753" s="124"/>
      <c r="F753" s="124"/>
      <c r="G753" s="204"/>
      <c r="H753" s="204"/>
      <c r="I753" s="204">
        <f>G753+I681</f>
        <v>0</v>
      </c>
      <c r="J753" s="136"/>
      <c r="K753" s="136"/>
    </row>
    <row r="754" spans="1:11" x14ac:dyDescent="0.2">
      <c r="A754" s="125"/>
      <c r="B754" s="6"/>
      <c r="C754" s="128" t="s">
        <v>910</v>
      </c>
      <c r="D754" s="151"/>
      <c r="E754" s="151"/>
      <c r="F754" s="151"/>
      <c r="G754" s="205">
        <f>SUM(G753)</f>
        <v>0</v>
      </c>
      <c r="H754" s="149"/>
      <c r="I754" s="205">
        <f>SUM(I753)</f>
        <v>0</v>
      </c>
      <c r="J754" s="136"/>
      <c r="K754" s="136"/>
    </row>
    <row r="755" spans="1:11" x14ac:dyDescent="0.2">
      <c r="A755" s="125"/>
      <c r="B755" s="6"/>
      <c r="C755" s="694"/>
      <c r="D755" s="694"/>
      <c r="E755" s="694"/>
      <c r="F755" s="124"/>
      <c r="G755" s="433"/>
      <c r="H755" s="210"/>
      <c r="I755" s="433"/>
      <c r="J755" s="136"/>
      <c r="K755" s="136"/>
    </row>
    <row r="756" spans="1:11" x14ac:dyDescent="0.2">
      <c r="A756" s="125"/>
      <c r="B756" s="203" t="s">
        <v>911</v>
      </c>
      <c r="C756" s="203" t="s">
        <v>912</v>
      </c>
      <c r="D756" s="124"/>
      <c r="E756" s="124"/>
      <c r="F756" s="124"/>
      <c r="G756" s="210"/>
      <c r="H756" s="210"/>
      <c r="I756" s="210"/>
      <c r="J756" s="136"/>
      <c r="K756" s="136"/>
    </row>
    <row r="757" spans="1:11" x14ac:dyDescent="0.2">
      <c r="A757" s="125"/>
      <c r="B757" s="195"/>
      <c r="C757" s="195"/>
      <c r="D757" s="124" t="s">
        <v>913</v>
      </c>
      <c r="E757" s="195"/>
      <c r="F757" s="134"/>
      <c r="G757" s="433"/>
      <c r="H757" s="210"/>
      <c r="I757" s="204">
        <f>G757+I686</f>
        <v>0</v>
      </c>
      <c r="J757" s="136"/>
      <c r="K757" s="136"/>
    </row>
    <row r="758" spans="1:11" x14ac:dyDescent="0.2">
      <c r="A758" s="125"/>
      <c r="B758" s="203"/>
      <c r="C758" s="124"/>
      <c r="D758" s="124" t="s">
        <v>914</v>
      </c>
      <c r="E758" s="124"/>
      <c r="F758" s="124"/>
      <c r="G758" s="204"/>
      <c r="H758" s="204"/>
      <c r="I758" s="204">
        <f t="shared" ref="I758:I760" si="31">G758+I687</f>
        <v>0</v>
      </c>
      <c r="J758" s="136"/>
      <c r="K758" s="136"/>
    </row>
    <row r="759" spans="1:11" x14ac:dyDescent="0.2">
      <c r="A759" s="125"/>
      <c r="B759" s="6"/>
      <c r="C759" s="124"/>
      <c r="D759" s="151" t="s">
        <v>915</v>
      </c>
      <c r="E759" s="134"/>
      <c r="F759" s="134"/>
      <c r="G759" s="204"/>
      <c r="H759" s="204"/>
      <c r="I759" s="204">
        <f t="shared" si="31"/>
        <v>0</v>
      </c>
      <c r="J759" s="136"/>
      <c r="K759" s="136"/>
    </row>
    <row r="760" spans="1:11" x14ac:dyDescent="0.2">
      <c r="A760" s="125"/>
      <c r="B760" s="134"/>
      <c r="C760" s="128"/>
      <c r="D760" s="124" t="s">
        <v>916</v>
      </c>
      <c r="E760" s="124"/>
      <c r="F760" s="124"/>
      <c r="G760" s="593"/>
      <c r="H760" s="204"/>
      <c r="I760" s="204">
        <f t="shared" si="31"/>
        <v>0</v>
      </c>
      <c r="J760" s="136"/>
      <c r="K760" s="136"/>
    </row>
    <row r="761" spans="1:11" x14ac:dyDescent="0.2">
      <c r="A761" s="125"/>
      <c r="B761" s="6"/>
      <c r="C761" s="128" t="s">
        <v>917</v>
      </c>
      <c r="D761" s="151"/>
      <c r="E761" s="151"/>
      <c r="F761" s="151"/>
      <c r="G761" s="596">
        <f>SUM(G757:G760)</f>
        <v>0</v>
      </c>
      <c r="H761" s="204"/>
      <c r="I761" s="596">
        <f>SUM(I757:I760)</f>
        <v>0</v>
      </c>
      <c r="J761" s="136"/>
      <c r="K761" s="136"/>
    </row>
    <row r="762" spans="1:11" x14ac:dyDescent="0.2">
      <c r="A762" s="125"/>
      <c r="B762" s="6"/>
      <c r="C762" s="124"/>
      <c r="D762" s="124"/>
      <c r="E762" s="124"/>
      <c r="F762" s="124"/>
      <c r="G762" s="593"/>
      <c r="H762" s="204"/>
      <c r="I762" s="204"/>
      <c r="J762" s="136"/>
      <c r="K762" s="136"/>
    </row>
    <row r="763" spans="1:11" x14ac:dyDescent="0.2">
      <c r="A763" s="125"/>
      <c r="B763" s="203" t="s">
        <v>918</v>
      </c>
      <c r="C763" s="203" t="s">
        <v>919</v>
      </c>
      <c r="D763" s="130"/>
      <c r="E763" s="130"/>
      <c r="F763" s="124"/>
      <c r="G763" s="149">
        <f>G750-G754+G761</f>
        <v>0</v>
      </c>
      <c r="H763" s="204"/>
      <c r="I763" s="149">
        <f>I750-I754+I761</f>
        <v>-1200000</v>
      </c>
      <c r="J763" s="136"/>
      <c r="K763" s="136"/>
    </row>
    <row r="764" spans="1:11" x14ac:dyDescent="0.2">
      <c r="A764" s="125"/>
      <c r="B764" s="6"/>
      <c r="C764" s="124"/>
      <c r="D764" s="124"/>
      <c r="E764" s="124"/>
      <c r="F764" s="124"/>
      <c r="G764" s="204"/>
      <c r="H764" s="204"/>
      <c r="I764" s="204"/>
      <c r="J764" s="136"/>
      <c r="K764" s="136"/>
    </row>
    <row r="765" spans="1:11" x14ac:dyDescent="0.2">
      <c r="A765" s="125"/>
      <c r="B765" s="203" t="s">
        <v>920</v>
      </c>
      <c r="C765" s="203" t="s">
        <v>921</v>
      </c>
      <c r="D765" s="130"/>
      <c r="E765" s="124"/>
      <c r="F765" s="124"/>
      <c r="G765" s="149">
        <f>G695</f>
        <v>1311051855.8000002</v>
      </c>
      <c r="H765" s="149"/>
      <c r="I765" s="149">
        <v>1312251855.8000002</v>
      </c>
      <c r="J765" s="136"/>
      <c r="K765" s="136"/>
    </row>
    <row r="766" spans="1:11" x14ac:dyDescent="0.2">
      <c r="A766" s="125"/>
      <c r="B766" s="6"/>
      <c r="C766" s="124"/>
      <c r="D766" s="124"/>
      <c r="E766" s="124"/>
      <c r="F766" s="124"/>
      <c r="G766" s="149"/>
      <c r="H766" s="149"/>
      <c r="I766" s="149"/>
      <c r="J766" s="136"/>
      <c r="K766" s="136"/>
    </row>
    <row r="767" spans="1:11" x14ac:dyDescent="0.2">
      <c r="A767" s="125"/>
      <c r="B767" s="134" t="s">
        <v>922</v>
      </c>
      <c r="C767" s="128" t="s">
        <v>921</v>
      </c>
      <c r="D767" s="124"/>
      <c r="E767" s="124"/>
      <c r="F767" s="124"/>
      <c r="G767" s="149">
        <f>G763+G765</f>
        <v>1311051855.8000002</v>
      </c>
      <c r="H767" s="149"/>
      <c r="I767" s="149">
        <f>I763+I765</f>
        <v>1311051855.8000002</v>
      </c>
      <c r="J767" s="136"/>
      <c r="K767" s="136"/>
    </row>
    <row r="768" spans="1:11" x14ac:dyDescent="0.2">
      <c r="A768" s="120"/>
      <c r="B768" s="119"/>
      <c r="C768" s="119"/>
      <c r="D768" s="119"/>
      <c r="E768" s="119"/>
      <c r="F768" s="119"/>
      <c r="G768" s="218"/>
      <c r="H768" s="218"/>
      <c r="I768" s="218"/>
      <c r="J768" s="594"/>
      <c r="K768" s="594"/>
    </row>
    <row r="769" spans="1:11" x14ac:dyDescent="0.2">
      <c r="A769" s="761"/>
      <c r="B769" s="761"/>
      <c r="C769" s="761"/>
      <c r="D769" s="761"/>
      <c r="E769" s="761"/>
      <c r="F769" s="124"/>
      <c r="G769" s="219"/>
      <c r="H769" s="219"/>
      <c r="I769" s="219"/>
    </row>
    <row r="770" spans="1:11" x14ac:dyDescent="0.2">
      <c r="A770" s="697" t="s">
        <v>579</v>
      </c>
      <c r="B770" s="697"/>
      <c r="C770" s="697"/>
      <c r="D770" s="697"/>
      <c r="E770" s="697"/>
      <c r="F770" s="697" t="s">
        <v>566</v>
      </c>
      <c r="G770" s="697"/>
      <c r="H770" s="697"/>
      <c r="I770" s="697"/>
      <c r="J770" s="697"/>
      <c r="K770" s="697"/>
    </row>
    <row r="771" spans="1:11" x14ac:dyDescent="0.2">
      <c r="A771" s="697" t="s">
        <v>678</v>
      </c>
      <c r="B771" s="697"/>
      <c r="C771" s="697"/>
      <c r="D771" s="697"/>
      <c r="E771" s="697"/>
      <c r="F771" s="697" t="s">
        <v>681</v>
      </c>
      <c r="G771" s="697"/>
      <c r="H771" s="697"/>
      <c r="I771" s="697"/>
      <c r="J771" s="697"/>
      <c r="K771" s="697"/>
    </row>
    <row r="772" spans="1:11" x14ac:dyDescent="0.2">
      <c r="A772" s="697"/>
      <c r="B772" s="697"/>
      <c r="C772" s="697"/>
      <c r="D772" s="697"/>
      <c r="E772" s="697"/>
      <c r="F772" s="697"/>
      <c r="G772" s="697"/>
      <c r="H772" s="697"/>
      <c r="I772" s="697"/>
      <c r="J772" s="697"/>
      <c r="K772" s="697"/>
    </row>
    <row r="773" spans="1:11" x14ac:dyDescent="0.2">
      <c r="A773" s="697"/>
      <c r="B773" s="697"/>
      <c r="C773" s="697"/>
      <c r="D773" s="697"/>
      <c r="E773" s="697"/>
      <c r="F773" s="697"/>
      <c r="G773" s="697"/>
      <c r="H773" s="697"/>
      <c r="I773" s="697"/>
      <c r="J773" s="697"/>
      <c r="K773" s="697"/>
    </row>
    <row r="774" spans="1:11" x14ac:dyDescent="0.2">
      <c r="A774" s="697" t="s">
        <v>655</v>
      </c>
      <c r="B774" s="697"/>
      <c r="C774" s="697"/>
      <c r="D774" s="697"/>
      <c r="E774" s="697"/>
      <c r="F774" s="697" t="s">
        <v>567</v>
      </c>
      <c r="G774" s="697"/>
      <c r="H774" s="697"/>
      <c r="I774" s="697"/>
      <c r="J774" s="697"/>
      <c r="K774" s="697"/>
    </row>
    <row r="775" spans="1:11" x14ac:dyDescent="0.2">
      <c r="A775" s="697"/>
      <c r="B775" s="697"/>
      <c r="C775" s="697"/>
      <c r="D775" s="697"/>
      <c r="E775" s="697"/>
      <c r="F775" s="697"/>
      <c r="G775" s="697"/>
      <c r="H775" s="697"/>
      <c r="I775" s="697"/>
      <c r="J775" s="697"/>
      <c r="K775" s="697"/>
    </row>
    <row r="792" spans="1:11" x14ac:dyDescent="0.2">
      <c r="A792" s="728" t="s">
        <v>890</v>
      </c>
      <c r="B792" s="728"/>
      <c r="C792" s="590" t="s">
        <v>891</v>
      </c>
      <c r="D792" s="124"/>
      <c r="E792" s="124"/>
      <c r="F792" s="124"/>
    </row>
    <row r="793" spans="1:11" x14ac:dyDescent="0.2">
      <c r="B793" s="124"/>
      <c r="C793" s="124"/>
      <c r="D793" s="124"/>
      <c r="E793" s="124"/>
      <c r="F793" s="124"/>
    </row>
    <row r="794" spans="1:11" ht="15" x14ac:dyDescent="0.25">
      <c r="A794" s="141"/>
      <c r="B794" s="762"/>
      <c r="C794" s="762"/>
      <c r="D794" s="762"/>
      <c r="E794" s="762"/>
      <c r="F794" s="762"/>
      <c r="G794" s="762"/>
      <c r="H794" s="762"/>
      <c r="I794" s="762"/>
      <c r="J794" s="591"/>
      <c r="K794" s="591"/>
    </row>
    <row r="795" spans="1:11" ht="15" x14ac:dyDescent="0.25">
      <c r="A795" s="125"/>
      <c r="B795" s="696" t="s">
        <v>650</v>
      </c>
      <c r="C795" s="696"/>
      <c r="D795" s="696"/>
      <c r="E795" s="696"/>
      <c r="F795" s="696"/>
      <c r="G795" s="696"/>
      <c r="H795" s="696"/>
      <c r="I795" s="696"/>
      <c r="J795" s="136"/>
      <c r="K795" s="136"/>
    </row>
    <row r="796" spans="1:11" ht="15" x14ac:dyDescent="0.25">
      <c r="A796" s="125"/>
      <c r="B796" s="696" t="s">
        <v>41</v>
      </c>
      <c r="C796" s="696"/>
      <c r="D796" s="696"/>
      <c r="E796" s="696"/>
      <c r="F796" s="696"/>
      <c r="G796" s="696"/>
      <c r="H796" s="696"/>
      <c r="I796" s="696"/>
      <c r="J796" s="136"/>
      <c r="K796" s="136"/>
    </row>
    <row r="797" spans="1:11" ht="15" x14ac:dyDescent="0.25">
      <c r="A797" s="125"/>
      <c r="B797" s="742" t="s">
        <v>932</v>
      </c>
      <c r="C797" s="742"/>
      <c r="D797" s="742"/>
      <c r="E797" s="742"/>
      <c r="F797" s="742"/>
      <c r="G797" s="742"/>
      <c r="H797" s="742"/>
      <c r="I797" s="742"/>
      <c r="J797" s="136"/>
      <c r="K797" s="136"/>
    </row>
    <row r="798" spans="1:11" x14ac:dyDescent="0.2">
      <c r="A798" s="125"/>
      <c r="B798" s="124"/>
      <c r="C798" s="124"/>
      <c r="D798" s="124"/>
      <c r="E798" s="124"/>
      <c r="F798" s="124"/>
      <c r="J798" s="136"/>
      <c r="K798" s="136"/>
    </row>
    <row r="799" spans="1:11" x14ac:dyDescent="0.2">
      <c r="A799" s="125"/>
      <c r="B799" s="755" t="s">
        <v>30</v>
      </c>
      <c r="C799" s="756"/>
      <c r="D799" s="756"/>
      <c r="E799" s="757"/>
      <c r="F799" s="127"/>
      <c r="G799" s="201" t="s">
        <v>37</v>
      </c>
      <c r="H799" s="127"/>
      <c r="I799" s="201" t="s">
        <v>39</v>
      </c>
      <c r="J799" s="136"/>
      <c r="K799" s="136"/>
    </row>
    <row r="800" spans="1:11" x14ac:dyDescent="0.2">
      <c r="A800" s="125"/>
      <c r="B800" s="758"/>
      <c r="C800" s="759"/>
      <c r="D800" s="759"/>
      <c r="E800" s="760"/>
      <c r="F800" s="127"/>
      <c r="G800" s="202" t="s">
        <v>40</v>
      </c>
      <c r="H800" s="127"/>
      <c r="I800" s="202" t="s">
        <v>40</v>
      </c>
      <c r="J800" s="136"/>
      <c r="K800" s="136"/>
    </row>
    <row r="801" spans="1:11" x14ac:dyDescent="0.2">
      <c r="A801" s="125"/>
      <c r="B801" s="203" t="s">
        <v>893</v>
      </c>
      <c r="C801" s="203" t="s">
        <v>906</v>
      </c>
      <c r="D801" s="203"/>
      <c r="E801" s="124"/>
      <c r="F801" s="124"/>
      <c r="G801" s="204"/>
      <c r="H801" s="204"/>
      <c r="I801" s="204"/>
      <c r="J801" s="136"/>
      <c r="K801" s="136"/>
    </row>
    <row r="802" spans="1:11" x14ac:dyDescent="0.2">
      <c r="A802" s="125"/>
      <c r="B802" s="6"/>
      <c r="C802" s="128" t="s">
        <v>894</v>
      </c>
      <c r="D802" s="124"/>
      <c r="E802" s="124"/>
      <c r="F802" s="124"/>
      <c r="G802" s="204"/>
      <c r="H802" s="204"/>
      <c r="I802" s="204"/>
      <c r="J802" s="136"/>
      <c r="K802" s="136"/>
    </row>
    <row r="803" spans="1:11" x14ac:dyDescent="0.2">
      <c r="A803" s="125"/>
      <c r="B803" s="6"/>
      <c r="C803" s="124"/>
      <c r="D803" s="124">
        <v>1</v>
      </c>
      <c r="E803" s="124" t="s">
        <v>895</v>
      </c>
      <c r="F803" s="124"/>
      <c r="G803" s="204"/>
      <c r="H803" s="204"/>
      <c r="I803" s="204">
        <f>G803+I731</f>
        <v>0</v>
      </c>
      <c r="J803" s="136"/>
      <c r="K803" s="136"/>
    </row>
    <row r="804" spans="1:11" x14ac:dyDescent="0.2">
      <c r="A804" s="125"/>
      <c r="B804" s="6"/>
      <c r="C804" s="124"/>
      <c r="D804" s="124">
        <v>2</v>
      </c>
      <c r="E804" s="124" t="s">
        <v>896</v>
      </c>
      <c r="F804" s="124"/>
      <c r="G804" s="204"/>
      <c r="H804" s="204"/>
      <c r="I804" s="204">
        <f t="shared" ref="I804:I807" si="32">G804+I732</f>
        <v>0</v>
      </c>
      <c r="J804" s="136"/>
      <c r="K804" s="136"/>
    </row>
    <row r="805" spans="1:11" x14ac:dyDescent="0.2">
      <c r="A805" s="125"/>
      <c r="B805" s="6"/>
      <c r="C805" s="124"/>
      <c r="D805" s="124">
        <v>3</v>
      </c>
      <c r="E805" s="124" t="s">
        <v>897</v>
      </c>
      <c r="F805" s="124"/>
      <c r="G805" s="204"/>
      <c r="H805" s="204"/>
      <c r="I805" s="204">
        <f t="shared" si="32"/>
        <v>0</v>
      </c>
      <c r="J805" s="136"/>
      <c r="K805" s="136"/>
    </row>
    <row r="806" spans="1:11" x14ac:dyDescent="0.2">
      <c r="A806" s="125"/>
      <c r="B806" s="6"/>
      <c r="C806" s="124"/>
      <c r="D806" s="124">
        <v>4</v>
      </c>
      <c r="E806" s="124" t="s">
        <v>902</v>
      </c>
      <c r="F806" s="124"/>
      <c r="G806" s="204"/>
      <c r="H806" s="204"/>
      <c r="I806" s="204">
        <f t="shared" si="32"/>
        <v>0</v>
      </c>
      <c r="J806" s="136"/>
      <c r="K806" s="136"/>
    </row>
    <row r="807" spans="1:11" x14ac:dyDescent="0.2">
      <c r="A807" s="125"/>
      <c r="B807" s="6"/>
      <c r="C807" s="124"/>
      <c r="D807" s="124">
        <v>5</v>
      </c>
      <c r="E807" s="124" t="s">
        <v>898</v>
      </c>
      <c r="F807" s="124"/>
      <c r="G807" s="204"/>
      <c r="H807" s="204"/>
      <c r="I807" s="204">
        <f t="shared" si="32"/>
        <v>0</v>
      </c>
      <c r="J807" s="136"/>
      <c r="K807" s="136"/>
    </row>
    <row r="808" spans="1:11" x14ac:dyDescent="0.2">
      <c r="A808" s="125"/>
      <c r="B808" s="6"/>
      <c r="C808" s="124"/>
      <c r="D808" s="124"/>
      <c r="E808" s="124"/>
      <c r="F808" s="124"/>
      <c r="G808" s="204"/>
      <c r="H808" s="204"/>
      <c r="I808" s="204"/>
      <c r="J808" s="136"/>
      <c r="K808" s="136"/>
    </row>
    <row r="809" spans="1:11" x14ac:dyDescent="0.2">
      <c r="A809" s="125"/>
      <c r="B809" s="6"/>
      <c r="C809" s="128"/>
      <c r="D809" s="128" t="s">
        <v>55</v>
      </c>
      <c r="E809" s="128"/>
      <c r="F809" s="124"/>
      <c r="G809" s="205">
        <f>SUM(G803:G807)</f>
        <v>0</v>
      </c>
      <c r="H809" s="204"/>
      <c r="I809" s="205">
        <f>SUM(I803:I807)</f>
        <v>0</v>
      </c>
      <c r="J809" s="136"/>
      <c r="K809" s="136"/>
    </row>
    <row r="810" spans="1:11" x14ac:dyDescent="0.2">
      <c r="A810" s="125"/>
      <c r="B810" s="6"/>
      <c r="C810" s="128"/>
      <c r="D810" s="128"/>
      <c r="E810" s="128"/>
      <c r="F810" s="124"/>
      <c r="G810" s="149"/>
      <c r="H810" s="204"/>
      <c r="I810" s="149"/>
      <c r="J810" s="136"/>
      <c r="K810" s="136"/>
    </row>
    <row r="811" spans="1:11" x14ac:dyDescent="0.2">
      <c r="A811" s="125"/>
      <c r="B811" s="6"/>
      <c r="C811" s="128" t="s">
        <v>899</v>
      </c>
      <c r="D811" s="124"/>
      <c r="E811" s="124"/>
      <c r="F811" s="124"/>
      <c r="G811" s="204"/>
      <c r="H811" s="204"/>
      <c r="I811" s="204"/>
      <c r="J811" s="136"/>
      <c r="K811" s="136"/>
    </row>
    <row r="812" spans="1:11" x14ac:dyDescent="0.2">
      <c r="A812" s="125"/>
      <c r="B812" s="6"/>
      <c r="C812" s="124"/>
      <c r="D812" s="124">
        <v>1</v>
      </c>
      <c r="E812" s="206" t="s">
        <v>328</v>
      </c>
      <c r="F812" s="124"/>
      <c r="G812" s="204"/>
      <c r="H812" s="204"/>
      <c r="I812" s="204">
        <f>G812+I740</f>
        <v>0</v>
      </c>
      <c r="J812" s="136"/>
      <c r="K812" s="136"/>
    </row>
    <row r="813" spans="1:11" x14ac:dyDescent="0.2">
      <c r="A813" s="125"/>
      <c r="B813" s="6"/>
      <c r="C813" s="124"/>
      <c r="D813" s="124">
        <v>2</v>
      </c>
      <c r="E813" s="206" t="s">
        <v>329</v>
      </c>
      <c r="F813" s="124"/>
      <c r="G813" s="204"/>
      <c r="H813" s="204"/>
      <c r="I813" s="204">
        <f t="shared" ref="I813:I818" si="33">G813+I741</f>
        <v>0</v>
      </c>
      <c r="J813" s="136"/>
      <c r="K813" s="136"/>
    </row>
    <row r="814" spans="1:11" x14ac:dyDescent="0.2">
      <c r="A814" s="125"/>
      <c r="B814" s="6"/>
      <c r="C814" s="124"/>
      <c r="D814" s="124">
        <v>3</v>
      </c>
      <c r="E814" s="206" t="s">
        <v>900</v>
      </c>
      <c r="F814" s="134"/>
      <c r="G814" s="204"/>
      <c r="H814" s="204"/>
      <c r="I814" s="204">
        <f t="shared" si="33"/>
        <v>1200000</v>
      </c>
      <c r="J814" s="136"/>
      <c r="K814" s="136"/>
    </row>
    <row r="815" spans="1:11" x14ac:dyDescent="0.2">
      <c r="A815" s="125"/>
      <c r="B815" s="6"/>
      <c r="C815" s="124"/>
      <c r="D815" s="124">
        <v>4</v>
      </c>
      <c r="E815" s="206" t="s">
        <v>901</v>
      </c>
      <c r="F815" s="124"/>
      <c r="G815" s="204"/>
      <c r="H815" s="204"/>
      <c r="I815" s="204">
        <f t="shared" si="33"/>
        <v>0</v>
      </c>
      <c r="J815" s="136"/>
      <c r="K815" s="136"/>
    </row>
    <row r="816" spans="1:11" x14ac:dyDescent="0.2">
      <c r="A816" s="125"/>
      <c r="B816" s="6"/>
      <c r="C816" s="124"/>
      <c r="D816" s="124">
        <v>5</v>
      </c>
      <c r="E816" s="206" t="s">
        <v>887</v>
      </c>
      <c r="F816" s="134"/>
      <c r="G816" s="204"/>
      <c r="H816" s="204"/>
      <c r="I816" s="204">
        <f t="shared" si="33"/>
        <v>0</v>
      </c>
      <c r="J816" s="136"/>
      <c r="K816" s="136"/>
    </row>
    <row r="817" spans="1:11" x14ac:dyDescent="0.2">
      <c r="A817" s="125"/>
      <c r="B817" s="6"/>
      <c r="C817" s="124"/>
      <c r="D817" s="124">
        <v>6</v>
      </c>
      <c r="E817" s="206" t="s">
        <v>903</v>
      </c>
      <c r="F817" s="134"/>
      <c r="G817" s="204"/>
      <c r="H817" s="204"/>
      <c r="I817" s="204">
        <f t="shared" si="33"/>
        <v>0</v>
      </c>
      <c r="J817" s="136"/>
      <c r="K817" s="136"/>
    </row>
    <row r="818" spans="1:11" x14ac:dyDescent="0.2">
      <c r="A818" s="125"/>
      <c r="B818" s="6"/>
      <c r="C818" s="124"/>
      <c r="D818" s="124">
        <v>7</v>
      </c>
      <c r="E818" s="206" t="s">
        <v>904</v>
      </c>
      <c r="F818" s="134"/>
      <c r="G818" s="204"/>
      <c r="H818" s="204"/>
      <c r="I818" s="204">
        <f t="shared" si="33"/>
        <v>0</v>
      </c>
      <c r="J818" s="136"/>
      <c r="K818" s="136"/>
    </row>
    <row r="819" spans="1:11" x14ac:dyDescent="0.2">
      <c r="A819" s="125"/>
      <c r="B819" s="134"/>
      <c r="C819" s="128"/>
      <c r="D819" s="124"/>
      <c r="E819" s="206"/>
      <c r="F819" s="124"/>
      <c r="G819" s="204"/>
      <c r="H819" s="204"/>
      <c r="I819" s="204"/>
      <c r="J819" s="136"/>
      <c r="K819" s="136"/>
    </row>
    <row r="820" spans="1:11" x14ac:dyDescent="0.2">
      <c r="A820" s="125"/>
      <c r="B820" s="6"/>
      <c r="C820" s="124"/>
      <c r="D820" s="128" t="s">
        <v>67</v>
      </c>
      <c r="E820" s="127"/>
      <c r="F820" s="208"/>
      <c r="G820" s="205">
        <f>SUM(G812:G819)</f>
        <v>0</v>
      </c>
      <c r="H820" s="204"/>
      <c r="I820" s="205">
        <f>SUM(I812:I819)</f>
        <v>1200000</v>
      </c>
      <c r="J820" s="136"/>
      <c r="K820" s="136"/>
    </row>
    <row r="821" spans="1:11" x14ac:dyDescent="0.2">
      <c r="A821" s="125"/>
      <c r="B821" s="6"/>
      <c r="C821" s="124"/>
      <c r="D821" s="124"/>
      <c r="E821" s="124"/>
      <c r="F821" s="124"/>
      <c r="G821" s="204"/>
      <c r="H821" s="204"/>
      <c r="I821" s="204"/>
      <c r="J821" s="136"/>
      <c r="K821" s="136"/>
    </row>
    <row r="822" spans="1:11" x14ac:dyDescent="0.2">
      <c r="A822" s="125"/>
      <c r="B822" s="6"/>
      <c r="C822" s="128" t="s">
        <v>905</v>
      </c>
      <c r="D822" s="128"/>
      <c r="E822" s="128"/>
      <c r="F822" s="124"/>
      <c r="G822" s="488">
        <f>G809-G820</f>
        <v>0</v>
      </c>
      <c r="H822" s="204"/>
      <c r="I822" s="488">
        <f>I809-I820</f>
        <v>-1200000</v>
      </c>
      <c r="K822" s="136"/>
    </row>
    <row r="823" spans="1:11" x14ac:dyDescent="0.2">
      <c r="A823" s="125"/>
      <c r="B823" s="6"/>
      <c r="C823" s="124"/>
      <c r="D823" s="124"/>
      <c r="E823" s="124"/>
      <c r="F823" s="124"/>
      <c r="G823" s="204"/>
      <c r="H823" s="204"/>
      <c r="I823" s="204"/>
      <c r="J823" s="136"/>
      <c r="K823" s="136"/>
    </row>
    <row r="824" spans="1:11" x14ac:dyDescent="0.2">
      <c r="A824" s="125"/>
      <c r="B824" s="203" t="s">
        <v>907</v>
      </c>
      <c r="C824" s="203" t="s">
        <v>908</v>
      </c>
      <c r="D824" s="151"/>
      <c r="E824" s="134"/>
      <c r="F824" s="134"/>
      <c r="G824" s="204"/>
      <c r="H824" s="204"/>
      <c r="I824" s="204"/>
      <c r="J824" s="136"/>
      <c r="K824" s="136"/>
    </row>
    <row r="825" spans="1:11" x14ac:dyDescent="0.2">
      <c r="A825" s="125"/>
      <c r="B825" s="134"/>
      <c r="C825" s="128"/>
      <c r="D825" s="124" t="s">
        <v>909</v>
      </c>
      <c r="E825" s="124"/>
      <c r="F825" s="124"/>
      <c r="G825" s="204"/>
      <c r="H825" s="204"/>
      <c r="I825" s="204">
        <f>G825+I753</f>
        <v>0</v>
      </c>
      <c r="J825" s="136"/>
      <c r="K825" s="136"/>
    </row>
    <row r="826" spans="1:11" x14ac:dyDescent="0.2">
      <c r="A826" s="125"/>
      <c r="B826" s="6"/>
      <c r="C826" s="128" t="s">
        <v>910</v>
      </c>
      <c r="D826" s="151"/>
      <c r="E826" s="151"/>
      <c r="F826" s="151"/>
      <c r="G826" s="205">
        <f>SUM(G825)</f>
        <v>0</v>
      </c>
      <c r="H826" s="149"/>
      <c r="I826" s="205">
        <f>SUM(I825)</f>
        <v>0</v>
      </c>
      <c r="J826" s="136"/>
      <c r="K826" s="136"/>
    </row>
    <row r="827" spans="1:11" x14ac:dyDescent="0.2">
      <c r="A827" s="125"/>
      <c r="B827" s="6"/>
      <c r="C827" s="694"/>
      <c r="D827" s="694"/>
      <c r="E827" s="694"/>
      <c r="F827" s="124"/>
      <c r="G827" s="433"/>
      <c r="H827" s="210"/>
      <c r="I827" s="433"/>
      <c r="J827" s="136"/>
      <c r="K827" s="136"/>
    </row>
    <row r="828" spans="1:11" x14ac:dyDescent="0.2">
      <c r="A828" s="125"/>
      <c r="B828" s="203" t="s">
        <v>911</v>
      </c>
      <c r="C828" s="203" t="s">
        <v>912</v>
      </c>
      <c r="D828" s="124"/>
      <c r="E828" s="124"/>
      <c r="F828" s="124"/>
      <c r="G828" s="210"/>
      <c r="H828" s="210"/>
      <c r="I828" s="210"/>
      <c r="J828" s="136"/>
      <c r="K828" s="136"/>
    </row>
    <row r="829" spans="1:11" x14ac:dyDescent="0.2">
      <c r="A829" s="125"/>
      <c r="B829" s="195"/>
      <c r="C829" s="195"/>
      <c r="D829" s="124" t="s">
        <v>913</v>
      </c>
      <c r="E829" s="195"/>
      <c r="F829" s="134"/>
      <c r="G829" s="433"/>
      <c r="H829" s="210"/>
      <c r="I829" s="204">
        <f>G829+I758</f>
        <v>0</v>
      </c>
      <c r="J829" s="136"/>
      <c r="K829" s="136"/>
    </row>
    <row r="830" spans="1:11" x14ac:dyDescent="0.2">
      <c r="A830" s="125"/>
      <c r="B830" s="203"/>
      <c r="C830" s="124"/>
      <c r="D830" s="124" t="s">
        <v>914</v>
      </c>
      <c r="E830" s="124"/>
      <c r="F830" s="124"/>
      <c r="G830" s="204"/>
      <c r="H830" s="204"/>
      <c r="I830" s="204">
        <f t="shared" ref="I830:I832" si="34">G830+I759</f>
        <v>0</v>
      </c>
      <c r="J830" s="136"/>
      <c r="K830" s="136"/>
    </row>
    <row r="831" spans="1:11" x14ac:dyDescent="0.2">
      <c r="A831" s="125"/>
      <c r="B831" s="6"/>
      <c r="C831" s="124"/>
      <c r="D831" s="151" t="s">
        <v>915</v>
      </c>
      <c r="E831" s="134"/>
      <c r="F831" s="134"/>
      <c r="G831" s="204"/>
      <c r="H831" s="204"/>
      <c r="I831" s="204">
        <f t="shared" si="34"/>
        <v>0</v>
      </c>
      <c r="J831" s="136"/>
      <c r="K831" s="136"/>
    </row>
    <row r="832" spans="1:11" x14ac:dyDescent="0.2">
      <c r="A832" s="125"/>
      <c r="B832" s="134"/>
      <c r="C832" s="128"/>
      <c r="D832" s="124" t="s">
        <v>916</v>
      </c>
      <c r="E832" s="124"/>
      <c r="F832" s="124"/>
      <c r="G832" s="593"/>
      <c r="H832" s="204"/>
      <c r="I832" s="204">
        <f t="shared" si="34"/>
        <v>0</v>
      </c>
      <c r="J832" s="136"/>
      <c r="K832" s="136"/>
    </row>
    <row r="833" spans="1:11" x14ac:dyDescent="0.2">
      <c r="A833" s="125"/>
      <c r="B833" s="6"/>
      <c r="C833" s="128" t="s">
        <v>917</v>
      </c>
      <c r="D833" s="151"/>
      <c r="E833" s="151"/>
      <c r="F833" s="151"/>
      <c r="G833" s="596">
        <f>SUM(G829:G832)</f>
        <v>0</v>
      </c>
      <c r="H833" s="204"/>
      <c r="I833" s="596">
        <f>SUM(I829:I832)</f>
        <v>0</v>
      </c>
      <c r="J833" s="136"/>
      <c r="K833" s="136"/>
    </row>
    <row r="834" spans="1:11" x14ac:dyDescent="0.2">
      <c r="A834" s="125"/>
      <c r="B834" s="6"/>
      <c r="C834" s="124"/>
      <c r="D834" s="124"/>
      <c r="E834" s="124"/>
      <c r="F834" s="124"/>
      <c r="G834" s="593"/>
      <c r="H834" s="204"/>
      <c r="I834" s="204"/>
      <c r="J834" s="136"/>
      <c r="K834" s="136"/>
    </row>
    <row r="835" spans="1:11" x14ac:dyDescent="0.2">
      <c r="A835" s="125"/>
      <c r="B835" s="203" t="s">
        <v>918</v>
      </c>
      <c r="C835" s="203" t="s">
        <v>919</v>
      </c>
      <c r="D835" s="130"/>
      <c r="E835" s="130"/>
      <c r="F835" s="124"/>
      <c r="G835" s="149">
        <f>G822-G826+G833</f>
        <v>0</v>
      </c>
      <c r="H835" s="204"/>
      <c r="I835" s="149">
        <f>I822-I826+I833</f>
        <v>-1200000</v>
      </c>
      <c r="J835" s="136"/>
      <c r="K835" s="136"/>
    </row>
    <row r="836" spans="1:11" x14ac:dyDescent="0.2">
      <c r="A836" s="125"/>
      <c r="B836" s="6"/>
      <c r="C836" s="124"/>
      <c r="D836" s="124"/>
      <c r="E836" s="124"/>
      <c r="F836" s="124"/>
      <c r="G836" s="204"/>
      <c r="H836" s="204"/>
      <c r="I836" s="204"/>
      <c r="J836" s="136"/>
      <c r="K836" s="136"/>
    </row>
    <row r="837" spans="1:11" x14ac:dyDescent="0.2">
      <c r="A837" s="125"/>
      <c r="B837" s="203" t="s">
        <v>920</v>
      </c>
      <c r="C837" s="203" t="s">
        <v>921</v>
      </c>
      <c r="D837" s="130"/>
      <c r="E837" s="124"/>
      <c r="F837" s="124"/>
      <c r="G837" s="149">
        <f>G767</f>
        <v>1311051855.8000002</v>
      </c>
      <c r="H837" s="149"/>
      <c r="I837" s="149">
        <v>1312251855.8000002</v>
      </c>
      <c r="J837" s="136"/>
      <c r="K837" s="136"/>
    </row>
    <row r="838" spans="1:11" x14ac:dyDescent="0.2">
      <c r="A838" s="125"/>
      <c r="B838" s="6"/>
      <c r="C838" s="124"/>
      <c r="D838" s="124"/>
      <c r="E838" s="124"/>
      <c r="F838" s="124"/>
      <c r="G838" s="149"/>
      <c r="H838" s="149"/>
      <c r="I838" s="149"/>
      <c r="J838" s="136"/>
      <c r="K838" s="136"/>
    </row>
    <row r="839" spans="1:11" x14ac:dyDescent="0.2">
      <c r="A839" s="125"/>
      <c r="B839" s="134" t="s">
        <v>922</v>
      </c>
      <c r="C839" s="128" t="s">
        <v>921</v>
      </c>
      <c r="D839" s="124"/>
      <c r="E839" s="124"/>
      <c r="F839" s="124"/>
      <c r="G839" s="149">
        <f>G835+G837</f>
        <v>1311051855.8000002</v>
      </c>
      <c r="H839" s="149"/>
      <c r="I839" s="149">
        <f>I835+I837</f>
        <v>1311051855.8000002</v>
      </c>
      <c r="J839" s="136"/>
      <c r="K839" s="136"/>
    </row>
    <row r="840" spans="1:11" x14ac:dyDescent="0.2">
      <c r="A840" s="120"/>
      <c r="B840" s="119"/>
      <c r="C840" s="119"/>
      <c r="D840" s="119"/>
      <c r="E840" s="119"/>
      <c r="F840" s="119"/>
      <c r="G840" s="218"/>
      <c r="H840" s="218"/>
      <c r="I840" s="218"/>
      <c r="J840" s="594"/>
      <c r="K840" s="594"/>
    </row>
    <row r="841" spans="1:11" x14ac:dyDescent="0.2">
      <c r="A841" s="761"/>
      <c r="B841" s="761"/>
      <c r="C841" s="761"/>
      <c r="D841" s="761"/>
      <c r="E841" s="761"/>
      <c r="F841" s="124"/>
      <c r="G841" s="219"/>
      <c r="H841" s="219"/>
      <c r="I841" s="219"/>
    </row>
    <row r="842" spans="1:11" x14ac:dyDescent="0.2">
      <c r="A842" s="697" t="s">
        <v>579</v>
      </c>
      <c r="B842" s="697"/>
      <c r="C842" s="697"/>
      <c r="D842" s="697"/>
      <c r="E842" s="697"/>
      <c r="F842" s="697" t="s">
        <v>566</v>
      </c>
      <c r="G842" s="697"/>
      <c r="H842" s="697"/>
      <c r="I842" s="697"/>
      <c r="J842" s="697"/>
      <c r="K842" s="697"/>
    </row>
    <row r="843" spans="1:11" x14ac:dyDescent="0.2">
      <c r="A843" s="697" t="s">
        <v>678</v>
      </c>
      <c r="B843" s="697"/>
      <c r="C843" s="697"/>
      <c r="D843" s="697"/>
      <c r="E843" s="697"/>
      <c r="F843" s="697" t="s">
        <v>681</v>
      </c>
      <c r="G843" s="697"/>
      <c r="H843" s="697"/>
      <c r="I843" s="697"/>
      <c r="J843" s="697"/>
      <c r="K843" s="697"/>
    </row>
    <row r="844" spans="1:11" x14ac:dyDescent="0.2">
      <c r="A844" s="697"/>
      <c r="B844" s="697"/>
      <c r="C844" s="697"/>
      <c r="D844" s="697"/>
      <c r="E844" s="697"/>
      <c r="F844" s="697"/>
      <c r="G844" s="697"/>
      <c r="H844" s="697"/>
      <c r="I844" s="697"/>
      <c r="J844" s="697"/>
      <c r="K844" s="697"/>
    </row>
    <row r="845" spans="1:11" x14ac:dyDescent="0.2">
      <c r="A845" s="697"/>
      <c r="B845" s="697"/>
      <c r="C845" s="697"/>
      <c r="D845" s="697"/>
      <c r="E845" s="697"/>
      <c r="F845" s="697"/>
      <c r="G845" s="697"/>
      <c r="H845" s="697"/>
      <c r="I845" s="697"/>
      <c r="J845" s="697"/>
      <c r="K845" s="697"/>
    </row>
    <row r="846" spans="1:11" x14ac:dyDescent="0.2">
      <c r="A846" s="697" t="s">
        <v>655</v>
      </c>
      <c r="B846" s="697"/>
      <c r="C846" s="697"/>
      <c r="D846" s="697"/>
      <c r="E846" s="697"/>
      <c r="F846" s="697" t="s">
        <v>567</v>
      </c>
      <c r="G846" s="697"/>
      <c r="H846" s="697"/>
      <c r="I846" s="697"/>
      <c r="J846" s="697"/>
      <c r="K846" s="697"/>
    </row>
    <row r="847" spans="1:11" x14ac:dyDescent="0.2">
      <c r="A847" s="697"/>
      <c r="B847" s="697"/>
      <c r="C847" s="697"/>
      <c r="D847" s="697"/>
      <c r="E847" s="697"/>
      <c r="F847" s="697"/>
      <c r="G847" s="697"/>
      <c r="H847" s="697"/>
      <c r="I847" s="697"/>
      <c r="J847" s="697"/>
      <c r="K847" s="697"/>
    </row>
    <row r="864" spans="1:6" x14ac:dyDescent="0.2">
      <c r="A864" s="728" t="s">
        <v>890</v>
      </c>
      <c r="B864" s="728"/>
      <c r="C864" s="590" t="s">
        <v>891</v>
      </c>
      <c r="D864" s="124"/>
      <c r="E864" s="124"/>
      <c r="F864" s="124"/>
    </row>
    <row r="865" spans="1:11" x14ac:dyDescent="0.2">
      <c r="B865" s="124"/>
      <c r="C865" s="124"/>
      <c r="D865" s="124"/>
      <c r="E865" s="124"/>
      <c r="F865" s="124"/>
    </row>
    <row r="866" spans="1:11" ht="15" x14ac:dyDescent="0.25">
      <c r="A866" s="141"/>
      <c r="B866" s="762"/>
      <c r="C866" s="762"/>
      <c r="D866" s="762"/>
      <c r="E866" s="762"/>
      <c r="F866" s="762"/>
      <c r="G866" s="762"/>
      <c r="H866" s="762"/>
      <c r="I866" s="762"/>
      <c r="J866" s="591"/>
      <c r="K866" s="591"/>
    </row>
    <row r="867" spans="1:11" ht="15" x14ac:dyDescent="0.25">
      <c r="A867" s="125"/>
      <c r="B867" s="696" t="s">
        <v>650</v>
      </c>
      <c r="C867" s="696"/>
      <c r="D867" s="696"/>
      <c r="E867" s="696"/>
      <c r="F867" s="696"/>
      <c r="G867" s="696"/>
      <c r="H867" s="696"/>
      <c r="I867" s="696"/>
      <c r="J867" s="136"/>
      <c r="K867" s="136"/>
    </row>
    <row r="868" spans="1:11" ht="15" x14ac:dyDescent="0.25">
      <c r="A868" s="125"/>
      <c r="B868" s="696" t="s">
        <v>41</v>
      </c>
      <c r="C868" s="696"/>
      <c r="D868" s="696"/>
      <c r="E868" s="696"/>
      <c r="F868" s="696"/>
      <c r="G868" s="696"/>
      <c r="H868" s="696"/>
      <c r="I868" s="696"/>
      <c r="J868" s="136"/>
      <c r="K868" s="136"/>
    </row>
    <row r="869" spans="1:11" ht="15" x14ac:dyDescent="0.25">
      <c r="A869" s="125"/>
      <c r="B869" s="742" t="s">
        <v>933</v>
      </c>
      <c r="C869" s="742"/>
      <c r="D869" s="742"/>
      <c r="E869" s="742"/>
      <c r="F869" s="742"/>
      <c r="G869" s="742"/>
      <c r="H869" s="742"/>
      <c r="I869" s="742"/>
      <c r="J869" s="136"/>
      <c r="K869" s="136"/>
    </row>
    <row r="870" spans="1:11" x14ac:dyDescent="0.2">
      <c r="A870" s="125"/>
      <c r="B870" s="124"/>
      <c r="C870" s="124"/>
      <c r="D870" s="124"/>
      <c r="E870" s="124"/>
      <c r="F870" s="124"/>
      <c r="J870" s="136"/>
      <c r="K870" s="136"/>
    </row>
    <row r="871" spans="1:11" x14ac:dyDescent="0.2">
      <c r="A871" s="125"/>
      <c r="B871" s="755" t="s">
        <v>30</v>
      </c>
      <c r="C871" s="756"/>
      <c r="D871" s="756"/>
      <c r="E871" s="757"/>
      <c r="F871" s="127"/>
      <c r="G871" s="201" t="s">
        <v>37</v>
      </c>
      <c r="H871" s="127"/>
      <c r="I871" s="201" t="s">
        <v>39</v>
      </c>
      <c r="J871" s="136"/>
      <c r="K871" s="136"/>
    </row>
    <row r="872" spans="1:11" x14ac:dyDescent="0.2">
      <c r="A872" s="125"/>
      <c r="B872" s="758"/>
      <c r="C872" s="759"/>
      <c r="D872" s="759"/>
      <c r="E872" s="760"/>
      <c r="F872" s="127"/>
      <c r="G872" s="202" t="s">
        <v>40</v>
      </c>
      <c r="H872" s="127"/>
      <c r="I872" s="202" t="s">
        <v>40</v>
      </c>
      <c r="J872" s="136"/>
      <c r="K872" s="136"/>
    </row>
    <row r="873" spans="1:11" x14ac:dyDescent="0.2">
      <c r="A873" s="125"/>
      <c r="B873" s="203" t="s">
        <v>893</v>
      </c>
      <c r="C873" s="203" t="s">
        <v>906</v>
      </c>
      <c r="D873" s="203"/>
      <c r="E873" s="124"/>
      <c r="F873" s="124"/>
      <c r="G873" s="204"/>
      <c r="H873" s="204"/>
      <c r="I873" s="204"/>
      <c r="J873" s="136"/>
      <c r="K873" s="136"/>
    </row>
    <row r="874" spans="1:11" x14ac:dyDescent="0.2">
      <c r="A874" s="125"/>
      <c r="B874" s="6"/>
      <c r="C874" s="128" t="s">
        <v>894</v>
      </c>
      <c r="D874" s="124"/>
      <c r="E874" s="124"/>
      <c r="F874" s="124"/>
      <c r="G874" s="204"/>
      <c r="H874" s="204"/>
      <c r="I874" s="204"/>
      <c r="J874" s="136"/>
      <c r="K874" s="136"/>
    </row>
    <row r="875" spans="1:11" x14ac:dyDescent="0.2">
      <c r="A875" s="125"/>
      <c r="B875" s="6"/>
      <c r="C875" s="124"/>
      <c r="D875" s="124">
        <v>1</v>
      </c>
      <c r="E875" s="124" t="s">
        <v>895</v>
      </c>
      <c r="F875" s="124"/>
      <c r="G875" s="204"/>
      <c r="H875" s="204"/>
      <c r="I875" s="204">
        <f>G875+I803</f>
        <v>0</v>
      </c>
      <c r="J875" s="136"/>
      <c r="K875" s="136"/>
    </row>
    <row r="876" spans="1:11" x14ac:dyDescent="0.2">
      <c r="A876" s="125"/>
      <c r="B876" s="6"/>
      <c r="C876" s="124"/>
      <c r="D876" s="124">
        <v>2</v>
      </c>
      <c r="E876" s="124" t="s">
        <v>896</v>
      </c>
      <c r="F876" s="124"/>
      <c r="G876" s="204"/>
      <c r="H876" s="204"/>
      <c r="I876" s="204">
        <f t="shared" ref="I876:I879" si="35">G876+I804</f>
        <v>0</v>
      </c>
      <c r="J876" s="136"/>
      <c r="K876" s="136"/>
    </row>
    <row r="877" spans="1:11" x14ac:dyDescent="0.2">
      <c r="A877" s="125"/>
      <c r="B877" s="6"/>
      <c r="C877" s="124"/>
      <c r="D877" s="124">
        <v>3</v>
      </c>
      <c r="E877" s="124" t="s">
        <v>897</v>
      </c>
      <c r="F877" s="124"/>
      <c r="G877" s="204"/>
      <c r="H877" s="204"/>
      <c r="I877" s="204">
        <f t="shared" si="35"/>
        <v>0</v>
      </c>
      <c r="J877" s="136"/>
      <c r="K877" s="136"/>
    </row>
    <row r="878" spans="1:11" x14ac:dyDescent="0.2">
      <c r="A878" s="125"/>
      <c r="B878" s="6"/>
      <c r="C878" s="124"/>
      <c r="D878" s="124">
        <v>4</v>
      </c>
      <c r="E878" s="124" t="s">
        <v>902</v>
      </c>
      <c r="F878" s="124"/>
      <c r="G878" s="204"/>
      <c r="H878" s="204"/>
      <c r="I878" s="204">
        <f t="shared" si="35"/>
        <v>0</v>
      </c>
      <c r="J878" s="136"/>
      <c r="K878" s="136"/>
    </row>
    <row r="879" spans="1:11" x14ac:dyDescent="0.2">
      <c r="A879" s="125"/>
      <c r="B879" s="6"/>
      <c r="C879" s="124"/>
      <c r="D879" s="124">
        <v>5</v>
      </c>
      <c r="E879" s="124" t="s">
        <v>898</v>
      </c>
      <c r="F879" s="124"/>
      <c r="G879" s="204"/>
      <c r="H879" s="204"/>
      <c r="I879" s="204">
        <f t="shared" si="35"/>
        <v>0</v>
      </c>
      <c r="J879" s="136"/>
      <c r="K879" s="136"/>
    </row>
    <row r="880" spans="1:11" x14ac:dyDescent="0.2">
      <c r="A880" s="125"/>
      <c r="B880" s="6"/>
      <c r="C880" s="124"/>
      <c r="D880" s="124"/>
      <c r="E880" s="124"/>
      <c r="F880" s="124"/>
      <c r="G880" s="204"/>
      <c r="H880" s="204"/>
      <c r="I880" s="204"/>
      <c r="J880" s="136"/>
      <c r="K880" s="136"/>
    </row>
    <row r="881" spans="1:11" x14ac:dyDescent="0.2">
      <c r="A881" s="125"/>
      <c r="B881" s="6"/>
      <c r="C881" s="128"/>
      <c r="D881" s="128" t="s">
        <v>55</v>
      </c>
      <c r="E881" s="128"/>
      <c r="F881" s="124"/>
      <c r="G881" s="205">
        <f>SUM(G875:G879)</f>
        <v>0</v>
      </c>
      <c r="H881" s="204"/>
      <c r="I881" s="205">
        <f>SUM(I875:I879)</f>
        <v>0</v>
      </c>
      <c r="J881" s="136"/>
      <c r="K881" s="136"/>
    </row>
    <row r="882" spans="1:11" x14ac:dyDescent="0.2">
      <c r="A882" s="125"/>
      <c r="B882" s="6"/>
      <c r="C882" s="128"/>
      <c r="D882" s="128"/>
      <c r="E882" s="128"/>
      <c r="F882" s="124"/>
      <c r="G882" s="149"/>
      <c r="H882" s="204"/>
      <c r="I882" s="149"/>
      <c r="J882" s="136"/>
      <c r="K882" s="136"/>
    </row>
    <row r="883" spans="1:11" x14ac:dyDescent="0.2">
      <c r="A883" s="125"/>
      <c r="B883" s="6"/>
      <c r="C883" s="128" t="s">
        <v>899</v>
      </c>
      <c r="D883" s="124"/>
      <c r="E883" s="124"/>
      <c r="F883" s="124"/>
      <c r="G883" s="204"/>
      <c r="H883" s="204"/>
      <c r="I883" s="204"/>
      <c r="J883" s="136"/>
      <c r="K883" s="136"/>
    </row>
    <row r="884" spans="1:11" x14ac:dyDescent="0.2">
      <c r="A884" s="125"/>
      <c r="B884" s="6"/>
      <c r="C884" s="124"/>
      <c r="D884" s="124">
        <v>1</v>
      </c>
      <c r="E884" s="206" t="s">
        <v>328</v>
      </c>
      <c r="F884" s="124"/>
      <c r="G884" s="204"/>
      <c r="H884" s="204"/>
      <c r="I884" s="204">
        <f>G884+I812</f>
        <v>0</v>
      </c>
      <c r="J884" s="136"/>
      <c r="K884" s="136"/>
    </row>
    <row r="885" spans="1:11" x14ac:dyDescent="0.2">
      <c r="A885" s="125"/>
      <c r="B885" s="6"/>
      <c r="C885" s="124"/>
      <c r="D885" s="124">
        <v>2</v>
      </c>
      <c r="E885" s="206" t="s">
        <v>329</v>
      </c>
      <c r="F885" s="124"/>
      <c r="G885" s="204"/>
      <c r="H885" s="204"/>
      <c r="I885" s="204">
        <f t="shared" ref="I885:I890" si="36">G885+I813</f>
        <v>0</v>
      </c>
      <c r="J885" s="136"/>
      <c r="K885" s="136"/>
    </row>
    <row r="886" spans="1:11" x14ac:dyDescent="0.2">
      <c r="A886" s="125"/>
      <c r="B886" s="6"/>
      <c r="C886" s="124"/>
      <c r="D886" s="124">
        <v>3</v>
      </c>
      <c r="E886" s="206" t="s">
        <v>900</v>
      </c>
      <c r="F886" s="134"/>
      <c r="G886" s="204"/>
      <c r="H886" s="204"/>
      <c r="I886" s="204">
        <f t="shared" si="36"/>
        <v>1200000</v>
      </c>
      <c r="J886" s="136"/>
      <c r="K886" s="136"/>
    </row>
    <row r="887" spans="1:11" x14ac:dyDescent="0.2">
      <c r="A887" s="125"/>
      <c r="B887" s="6"/>
      <c r="C887" s="124"/>
      <c r="D887" s="124">
        <v>4</v>
      </c>
      <c r="E887" s="206" t="s">
        <v>901</v>
      </c>
      <c r="F887" s="124"/>
      <c r="G887" s="204"/>
      <c r="H887" s="204"/>
      <c r="I887" s="204">
        <f t="shared" si="36"/>
        <v>0</v>
      </c>
      <c r="J887" s="136"/>
      <c r="K887" s="136"/>
    </row>
    <row r="888" spans="1:11" x14ac:dyDescent="0.2">
      <c r="A888" s="125"/>
      <c r="B888" s="6"/>
      <c r="C888" s="124"/>
      <c r="D888" s="124">
        <v>5</v>
      </c>
      <c r="E888" s="206" t="s">
        <v>887</v>
      </c>
      <c r="F888" s="134"/>
      <c r="G888" s="204"/>
      <c r="H888" s="204"/>
      <c r="I888" s="204">
        <f t="shared" si="36"/>
        <v>0</v>
      </c>
      <c r="J888" s="136"/>
      <c r="K888" s="136"/>
    </row>
    <row r="889" spans="1:11" x14ac:dyDescent="0.2">
      <c r="A889" s="125"/>
      <c r="B889" s="6"/>
      <c r="C889" s="124"/>
      <c r="D889" s="124">
        <v>6</v>
      </c>
      <c r="E889" s="206" t="s">
        <v>903</v>
      </c>
      <c r="F889" s="134"/>
      <c r="G889" s="204"/>
      <c r="H889" s="204"/>
      <c r="I889" s="204">
        <f t="shared" si="36"/>
        <v>0</v>
      </c>
      <c r="J889" s="136"/>
      <c r="K889" s="136"/>
    </row>
    <row r="890" spans="1:11" x14ac:dyDescent="0.2">
      <c r="A890" s="125"/>
      <c r="B890" s="6"/>
      <c r="C890" s="124"/>
      <c r="D890" s="124">
        <v>7</v>
      </c>
      <c r="E890" s="206" t="s">
        <v>904</v>
      </c>
      <c r="F890" s="134"/>
      <c r="G890" s="204"/>
      <c r="H890" s="204"/>
      <c r="I890" s="204">
        <f t="shared" si="36"/>
        <v>0</v>
      </c>
      <c r="J890" s="136"/>
      <c r="K890" s="136"/>
    </row>
    <row r="891" spans="1:11" x14ac:dyDescent="0.2">
      <c r="A891" s="125"/>
      <c r="B891" s="134"/>
      <c r="C891" s="128"/>
      <c r="D891" s="124"/>
      <c r="E891" s="206"/>
      <c r="F891" s="124"/>
      <c r="G891" s="204"/>
      <c r="H891" s="204"/>
      <c r="I891" s="204"/>
      <c r="J891" s="136"/>
      <c r="K891" s="136"/>
    </row>
    <row r="892" spans="1:11" x14ac:dyDescent="0.2">
      <c r="A892" s="125"/>
      <c r="B892" s="6"/>
      <c r="C892" s="124"/>
      <c r="D892" s="128" t="s">
        <v>67</v>
      </c>
      <c r="E892" s="127"/>
      <c r="F892" s="208"/>
      <c r="G892" s="205">
        <f>SUM(G884:G891)</f>
        <v>0</v>
      </c>
      <c r="H892" s="204"/>
      <c r="I892" s="205">
        <f>SUM(I884:I891)</f>
        <v>1200000</v>
      </c>
      <c r="J892" s="136"/>
      <c r="K892" s="136"/>
    </row>
    <row r="893" spans="1:11" x14ac:dyDescent="0.2">
      <c r="A893" s="125"/>
      <c r="B893" s="6"/>
      <c r="C893" s="124"/>
      <c r="D893" s="124"/>
      <c r="E893" s="124"/>
      <c r="F893" s="124"/>
      <c r="G893" s="204"/>
      <c r="H893" s="204"/>
      <c r="I893" s="204"/>
      <c r="J893" s="136"/>
      <c r="K893" s="136"/>
    </row>
    <row r="894" spans="1:11" x14ac:dyDescent="0.2">
      <c r="A894" s="125"/>
      <c r="B894" s="6"/>
      <c r="C894" s="128" t="s">
        <v>905</v>
      </c>
      <c r="D894" s="128"/>
      <c r="E894" s="128"/>
      <c r="F894" s="124"/>
      <c r="G894" s="488">
        <f>G881-G892</f>
        <v>0</v>
      </c>
      <c r="H894" s="204"/>
      <c r="I894" s="488">
        <f>I881-I892</f>
        <v>-1200000</v>
      </c>
      <c r="K894" s="136"/>
    </row>
    <row r="895" spans="1:11" x14ac:dyDescent="0.2">
      <c r="A895" s="125"/>
      <c r="B895" s="6"/>
      <c r="C895" s="124"/>
      <c r="D895" s="124"/>
      <c r="E895" s="124"/>
      <c r="F895" s="124"/>
      <c r="G895" s="204"/>
      <c r="H895" s="204"/>
      <c r="I895" s="204"/>
      <c r="J895" s="136"/>
      <c r="K895" s="136"/>
    </row>
    <row r="896" spans="1:11" x14ac:dyDescent="0.2">
      <c r="A896" s="125"/>
      <c r="B896" s="203" t="s">
        <v>907</v>
      </c>
      <c r="C896" s="203" t="s">
        <v>908</v>
      </c>
      <c r="D896" s="151"/>
      <c r="E896" s="134"/>
      <c r="F896" s="134"/>
      <c r="G896" s="204"/>
      <c r="H896" s="204"/>
      <c r="I896" s="204"/>
      <c r="J896" s="136"/>
      <c r="K896" s="136"/>
    </row>
    <row r="897" spans="1:11" x14ac:dyDescent="0.2">
      <c r="A897" s="125"/>
      <c r="B897" s="134"/>
      <c r="C897" s="128"/>
      <c r="D897" s="124" t="s">
        <v>909</v>
      </c>
      <c r="E897" s="124"/>
      <c r="F897" s="124"/>
      <c r="G897" s="204"/>
      <c r="H897" s="204"/>
      <c r="I897" s="204">
        <f>G897+I825</f>
        <v>0</v>
      </c>
      <c r="J897" s="136"/>
      <c r="K897" s="136"/>
    </row>
    <row r="898" spans="1:11" x14ac:dyDescent="0.2">
      <c r="A898" s="125"/>
      <c r="B898" s="6"/>
      <c r="C898" s="128" t="s">
        <v>910</v>
      </c>
      <c r="D898" s="151"/>
      <c r="E898" s="151"/>
      <c r="F898" s="151"/>
      <c r="G898" s="205">
        <f>SUM(G897)</f>
        <v>0</v>
      </c>
      <c r="H898" s="149"/>
      <c r="I898" s="205">
        <f>SUM(I897)</f>
        <v>0</v>
      </c>
      <c r="J898" s="136"/>
      <c r="K898" s="136"/>
    </row>
    <row r="899" spans="1:11" x14ac:dyDescent="0.2">
      <c r="A899" s="125"/>
      <c r="B899" s="6"/>
      <c r="C899" s="694"/>
      <c r="D899" s="694"/>
      <c r="E899" s="694"/>
      <c r="F899" s="124"/>
      <c r="G899" s="433"/>
      <c r="H899" s="210"/>
      <c r="I899" s="433"/>
      <c r="J899" s="136"/>
      <c r="K899" s="136"/>
    </row>
    <row r="900" spans="1:11" x14ac:dyDescent="0.2">
      <c r="A900" s="125"/>
      <c r="B900" s="203" t="s">
        <v>911</v>
      </c>
      <c r="C900" s="203" t="s">
        <v>912</v>
      </c>
      <c r="D900" s="124"/>
      <c r="E900" s="124"/>
      <c r="F900" s="124"/>
      <c r="G900" s="210"/>
      <c r="H900" s="210"/>
      <c r="I900" s="210"/>
      <c r="J900" s="136"/>
      <c r="K900" s="136"/>
    </row>
    <row r="901" spans="1:11" x14ac:dyDescent="0.2">
      <c r="A901" s="125"/>
      <c r="B901" s="195"/>
      <c r="C901" s="195"/>
      <c r="D901" s="124" t="s">
        <v>913</v>
      </c>
      <c r="E901" s="195"/>
      <c r="F901" s="134"/>
      <c r="G901" s="433"/>
      <c r="H901" s="210"/>
      <c r="I901" s="204">
        <f>G901+I830</f>
        <v>0</v>
      </c>
      <c r="J901" s="136"/>
      <c r="K901" s="136"/>
    </row>
    <row r="902" spans="1:11" x14ac:dyDescent="0.2">
      <c r="A902" s="125"/>
      <c r="B902" s="203"/>
      <c r="C902" s="124"/>
      <c r="D902" s="124" t="s">
        <v>914</v>
      </c>
      <c r="E902" s="124"/>
      <c r="F902" s="124"/>
      <c r="G902" s="204"/>
      <c r="H902" s="204"/>
      <c r="I902" s="204">
        <f t="shared" ref="I902:I904" si="37">G902+I831</f>
        <v>0</v>
      </c>
      <c r="J902" s="136"/>
      <c r="K902" s="136"/>
    </row>
    <row r="903" spans="1:11" x14ac:dyDescent="0.2">
      <c r="A903" s="125"/>
      <c r="B903" s="6"/>
      <c r="C903" s="124"/>
      <c r="D903" s="151" t="s">
        <v>915</v>
      </c>
      <c r="E903" s="134"/>
      <c r="F903" s="134"/>
      <c r="G903" s="204"/>
      <c r="H903" s="204"/>
      <c r="I903" s="204">
        <f t="shared" si="37"/>
        <v>0</v>
      </c>
      <c r="J903" s="136"/>
      <c r="K903" s="136"/>
    </row>
    <row r="904" spans="1:11" x14ac:dyDescent="0.2">
      <c r="A904" s="125"/>
      <c r="B904" s="134"/>
      <c r="C904" s="128"/>
      <c r="D904" s="124" t="s">
        <v>916</v>
      </c>
      <c r="E904" s="124"/>
      <c r="F904" s="124"/>
      <c r="G904" s="593"/>
      <c r="H904" s="204"/>
      <c r="I904" s="204">
        <f t="shared" si="37"/>
        <v>0</v>
      </c>
      <c r="J904" s="136"/>
      <c r="K904" s="136"/>
    </row>
    <row r="905" spans="1:11" x14ac:dyDescent="0.2">
      <c r="A905" s="125"/>
      <c r="B905" s="6"/>
      <c r="C905" s="128" t="s">
        <v>917</v>
      </c>
      <c r="D905" s="151"/>
      <c r="E905" s="151"/>
      <c r="F905" s="151"/>
      <c r="G905" s="596">
        <f>SUM(G901:G904)</f>
        <v>0</v>
      </c>
      <c r="H905" s="204"/>
      <c r="I905" s="596">
        <f>SUM(I901:I904)</f>
        <v>0</v>
      </c>
      <c r="J905" s="136"/>
      <c r="K905" s="136"/>
    </row>
    <row r="906" spans="1:11" x14ac:dyDescent="0.2">
      <c r="A906" s="125"/>
      <c r="B906" s="6"/>
      <c r="C906" s="124"/>
      <c r="D906" s="124"/>
      <c r="E906" s="124"/>
      <c r="F906" s="124"/>
      <c r="G906" s="593"/>
      <c r="H906" s="204"/>
      <c r="I906" s="204"/>
      <c r="J906" s="136"/>
      <c r="K906" s="136"/>
    </row>
    <row r="907" spans="1:11" x14ac:dyDescent="0.2">
      <c r="A907" s="125"/>
      <c r="B907" s="203" t="s">
        <v>918</v>
      </c>
      <c r="C907" s="203" t="s">
        <v>919</v>
      </c>
      <c r="D907" s="130"/>
      <c r="E907" s="130"/>
      <c r="F907" s="124"/>
      <c r="G907" s="149">
        <f>G894-G898+G905</f>
        <v>0</v>
      </c>
      <c r="H907" s="204"/>
      <c r="I907" s="149">
        <f>I894-I898+I905</f>
        <v>-1200000</v>
      </c>
      <c r="J907" s="136"/>
      <c r="K907" s="136"/>
    </row>
    <row r="908" spans="1:11" x14ac:dyDescent="0.2">
      <c r="A908" s="125"/>
      <c r="B908" s="6"/>
      <c r="C908" s="124"/>
      <c r="D908" s="124"/>
      <c r="E908" s="124"/>
      <c r="F908" s="124"/>
      <c r="G908" s="204"/>
      <c r="H908" s="204"/>
      <c r="I908" s="204"/>
      <c r="J908" s="136"/>
      <c r="K908" s="136"/>
    </row>
    <row r="909" spans="1:11" x14ac:dyDescent="0.2">
      <c r="A909" s="125"/>
      <c r="B909" s="203" t="s">
        <v>920</v>
      </c>
      <c r="C909" s="203" t="s">
        <v>921</v>
      </c>
      <c r="D909" s="130"/>
      <c r="E909" s="124"/>
      <c r="F909" s="124"/>
      <c r="G909" s="149">
        <f>G839</f>
        <v>1311051855.8000002</v>
      </c>
      <c r="H909" s="149"/>
      <c r="I909" s="149">
        <v>1312251855.8000002</v>
      </c>
      <c r="J909" s="136"/>
      <c r="K909" s="136"/>
    </row>
    <row r="910" spans="1:11" x14ac:dyDescent="0.2">
      <c r="A910" s="125"/>
      <c r="B910" s="6"/>
      <c r="C910" s="124"/>
      <c r="D910" s="124"/>
      <c r="E910" s="124"/>
      <c r="F910" s="124"/>
      <c r="G910" s="149"/>
      <c r="H910" s="149"/>
      <c r="I910" s="149"/>
      <c r="J910" s="136"/>
      <c r="K910" s="136"/>
    </row>
    <row r="911" spans="1:11" x14ac:dyDescent="0.2">
      <c r="A911" s="125"/>
      <c r="B911" s="134" t="s">
        <v>922</v>
      </c>
      <c r="C911" s="128" t="s">
        <v>921</v>
      </c>
      <c r="D911" s="124"/>
      <c r="E911" s="124"/>
      <c r="F911" s="124"/>
      <c r="G911" s="149">
        <f>G907+G909</f>
        <v>1311051855.8000002</v>
      </c>
      <c r="H911" s="149"/>
      <c r="I911" s="149">
        <f>I907+I909</f>
        <v>1311051855.8000002</v>
      </c>
      <c r="J911" s="136"/>
      <c r="K911" s="136"/>
    </row>
    <row r="912" spans="1:11" x14ac:dyDescent="0.2">
      <c r="A912" s="120"/>
      <c r="B912" s="119"/>
      <c r="C912" s="119"/>
      <c r="D912" s="119"/>
      <c r="E912" s="119"/>
      <c r="F912" s="119"/>
      <c r="G912" s="218"/>
      <c r="H912" s="218"/>
      <c r="I912" s="218"/>
      <c r="J912" s="594"/>
      <c r="K912" s="594"/>
    </row>
    <row r="913" spans="1:11" x14ac:dyDescent="0.2">
      <c r="A913" s="761"/>
      <c r="B913" s="761"/>
      <c r="C913" s="761"/>
      <c r="D913" s="761"/>
      <c r="E913" s="761"/>
      <c r="F913" s="124"/>
      <c r="G913" s="219"/>
      <c r="H913" s="219"/>
      <c r="I913" s="219"/>
    </row>
    <row r="914" spans="1:11" x14ac:dyDescent="0.2">
      <c r="A914" s="697" t="s">
        <v>579</v>
      </c>
      <c r="B914" s="697"/>
      <c r="C914" s="697"/>
      <c r="D914" s="697"/>
      <c r="E914" s="697"/>
      <c r="F914" s="697" t="s">
        <v>566</v>
      </c>
      <c r="G914" s="697"/>
      <c r="H914" s="697"/>
      <c r="I914" s="697"/>
      <c r="J914" s="697"/>
      <c r="K914" s="697"/>
    </row>
    <row r="915" spans="1:11" x14ac:dyDescent="0.2">
      <c r="A915" s="697" t="s">
        <v>678</v>
      </c>
      <c r="B915" s="697"/>
      <c r="C915" s="697"/>
      <c r="D915" s="697"/>
      <c r="E915" s="697"/>
      <c r="F915" s="697" t="s">
        <v>681</v>
      </c>
      <c r="G915" s="697"/>
      <c r="H915" s="697"/>
      <c r="I915" s="697"/>
      <c r="J915" s="697"/>
      <c r="K915" s="697"/>
    </row>
    <row r="916" spans="1:11" x14ac:dyDescent="0.2">
      <c r="A916" s="697"/>
      <c r="B916" s="697"/>
      <c r="C916" s="697"/>
      <c r="D916" s="697"/>
      <c r="E916" s="697"/>
      <c r="F916" s="697"/>
      <c r="G916" s="697"/>
      <c r="H916" s="697"/>
      <c r="I916" s="697"/>
      <c r="J916" s="697"/>
      <c r="K916" s="697"/>
    </row>
    <row r="917" spans="1:11" x14ac:dyDescent="0.2">
      <c r="A917" s="697"/>
      <c r="B917" s="697"/>
      <c r="C917" s="697"/>
      <c r="D917" s="697"/>
      <c r="E917" s="697"/>
      <c r="F917" s="697"/>
      <c r="G917" s="697"/>
      <c r="H917" s="697"/>
      <c r="I917" s="697"/>
      <c r="J917" s="697"/>
      <c r="K917" s="697"/>
    </row>
    <row r="918" spans="1:11" x14ac:dyDescent="0.2">
      <c r="A918" s="697" t="s">
        <v>655</v>
      </c>
      <c r="B918" s="697"/>
      <c r="C918" s="697"/>
      <c r="D918" s="697"/>
      <c r="E918" s="697"/>
      <c r="F918" s="697" t="s">
        <v>567</v>
      </c>
      <c r="G918" s="697"/>
      <c r="H918" s="697"/>
      <c r="I918" s="697"/>
      <c r="J918" s="697"/>
      <c r="K918" s="697"/>
    </row>
    <row r="919" spans="1:11" x14ac:dyDescent="0.2">
      <c r="A919" s="697"/>
      <c r="B919" s="697"/>
      <c r="C919" s="697"/>
      <c r="D919" s="697"/>
      <c r="E919" s="697"/>
      <c r="F919" s="697"/>
      <c r="G919" s="697"/>
      <c r="H919" s="697"/>
      <c r="I919" s="697"/>
      <c r="J919" s="697"/>
      <c r="K919" s="697"/>
    </row>
  </sheetData>
  <mergeCells count="258">
    <mergeCell ref="A1:B1"/>
    <mergeCell ref="B3:I3"/>
    <mergeCell ref="B4:I4"/>
    <mergeCell ref="B5:I5"/>
    <mergeCell ref="B6:I6"/>
    <mergeCell ref="B8:E9"/>
    <mergeCell ref="A50:E50"/>
    <mergeCell ref="A51:E51"/>
    <mergeCell ref="F51:K51"/>
    <mergeCell ref="A197:E197"/>
    <mergeCell ref="F197:K197"/>
    <mergeCell ref="A199:K199"/>
    <mergeCell ref="A198:E198"/>
    <mergeCell ref="F198:K198"/>
    <mergeCell ref="A200:K200"/>
    <mergeCell ref="A201:K201"/>
    <mergeCell ref="A202:K202"/>
    <mergeCell ref="A144:B144"/>
    <mergeCell ref="B148:I148"/>
    <mergeCell ref="B149:I149"/>
    <mergeCell ref="B151:E152"/>
    <mergeCell ref="C179:E179"/>
    <mergeCell ref="B146:I146"/>
    <mergeCell ref="B147:I147"/>
    <mergeCell ref="M130:N130"/>
    <mergeCell ref="A131:K131"/>
    <mergeCell ref="A193:E193"/>
    <mergeCell ref="A194:E194"/>
    <mergeCell ref="F194:K194"/>
    <mergeCell ref="A195:E195"/>
    <mergeCell ref="F195:K195"/>
    <mergeCell ref="A196:E196"/>
    <mergeCell ref="F196:K196"/>
    <mergeCell ref="A122:E122"/>
    <mergeCell ref="A123:E123"/>
    <mergeCell ref="F123:K123"/>
    <mergeCell ref="A124:E124"/>
    <mergeCell ref="F124:K124"/>
    <mergeCell ref="A132:K132"/>
    <mergeCell ref="A125:E125"/>
    <mergeCell ref="F125:K125"/>
    <mergeCell ref="A126:E126"/>
    <mergeCell ref="F126:K126"/>
    <mergeCell ref="A127:E127"/>
    <mergeCell ref="F127:K127"/>
    <mergeCell ref="A128:K128"/>
    <mergeCell ref="A129:K129"/>
    <mergeCell ref="A130:K130"/>
    <mergeCell ref="C108:E108"/>
    <mergeCell ref="C36:E36"/>
    <mergeCell ref="A56:K56"/>
    <mergeCell ref="A73:B73"/>
    <mergeCell ref="B75:I75"/>
    <mergeCell ref="B76:I76"/>
    <mergeCell ref="B77:I77"/>
    <mergeCell ref="B78:I78"/>
    <mergeCell ref="B80:E81"/>
    <mergeCell ref="A55:E55"/>
    <mergeCell ref="F55:K55"/>
    <mergeCell ref="A52:E52"/>
    <mergeCell ref="F52:K52"/>
    <mergeCell ref="A53:E53"/>
    <mergeCell ref="F53:K53"/>
    <mergeCell ref="A54:E54"/>
    <mergeCell ref="F54:K54"/>
    <mergeCell ref="B223:E224"/>
    <mergeCell ref="C251:E251"/>
    <mergeCell ref="A265:E265"/>
    <mergeCell ref="A266:E266"/>
    <mergeCell ref="F266:K266"/>
    <mergeCell ref="A216:B216"/>
    <mergeCell ref="B218:I218"/>
    <mergeCell ref="B219:I219"/>
    <mergeCell ref="B220:I220"/>
    <mergeCell ref="B221:I221"/>
    <mergeCell ref="A270:E270"/>
    <mergeCell ref="F270:K270"/>
    <mergeCell ref="A271:K271"/>
    <mergeCell ref="A272:K272"/>
    <mergeCell ref="A288:B288"/>
    <mergeCell ref="A267:E267"/>
    <mergeCell ref="F267:K267"/>
    <mergeCell ref="A268:E268"/>
    <mergeCell ref="F268:K268"/>
    <mergeCell ref="A269:E269"/>
    <mergeCell ref="F269:K269"/>
    <mergeCell ref="C323:E323"/>
    <mergeCell ref="A337:E337"/>
    <mergeCell ref="A338:E338"/>
    <mergeCell ref="F338:K338"/>
    <mergeCell ref="A339:E339"/>
    <mergeCell ref="F339:K339"/>
    <mergeCell ref="B290:I290"/>
    <mergeCell ref="B291:I291"/>
    <mergeCell ref="B292:I292"/>
    <mergeCell ref="B293:I293"/>
    <mergeCell ref="B295:E296"/>
    <mergeCell ref="A343:K343"/>
    <mergeCell ref="A344:K344"/>
    <mergeCell ref="A360:B360"/>
    <mergeCell ref="B362:I362"/>
    <mergeCell ref="B363:I363"/>
    <mergeCell ref="A340:E340"/>
    <mergeCell ref="F340:K340"/>
    <mergeCell ref="A341:E341"/>
    <mergeCell ref="F341:K341"/>
    <mergeCell ref="A342:E342"/>
    <mergeCell ref="F342:K342"/>
    <mergeCell ref="A410:E410"/>
    <mergeCell ref="F410:K410"/>
    <mergeCell ref="A411:E411"/>
    <mergeCell ref="F411:K411"/>
    <mergeCell ref="A412:E412"/>
    <mergeCell ref="F412:K412"/>
    <mergeCell ref="B364:I364"/>
    <mergeCell ref="B365:I365"/>
    <mergeCell ref="B367:E368"/>
    <mergeCell ref="C395:E395"/>
    <mergeCell ref="A409:E409"/>
    <mergeCell ref="A416:K416"/>
    <mergeCell ref="A432:B432"/>
    <mergeCell ref="B434:I434"/>
    <mergeCell ref="B435:I435"/>
    <mergeCell ref="B436:I436"/>
    <mergeCell ref="A413:E413"/>
    <mergeCell ref="F413:K413"/>
    <mergeCell ref="A414:E414"/>
    <mergeCell ref="F414:K414"/>
    <mergeCell ref="A415:K415"/>
    <mergeCell ref="A483:E483"/>
    <mergeCell ref="F483:K483"/>
    <mergeCell ref="A484:E484"/>
    <mergeCell ref="F484:K484"/>
    <mergeCell ref="A485:E485"/>
    <mergeCell ref="F485:K485"/>
    <mergeCell ref="B437:I437"/>
    <mergeCell ref="B439:E440"/>
    <mergeCell ref="C467:E467"/>
    <mergeCell ref="A481:E481"/>
    <mergeCell ref="A482:E482"/>
    <mergeCell ref="F482:K482"/>
    <mergeCell ref="B507:I507"/>
    <mergeCell ref="B508:I508"/>
    <mergeCell ref="B509:I509"/>
    <mergeCell ref="B511:E512"/>
    <mergeCell ref="C539:E539"/>
    <mergeCell ref="A486:E486"/>
    <mergeCell ref="F486:K486"/>
    <mergeCell ref="A487:K487"/>
    <mergeCell ref="A504:B504"/>
    <mergeCell ref="B506:I506"/>
    <mergeCell ref="A556:E556"/>
    <mergeCell ref="F556:K556"/>
    <mergeCell ref="A557:E557"/>
    <mergeCell ref="F557:K557"/>
    <mergeCell ref="A558:E558"/>
    <mergeCell ref="F558:K558"/>
    <mergeCell ref="A553:E553"/>
    <mergeCell ref="A554:E554"/>
    <mergeCell ref="F554:K554"/>
    <mergeCell ref="A555:E555"/>
    <mergeCell ref="F555:K555"/>
    <mergeCell ref="B581:I581"/>
    <mergeCell ref="B583:E584"/>
    <mergeCell ref="C611:E611"/>
    <mergeCell ref="A625:E625"/>
    <mergeCell ref="A626:E626"/>
    <mergeCell ref="F626:K626"/>
    <mergeCell ref="A559:K559"/>
    <mergeCell ref="A576:B576"/>
    <mergeCell ref="B578:I578"/>
    <mergeCell ref="B579:I579"/>
    <mergeCell ref="B580:I580"/>
    <mergeCell ref="A630:E630"/>
    <mergeCell ref="F630:K630"/>
    <mergeCell ref="A631:K631"/>
    <mergeCell ref="A648:B648"/>
    <mergeCell ref="B650:I650"/>
    <mergeCell ref="A627:E627"/>
    <mergeCell ref="F627:K627"/>
    <mergeCell ref="A628:E628"/>
    <mergeCell ref="F628:K628"/>
    <mergeCell ref="A629:E629"/>
    <mergeCell ref="F629:K629"/>
    <mergeCell ref="A697:E697"/>
    <mergeCell ref="A698:E698"/>
    <mergeCell ref="F698:K698"/>
    <mergeCell ref="A699:E699"/>
    <mergeCell ref="F699:K699"/>
    <mergeCell ref="B651:I651"/>
    <mergeCell ref="B652:I652"/>
    <mergeCell ref="B653:I653"/>
    <mergeCell ref="B655:E656"/>
    <mergeCell ref="C683:E683"/>
    <mergeCell ref="A703:K703"/>
    <mergeCell ref="A720:B720"/>
    <mergeCell ref="B722:I722"/>
    <mergeCell ref="B723:I723"/>
    <mergeCell ref="B724:I724"/>
    <mergeCell ref="A700:E700"/>
    <mergeCell ref="F700:K700"/>
    <mergeCell ref="A701:E701"/>
    <mergeCell ref="F701:K701"/>
    <mergeCell ref="A702:E702"/>
    <mergeCell ref="F702:K702"/>
    <mergeCell ref="A771:E771"/>
    <mergeCell ref="F771:K771"/>
    <mergeCell ref="A772:E772"/>
    <mergeCell ref="F772:K772"/>
    <mergeCell ref="A773:E773"/>
    <mergeCell ref="F773:K773"/>
    <mergeCell ref="B725:I725"/>
    <mergeCell ref="B727:E728"/>
    <mergeCell ref="C755:E755"/>
    <mergeCell ref="A769:E769"/>
    <mergeCell ref="A770:E770"/>
    <mergeCell ref="F770:K770"/>
    <mergeCell ref="B795:I795"/>
    <mergeCell ref="B796:I796"/>
    <mergeCell ref="B797:I797"/>
    <mergeCell ref="B799:E800"/>
    <mergeCell ref="C827:E827"/>
    <mergeCell ref="A774:E774"/>
    <mergeCell ref="F774:K774"/>
    <mergeCell ref="A775:K775"/>
    <mergeCell ref="A792:B792"/>
    <mergeCell ref="B794:I794"/>
    <mergeCell ref="A844:E844"/>
    <mergeCell ref="F844:K844"/>
    <mergeCell ref="A845:E845"/>
    <mergeCell ref="F845:K845"/>
    <mergeCell ref="A846:E846"/>
    <mergeCell ref="F846:K846"/>
    <mergeCell ref="A841:E841"/>
    <mergeCell ref="A842:E842"/>
    <mergeCell ref="F842:K842"/>
    <mergeCell ref="A843:E843"/>
    <mergeCell ref="F843:K843"/>
    <mergeCell ref="B869:I869"/>
    <mergeCell ref="B871:E872"/>
    <mergeCell ref="C899:E899"/>
    <mergeCell ref="A913:E913"/>
    <mergeCell ref="A914:E914"/>
    <mergeCell ref="F914:K914"/>
    <mergeCell ref="A847:K847"/>
    <mergeCell ref="A864:B864"/>
    <mergeCell ref="B866:I866"/>
    <mergeCell ref="B867:I867"/>
    <mergeCell ref="B868:I868"/>
    <mergeCell ref="A918:E918"/>
    <mergeCell ref="F918:K918"/>
    <mergeCell ref="A919:K919"/>
    <mergeCell ref="A915:E915"/>
    <mergeCell ref="F915:K915"/>
    <mergeCell ref="A916:E916"/>
    <mergeCell ref="F916:K916"/>
    <mergeCell ref="A917:E917"/>
    <mergeCell ref="F917:K917"/>
  </mergeCells>
  <pageMargins left="1.1811023622047245" right="0.43307086614173229" top="0.43307086614173229" bottom="0.51181102362204722" header="0.31496062992125984" footer="0.31496062992125984"/>
  <pageSetup paperSize="5" scale="95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C4FE-9613-4089-AC42-3380E02942F4}">
  <sheetPr>
    <tabColor rgb="FF00B050"/>
  </sheetPr>
  <dimension ref="A1:N919"/>
  <sheetViews>
    <sheetView showWhiteSpace="0" view="pageLayout" zoomScaleNormal="100" workbookViewId="0">
      <selection activeCell="M19" sqref="M19"/>
    </sheetView>
  </sheetViews>
  <sheetFormatPr defaultColWidth="9.140625" defaultRowHeight="14.25" x14ac:dyDescent="0.2"/>
  <cols>
    <col min="1" max="1" width="1" style="112" customWidth="1"/>
    <col min="2" max="2" width="2.28515625" style="112" customWidth="1"/>
    <col min="3" max="3" width="2.7109375" style="112" customWidth="1"/>
    <col min="4" max="4" width="1.85546875" style="112" customWidth="1"/>
    <col min="5" max="5" width="40.42578125" style="112" customWidth="1"/>
    <col min="6" max="6" width="1" style="112" customWidth="1"/>
    <col min="7" max="7" width="17.5703125" style="124" customWidth="1"/>
    <col min="8" max="8" width="1" style="124" customWidth="1"/>
    <col min="9" max="9" width="17.5703125" style="124" customWidth="1"/>
    <col min="10" max="10" width="9.140625" style="112" hidden="1" customWidth="1"/>
    <col min="11" max="11" width="1" style="112" customWidth="1"/>
    <col min="12" max="12" width="21.28515625" style="592" customWidth="1"/>
    <col min="13" max="13" width="18.42578125" style="112" customWidth="1"/>
    <col min="14" max="14" width="9.140625" style="112" customWidth="1"/>
    <col min="15" max="16384" width="9.140625" style="112"/>
  </cols>
  <sheetData>
    <row r="1" spans="1:12" x14ac:dyDescent="0.2">
      <c r="A1" s="728" t="s">
        <v>890</v>
      </c>
      <c r="B1" s="728"/>
      <c r="C1" s="590" t="s">
        <v>891</v>
      </c>
      <c r="D1" s="124"/>
      <c r="E1" s="124"/>
      <c r="F1" s="124"/>
    </row>
    <row r="2" spans="1:12" x14ac:dyDescent="0.2">
      <c r="B2" s="124"/>
      <c r="C2" s="124"/>
      <c r="D2" s="124"/>
      <c r="E2" s="124"/>
      <c r="F2" s="124"/>
    </row>
    <row r="3" spans="1:12" ht="15" x14ac:dyDescent="0.25">
      <c r="A3" s="141"/>
      <c r="B3" s="762"/>
      <c r="C3" s="762"/>
      <c r="D3" s="762"/>
      <c r="E3" s="762"/>
      <c r="F3" s="762"/>
      <c r="G3" s="762"/>
      <c r="H3" s="762"/>
      <c r="I3" s="762"/>
      <c r="J3" s="591"/>
      <c r="K3" s="591"/>
    </row>
    <row r="4" spans="1:12" ht="15" x14ac:dyDescent="0.25">
      <c r="A4" s="125"/>
      <c r="B4" s="696" t="s">
        <v>650</v>
      </c>
      <c r="C4" s="696"/>
      <c r="D4" s="696"/>
      <c r="E4" s="696"/>
      <c r="F4" s="696"/>
      <c r="G4" s="696"/>
      <c r="H4" s="696"/>
      <c r="I4" s="696"/>
      <c r="J4" s="136"/>
      <c r="K4" s="136"/>
    </row>
    <row r="5" spans="1:12" ht="15" x14ac:dyDescent="0.25">
      <c r="A5" s="125"/>
      <c r="B5" s="696" t="s">
        <v>891</v>
      </c>
      <c r="C5" s="696"/>
      <c r="D5" s="696"/>
      <c r="E5" s="696"/>
      <c r="F5" s="696"/>
      <c r="G5" s="696"/>
      <c r="H5" s="696"/>
      <c r="I5" s="696"/>
      <c r="J5" s="136"/>
      <c r="K5" s="136"/>
    </row>
    <row r="6" spans="1:12" ht="15" x14ac:dyDescent="0.25">
      <c r="A6" s="125"/>
      <c r="B6" s="742" t="s">
        <v>892</v>
      </c>
      <c r="C6" s="742"/>
      <c r="D6" s="742"/>
      <c r="E6" s="742"/>
      <c r="F6" s="742"/>
      <c r="G6" s="742"/>
      <c r="H6" s="742"/>
      <c r="I6" s="742"/>
      <c r="J6" s="136"/>
      <c r="K6" s="136"/>
    </row>
    <row r="7" spans="1:12" x14ac:dyDescent="0.2">
      <c r="A7" s="125"/>
      <c r="B7" s="124"/>
      <c r="C7" s="124"/>
      <c r="D7" s="124"/>
      <c r="E7" s="124"/>
      <c r="F7" s="124"/>
      <c r="J7" s="136"/>
      <c r="K7" s="136"/>
    </row>
    <row r="8" spans="1:12" x14ac:dyDescent="0.2">
      <c r="A8" s="125"/>
      <c r="B8" s="755" t="s">
        <v>30</v>
      </c>
      <c r="C8" s="756"/>
      <c r="D8" s="756"/>
      <c r="E8" s="757"/>
      <c r="F8" s="127"/>
      <c r="G8" s="201" t="s">
        <v>934</v>
      </c>
      <c r="H8" s="127"/>
      <c r="I8" s="201" t="s">
        <v>934</v>
      </c>
      <c r="J8" s="136"/>
      <c r="K8" s="136"/>
    </row>
    <row r="9" spans="1:12" x14ac:dyDescent="0.2">
      <c r="A9" s="125"/>
      <c r="B9" s="758"/>
      <c r="C9" s="759"/>
      <c r="D9" s="759"/>
      <c r="E9" s="760"/>
      <c r="F9" s="127"/>
      <c r="G9" s="202">
        <v>2025</v>
      </c>
      <c r="H9" s="127"/>
      <c r="I9" s="202">
        <v>2024</v>
      </c>
      <c r="J9" s="136"/>
      <c r="K9" s="136"/>
    </row>
    <row r="10" spans="1:12" x14ac:dyDescent="0.2">
      <c r="A10" s="125"/>
      <c r="B10" s="203" t="s">
        <v>893</v>
      </c>
      <c r="C10" s="203" t="s">
        <v>906</v>
      </c>
      <c r="D10" s="203"/>
      <c r="E10" s="124"/>
      <c r="F10" s="124"/>
      <c r="G10" s="204"/>
      <c r="H10" s="204"/>
      <c r="I10" s="204"/>
      <c r="J10" s="136"/>
      <c r="K10" s="136"/>
    </row>
    <row r="11" spans="1:12" x14ac:dyDescent="0.2">
      <c r="A11" s="125"/>
      <c r="B11" s="6"/>
      <c r="C11" s="128" t="s">
        <v>894</v>
      </c>
      <c r="D11" s="124"/>
      <c r="E11" s="124"/>
      <c r="F11" s="124"/>
      <c r="G11" s="204"/>
      <c r="H11" s="204"/>
      <c r="I11" s="210"/>
      <c r="J11" s="136"/>
      <c r="K11" s="136"/>
    </row>
    <row r="12" spans="1:12" x14ac:dyDescent="0.2">
      <c r="A12" s="125"/>
      <c r="B12" s="6"/>
      <c r="C12" s="124"/>
      <c r="D12" s="124">
        <v>1</v>
      </c>
      <c r="E12" s="124" t="s">
        <v>895</v>
      </c>
      <c r="F12" s="124"/>
      <c r="G12" s="204">
        <f>I875</f>
        <v>0</v>
      </c>
      <c r="H12" s="204"/>
      <c r="I12" s="210">
        <v>6000650100</v>
      </c>
      <c r="J12" s="136"/>
      <c r="K12" s="136"/>
      <c r="L12" s="592">
        <f>I12-6000670100</f>
        <v>-20000</v>
      </c>
    </row>
    <row r="13" spans="1:12" x14ac:dyDescent="0.2">
      <c r="A13" s="125"/>
      <c r="B13" s="6"/>
      <c r="C13" s="124"/>
      <c r="D13" s="124">
        <v>2</v>
      </c>
      <c r="E13" s="124" t="s">
        <v>896</v>
      </c>
      <c r="F13" s="124"/>
      <c r="G13" s="204">
        <f t="shared" ref="G13:G16" si="0">I876</f>
        <v>0</v>
      </c>
      <c r="H13" s="204"/>
      <c r="I13" s="210">
        <v>386252632</v>
      </c>
      <c r="J13" s="136"/>
      <c r="K13" s="136"/>
      <c r="L13" s="592">
        <f>I13-386232632</f>
        <v>20000</v>
      </c>
    </row>
    <row r="14" spans="1:12" x14ac:dyDescent="0.2">
      <c r="A14" s="125"/>
      <c r="B14" s="6"/>
      <c r="C14" s="124"/>
      <c r="D14" s="124">
        <v>3</v>
      </c>
      <c r="E14" s="124" t="s">
        <v>897</v>
      </c>
      <c r="F14" s="124"/>
      <c r="G14" s="204">
        <f t="shared" si="0"/>
        <v>0</v>
      </c>
      <c r="H14" s="204"/>
      <c r="I14" s="210">
        <v>2041490791</v>
      </c>
      <c r="J14" s="136"/>
      <c r="K14" s="136"/>
    </row>
    <row r="15" spans="1:12" x14ac:dyDescent="0.2">
      <c r="A15" s="125"/>
      <c r="B15" s="6"/>
      <c r="C15" s="124"/>
      <c r="D15" s="124">
        <v>4</v>
      </c>
      <c r="E15" s="124" t="s">
        <v>902</v>
      </c>
      <c r="F15" s="124"/>
      <c r="G15" s="204">
        <f t="shared" si="0"/>
        <v>0</v>
      </c>
      <c r="H15" s="204"/>
      <c r="I15" s="210"/>
      <c r="J15" s="136"/>
      <c r="K15" s="136"/>
    </row>
    <row r="16" spans="1:12" x14ac:dyDescent="0.2">
      <c r="A16" s="125"/>
      <c r="B16" s="6"/>
      <c r="C16" s="124"/>
      <c r="D16" s="124">
        <v>5</v>
      </c>
      <c r="E16" s="124" t="s">
        <v>898</v>
      </c>
      <c r="F16" s="124"/>
      <c r="G16" s="204">
        <f t="shared" si="0"/>
        <v>0</v>
      </c>
      <c r="H16" s="204"/>
      <c r="I16" s="210"/>
      <c r="J16" s="136"/>
      <c r="K16" s="136"/>
    </row>
    <row r="17" spans="1:13" x14ac:dyDescent="0.2">
      <c r="A17" s="125"/>
      <c r="B17" s="6"/>
      <c r="C17" s="124"/>
      <c r="D17" s="124"/>
      <c r="E17" s="124"/>
      <c r="F17" s="124"/>
      <c r="G17" s="204"/>
      <c r="H17" s="204"/>
      <c r="I17" s="210"/>
      <c r="J17" s="136"/>
      <c r="K17" s="136"/>
    </row>
    <row r="18" spans="1:13" x14ac:dyDescent="0.2">
      <c r="A18" s="125"/>
      <c r="B18" s="6"/>
      <c r="C18" s="128"/>
      <c r="D18" s="128" t="s">
        <v>55</v>
      </c>
      <c r="E18" s="128"/>
      <c r="F18" s="124"/>
      <c r="G18" s="205">
        <f>SUM(G12:G16)</f>
        <v>0</v>
      </c>
      <c r="H18" s="204"/>
      <c r="I18" s="488">
        <f>SUM(I12:I16)</f>
        <v>8428393523</v>
      </c>
      <c r="J18" s="136"/>
      <c r="K18" s="136"/>
    </row>
    <row r="19" spans="1:13" x14ac:dyDescent="0.2">
      <c r="A19" s="125"/>
      <c r="B19" s="6"/>
      <c r="C19" s="128"/>
      <c r="D19" s="128"/>
      <c r="E19" s="128"/>
      <c r="F19" s="124"/>
      <c r="G19" s="149"/>
      <c r="H19" s="204"/>
      <c r="I19" s="433"/>
      <c r="J19" s="136"/>
      <c r="K19" s="136"/>
    </row>
    <row r="20" spans="1:13" x14ac:dyDescent="0.2">
      <c r="A20" s="125"/>
      <c r="B20" s="6"/>
      <c r="C20" s="128" t="s">
        <v>899</v>
      </c>
      <c r="D20" s="124"/>
      <c r="E20" s="124"/>
      <c r="F20" s="124"/>
      <c r="G20" s="204"/>
      <c r="H20" s="204"/>
      <c r="I20" s="210"/>
      <c r="J20" s="136"/>
      <c r="K20" s="136"/>
      <c r="L20" s="603">
        <f>[3]JU!$E$1021</f>
        <v>1204164</v>
      </c>
    </row>
    <row r="21" spans="1:13" x14ac:dyDescent="0.2">
      <c r="A21" s="125"/>
      <c r="B21" s="6"/>
      <c r="C21" s="124"/>
      <c r="D21" s="124">
        <v>1</v>
      </c>
      <c r="E21" s="206" t="s">
        <v>328</v>
      </c>
      <c r="F21" s="124"/>
      <c r="G21" s="204">
        <f>I884</f>
        <v>0</v>
      </c>
      <c r="H21" s="204"/>
      <c r="I21" s="597">
        <f>1111320581-1204164</f>
        <v>1110116417</v>
      </c>
      <c r="J21" s="136"/>
      <c r="K21" s="136"/>
      <c r="L21" s="592" t="s">
        <v>944</v>
      </c>
    </row>
    <row r="22" spans="1:13" x14ac:dyDescent="0.2">
      <c r="A22" s="125"/>
      <c r="B22" s="6"/>
      <c r="C22" s="124"/>
      <c r="D22" s="124">
        <v>2</v>
      </c>
      <c r="E22" s="206" t="s">
        <v>329</v>
      </c>
      <c r="F22" s="124"/>
      <c r="G22" s="204">
        <f t="shared" ref="G22:G27" si="1">I885</f>
        <v>0</v>
      </c>
      <c r="H22" s="204"/>
      <c r="I22" s="597">
        <f>1595983560-M36</f>
        <v>790379760</v>
      </c>
      <c r="J22" s="136"/>
      <c r="K22" s="136"/>
    </row>
    <row r="23" spans="1:13" x14ac:dyDescent="0.2">
      <c r="A23" s="125"/>
      <c r="B23" s="6"/>
      <c r="C23" s="124"/>
      <c r="D23" s="124">
        <v>3</v>
      </c>
      <c r="E23" s="206" t="s">
        <v>900</v>
      </c>
      <c r="F23" s="134"/>
      <c r="G23" s="204">
        <f t="shared" si="1"/>
        <v>1200000</v>
      </c>
      <c r="H23" s="204"/>
      <c r="I23" s="597">
        <f>791611737-M34+M35+M37</f>
        <v>812620263</v>
      </c>
      <c r="J23" s="136"/>
      <c r="K23" s="136"/>
    </row>
    <row r="24" spans="1:13" x14ac:dyDescent="0.2">
      <c r="A24" s="125"/>
      <c r="B24" s="6"/>
      <c r="C24" s="124"/>
      <c r="D24" s="124">
        <v>4</v>
      </c>
      <c r="E24" s="206" t="s">
        <v>901</v>
      </c>
      <c r="F24" s="124"/>
      <c r="G24" s="204">
        <f t="shared" si="1"/>
        <v>0</v>
      </c>
      <c r="H24" s="204"/>
      <c r="I24" s="597">
        <f>4152198749-26434435-26503037</f>
        <v>4099261277</v>
      </c>
      <c r="J24" s="136"/>
      <c r="K24" s="136"/>
      <c r="L24" s="592" t="s">
        <v>945</v>
      </c>
    </row>
    <row r="25" spans="1:13" x14ac:dyDescent="0.2">
      <c r="A25" s="125"/>
      <c r="B25" s="6"/>
      <c r="C25" s="124"/>
      <c r="D25" s="124">
        <v>5</v>
      </c>
      <c r="E25" s="206" t="s">
        <v>887</v>
      </c>
      <c r="F25" s="134"/>
      <c r="G25" s="204">
        <f t="shared" si="1"/>
        <v>0</v>
      </c>
      <c r="H25" s="204"/>
      <c r="I25" s="210">
        <v>110400</v>
      </c>
      <c r="J25" s="136"/>
      <c r="K25" s="136"/>
      <c r="L25" s="601">
        <v>8414279225</v>
      </c>
      <c r="M25" s="602" t="s">
        <v>942</v>
      </c>
    </row>
    <row r="26" spans="1:13" x14ac:dyDescent="0.2">
      <c r="A26" s="125"/>
      <c r="B26" s="6"/>
      <c r="C26" s="124"/>
      <c r="D26" s="124">
        <v>6</v>
      </c>
      <c r="E26" s="206" t="s">
        <v>903</v>
      </c>
      <c r="F26" s="134"/>
      <c r="G26" s="204">
        <f t="shared" si="1"/>
        <v>0</v>
      </c>
      <c r="H26" s="204"/>
      <c r="I26" s="210">
        <f>8414279225-(I21+I22+I23+I24+I25+I34+I27)</f>
        <v>772062860</v>
      </c>
      <c r="J26" s="136"/>
      <c r="K26" s="136"/>
      <c r="L26" s="592" t="s">
        <v>936</v>
      </c>
    </row>
    <row r="27" spans="1:13" x14ac:dyDescent="0.2">
      <c r="A27" s="125"/>
      <c r="B27" s="6"/>
      <c r="C27" s="124"/>
      <c r="D27" s="124">
        <v>7</v>
      </c>
      <c r="E27" s="206" t="s">
        <v>904</v>
      </c>
      <c r="F27" s="134"/>
      <c r="G27" s="204">
        <f t="shared" si="1"/>
        <v>0</v>
      </c>
      <c r="H27" s="204"/>
      <c r="I27" s="210">
        <v>13680368</v>
      </c>
      <c r="J27" s="136"/>
      <c r="K27" s="136"/>
      <c r="L27" s="592" t="s">
        <v>943</v>
      </c>
    </row>
    <row r="28" spans="1:13" x14ac:dyDescent="0.2">
      <c r="A28" s="125"/>
      <c r="B28" s="134"/>
      <c r="C28" s="128"/>
      <c r="D28" s="124"/>
      <c r="E28" s="206"/>
      <c r="F28" s="124"/>
      <c r="G28" s="204"/>
      <c r="H28" s="204"/>
      <c r="I28" s="210"/>
      <c r="J28" s="136"/>
      <c r="K28" s="136"/>
    </row>
    <row r="29" spans="1:13" x14ac:dyDescent="0.2">
      <c r="A29" s="125"/>
      <c r="B29" s="6"/>
      <c r="C29" s="124"/>
      <c r="D29" s="128" t="s">
        <v>67</v>
      </c>
      <c r="E29" s="127"/>
      <c r="F29" s="208"/>
      <c r="G29" s="205">
        <f>SUM(G21:G28)</f>
        <v>1200000</v>
      </c>
      <c r="H29" s="204"/>
      <c r="I29" s="488">
        <f>SUM(I21:I28)</f>
        <v>7598231345</v>
      </c>
      <c r="J29" s="136"/>
      <c r="K29" s="136"/>
    </row>
    <row r="30" spans="1:13" x14ac:dyDescent="0.2">
      <c r="A30" s="125"/>
      <c r="B30" s="6"/>
      <c r="C30" s="124"/>
      <c r="D30" s="124"/>
      <c r="E30" s="124"/>
      <c r="F30" s="124"/>
      <c r="G30" s="204"/>
      <c r="H30" s="204"/>
      <c r="I30" s="210"/>
      <c r="J30" s="136"/>
    </row>
    <row r="31" spans="1:13" x14ac:dyDescent="0.2">
      <c r="A31" s="125"/>
      <c r="B31" s="6"/>
      <c r="C31" s="128" t="s">
        <v>905</v>
      </c>
      <c r="D31" s="128"/>
      <c r="E31" s="128"/>
      <c r="F31" s="124"/>
      <c r="G31" s="488">
        <f>G18-G29</f>
        <v>-1200000</v>
      </c>
      <c r="H31" s="204"/>
      <c r="I31" s="488">
        <f>I18-I29</f>
        <v>830162178</v>
      </c>
    </row>
    <row r="32" spans="1:13" x14ac:dyDescent="0.2">
      <c r="A32" s="125"/>
      <c r="B32" s="6"/>
      <c r="C32" s="124"/>
      <c r="D32" s="124"/>
      <c r="E32" s="124"/>
      <c r="F32" s="124"/>
      <c r="G32" s="204"/>
      <c r="H32" s="204"/>
      <c r="I32" s="210"/>
      <c r="J32" s="136"/>
    </row>
    <row r="33" spans="1:13" x14ac:dyDescent="0.2">
      <c r="A33" s="125"/>
      <c r="B33" s="203" t="s">
        <v>907</v>
      </c>
      <c r="C33" s="203" t="s">
        <v>908</v>
      </c>
      <c r="D33" s="151"/>
      <c r="E33" s="134"/>
      <c r="F33" s="134"/>
      <c r="G33" s="204"/>
      <c r="H33" s="204"/>
      <c r="I33" s="210"/>
      <c r="J33" s="136"/>
      <c r="L33" s="592" t="s">
        <v>937</v>
      </c>
    </row>
    <row r="34" spans="1:13" x14ac:dyDescent="0.2">
      <c r="A34" s="125"/>
      <c r="B34" s="134"/>
      <c r="C34" s="128"/>
      <c r="D34" s="124" t="s">
        <v>909</v>
      </c>
      <c r="E34" s="124"/>
      <c r="F34" s="124"/>
      <c r="G34" s="204">
        <f>I897</f>
        <v>0</v>
      </c>
      <c r="H34" s="204"/>
      <c r="I34" s="210">
        <f>782747880+33300000</f>
        <v>816047880</v>
      </c>
      <c r="J34" s="136"/>
      <c r="L34" s="592" t="s">
        <v>938</v>
      </c>
      <c r="M34" s="592">
        <v>203476069</v>
      </c>
    </row>
    <row r="35" spans="1:13" x14ac:dyDescent="0.2">
      <c r="A35" s="125"/>
      <c r="B35" s="6"/>
      <c r="C35" s="128" t="s">
        <v>910</v>
      </c>
      <c r="D35" s="151"/>
      <c r="E35" s="151"/>
      <c r="F35" s="151"/>
      <c r="G35" s="205">
        <f>SUM(G34)</f>
        <v>0</v>
      </c>
      <c r="H35" s="149"/>
      <c r="I35" s="488">
        <f>SUM(I34)</f>
        <v>816047880</v>
      </c>
      <c r="J35" s="136"/>
      <c r="L35" s="592" t="s">
        <v>939</v>
      </c>
      <c r="M35" s="592">
        <v>111540600</v>
      </c>
    </row>
    <row r="36" spans="1:13" x14ac:dyDescent="0.2">
      <c r="A36" s="125"/>
      <c r="B36" s="6"/>
      <c r="C36" s="694"/>
      <c r="D36" s="694"/>
      <c r="E36" s="694"/>
      <c r="F36" s="124"/>
      <c r="G36" s="433"/>
      <c r="H36" s="210"/>
      <c r="I36" s="433"/>
      <c r="J36" s="136"/>
      <c r="L36" s="592" t="s">
        <v>940</v>
      </c>
      <c r="M36" s="592">
        <v>805603800</v>
      </c>
    </row>
    <row r="37" spans="1:13" x14ac:dyDescent="0.2">
      <c r="A37" s="125"/>
      <c r="B37" s="203" t="s">
        <v>911</v>
      </c>
      <c r="C37" s="203" t="s">
        <v>912</v>
      </c>
      <c r="D37" s="124"/>
      <c r="E37" s="124"/>
      <c r="F37" s="124"/>
      <c r="G37" s="210"/>
      <c r="H37" s="210"/>
      <c r="I37" s="210"/>
      <c r="J37" s="136"/>
      <c r="L37" s="599" t="s">
        <v>941</v>
      </c>
      <c r="M37" s="592">
        <v>112943995</v>
      </c>
    </row>
    <row r="38" spans="1:13" x14ac:dyDescent="0.2">
      <c r="A38" s="125"/>
      <c r="B38" s="195"/>
      <c r="C38" s="195"/>
      <c r="D38" s="124" t="s">
        <v>913</v>
      </c>
      <c r="E38" s="195"/>
      <c r="F38" s="134"/>
      <c r="G38" s="433">
        <f>I901</f>
        <v>0</v>
      </c>
      <c r="H38" s="210"/>
      <c r="I38" s="433"/>
      <c r="J38" s="136"/>
      <c r="K38" s="136"/>
      <c r="L38" s="599"/>
      <c r="M38" s="592"/>
    </row>
    <row r="39" spans="1:13" x14ac:dyDescent="0.2">
      <c r="A39" s="125"/>
      <c r="B39" s="203"/>
      <c r="C39" s="124"/>
      <c r="D39" s="124" t="s">
        <v>914</v>
      </c>
      <c r="E39" s="124"/>
      <c r="F39" s="124"/>
      <c r="G39" s="433">
        <f t="shared" ref="G39:G41" si="2">I902</f>
        <v>0</v>
      </c>
      <c r="H39" s="204"/>
      <c r="I39" s="210"/>
      <c r="J39" s="136"/>
      <c r="K39" s="136"/>
      <c r="L39" s="599"/>
      <c r="M39" s="600">
        <f>SUM(M34:M38)</f>
        <v>1233564464</v>
      </c>
    </row>
    <row r="40" spans="1:13" x14ac:dyDescent="0.2">
      <c r="A40" s="125"/>
      <c r="B40" s="6"/>
      <c r="C40" s="124"/>
      <c r="D40" s="151" t="s">
        <v>915</v>
      </c>
      <c r="E40" s="134"/>
      <c r="F40" s="134"/>
      <c r="G40" s="433">
        <f t="shared" si="2"/>
        <v>0</v>
      </c>
      <c r="H40" s="204"/>
      <c r="I40" s="210"/>
      <c r="J40" s="136"/>
      <c r="K40" s="136"/>
    </row>
    <row r="41" spans="1:13" x14ac:dyDescent="0.2">
      <c r="A41" s="125"/>
      <c r="B41" s="134"/>
      <c r="C41" s="128"/>
      <c r="D41" s="124" t="s">
        <v>916</v>
      </c>
      <c r="E41" s="124"/>
      <c r="F41" s="124"/>
      <c r="G41" s="433">
        <f t="shared" si="2"/>
        <v>0</v>
      </c>
      <c r="H41" s="204"/>
      <c r="I41" s="210"/>
      <c r="J41" s="136"/>
      <c r="K41" s="136"/>
    </row>
    <row r="42" spans="1:13" x14ac:dyDescent="0.2">
      <c r="A42" s="125"/>
      <c r="B42" s="6"/>
      <c r="C42" s="128" t="s">
        <v>917</v>
      </c>
      <c r="D42" s="151"/>
      <c r="E42" s="151"/>
      <c r="F42" s="151"/>
      <c r="G42" s="596">
        <f>SUM(G38:G41)</f>
        <v>0</v>
      </c>
      <c r="H42" s="204"/>
      <c r="I42" s="598">
        <f>SUM(I38:I41)</f>
        <v>0</v>
      </c>
      <c r="J42" s="136"/>
      <c r="K42" s="136"/>
    </row>
    <row r="43" spans="1:13" x14ac:dyDescent="0.2">
      <c r="A43" s="125"/>
      <c r="B43" s="6"/>
      <c r="C43" s="124"/>
      <c r="D43" s="124"/>
      <c r="E43" s="124"/>
      <c r="F43" s="124"/>
      <c r="G43" s="593"/>
      <c r="H43" s="204"/>
      <c r="I43" s="210"/>
      <c r="J43" s="136"/>
      <c r="K43" s="136"/>
    </row>
    <row r="44" spans="1:13" x14ac:dyDescent="0.2">
      <c r="A44" s="125"/>
      <c r="B44" s="203" t="s">
        <v>918</v>
      </c>
      <c r="C44" s="203" t="s">
        <v>919</v>
      </c>
      <c r="D44" s="130"/>
      <c r="E44" s="130"/>
      <c r="F44" s="124"/>
      <c r="G44" s="149">
        <f>G31-G35+G42</f>
        <v>-1200000</v>
      </c>
      <c r="H44" s="204"/>
      <c r="I44" s="433">
        <f>I31-I35+I42</f>
        <v>14114298</v>
      </c>
      <c r="J44" s="136"/>
      <c r="K44" s="136"/>
    </row>
    <row r="45" spans="1:13" x14ac:dyDescent="0.2">
      <c r="A45" s="125"/>
      <c r="B45" s="6"/>
      <c r="C45" s="124"/>
      <c r="D45" s="124"/>
      <c r="E45" s="124"/>
      <c r="F45" s="124"/>
      <c r="G45" s="204"/>
      <c r="H45" s="204"/>
      <c r="I45" s="210"/>
      <c r="J45" s="136"/>
      <c r="K45" s="136"/>
    </row>
    <row r="46" spans="1:13" x14ac:dyDescent="0.2">
      <c r="A46" s="125"/>
      <c r="B46" s="203" t="s">
        <v>920</v>
      </c>
      <c r="C46" s="203" t="s">
        <v>921</v>
      </c>
      <c r="D46" s="130"/>
      <c r="E46" s="124"/>
      <c r="F46" s="124"/>
      <c r="G46" s="149">
        <v>1312251855.8000002</v>
      </c>
      <c r="H46" s="149"/>
      <c r="I46" s="433">
        <v>1298137557.8</v>
      </c>
      <c r="J46" s="136"/>
      <c r="K46" s="136"/>
    </row>
    <row r="47" spans="1:13" x14ac:dyDescent="0.2">
      <c r="A47" s="125"/>
      <c r="B47" s="6"/>
      <c r="C47" s="124"/>
      <c r="D47" s="124"/>
      <c r="E47" s="124"/>
      <c r="F47" s="124"/>
      <c r="G47" s="149"/>
      <c r="H47" s="149"/>
      <c r="I47" s="433"/>
      <c r="J47" s="136"/>
      <c r="K47" s="136"/>
    </row>
    <row r="48" spans="1:13" x14ac:dyDescent="0.2">
      <c r="A48" s="125"/>
      <c r="B48" s="134" t="s">
        <v>922</v>
      </c>
      <c r="C48" s="128" t="s">
        <v>921</v>
      </c>
      <c r="D48" s="124"/>
      <c r="E48" s="124"/>
      <c r="F48" s="124"/>
      <c r="G48" s="149">
        <f>G44+G46</f>
        <v>1311051855.8000002</v>
      </c>
      <c r="H48" s="149"/>
      <c r="I48" s="433">
        <f>I44+I46</f>
        <v>1312251855.8</v>
      </c>
      <c r="J48" s="136"/>
      <c r="K48" s="136"/>
    </row>
    <row r="49" spans="1:11" x14ac:dyDescent="0.2">
      <c r="A49" s="120"/>
      <c r="B49" s="119"/>
      <c r="C49" s="119"/>
      <c r="D49" s="119"/>
      <c r="E49" s="119"/>
      <c r="F49" s="119"/>
      <c r="G49" s="218"/>
      <c r="H49" s="218"/>
      <c r="I49" s="493"/>
      <c r="J49" s="594"/>
      <c r="K49" s="594"/>
    </row>
    <row r="50" spans="1:11" x14ac:dyDescent="0.2">
      <c r="A50" s="761"/>
      <c r="B50" s="761"/>
      <c r="C50" s="761"/>
      <c r="D50" s="761"/>
      <c r="E50" s="761"/>
      <c r="F50" s="124"/>
      <c r="G50" s="219">
        <f>'Neraca '!H12</f>
        <v>0</v>
      </c>
      <c r="H50" s="219"/>
      <c r="I50" s="219"/>
    </row>
    <row r="51" spans="1:11" x14ac:dyDescent="0.2">
      <c r="A51" s="697" t="s">
        <v>579</v>
      </c>
      <c r="B51" s="697"/>
      <c r="C51" s="697"/>
      <c r="D51" s="697"/>
      <c r="E51" s="697"/>
      <c r="F51" s="697" t="s">
        <v>566</v>
      </c>
      <c r="G51" s="697"/>
      <c r="H51" s="697"/>
      <c r="I51" s="697"/>
      <c r="J51" s="697"/>
      <c r="K51" s="697"/>
    </row>
    <row r="52" spans="1:11" x14ac:dyDescent="0.2">
      <c r="A52" s="697" t="s">
        <v>678</v>
      </c>
      <c r="B52" s="697"/>
      <c r="C52" s="697"/>
      <c r="D52" s="697"/>
      <c r="E52" s="697"/>
      <c r="F52" s="697" t="s">
        <v>681</v>
      </c>
      <c r="G52" s="697"/>
      <c r="H52" s="697"/>
      <c r="I52" s="697"/>
      <c r="J52" s="697"/>
      <c r="K52" s="697"/>
    </row>
    <row r="53" spans="1:11" x14ac:dyDescent="0.2">
      <c r="A53" s="697"/>
      <c r="B53" s="697"/>
      <c r="C53" s="697"/>
      <c r="D53" s="697"/>
      <c r="E53" s="697"/>
      <c r="F53" s="697"/>
      <c r="G53" s="697"/>
      <c r="H53" s="697"/>
      <c r="I53" s="697"/>
      <c r="J53" s="697"/>
      <c r="K53" s="697"/>
    </row>
    <row r="54" spans="1:11" x14ac:dyDescent="0.2">
      <c r="A54" s="697"/>
      <c r="B54" s="697"/>
      <c r="C54" s="697"/>
      <c r="D54" s="697"/>
      <c r="E54" s="697"/>
      <c r="F54" s="697"/>
      <c r="G54" s="697"/>
      <c r="H54" s="697"/>
      <c r="I54" s="697"/>
      <c r="J54" s="697"/>
      <c r="K54" s="697"/>
    </row>
    <row r="55" spans="1:11" x14ac:dyDescent="0.2">
      <c r="A55" s="697" t="s">
        <v>655</v>
      </c>
      <c r="B55" s="697"/>
      <c r="C55" s="697"/>
      <c r="D55" s="697"/>
      <c r="E55" s="697"/>
      <c r="F55" s="697" t="s">
        <v>567</v>
      </c>
      <c r="G55" s="697"/>
      <c r="H55" s="697"/>
      <c r="I55" s="697"/>
      <c r="J55" s="697"/>
      <c r="K55" s="697"/>
    </row>
    <row r="56" spans="1:11" x14ac:dyDescent="0.2">
      <c r="A56" s="697"/>
      <c r="B56" s="697"/>
      <c r="C56" s="697"/>
      <c r="D56" s="697"/>
      <c r="E56" s="697"/>
      <c r="F56" s="697"/>
      <c r="G56" s="697"/>
      <c r="H56" s="697"/>
      <c r="I56" s="697"/>
      <c r="J56" s="697"/>
      <c r="K56" s="697"/>
    </row>
    <row r="73" spans="1:11" x14ac:dyDescent="0.2">
      <c r="A73" s="728" t="s">
        <v>890</v>
      </c>
      <c r="B73" s="728"/>
      <c r="C73" s="590" t="s">
        <v>891</v>
      </c>
      <c r="D73" s="124"/>
      <c r="E73" s="124"/>
      <c r="F73" s="124"/>
    </row>
    <row r="74" spans="1:11" x14ac:dyDescent="0.2">
      <c r="B74" s="124"/>
      <c r="C74" s="124"/>
      <c r="D74" s="124"/>
      <c r="E74" s="124"/>
      <c r="F74" s="124"/>
    </row>
    <row r="75" spans="1:11" ht="6.75" customHeight="1" x14ac:dyDescent="0.25">
      <c r="A75" s="141"/>
      <c r="B75" s="762"/>
      <c r="C75" s="762"/>
      <c r="D75" s="762"/>
      <c r="E75" s="762"/>
      <c r="F75" s="762"/>
      <c r="G75" s="762"/>
      <c r="H75" s="762"/>
      <c r="I75" s="762"/>
      <c r="J75" s="591"/>
      <c r="K75" s="591"/>
    </row>
    <row r="76" spans="1:11" ht="17.25" customHeight="1" x14ac:dyDescent="0.25">
      <c r="A76" s="125"/>
      <c r="B76" s="696" t="s">
        <v>650</v>
      </c>
      <c r="C76" s="696"/>
      <c r="D76" s="696"/>
      <c r="E76" s="696"/>
      <c r="F76" s="696"/>
      <c r="G76" s="696"/>
      <c r="H76" s="696"/>
      <c r="I76" s="696"/>
      <c r="J76" s="136"/>
      <c r="K76" s="136"/>
    </row>
    <row r="77" spans="1:11" ht="20.25" customHeight="1" x14ac:dyDescent="0.25">
      <c r="A77" s="125"/>
      <c r="B77" s="696" t="s">
        <v>41</v>
      </c>
      <c r="C77" s="696"/>
      <c r="D77" s="696"/>
      <c r="E77" s="696"/>
      <c r="F77" s="696"/>
      <c r="G77" s="696"/>
      <c r="H77" s="696"/>
      <c r="I77" s="696"/>
      <c r="J77" s="136"/>
      <c r="K77" s="136"/>
    </row>
    <row r="78" spans="1:11" ht="19.5" customHeight="1" x14ac:dyDescent="0.25">
      <c r="A78" s="125"/>
      <c r="B78" s="742" t="s">
        <v>935</v>
      </c>
      <c r="C78" s="742"/>
      <c r="D78" s="742"/>
      <c r="E78" s="742"/>
      <c r="F78" s="742"/>
      <c r="G78" s="742"/>
      <c r="H78" s="742"/>
      <c r="I78" s="742"/>
      <c r="J78" s="136"/>
      <c r="K78" s="136"/>
    </row>
    <row r="79" spans="1:11" ht="9" customHeight="1" x14ac:dyDescent="0.2">
      <c r="A79" s="125"/>
      <c r="B79" s="124"/>
      <c r="C79" s="124"/>
      <c r="D79" s="124"/>
      <c r="E79" s="124"/>
      <c r="F79" s="124"/>
      <c r="J79" s="136"/>
      <c r="K79" s="136"/>
    </row>
    <row r="80" spans="1:11" ht="12" customHeight="1" x14ac:dyDescent="0.2">
      <c r="A80" s="125"/>
      <c r="B80" s="755" t="s">
        <v>30</v>
      </c>
      <c r="C80" s="756"/>
      <c r="D80" s="756"/>
      <c r="E80" s="757"/>
      <c r="F80" s="127"/>
      <c r="G80" s="201" t="s">
        <v>37</v>
      </c>
      <c r="H80" s="127"/>
      <c r="I80" s="201" t="s">
        <v>39</v>
      </c>
      <c r="J80" s="136"/>
      <c r="K80" s="136"/>
    </row>
    <row r="81" spans="1:12" ht="12" customHeight="1" x14ac:dyDescent="0.2">
      <c r="A81" s="125"/>
      <c r="B81" s="758"/>
      <c r="C81" s="759"/>
      <c r="D81" s="759"/>
      <c r="E81" s="760"/>
      <c r="F81" s="127"/>
      <c r="G81" s="202" t="s">
        <v>40</v>
      </c>
      <c r="H81" s="127"/>
      <c r="I81" s="202" t="s">
        <v>40</v>
      </c>
      <c r="J81" s="136"/>
      <c r="K81" s="136"/>
    </row>
    <row r="82" spans="1:12" x14ac:dyDescent="0.2">
      <c r="A82" s="125"/>
      <c r="B82" s="203" t="s">
        <v>893</v>
      </c>
      <c r="C82" s="203" t="s">
        <v>906</v>
      </c>
      <c r="D82" s="203"/>
      <c r="E82" s="124"/>
      <c r="F82" s="124"/>
      <c r="G82" s="204"/>
      <c r="H82" s="204"/>
      <c r="I82" s="204"/>
      <c r="J82" s="136"/>
      <c r="K82" s="136"/>
    </row>
    <row r="83" spans="1:12" x14ac:dyDescent="0.2">
      <c r="A83" s="125"/>
      <c r="B83" s="6"/>
      <c r="C83" s="128" t="s">
        <v>894</v>
      </c>
      <c r="D83" s="124"/>
      <c r="E83" s="124"/>
      <c r="F83" s="124"/>
      <c r="G83" s="204"/>
      <c r="H83" s="204"/>
      <c r="I83" s="204"/>
      <c r="J83" s="136"/>
      <c r="K83" s="136"/>
    </row>
    <row r="84" spans="1:12" x14ac:dyDescent="0.2">
      <c r="A84" s="125"/>
      <c r="B84" s="6"/>
      <c r="C84" s="124"/>
      <c r="D84" s="124">
        <v>1</v>
      </c>
      <c r="E84" s="124" t="s">
        <v>895</v>
      </c>
      <c r="F84" s="124"/>
      <c r="G84" s="204">
        <f>'Lap. Perputaran Uang '!G87</f>
        <v>0</v>
      </c>
      <c r="H84" s="204"/>
      <c r="I84" s="204">
        <f>G84</f>
        <v>0</v>
      </c>
      <c r="J84" s="136"/>
      <c r="K84" s="136"/>
    </row>
    <row r="85" spans="1:12" x14ac:dyDescent="0.2">
      <c r="A85" s="125"/>
      <c r="B85" s="6"/>
      <c r="C85" s="124"/>
      <c r="D85" s="124">
        <v>2</v>
      </c>
      <c r="E85" s="124" t="s">
        <v>896</v>
      </c>
      <c r="F85" s="124"/>
      <c r="G85" s="204">
        <f>'Lap. Perputaran Uang '!G95</f>
        <v>0</v>
      </c>
      <c r="H85" s="204"/>
      <c r="I85" s="204">
        <f>G85</f>
        <v>0</v>
      </c>
      <c r="J85" s="136"/>
      <c r="K85" s="136"/>
    </row>
    <row r="86" spans="1:12" x14ac:dyDescent="0.2">
      <c r="A86" s="125"/>
      <c r="B86" s="6"/>
      <c r="C86" s="124"/>
      <c r="D86" s="124">
        <v>3</v>
      </c>
      <c r="E86" s="124" t="s">
        <v>897</v>
      </c>
      <c r="F86" s="124"/>
      <c r="G86" s="204">
        <f>'Lap. Perputaran Uang '!G102</f>
        <v>0</v>
      </c>
      <c r="H86" s="204"/>
      <c r="I86" s="204">
        <f t="shared" ref="I86" si="3">G86</f>
        <v>0</v>
      </c>
      <c r="J86" s="136"/>
      <c r="K86" s="136"/>
    </row>
    <row r="87" spans="1:12" x14ac:dyDescent="0.2">
      <c r="A87" s="125"/>
      <c r="B87" s="6"/>
      <c r="C87" s="124"/>
      <c r="D87" s="124">
        <v>4</v>
      </c>
      <c r="E87" s="124" t="s">
        <v>902</v>
      </c>
      <c r="F87" s="124"/>
      <c r="G87" s="204"/>
      <c r="H87" s="204"/>
      <c r="I87" s="204"/>
      <c r="J87" s="136"/>
      <c r="K87" s="136"/>
    </row>
    <row r="88" spans="1:12" x14ac:dyDescent="0.2">
      <c r="A88" s="125"/>
      <c r="B88" s="6"/>
      <c r="C88" s="124"/>
      <c r="D88" s="124">
        <v>5</v>
      </c>
      <c r="E88" s="124" t="s">
        <v>898</v>
      </c>
      <c r="F88" s="124"/>
      <c r="G88" s="204"/>
      <c r="H88" s="204"/>
      <c r="I88" s="204"/>
      <c r="J88" s="136"/>
      <c r="K88" s="136"/>
    </row>
    <row r="89" spans="1:12" x14ac:dyDescent="0.2">
      <c r="A89" s="125"/>
      <c r="B89" s="6"/>
      <c r="C89" s="124"/>
      <c r="D89" s="124"/>
      <c r="E89" s="124"/>
      <c r="F89" s="124"/>
      <c r="G89" s="204"/>
      <c r="H89" s="204"/>
      <c r="I89" s="204"/>
      <c r="J89" s="136"/>
      <c r="K89" s="136"/>
    </row>
    <row r="90" spans="1:12" ht="15" customHeight="1" x14ac:dyDescent="0.2">
      <c r="A90" s="125"/>
      <c r="B90" s="6"/>
      <c r="C90" s="128"/>
      <c r="D90" s="128" t="s">
        <v>55</v>
      </c>
      <c r="E90" s="128"/>
      <c r="F90" s="124"/>
      <c r="G90" s="205">
        <f>SUM(G84:G88)</f>
        <v>0</v>
      </c>
      <c r="H90" s="204"/>
      <c r="I90" s="205">
        <f>SUM(I84:I88)</f>
        <v>0</v>
      </c>
      <c r="J90" s="136"/>
      <c r="K90" s="136"/>
    </row>
    <row r="91" spans="1:12" ht="15" customHeight="1" x14ac:dyDescent="0.2">
      <c r="A91" s="125"/>
      <c r="B91" s="6"/>
      <c r="C91" s="128"/>
      <c r="D91" s="128"/>
      <c r="E91" s="128"/>
      <c r="F91" s="124"/>
      <c r="G91" s="149"/>
      <c r="H91" s="204"/>
      <c r="I91" s="149"/>
      <c r="J91" s="136"/>
      <c r="K91" s="136"/>
    </row>
    <row r="92" spans="1:12" ht="11.25" customHeight="1" x14ac:dyDescent="0.2">
      <c r="A92" s="125"/>
      <c r="B92" s="6"/>
      <c r="C92" s="128" t="s">
        <v>899</v>
      </c>
      <c r="D92" s="124"/>
      <c r="E92" s="124"/>
      <c r="F92" s="124"/>
      <c r="G92" s="204"/>
      <c r="H92" s="204"/>
      <c r="I92" s="204"/>
      <c r="J92" s="136"/>
      <c r="K92" s="136"/>
    </row>
    <row r="93" spans="1:12" x14ac:dyDescent="0.2">
      <c r="A93" s="125"/>
      <c r="B93" s="6"/>
      <c r="C93" s="124"/>
      <c r="D93" s="124">
        <v>1</v>
      </c>
      <c r="E93" s="206" t="s">
        <v>328</v>
      </c>
      <c r="F93" s="124"/>
      <c r="G93" s="204">
        <f>'RINCIAN B. LANGSUNG USAHA'!E32</f>
        <v>0</v>
      </c>
      <c r="H93" s="204"/>
      <c r="I93" s="204">
        <f>G93</f>
        <v>0</v>
      </c>
      <c r="J93" s="136"/>
      <c r="K93" s="136"/>
    </row>
    <row r="94" spans="1:12" x14ac:dyDescent="0.2">
      <c r="A94" s="125"/>
      <c r="B94" s="6"/>
      <c r="C94" s="124"/>
      <c r="D94" s="124">
        <v>2</v>
      </c>
      <c r="E94" s="206" t="s">
        <v>329</v>
      </c>
      <c r="F94" s="124"/>
      <c r="G94" s="204">
        <f>'RINCIAN B. LANGSUNG USAHA'!E67-'RINCIAN B. LANGSUNG USAHA'!E53</f>
        <v>0</v>
      </c>
      <c r="H94" s="204"/>
      <c r="I94" s="204">
        <f t="shared" ref="I94:I96" si="4">G94</f>
        <v>0</v>
      </c>
      <c r="J94" s="136"/>
      <c r="K94" s="136"/>
    </row>
    <row r="95" spans="1:12" x14ac:dyDescent="0.2">
      <c r="A95" s="125"/>
      <c r="B95" s="6"/>
      <c r="C95" s="124"/>
      <c r="D95" s="124">
        <v>3</v>
      </c>
      <c r="E95" s="206" t="s">
        <v>900</v>
      </c>
      <c r="F95" s="134"/>
      <c r="G95" s="204">
        <f>'RINCIAN B. LANGSUNG USAHA'!E98-'RINCIAN B. LANGSUNG USAHA'!E92-'RINCIAN B. LANGSUNG USAHA'!E95+1200000</f>
        <v>1200000</v>
      </c>
      <c r="H95" s="204"/>
      <c r="I95" s="204">
        <f t="shared" si="4"/>
        <v>1200000</v>
      </c>
      <c r="J95" s="136"/>
      <c r="K95" s="136"/>
      <c r="L95" s="592">
        <v>1200000</v>
      </c>
    </row>
    <row r="96" spans="1:12" x14ac:dyDescent="0.2">
      <c r="A96" s="125"/>
      <c r="B96" s="6"/>
      <c r="C96" s="124"/>
      <c r="D96" s="124">
        <v>4</v>
      </c>
      <c r="E96" s="206" t="s">
        <v>901</v>
      </c>
      <c r="F96" s="124"/>
      <c r="G96" s="204">
        <f>'RINCIAN B. TDK LANGSUNG'!E77</f>
        <v>0</v>
      </c>
      <c r="H96" s="204"/>
      <c r="I96" s="204">
        <f t="shared" si="4"/>
        <v>0</v>
      </c>
      <c r="J96" s="136"/>
      <c r="K96" s="136"/>
    </row>
    <row r="97" spans="1:11" x14ac:dyDescent="0.2">
      <c r="A97" s="125"/>
      <c r="B97" s="6"/>
      <c r="C97" s="124"/>
      <c r="D97" s="124">
        <v>5</v>
      </c>
      <c r="E97" s="206" t="s">
        <v>887</v>
      </c>
      <c r="F97" s="134"/>
      <c r="G97" s="204"/>
      <c r="H97" s="204"/>
      <c r="I97" s="204"/>
      <c r="J97" s="136"/>
      <c r="K97" s="136"/>
    </row>
    <row r="98" spans="1:11" x14ac:dyDescent="0.2">
      <c r="A98" s="125"/>
      <c r="B98" s="6"/>
      <c r="C98" s="124"/>
      <c r="D98" s="124">
        <v>6</v>
      </c>
      <c r="E98" s="206" t="s">
        <v>903</v>
      </c>
      <c r="F98" s="134"/>
      <c r="G98" s="204"/>
      <c r="H98" s="204"/>
      <c r="I98" s="204"/>
      <c r="J98" s="136"/>
      <c r="K98" s="136"/>
    </row>
    <row r="99" spans="1:11" x14ac:dyDescent="0.2">
      <c r="A99" s="125"/>
      <c r="B99" s="6"/>
      <c r="C99" s="124"/>
      <c r="D99" s="124">
        <v>7</v>
      </c>
      <c r="E99" s="206" t="s">
        <v>904</v>
      </c>
      <c r="F99" s="134"/>
      <c r="G99" s="204"/>
      <c r="H99" s="204"/>
      <c r="I99" s="204"/>
      <c r="J99" s="136"/>
      <c r="K99" s="136"/>
    </row>
    <row r="100" spans="1:11" x14ac:dyDescent="0.2">
      <c r="A100" s="125"/>
      <c r="B100" s="134"/>
      <c r="C100" s="128"/>
      <c r="D100" s="124"/>
      <c r="E100" s="206"/>
      <c r="F100" s="124"/>
      <c r="G100" s="204"/>
      <c r="H100" s="204"/>
      <c r="I100" s="204"/>
      <c r="J100" s="136"/>
      <c r="K100" s="136"/>
    </row>
    <row r="101" spans="1:11" x14ac:dyDescent="0.2">
      <c r="A101" s="125"/>
      <c r="B101" s="6"/>
      <c r="C101" s="124"/>
      <c r="D101" s="128" t="s">
        <v>67</v>
      </c>
      <c r="E101" s="127"/>
      <c r="F101" s="208"/>
      <c r="G101" s="205">
        <f>SUM(G93:G100)</f>
        <v>1200000</v>
      </c>
      <c r="H101" s="204"/>
      <c r="I101" s="205">
        <f>SUM(I93:I100)</f>
        <v>1200000</v>
      </c>
      <c r="J101" s="136"/>
      <c r="K101" s="136"/>
    </row>
    <row r="102" spans="1:11" ht="15.75" customHeight="1" x14ac:dyDescent="0.2">
      <c r="A102" s="125"/>
      <c r="B102" s="6"/>
      <c r="C102" s="124"/>
      <c r="D102" s="124"/>
      <c r="E102" s="124"/>
      <c r="F102" s="124"/>
      <c r="G102" s="204"/>
      <c r="H102" s="204"/>
      <c r="I102" s="204"/>
      <c r="J102" s="136"/>
      <c r="K102" s="136"/>
    </row>
    <row r="103" spans="1:11" x14ac:dyDescent="0.2">
      <c r="A103" s="125"/>
      <c r="B103" s="6"/>
      <c r="C103" s="128" t="s">
        <v>905</v>
      </c>
      <c r="D103" s="128"/>
      <c r="E103" s="128"/>
      <c r="F103" s="124"/>
      <c r="G103" s="488">
        <f>G90-G101</f>
        <v>-1200000</v>
      </c>
      <c r="H103" s="204"/>
      <c r="I103" s="488">
        <f>I90-I101</f>
        <v>-1200000</v>
      </c>
      <c r="K103" s="136"/>
    </row>
    <row r="104" spans="1:11" x14ac:dyDescent="0.2">
      <c r="A104" s="125"/>
      <c r="B104" s="6"/>
      <c r="C104" s="124"/>
      <c r="D104" s="124"/>
      <c r="E104" s="124"/>
      <c r="F104" s="124"/>
      <c r="G104" s="204"/>
      <c r="H104" s="204"/>
      <c r="I104" s="204"/>
      <c r="J104" s="136"/>
      <c r="K104" s="136"/>
    </row>
    <row r="105" spans="1:11" x14ac:dyDescent="0.2">
      <c r="A105" s="125"/>
      <c r="B105" s="203" t="s">
        <v>907</v>
      </c>
      <c r="C105" s="203" t="s">
        <v>908</v>
      </c>
      <c r="D105" s="151"/>
      <c r="E105" s="134"/>
      <c r="F105" s="134"/>
      <c r="G105" s="204"/>
      <c r="H105" s="204"/>
      <c r="I105" s="204"/>
      <c r="J105" s="136"/>
      <c r="K105" s="136"/>
    </row>
    <row r="106" spans="1:11" x14ac:dyDescent="0.2">
      <c r="A106" s="125"/>
      <c r="B106" s="134"/>
      <c r="C106" s="128"/>
      <c r="D106" s="124" t="s">
        <v>909</v>
      </c>
      <c r="E106" s="124"/>
      <c r="F106" s="124"/>
      <c r="G106" s="204">
        <f>'Lap. Perputaran Uang '!G113</f>
        <v>0</v>
      </c>
      <c r="H106" s="204"/>
      <c r="I106" s="204">
        <f>G106</f>
        <v>0</v>
      </c>
      <c r="J106" s="136"/>
      <c r="K106" s="136"/>
    </row>
    <row r="107" spans="1:11" x14ac:dyDescent="0.2">
      <c r="A107" s="125"/>
      <c r="B107" s="6"/>
      <c r="C107" s="128" t="s">
        <v>910</v>
      </c>
      <c r="D107" s="151"/>
      <c r="E107" s="151"/>
      <c r="F107" s="151"/>
      <c r="G107" s="205">
        <f>SUM(G106)</f>
        <v>0</v>
      </c>
      <c r="H107" s="149"/>
      <c r="I107" s="205">
        <f>SUM(I106)</f>
        <v>0</v>
      </c>
      <c r="J107" s="136"/>
      <c r="K107" s="136"/>
    </row>
    <row r="108" spans="1:11" x14ac:dyDescent="0.2">
      <c r="A108" s="125"/>
      <c r="B108" s="6"/>
      <c r="C108" s="694"/>
      <c r="D108" s="694"/>
      <c r="E108" s="694"/>
      <c r="F108" s="124"/>
      <c r="G108" s="433"/>
      <c r="H108" s="210"/>
      <c r="I108" s="433"/>
      <c r="J108" s="136"/>
      <c r="K108" s="136"/>
    </row>
    <row r="109" spans="1:11" ht="16.5" customHeight="1" x14ac:dyDescent="0.2">
      <c r="A109" s="125"/>
      <c r="B109" s="203" t="s">
        <v>911</v>
      </c>
      <c r="C109" s="203" t="s">
        <v>912</v>
      </c>
      <c r="D109" s="124"/>
      <c r="E109" s="124"/>
      <c r="F109" s="124"/>
      <c r="G109" s="210"/>
      <c r="H109" s="210"/>
      <c r="I109" s="210"/>
      <c r="J109" s="136"/>
      <c r="K109" s="136"/>
    </row>
    <row r="110" spans="1:11" x14ac:dyDescent="0.2">
      <c r="A110" s="125"/>
      <c r="B110" s="195"/>
      <c r="C110" s="195"/>
      <c r="D110" s="124" t="s">
        <v>913</v>
      </c>
      <c r="E110" s="195"/>
      <c r="F110" s="134"/>
      <c r="G110" s="433"/>
      <c r="H110" s="210"/>
      <c r="I110" s="433"/>
      <c r="J110" s="136"/>
      <c r="K110" s="136"/>
    </row>
    <row r="111" spans="1:11" x14ac:dyDescent="0.2">
      <c r="A111" s="125"/>
      <c r="B111" s="203"/>
      <c r="C111" s="124"/>
      <c r="D111" s="124" t="s">
        <v>914</v>
      </c>
      <c r="E111" s="124"/>
      <c r="F111" s="124"/>
      <c r="G111" s="204"/>
      <c r="H111" s="204"/>
      <c r="I111" s="204"/>
      <c r="J111" s="136"/>
      <c r="K111" s="136"/>
    </row>
    <row r="112" spans="1:11" x14ac:dyDescent="0.2">
      <c r="A112" s="125"/>
      <c r="B112" s="6"/>
      <c r="C112" s="124"/>
      <c r="D112" s="151" t="s">
        <v>915</v>
      </c>
      <c r="E112" s="134"/>
      <c r="F112" s="134"/>
      <c r="G112" s="204"/>
      <c r="H112" s="204"/>
      <c r="I112" s="204"/>
      <c r="J112" s="136"/>
      <c r="K112" s="136"/>
    </row>
    <row r="113" spans="1:14" x14ac:dyDescent="0.2">
      <c r="A113" s="125"/>
      <c r="B113" s="134"/>
      <c r="C113" s="128"/>
      <c r="D113" s="124" t="s">
        <v>916</v>
      </c>
      <c r="E113" s="124"/>
      <c r="F113" s="124"/>
      <c r="G113" s="593"/>
      <c r="H113" s="204"/>
      <c r="I113" s="204"/>
      <c r="J113" s="136"/>
      <c r="K113" s="136"/>
    </row>
    <row r="114" spans="1:14" x14ac:dyDescent="0.2">
      <c r="A114" s="125"/>
      <c r="B114" s="6"/>
      <c r="C114" s="128" t="s">
        <v>917</v>
      </c>
      <c r="D114" s="151"/>
      <c r="E114" s="151"/>
      <c r="F114" s="151"/>
      <c r="G114" s="596">
        <f>SUM(G110:G113)</f>
        <v>0</v>
      </c>
      <c r="H114" s="204"/>
      <c r="I114" s="596">
        <f>SUM(I110:I113)</f>
        <v>0</v>
      </c>
      <c r="J114" s="136"/>
      <c r="K114" s="136"/>
    </row>
    <row r="115" spans="1:14" x14ac:dyDescent="0.2">
      <c r="A115" s="125"/>
      <c r="B115" s="6"/>
      <c r="C115" s="124"/>
      <c r="D115" s="124"/>
      <c r="E115" s="124"/>
      <c r="F115" s="124"/>
      <c r="G115" s="593"/>
      <c r="H115" s="204"/>
      <c r="I115" s="204"/>
      <c r="J115" s="136"/>
      <c r="K115" s="136"/>
    </row>
    <row r="116" spans="1:14" x14ac:dyDescent="0.2">
      <c r="A116" s="125"/>
      <c r="B116" s="203" t="s">
        <v>918</v>
      </c>
      <c r="C116" s="203" t="s">
        <v>919</v>
      </c>
      <c r="D116" s="130"/>
      <c r="E116" s="130"/>
      <c r="F116" s="124"/>
      <c r="G116" s="149">
        <f>G103-G107+G114</f>
        <v>-1200000</v>
      </c>
      <c r="H116" s="204"/>
      <c r="I116" s="149">
        <f>I103-I107+I114</f>
        <v>-1200000</v>
      </c>
      <c r="J116" s="136"/>
      <c r="K116" s="136"/>
    </row>
    <row r="117" spans="1:14" x14ac:dyDescent="0.2">
      <c r="A117" s="125"/>
      <c r="B117" s="6"/>
      <c r="C117" s="124"/>
      <c r="D117" s="124"/>
      <c r="E117" s="124"/>
      <c r="F117" s="124"/>
      <c r="G117" s="204"/>
      <c r="H117" s="204"/>
      <c r="I117" s="204"/>
      <c r="J117" s="136"/>
      <c r="K117" s="136"/>
    </row>
    <row r="118" spans="1:14" x14ac:dyDescent="0.2">
      <c r="A118" s="125"/>
      <c r="B118" s="203" t="s">
        <v>920</v>
      </c>
      <c r="C118" s="203" t="s">
        <v>921</v>
      </c>
      <c r="D118" s="130"/>
      <c r="E118" s="124"/>
      <c r="F118" s="124"/>
      <c r="G118" s="149">
        <v>1312251855.8000002</v>
      </c>
      <c r="H118" s="149"/>
      <c r="I118" s="149">
        <v>1312251855.8000002</v>
      </c>
      <c r="J118" s="136"/>
      <c r="K118" s="136"/>
    </row>
    <row r="119" spans="1:14" x14ac:dyDescent="0.2">
      <c r="A119" s="125"/>
      <c r="B119" s="6"/>
      <c r="C119" s="124"/>
      <c r="D119" s="124"/>
      <c r="E119" s="124"/>
      <c r="F119" s="124"/>
      <c r="G119" s="149"/>
      <c r="H119" s="149"/>
      <c r="I119" s="149"/>
      <c r="J119" s="136"/>
      <c r="K119" s="136"/>
    </row>
    <row r="120" spans="1:14" x14ac:dyDescent="0.2">
      <c r="A120" s="125"/>
      <c r="B120" s="134" t="s">
        <v>922</v>
      </c>
      <c r="C120" s="128" t="s">
        <v>921</v>
      </c>
      <c r="D120" s="124"/>
      <c r="E120" s="124"/>
      <c r="F120" s="124"/>
      <c r="G120" s="149">
        <f>G116+G118</f>
        <v>1311051855.8000002</v>
      </c>
      <c r="H120" s="149"/>
      <c r="I120" s="149">
        <f>I116+I118</f>
        <v>1311051855.8000002</v>
      </c>
      <c r="J120" s="136"/>
      <c r="K120" s="136"/>
    </row>
    <row r="121" spans="1:14" x14ac:dyDescent="0.2">
      <c r="A121" s="120"/>
      <c r="B121" s="119"/>
      <c r="C121" s="119"/>
      <c r="D121" s="119"/>
      <c r="E121" s="119"/>
      <c r="F121" s="119"/>
      <c r="G121" s="218"/>
      <c r="H121" s="218"/>
      <c r="I121" s="218"/>
      <c r="J121" s="594"/>
      <c r="K121" s="594"/>
    </row>
    <row r="122" spans="1:14" ht="20.25" customHeight="1" x14ac:dyDescent="0.2">
      <c r="A122" s="761"/>
      <c r="B122" s="761"/>
      <c r="C122" s="761"/>
      <c r="D122" s="761"/>
      <c r="E122" s="761"/>
      <c r="F122" s="124"/>
      <c r="G122" s="219">
        <f>'Lap. Perputaran Uang '!I120</f>
        <v>0</v>
      </c>
      <c r="H122" s="219"/>
      <c r="I122" s="219"/>
      <c r="L122" s="212">
        <f>G120-G122</f>
        <v>1311051855.8000002</v>
      </c>
      <c r="M122" s="219"/>
      <c r="N122" s="219"/>
    </row>
    <row r="123" spans="1:14" x14ac:dyDescent="0.2">
      <c r="A123" s="697" t="s">
        <v>579</v>
      </c>
      <c r="B123" s="697"/>
      <c r="C123" s="697"/>
      <c r="D123" s="697"/>
      <c r="E123" s="697"/>
      <c r="F123" s="697" t="s">
        <v>566</v>
      </c>
      <c r="G123" s="697"/>
      <c r="H123" s="697"/>
      <c r="I123" s="697"/>
      <c r="J123" s="697"/>
      <c r="K123" s="697"/>
      <c r="L123" s="212"/>
      <c r="M123" s="200"/>
      <c r="N123" s="200"/>
    </row>
    <row r="124" spans="1:14" x14ac:dyDescent="0.2">
      <c r="A124" s="697" t="s">
        <v>678</v>
      </c>
      <c r="B124" s="697"/>
      <c r="C124" s="697"/>
      <c r="D124" s="697"/>
      <c r="E124" s="697"/>
      <c r="F124" s="697" t="s">
        <v>681</v>
      </c>
      <c r="G124" s="697"/>
      <c r="H124" s="697"/>
      <c r="I124" s="697"/>
      <c r="J124" s="697"/>
      <c r="K124" s="697"/>
      <c r="L124" s="212"/>
      <c r="M124" s="200"/>
      <c r="N124" s="200"/>
    </row>
    <row r="125" spans="1:14" x14ac:dyDescent="0.2">
      <c r="A125" s="697"/>
      <c r="B125" s="697"/>
      <c r="C125" s="697"/>
      <c r="D125" s="697"/>
      <c r="E125" s="697"/>
      <c r="F125" s="697"/>
      <c r="G125" s="697"/>
      <c r="H125" s="697"/>
      <c r="I125" s="697"/>
      <c r="J125" s="697"/>
      <c r="K125" s="697"/>
      <c r="L125" s="212"/>
      <c r="M125" s="200"/>
      <c r="N125" s="200"/>
    </row>
    <row r="126" spans="1:14" x14ac:dyDescent="0.2">
      <c r="A126" s="697"/>
      <c r="B126" s="697"/>
      <c r="C126" s="697"/>
      <c r="D126" s="697"/>
      <c r="E126" s="697"/>
      <c r="F126" s="697"/>
      <c r="G126" s="697"/>
      <c r="H126" s="697"/>
      <c r="I126" s="697"/>
      <c r="J126" s="697"/>
      <c r="K126" s="697"/>
      <c r="L126" s="212"/>
      <c r="M126" s="200"/>
      <c r="N126" s="200"/>
    </row>
    <row r="127" spans="1:14" x14ac:dyDescent="0.2">
      <c r="A127" s="697" t="s">
        <v>655</v>
      </c>
      <c r="B127" s="697"/>
      <c r="C127" s="697"/>
      <c r="D127" s="697"/>
      <c r="E127" s="697"/>
      <c r="F127" s="697" t="s">
        <v>567</v>
      </c>
      <c r="G127" s="697"/>
      <c r="H127" s="697"/>
      <c r="I127" s="697"/>
      <c r="J127" s="697"/>
      <c r="K127" s="697"/>
      <c r="L127" s="212"/>
      <c r="M127" s="200"/>
      <c r="N127" s="200"/>
    </row>
    <row r="128" spans="1:14" x14ac:dyDescent="0.2">
      <c r="A128" s="697"/>
      <c r="B128" s="697"/>
      <c r="C128" s="697"/>
      <c r="D128" s="697"/>
      <c r="E128" s="697"/>
      <c r="F128" s="697"/>
      <c r="G128" s="697"/>
      <c r="H128" s="697"/>
      <c r="I128" s="697"/>
      <c r="J128" s="697"/>
      <c r="K128" s="697"/>
      <c r="L128" s="212"/>
      <c r="M128" s="200"/>
      <c r="N128" s="200"/>
    </row>
    <row r="129" spans="1:14" x14ac:dyDescent="0.2">
      <c r="A129" s="697"/>
      <c r="B129" s="697"/>
      <c r="C129" s="697"/>
      <c r="D129" s="697"/>
      <c r="E129" s="697"/>
      <c r="F129" s="697"/>
      <c r="G129" s="697"/>
      <c r="H129" s="697"/>
      <c r="I129" s="697"/>
      <c r="J129" s="697"/>
      <c r="K129" s="697"/>
      <c r="L129" s="212"/>
      <c r="M129" s="200"/>
      <c r="N129" s="200"/>
    </row>
    <row r="130" spans="1:14" x14ac:dyDescent="0.2">
      <c r="A130" s="697"/>
      <c r="B130" s="697"/>
      <c r="C130" s="697"/>
      <c r="D130" s="697"/>
      <c r="E130" s="697"/>
      <c r="F130" s="697"/>
      <c r="G130" s="697"/>
      <c r="H130" s="697"/>
      <c r="I130" s="697"/>
      <c r="J130" s="697"/>
      <c r="K130" s="697"/>
      <c r="L130" s="212"/>
      <c r="M130" s="763"/>
      <c r="N130" s="763"/>
    </row>
    <row r="131" spans="1:14" x14ac:dyDescent="0.2">
      <c r="A131" s="697"/>
      <c r="B131" s="697"/>
      <c r="C131" s="697"/>
      <c r="D131" s="697"/>
      <c r="E131" s="697"/>
      <c r="F131" s="697"/>
      <c r="G131" s="697"/>
      <c r="H131" s="697"/>
      <c r="I131" s="697"/>
      <c r="J131" s="697"/>
      <c r="K131" s="697"/>
      <c r="L131" s="212"/>
      <c r="M131" s="200"/>
      <c r="N131" s="200"/>
    </row>
    <row r="132" spans="1:14" x14ac:dyDescent="0.2">
      <c r="A132" s="697"/>
      <c r="B132" s="697"/>
      <c r="C132" s="697"/>
      <c r="D132" s="697"/>
      <c r="E132" s="697"/>
      <c r="F132" s="697"/>
      <c r="G132" s="697"/>
      <c r="H132" s="697"/>
      <c r="I132" s="697"/>
      <c r="J132" s="697"/>
      <c r="K132" s="697"/>
      <c r="L132" s="212"/>
      <c r="M132" s="200"/>
      <c r="N132" s="200"/>
    </row>
    <row r="134" spans="1:14" x14ac:dyDescent="0.2">
      <c r="B134" s="124"/>
      <c r="C134" s="124"/>
      <c r="D134" s="124"/>
      <c r="E134" s="124"/>
      <c r="F134" s="124"/>
      <c r="G134" s="200"/>
      <c r="H134" s="200"/>
      <c r="I134" s="200"/>
    </row>
    <row r="135" spans="1:14" x14ac:dyDescent="0.2">
      <c r="B135" s="124"/>
      <c r="C135" s="124"/>
      <c r="D135" s="124"/>
      <c r="E135" s="124"/>
      <c r="F135" s="124"/>
      <c r="G135" s="200"/>
    </row>
    <row r="136" spans="1:14" x14ac:dyDescent="0.2">
      <c r="B136" s="124"/>
      <c r="C136" s="124"/>
      <c r="D136" s="124"/>
      <c r="E136" s="124"/>
      <c r="F136" s="124"/>
    </row>
    <row r="137" spans="1:14" x14ac:dyDescent="0.2">
      <c r="B137" s="124"/>
      <c r="C137" s="124"/>
      <c r="D137" s="124"/>
      <c r="E137" s="124"/>
      <c r="F137" s="124"/>
    </row>
    <row r="138" spans="1:14" x14ac:dyDescent="0.2">
      <c r="B138" s="124"/>
      <c r="C138" s="124"/>
      <c r="D138" s="124"/>
      <c r="E138" s="124"/>
      <c r="F138" s="124"/>
    </row>
    <row r="139" spans="1:14" x14ac:dyDescent="0.2">
      <c r="B139" s="124"/>
      <c r="C139" s="124"/>
      <c r="D139" s="124"/>
      <c r="E139" s="124"/>
      <c r="F139" s="124"/>
    </row>
    <row r="140" spans="1:14" x14ac:dyDescent="0.2">
      <c r="B140" s="124"/>
      <c r="C140" s="124"/>
      <c r="D140" s="124"/>
      <c r="E140" s="124"/>
      <c r="F140" s="124"/>
    </row>
    <row r="141" spans="1:14" x14ac:dyDescent="0.2">
      <c r="B141" s="124"/>
      <c r="C141" s="124"/>
      <c r="D141" s="124"/>
      <c r="E141" s="124"/>
      <c r="F141" s="124"/>
    </row>
    <row r="142" spans="1:14" x14ac:dyDescent="0.2">
      <c r="B142" s="124"/>
      <c r="C142" s="124"/>
      <c r="D142" s="124"/>
      <c r="E142" s="124"/>
      <c r="F142" s="124"/>
    </row>
    <row r="143" spans="1:14" x14ac:dyDescent="0.2">
      <c r="B143" s="124"/>
      <c r="C143" s="124"/>
      <c r="D143" s="124"/>
      <c r="E143" s="124"/>
      <c r="F143" s="124"/>
    </row>
    <row r="144" spans="1:14" x14ac:dyDescent="0.2">
      <c r="A144" s="728" t="s">
        <v>890</v>
      </c>
      <c r="B144" s="728"/>
      <c r="C144" s="590" t="s">
        <v>891</v>
      </c>
      <c r="D144" s="124"/>
      <c r="E144" s="124"/>
      <c r="F144" s="124"/>
    </row>
    <row r="145" spans="1:11" x14ac:dyDescent="0.2">
      <c r="B145" s="124"/>
      <c r="C145" s="124"/>
      <c r="D145" s="124"/>
      <c r="E145" s="124"/>
      <c r="F145" s="124"/>
    </row>
    <row r="146" spans="1:11" ht="15" x14ac:dyDescent="0.25">
      <c r="A146" s="141"/>
      <c r="B146" s="762"/>
      <c r="C146" s="762"/>
      <c r="D146" s="762"/>
      <c r="E146" s="762"/>
      <c r="F146" s="762"/>
      <c r="G146" s="762"/>
      <c r="H146" s="762"/>
      <c r="I146" s="762"/>
      <c r="J146" s="591"/>
      <c r="K146" s="591"/>
    </row>
    <row r="147" spans="1:11" ht="15" x14ac:dyDescent="0.25">
      <c r="A147" s="125"/>
      <c r="B147" s="696" t="s">
        <v>650</v>
      </c>
      <c r="C147" s="696"/>
      <c r="D147" s="696"/>
      <c r="E147" s="696"/>
      <c r="F147" s="696"/>
      <c r="G147" s="696"/>
      <c r="H147" s="696"/>
      <c r="I147" s="696"/>
      <c r="J147" s="136"/>
      <c r="K147" s="136"/>
    </row>
    <row r="148" spans="1:11" ht="15" x14ac:dyDescent="0.25">
      <c r="A148" s="125"/>
      <c r="B148" s="696" t="s">
        <v>41</v>
      </c>
      <c r="C148" s="696"/>
      <c r="D148" s="696"/>
      <c r="E148" s="696"/>
      <c r="F148" s="696"/>
      <c r="G148" s="696"/>
      <c r="H148" s="696"/>
      <c r="I148" s="696"/>
      <c r="J148" s="136"/>
      <c r="K148" s="136"/>
    </row>
    <row r="149" spans="1:11" ht="15" x14ac:dyDescent="0.25">
      <c r="A149" s="125"/>
      <c r="B149" s="742" t="s">
        <v>923</v>
      </c>
      <c r="C149" s="742"/>
      <c r="D149" s="742"/>
      <c r="E149" s="742"/>
      <c r="F149" s="742"/>
      <c r="G149" s="742"/>
      <c r="H149" s="742"/>
      <c r="I149" s="742"/>
      <c r="J149" s="136"/>
      <c r="K149" s="136"/>
    </row>
    <row r="150" spans="1:11" x14ac:dyDescent="0.2">
      <c r="A150" s="125"/>
      <c r="B150" s="124"/>
      <c r="C150" s="124"/>
      <c r="D150" s="124"/>
      <c r="E150" s="124"/>
      <c r="F150" s="124"/>
      <c r="J150" s="136"/>
      <c r="K150" s="136"/>
    </row>
    <row r="151" spans="1:11" x14ac:dyDescent="0.2">
      <c r="A151" s="125"/>
      <c r="B151" s="755" t="s">
        <v>30</v>
      </c>
      <c r="C151" s="756"/>
      <c r="D151" s="756"/>
      <c r="E151" s="757"/>
      <c r="F151" s="127"/>
      <c r="G151" s="201" t="s">
        <v>37</v>
      </c>
      <c r="H151" s="127"/>
      <c r="I151" s="201" t="s">
        <v>39</v>
      </c>
      <c r="J151" s="136"/>
      <c r="K151" s="136"/>
    </row>
    <row r="152" spans="1:11" x14ac:dyDescent="0.2">
      <c r="A152" s="125"/>
      <c r="B152" s="758"/>
      <c r="C152" s="759"/>
      <c r="D152" s="759"/>
      <c r="E152" s="760"/>
      <c r="F152" s="127"/>
      <c r="G152" s="202" t="s">
        <v>40</v>
      </c>
      <c r="H152" s="127"/>
      <c r="I152" s="202" t="s">
        <v>40</v>
      </c>
      <c r="J152" s="136"/>
      <c r="K152" s="136"/>
    </row>
    <row r="153" spans="1:11" x14ac:dyDescent="0.2">
      <c r="A153" s="125"/>
      <c r="B153" s="203" t="s">
        <v>893</v>
      </c>
      <c r="C153" s="203" t="s">
        <v>906</v>
      </c>
      <c r="D153" s="203"/>
      <c r="E153" s="124"/>
      <c r="F153" s="124"/>
      <c r="G153" s="204"/>
      <c r="H153" s="204"/>
      <c r="I153" s="204"/>
      <c r="J153" s="136"/>
      <c r="K153" s="136"/>
    </row>
    <row r="154" spans="1:11" x14ac:dyDescent="0.2">
      <c r="A154" s="125"/>
      <c r="B154" s="6"/>
      <c r="C154" s="128" t="s">
        <v>894</v>
      </c>
      <c r="D154" s="124"/>
      <c r="E154" s="124"/>
      <c r="F154" s="124"/>
      <c r="G154" s="204"/>
      <c r="H154" s="204"/>
      <c r="I154" s="204"/>
      <c r="J154" s="136"/>
      <c r="K154" s="136"/>
    </row>
    <row r="155" spans="1:11" x14ac:dyDescent="0.2">
      <c r="A155" s="125"/>
      <c r="B155" s="6"/>
      <c r="C155" s="124"/>
      <c r="D155" s="124">
        <v>1</v>
      </c>
      <c r="E155" s="124" t="s">
        <v>895</v>
      </c>
      <c r="F155" s="124"/>
      <c r="G155" s="204"/>
      <c r="H155" s="204"/>
      <c r="I155" s="204">
        <f>G155+I84</f>
        <v>0</v>
      </c>
      <c r="J155" s="136"/>
      <c r="K155" s="136"/>
    </row>
    <row r="156" spans="1:11" x14ac:dyDescent="0.2">
      <c r="A156" s="125"/>
      <c r="B156" s="6"/>
      <c r="C156" s="124"/>
      <c r="D156" s="124">
        <v>2</v>
      </c>
      <c r="E156" s="124" t="s">
        <v>896</v>
      </c>
      <c r="F156" s="124"/>
      <c r="G156" s="204"/>
      <c r="H156" s="204"/>
      <c r="I156" s="204">
        <f t="shared" ref="I156:I160" si="5">G156+I85</f>
        <v>0</v>
      </c>
      <c r="J156" s="136"/>
      <c r="K156" s="136"/>
    </row>
    <row r="157" spans="1:11" x14ac:dyDescent="0.2">
      <c r="A157" s="125"/>
      <c r="B157" s="6"/>
      <c r="C157" s="124"/>
      <c r="D157" s="124">
        <v>3</v>
      </c>
      <c r="E157" s="124" t="s">
        <v>897</v>
      </c>
      <c r="F157" s="124"/>
      <c r="G157" s="204"/>
      <c r="H157" s="204"/>
      <c r="I157" s="204">
        <f t="shared" si="5"/>
        <v>0</v>
      </c>
      <c r="J157" s="136"/>
      <c r="K157" s="136"/>
    </row>
    <row r="158" spans="1:11" x14ac:dyDescent="0.2">
      <c r="A158" s="125"/>
      <c r="B158" s="6"/>
      <c r="C158" s="124"/>
      <c r="D158" s="124">
        <v>4</v>
      </c>
      <c r="E158" s="124" t="s">
        <v>902</v>
      </c>
      <c r="F158" s="124"/>
      <c r="G158" s="204"/>
      <c r="H158" s="204"/>
      <c r="I158" s="204">
        <f t="shared" si="5"/>
        <v>0</v>
      </c>
      <c r="J158" s="136"/>
      <c r="K158" s="136"/>
    </row>
    <row r="159" spans="1:11" x14ac:dyDescent="0.2">
      <c r="A159" s="125"/>
      <c r="B159" s="6"/>
      <c r="C159" s="124"/>
      <c r="D159" s="124">
        <v>5</v>
      </c>
      <c r="E159" s="124" t="s">
        <v>898</v>
      </c>
      <c r="F159" s="124"/>
      <c r="G159" s="204"/>
      <c r="H159" s="204"/>
      <c r="I159" s="204">
        <f t="shared" si="5"/>
        <v>0</v>
      </c>
      <c r="J159" s="136"/>
      <c r="K159" s="136"/>
    </row>
    <row r="160" spans="1:11" x14ac:dyDescent="0.2">
      <c r="A160" s="125"/>
      <c r="B160" s="6"/>
      <c r="C160" s="124"/>
      <c r="D160" s="124"/>
      <c r="E160" s="124"/>
      <c r="F160" s="124"/>
      <c r="G160" s="204"/>
      <c r="H160" s="204"/>
      <c r="I160" s="204">
        <f t="shared" si="5"/>
        <v>0</v>
      </c>
      <c r="J160" s="136"/>
      <c r="K160" s="136"/>
    </row>
    <row r="161" spans="1:11" x14ac:dyDescent="0.2">
      <c r="A161" s="125"/>
      <c r="B161" s="6"/>
      <c r="C161" s="128"/>
      <c r="D161" s="128" t="s">
        <v>55</v>
      </c>
      <c r="E161" s="128"/>
      <c r="F161" s="124"/>
      <c r="G161" s="205">
        <f>SUM(G155:G159)</f>
        <v>0</v>
      </c>
      <c r="H161" s="204"/>
      <c r="I161" s="205">
        <f>SUM(I155:I159)</f>
        <v>0</v>
      </c>
      <c r="J161" s="136"/>
      <c r="K161" s="136"/>
    </row>
    <row r="162" spans="1:11" x14ac:dyDescent="0.2">
      <c r="A162" s="125"/>
      <c r="B162" s="6"/>
      <c r="C162" s="128"/>
      <c r="D162" s="128"/>
      <c r="E162" s="128"/>
      <c r="F162" s="124"/>
      <c r="G162" s="149"/>
      <c r="H162" s="204"/>
      <c r="I162" s="149"/>
      <c r="J162" s="136"/>
      <c r="K162" s="136"/>
    </row>
    <row r="163" spans="1:11" x14ac:dyDescent="0.2">
      <c r="A163" s="125"/>
      <c r="B163" s="6"/>
      <c r="C163" s="128" t="s">
        <v>899</v>
      </c>
      <c r="D163" s="124"/>
      <c r="E163" s="124"/>
      <c r="F163" s="124"/>
      <c r="G163" s="204"/>
      <c r="H163" s="204"/>
      <c r="I163" s="204"/>
      <c r="J163" s="136"/>
      <c r="K163" s="136"/>
    </row>
    <row r="164" spans="1:11" x14ac:dyDescent="0.2">
      <c r="A164" s="125"/>
      <c r="B164" s="6"/>
      <c r="C164" s="124"/>
      <c r="D164" s="124">
        <v>1</v>
      </c>
      <c r="E164" s="206" t="s">
        <v>328</v>
      </c>
      <c r="F164" s="124"/>
      <c r="G164" s="204"/>
      <c r="H164" s="204"/>
      <c r="I164" s="204">
        <f>G164+I93</f>
        <v>0</v>
      </c>
      <c r="J164" s="136"/>
      <c r="K164" s="136"/>
    </row>
    <row r="165" spans="1:11" x14ac:dyDescent="0.2">
      <c r="A165" s="125"/>
      <c r="B165" s="6"/>
      <c r="C165" s="124"/>
      <c r="D165" s="124">
        <v>2</v>
      </c>
      <c r="E165" s="206" t="s">
        <v>329</v>
      </c>
      <c r="F165" s="124"/>
      <c r="G165" s="204"/>
      <c r="H165" s="204"/>
      <c r="I165" s="204">
        <f t="shared" ref="I165:I170" si="6">G165+I94</f>
        <v>0</v>
      </c>
      <c r="J165" s="136"/>
      <c r="K165" s="136"/>
    </row>
    <row r="166" spans="1:11" x14ac:dyDescent="0.2">
      <c r="A166" s="125"/>
      <c r="B166" s="6"/>
      <c r="C166" s="124"/>
      <c r="D166" s="124">
        <v>3</v>
      </c>
      <c r="E166" s="206" t="s">
        <v>900</v>
      </c>
      <c r="F166" s="134"/>
      <c r="G166" s="204"/>
      <c r="H166" s="204"/>
      <c r="I166" s="204">
        <f t="shared" si="6"/>
        <v>1200000</v>
      </c>
      <c r="J166" s="136"/>
      <c r="K166" s="136"/>
    </row>
    <row r="167" spans="1:11" x14ac:dyDescent="0.2">
      <c r="A167" s="125"/>
      <c r="B167" s="6"/>
      <c r="C167" s="124"/>
      <c r="D167" s="124">
        <v>4</v>
      </c>
      <c r="E167" s="206" t="s">
        <v>901</v>
      </c>
      <c r="F167" s="124"/>
      <c r="G167" s="204"/>
      <c r="H167" s="204"/>
      <c r="I167" s="204">
        <f t="shared" si="6"/>
        <v>0</v>
      </c>
      <c r="J167" s="136"/>
      <c r="K167" s="136"/>
    </row>
    <row r="168" spans="1:11" x14ac:dyDescent="0.2">
      <c r="A168" s="125"/>
      <c r="B168" s="6"/>
      <c r="C168" s="124"/>
      <c r="D168" s="124">
        <v>5</v>
      </c>
      <c r="E168" s="206" t="s">
        <v>887</v>
      </c>
      <c r="F168" s="134"/>
      <c r="G168" s="204"/>
      <c r="H168" s="204"/>
      <c r="I168" s="204">
        <f t="shared" si="6"/>
        <v>0</v>
      </c>
      <c r="J168" s="136"/>
      <c r="K168" s="136"/>
    </row>
    <row r="169" spans="1:11" x14ac:dyDescent="0.2">
      <c r="A169" s="125"/>
      <c r="B169" s="6"/>
      <c r="C169" s="124"/>
      <c r="D169" s="124">
        <v>6</v>
      </c>
      <c r="E169" s="206" t="s">
        <v>903</v>
      </c>
      <c r="F169" s="134"/>
      <c r="G169" s="204"/>
      <c r="H169" s="204"/>
      <c r="I169" s="204">
        <f t="shared" si="6"/>
        <v>0</v>
      </c>
      <c r="J169" s="136"/>
      <c r="K169" s="136"/>
    </row>
    <row r="170" spans="1:11" x14ac:dyDescent="0.2">
      <c r="A170" s="125"/>
      <c r="B170" s="6"/>
      <c r="C170" s="124"/>
      <c r="D170" s="124">
        <v>7</v>
      </c>
      <c r="E170" s="206" t="s">
        <v>904</v>
      </c>
      <c r="F170" s="134"/>
      <c r="G170" s="204"/>
      <c r="H170" s="204"/>
      <c r="I170" s="204">
        <f t="shared" si="6"/>
        <v>0</v>
      </c>
      <c r="J170" s="136"/>
      <c r="K170" s="136"/>
    </row>
    <row r="171" spans="1:11" x14ac:dyDescent="0.2">
      <c r="A171" s="125"/>
      <c r="B171" s="134"/>
      <c r="C171" s="128"/>
      <c r="D171" s="124"/>
      <c r="E171" s="206"/>
      <c r="F171" s="124"/>
      <c r="G171" s="204"/>
      <c r="H171" s="204"/>
      <c r="I171" s="204"/>
      <c r="J171" s="136"/>
      <c r="K171" s="136"/>
    </row>
    <row r="172" spans="1:11" x14ac:dyDescent="0.2">
      <c r="A172" s="125"/>
      <c r="B172" s="6"/>
      <c r="C172" s="124"/>
      <c r="D172" s="128" t="s">
        <v>67</v>
      </c>
      <c r="E172" s="127"/>
      <c r="F172" s="208"/>
      <c r="G172" s="205">
        <f>SUM(G164:G171)</f>
        <v>0</v>
      </c>
      <c r="H172" s="204"/>
      <c r="I172" s="205">
        <f>SUM(I164:I171)</f>
        <v>1200000</v>
      </c>
      <c r="J172" s="136"/>
      <c r="K172" s="136"/>
    </row>
    <row r="173" spans="1:11" x14ac:dyDescent="0.2">
      <c r="A173" s="125"/>
      <c r="B173" s="6"/>
      <c r="C173" s="124"/>
      <c r="D173" s="124"/>
      <c r="E173" s="124"/>
      <c r="F173" s="124"/>
      <c r="G173" s="204"/>
      <c r="H173" s="204"/>
      <c r="I173" s="204"/>
      <c r="J173" s="136"/>
      <c r="K173" s="136"/>
    </row>
    <row r="174" spans="1:11" x14ac:dyDescent="0.2">
      <c r="A174" s="125"/>
      <c r="B174" s="6"/>
      <c r="C174" s="128" t="s">
        <v>905</v>
      </c>
      <c r="D174" s="128"/>
      <c r="E174" s="128"/>
      <c r="F174" s="124"/>
      <c r="G174" s="488">
        <f>G161-G172</f>
        <v>0</v>
      </c>
      <c r="H174" s="204"/>
      <c r="I174" s="488">
        <f>I161-I172</f>
        <v>-1200000</v>
      </c>
      <c r="K174" s="136"/>
    </row>
    <row r="175" spans="1:11" x14ac:dyDescent="0.2">
      <c r="A175" s="125"/>
      <c r="B175" s="6"/>
      <c r="C175" s="124"/>
      <c r="D175" s="124"/>
      <c r="E175" s="124"/>
      <c r="F175" s="124"/>
      <c r="G175" s="204"/>
      <c r="H175" s="204"/>
      <c r="I175" s="204"/>
      <c r="J175" s="136"/>
      <c r="K175" s="136"/>
    </row>
    <row r="176" spans="1:11" x14ac:dyDescent="0.2">
      <c r="A176" s="125"/>
      <c r="B176" s="203" t="s">
        <v>907</v>
      </c>
      <c r="C176" s="203" t="s">
        <v>908</v>
      </c>
      <c r="D176" s="151"/>
      <c r="E176" s="134"/>
      <c r="F176" s="134"/>
      <c r="G176" s="204"/>
      <c r="H176" s="204"/>
      <c r="I176" s="204"/>
      <c r="J176" s="136"/>
      <c r="K176" s="136"/>
    </row>
    <row r="177" spans="1:11" x14ac:dyDescent="0.2">
      <c r="A177" s="125"/>
      <c r="B177" s="134"/>
      <c r="C177" s="128"/>
      <c r="D177" s="124" t="s">
        <v>909</v>
      </c>
      <c r="E177" s="124"/>
      <c r="F177" s="124"/>
      <c r="G177" s="204">
        <f>'Lap. Perputaran Uang '!G185</f>
        <v>0</v>
      </c>
      <c r="H177" s="204"/>
      <c r="I177" s="204">
        <f>G177+I106</f>
        <v>0</v>
      </c>
      <c r="J177" s="136"/>
      <c r="K177" s="136"/>
    </row>
    <row r="178" spans="1:11" x14ac:dyDescent="0.2">
      <c r="A178" s="125"/>
      <c r="B178" s="6"/>
      <c r="C178" s="128" t="s">
        <v>910</v>
      </c>
      <c r="D178" s="151"/>
      <c r="E178" s="151"/>
      <c r="F178" s="151"/>
      <c r="G178" s="205">
        <f>SUM(G177)</f>
        <v>0</v>
      </c>
      <c r="H178" s="149"/>
      <c r="I178" s="205">
        <f>SUM(I177)</f>
        <v>0</v>
      </c>
      <c r="J178" s="136"/>
      <c r="K178" s="136"/>
    </row>
    <row r="179" spans="1:11" x14ac:dyDescent="0.2">
      <c r="A179" s="125"/>
      <c r="B179" s="6"/>
      <c r="C179" s="694"/>
      <c r="D179" s="694"/>
      <c r="E179" s="694"/>
      <c r="F179" s="124"/>
      <c r="G179" s="433"/>
      <c r="H179" s="210"/>
      <c r="I179" s="433"/>
      <c r="J179" s="136"/>
      <c r="K179" s="136"/>
    </row>
    <row r="180" spans="1:11" x14ac:dyDescent="0.2">
      <c r="A180" s="125"/>
      <c r="B180" s="203" t="s">
        <v>911</v>
      </c>
      <c r="C180" s="203" t="s">
        <v>912</v>
      </c>
      <c r="D180" s="124"/>
      <c r="E180" s="124"/>
      <c r="F180" s="124"/>
      <c r="G180" s="210"/>
      <c r="H180" s="210"/>
      <c r="I180" s="210"/>
      <c r="J180" s="136"/>
      <c r="K180" s="136"/>
    </row>
    <row r="181" spans="1:11" x14ac:dyDescent="0.2">
      <c r="A181" s="125"/>
      <c r="B181" s="195"/>
      <c r="C181" s="195"/>
      <c r="D181" s="124" t="s">
        <v>913</v>
      </c>
      <c r="E181" s="195"/>
      <c r="F181" s="134"/>
      <c r="G181" s="433"/>
      <c r="H181" s="210"/>
      <c r="I181" s="204">
        <f>G181+I110</f>
        <v>0</v>
      </c>
      <c r="J181" s="136"/>
      <c r="K181" s="136"/>
    </row>
    <row r="182" spans="1:11" x14ac:dyDescent="0.2">
      <c r="A182" s="125"/>
      <c r="B182" s="203"/>
      <c r="C182" s="124"/>
      <c r="D182" s="124" t="s">
        <v>914</v>
      </c>
      <c r="E182" s="124"/>
      <c r="F182" s="124"/>
      <c r="G182" s="204"/>
      <c r="H182" s="204"/>
      <c r="I182" s="204">
        <f t="shared" ref="I182:I184" si="7">G182+I111</f>
        <v>0</v>
      </c>
      <c r="J182" s="136"/>
      <c r="K182" s="136"/>
    </row>
    <row r="183" spans="1:11" x14ac:dyDescent="0.2">
      <c r="A183" s="125"/>
      <c r="B183" s="6"/>
      <c r="C183" s="124"/>
      <c r="D183" s="151" t="s">
        <v>915</v>
      </c>
      <c r="E183" s="134"/>
      <c r="F183" s="134"/>
      <c r="G183" s="204"/>
      <c r="H183" s="204"/>
      <c r="I183" s="204">
        <f t="shared" si="7"/>
        <v>0</v>
      </c>
      <c r="J183" s="136"/>
      <c r="K183" s="136"/>
    </row>
    <row r="184" spans="1:11" x14ac:dyDescent="0.2">
      <c r="A184" s="125"/>
      <c r="B184" s="134"/>
      <c r="C184" s="128"/>
      <c r="D184" s="124" t="s">
        <v>916</v>
      </c>
      <c r="E184" s="124"/>
      <c r="F184" s="124"/>
      <c r="G184" s="593"/>
      <c r="H184" s="204"/>
      <c r="I184" s="204">
        <f t="shared" si="7"/>
        <v>0</v>
      </c>
      <c r="J184" s="136"/>
      <c r="K184" s="136"/>
    </row>
    <row r="185" spans="1:11" x14ac:dyDescent="0.2">
      <c r="A185" s="125"/>
      <c r="B185" s="6"/>
      <c r="C185" s="128" t="s">
        <v>917</v>
      </c>
      <c r="D185" s="151"/>
      <c r="E185" s="151"/>
      <c r="F185" s="151"/>
      <c r="G185" s="596">
        <f>SUM(G181:G184)</f>
        <v>0</v>
      </c>
      <c r="H185" s="204"/>
      <c r="I185" s="596">
        <f>SUM(I181:I184)</f>
        <v>0</v>
      </c>
      <c r="J185" s="136"/>
      <c r="K185" s="136"/>
    </row>
    <row r="186" spans="1:11" x14ac:dyDescent="0.2">
      <c r="A186" s="125"/>
      <c r="B186" s="6"/>
      <c r="C186" s="124"/>
      <c r="D186" s="124"/>
      <c r="E186" s="124"/>
      <c r="F186" s="124"/>
      <c r="G186" s="593"/>
      <c r="H186" s="204"/>
      <c r="I186" s="204"/>
      <c r="J186" s="136"/>
      <c r="K186" s="136"/>
    </row>
    <row r="187" spans="1:11" x14ac:dyDescent="0.2">
      <c r="A187" s="125"/>
      <c r="B187" s="203" t="s">
        <v>918</v>
      </c>
      <c r="C187" s="203" t="s">
        <v>919</v>
      </c>
      <c r="D187" s="130"/>
      <c r="E187" s="130"/>
      <c r="F187" s="124"/>
      <c r="G187" s="149">
        <f>G174-G178+G185</f>
        <v>0</v>
      </c>
      <c r="H187" s="204"/>
      <c r="I187" s="149">
        <f>I174-I178+I185</f>
        <v>-1200000</v>
      </c>
      <c r="J187" s="136"/>
      <c r="K187" s="136"/>
    </row>
    <row r="188" spans="1:11" x14ac:dyDescent="0.2">
      <c r="A188" s="125"/>
      <c r="B188" s="6"/>
      <c r="C188" s="124"/>
      <c r="D188" s="124"/>
      <c r="E188" s="124"/>
      <c r="F188" s="124"/>
      <c r="G188" s="204"/>
      <c r="H188" s="204"/>
      <c r="I188" s="204"/>
      <c r="J188" s="136"/>
      <c r="K188" s="136"/>
    </row>
    <row r="189" spans="1:11" x14ac:dyDescent="0.2">
      <c r="A189" s="125"/>
      <c r="B189" s="203" t="s">
        <v>920</v>
      </c>
      <c r="C189" s="203" t="s">
        <v>921</v>
      </c>
      <c r="D189" s="130"/>
      <c r="E189" s="124"/>
      <c r="F189" s="124"/>
      <c r="G189" s="149">
        <f>G120</f>
        <v>1311051855.8000002</v>
      </c>
      <c r="H189" s="149"/>
      <c r="I189" s="149">
        <v>1312251855.8000002</v>
      </c>
      <c r="J189" s="136"/>
      <c r="K189" s="136"/>
    </row>
    <row r="190" spans="1:11" x14ac:dyDescent="0.2">
      <c r="A190" s="125"/>
      <c r="B190" s="6"/>
      <c r="C190" s="124"/>
      <c r="D190" s="124"/>
      <c r="E190" s="124"/>
      <c r="F190" s="124"/>
      <c r="G190" s="149"/>
      <c r="H190" s="149"/>
      <c r="I190" s="149"/>
      <c r="J190" s="136"/>
      <c r="K190" s="136"/>
    </row>
    <row r="191" spans="1:11" x14ac:dyDescent="0.2">
      <c r="A191" s="125"/>
      <c r="B191" s="134" t="s">
        <v>922</v>
      </c>
      <c r="C191" s="128" t="s">
        <v>921</v>
      </c>
      <c r="D191" s="124"/>
      <c r="E191" s="124"/>
      <c r="F191" s="124"/>
      <c r="G191" s="149">
        <f>G187+G189</f>
        <v>1311051855.8000002</v>
      </c>
      <c r="H191" s="149"/>
      <c r="I191" s="149">
        <f>I187+I189</f>
        <v>1311051855.8000002</v>
      </c>
      <c r="J191" s="136"/>
      <c r="K191" s="136"/>
    </row>
    <row r="192" spans="1:11" x14ac:dyDescent="0.2">
      <c r="A192" s="120"/>
      <c r="B192" s="119"/>
      <c r="C192" s="119"/>
      <c r="D192" s="119"/>
      <c r="E192" s="119"/>
      <c r="F192" s="119"/>
      <c r="G192" s="218"/>
      <c r="H192" s="218"/>
      <c r="I192" s="218"/>
      <c r="J192" s="594"/>
      <c r="K192" s="594"/>
    </row>
    <row r="193" spans="1:11" x14ac:dyDescent="0.2">
      <c r="A193" s="761"/>
      <c r="B193" s="761"/>
      <c r="C193" s="761"/>
      <c r="D193" s="761"/>
      <c r="E193" s="761"/>
      <c r="F193" s="124"/>
      <c r="G193" s="219">
        <f>'Lap. Perputaran Uang '!I192</f>
        <v>0</v>
      </c>
      <c r="H193" s="219"/>
      <c r="I193" s="219"/>
    </row>
    <row r="194" spans="1:11" x14ac:dyDescent="0.2">
      <c r="A194" s="697" t="s">
        <v>579</v>
      </c>
      <c r="B194" s="697"/>
      <c r="C194" s="697"/>
      <c r="D194" s="697"/>
      <c r="E194" s="697"/>
      <c r="F194" s="697" t="s">
        <v>566</v>
      </c>
      <c r="G194" s="697"/>
      <c r="H194" s="697"/>
      <c r="I194" s="697"/>
      <c r="J194" s="697"/>
      <c r="K194" s="697"/>
    </row>
    <row r="195" spans="1:11" x14ac:dyDescent="0.2">
      <c r="A195" s="697" t="s">
        <v>678</v>
      </c>
      <c r="B195" s="697"/>
      <c r="C195" s="697"/>
      <c r="D195" s="697"/>
      <c r="E195" s="697"/>
      <c r="F195" s="697" t="s">
        <v>681</v>
      </c>
      <c r="G195" s="697"/>
      <c r="H195" s="697"/>
      <c r="I195" s="697"/>
      <c r="J195" s="697"/>
      <c r="K195" s="697"/>
    </row>
    <row r="196" spans="1:11" x14ac:dyDescent="0.2">
      <c r="A196" s="697"/>
      <c r="B196" s="697"/>
      <c r="C196" s="697"/>
      <c r="D196" s="697"/>
      <c r="E196" s="697"/>
      <c r="F196" s="697"/>
      <c r="G196" s="697"/>
      <c r="H196" s="697"/>
      <c r="I196" s="697"/>
      <c r="J196" s="697"/>
      <c r="K196" s="697"/>
    </row>
    <row r="197" spans="1:11" x14ac:dyDescent="0.2">
      <c r="A197" s="697"/>
      <c r="B197" s="697"/>
      <c r="C197" s="697"/>
      <c r="D197" s="697"/>
      <c r="E197" s="697"/>
      <c r="F197" s="697"/>
      <c r="G197" s="697"/>
      <c r="H197" s="697"/>
      <c r="I197" s="697"/>
      <c r="J197" s="697"/>
      <c r="K197" s="697"/>
    </row>
    <row r="198" spans="1:11" x14ac:dyDescent="0.2">
      <c r="A198" s="697" t="s">
        <v>655</v>
      </c>
      <c r="B198" s="697"/>
      <c r="C198" s="697"/>
      <c r="D198" s="697"/>
      <c r="E198" s="697"/>
      <c r="F198" s="697" t="s">
        <v>567</v>
      </c>
      <c r="G198" s="697"/>
      <c r="H198" s="697"/>
      <c r="I198" s="697"/>
      <c r="J198" s="697"/>
      <c r="K198" s="697"/>
    </row>
    <row r="199" spans="1:11" x14ac:dyDescent="0.2">
      <c r="A199" s="697"/>
      <c r="B199" s="697"/>
      <c r="C199" s="697"/>
      <c r="D199" s="697"/>
      <c r="E199" s="697"/>
      <c r="F199" s="697"/>
      <c r="G199" s="697"/>
      <c r="H199" s="697"/>
      <c r="I199" s="697"/>
      <c r="J199" s="697"/>
      <c r="K199" s="697"/>
    </row>
    <row r="200" spans="1:11" x14ac:dyDescent="0.2">
      <c r="A200" s="697"/>
      <c r="B200" s="697"/>
      <c r="C200" s="697"/>
      <c r="D200" s="697"/>
      <c r="E200" s="697"/>
      <c r="F200" s="697"/>
      <c r="G200" s="697"/>
      <c r="H200" s="697"/>
      <c r="I200" s="697"/>
      <c r="J200" s="697"/>
      <c r="K200" s="697"/>
    </row>
    <row r="201" spans="1:11" x14ac:dyDescent="0.2">
      <c r="A201" s="697"/>
      <c r="B201" s="697"/>
      <c r="C201" s="697"/>
      <c r="D201" s="697"/>
      <c r="E201" s="697"/>
      <c r="F201" s="697"/>
      <c r="G201" s="697"/>
      <c r="H201" s="697"/>
      <c r="I201" s="697"/>
      <c r="J201" s="697"/>
      <c r="K201" s="697"/>
    </row>
    <row r="202" spans="1:11" x14ac:dyDescent="0.2">
      <c r="A202" s="697"/>
      <c r="B202" s="697"/>
      <c r="C202" s="697"/>
      <c r="D202" s="697"/>
      <c r="E202" s="697"/>
      <c r="F202" s="697"/>
      <c r="G202" s="697"/>
      <c r="H202" s="697"/>
      <c r="I202" s="697"/>
      <c r="J202" s="697"/>
      <c r="K202" s="697"/>
    </row>
    <row r="216" spans="1:11" x14ac:dyDescent="0.2">
      <c r="A216" s="728" t="s">
        <v>890</v>
      </c>
      <c r="B216" s="728"/>
      <c r="C216" s="590" t="s">
        <v>891</v>
      </c>
      <c r="D216" s="124"/>
      <c r="E216" s="124"/>
      <c r="F216" s="124"/>
    </row>
    <row r="217" spans="1:11" x14ac:dyDescent="0.2">
      <c r="B217" s="124"/>
      <c r="C217" s="124"/>
      <c r="D217" s="124"/>
      <c r="E217" s="124"/>
      <c r="F217" s="124"/>
    </row>
    <row r="218" spans="1:11" ht="15" x14ac:dyDescent="0.25">
      <c r="A218" s="141"/>
      <c r="B218" s="762"/>
      <c r="C218" s="762"/>
      <c r="D218" s="762"/>
      <c r="E218" s="762"/>
      <c r="F218" s="762"/>
      <c r="G218" s="762"/>
      <c r="H218" s="762"/>
      <c r="I218" s="762"/>
      <c r="J218" s="591"/>
      <c r="K218" s="591"/>
    </row>
    <row r="219" spans="1:11" ht="15" x14ac:dyDescent="0.25">
      <c r="A219" s="125"/>
      <c r="B219" s="696" t="s">
        <v>650</v>
      </c>
      <c r="C219" s="696"/>
      <c r="D219" s="696"/>
      <c r="E219" s="696"/>
      <c r="F219" s="696"/>
      <c r="G219" s="696"/>
      <c r="H219" s="696"/>
      <c r="I219" s="696"/>
      <c r="J219" s="136"/>
      <c r="K219" s="136"/>
    </row>
    <row r="220" spans="1:11" ht="15" x14ac:dyDescent="0.25">
      <c r="A220" s="125"/>
      <c r="B220" s="696" t="s">
        <v>41</v>
      </c>
      <c r="C220" s="696"/>
      <c r="D220" s="696"/>
      <c r="E220" s="696"/>
      <c r="F220" s="696"/>
      <c r="G220" s="696"/>
      <c r="H220" s="696"/>
      <c r="I220" s="696"/>
      <c r="J220" s="136"/>
      <c r="K220" s="136"/>
    </row>
    <row r="221" spans="1:11" ht="15" x14ac:dyDescent="0.25">
      <c r="A221" s="125"/>
      <c r="B221" s="742" t="s">
        <v>924</v>
      </c>
      <c r="C221" s="742"/>
      <c r="D221" s="742"/>
      <c r="E221" s="742"/>
      <c r="F221" s="742"/>
      <c r="G221" s="742"/>
      <c r="H221" s="742"/>
      <c r="I221" s="742"/>
      <c r="J221" s="136"/>
      <c r="K221" s="136"/>
    </row>
    <row r="222" spans="1:11" x14ac:dyDescent="0.2">
      <c r="A222" s="125"/>
      <c r="B222" s="124"/>
      <c r="C222" s="124"/>
      <c r="D222" s="124"/>
      <c r="E222" s="124"/>
      <c r="F222" s="124"/>
      <c r="J222" s="136"/>
      <c r="K222" s="136"/>
    </row>
    <row r="223" spans="1:11" x14ac:dyDescent="0.2">
      <c r="A223" s="125"/>
      <c r="B223" s="755" t="s">
        <v>30</v>
      </c>
      <c r="C223" s="756"/>
      <c r="D223" s="756"/>
      <c r="E223" s="757"/>
      <c r="F223" s="127"/>
      <c r="G223" s="201" t="s">
        <v>37</v>
      </c>
      <c r="H223" s="127"/>
      <c r="I223" s="201" t="s">
        <v>39</v>
      </c>
      <c r="J223" s="136"/>
      <c r="K223" s="136"/>
    </row>
    <row r="224" spans="1:11" x14ac:dyDescent="0.2">
      <c r="A224" s="125"/>
      <c r="B224" s="758"/>
      <c r="C224" s="759"/>
      <c r="D224" s="759"/>
      <c r="E224" s="760"/>
      <c r="F224" s="127"/>
      <c r="G224" s="202" t="s">
        <v>40</v>
      </c>
      <c r="H224" s="127"/>
      <c r="I224" s="202" t="s">
        <v>40</v>
      </c>
      <c r="J224" s="136"/>
      <c r="K224" s="136"/>
    </row>
    <row r="225" spans="1:11" x14ac:dyDescent="0.2">
      <c r="A225" s="125"/>
      <c r="B225" s="203" t="s">
        <v>893</v>
      </c>
      <c r="C225" s="203" t="s">
        <v>906</v>
      </c>
      <c r="D225" s="203"/>
      <c r="E225" s="124"/>
      <c r="F225" s="124"/>
      <c r="G225" s="204"/>
      <c r="H225" s="204"/>
      <c r="I225" s="204"/>
      <c r="J225" s="136"/>
      <c r="K225" s="136"/>
    </row>
    <row r="226" spans="1:11" x14ac:dyDescent="0.2">
      <c r="A226" s="125"/>
      <c r="B226" s="6"/>
      <c r="C226" s="128" t="s">
        <v>894</v>
      </c>
      <c r="D226" s="124"/>
      <c r="E226" s="124"/>
      <c r="F226" s="124"/>
      <c r="G226" s="204"/>
      <c r="H226" s="204"/>
      <c r="I226" s="204"/>
      <c r="J226" s="136"/>
      <c r="K226" s="136"/>
    </row>
    <row r="227" spans="1:11" x14ac:dyDescent="0.2">
      <c r="A227" s="125"/>
      <c r="B227" s="6"/>
      <c r="C227" s="124"/>
      <c r="D227" s="124">
        <v>1</v>
      </c>
      <c r="E227" s="124" t="s">
        <v>895</v>
      </c>
      <c r="F227" s="124"/>
      <c r="G227" s="204"/>
      <c r="H227" s="204"/>
      <c r="I227" s="204">
        <f>G227+I155</f>
        <v>0</v>
      </c>
      <c r="J227" s="136"/>
      <c r="K227" s="136"/>
    </row>
    <row r="228" spans="1:11" x14ac:dyDescent="0.2">
      <c r="A228" s="125"/>
      <c r="B228" s="6"/>
      <c r="C228" s="124"/>
      <c r="D228" s="124">
        <v>2</v>
      </c>
      <c r="E228" s="124" t="s">
        <v>896</v>
      </c>
      <c r="F228" s="124"/>
      <c r="G228" s="204"/>
      <c r="H228" s="204"/>
      <c r="I228" s="204">
        <f t="shared" ref="I228:I231" si="8">G228+I156</f>
        <v>0</v>
      </c>
      <c r="J228" s="136"/>
      <c r="K228" s="136"/>
    </row>
    <row r="229" spans="1:11" x14ac:dyDescent="0.2">
      <c r="A229" s="125"/>
      <c r="B229" s="6"/>
      <c r="C229" s="124"/>
      <c r="D229" s="124">
        <v>3</v>
      </c>
      <c r="E229" s="124" t="s">
        <v>897</v>
      </c>
      <c r="F229" s="124"/>
      <c r="G229" s="204"/>
      <c r="H229" s="204"/>
      <c r="I229" s="204">
        <f t="shared" si="8"/>
        <v>0</v>
      </c>
      <c r="J229" s="136"/>
      <c r="K229" s="136"/>
    </row>
    <row r="230" spans="1:11" x14ac:dyDescent="0.2">
      <c r="A230" s="125"/>
      <c r="B230" s="6"/>
      <c r="C230" s="124"/>
      <c r="D230" s="124">
        <v>4</v>
      </c>
      <c r="E230" s="124" t="s">
        <v>902</v>
      </c>
      <c r="F230" s="124"/>
      <c r="G230" s="204"/>
      <c r="H230" s="204"/>
      <c r="I230" s="204">
        <f t="shared" si="8"/>
        <v>0</v>
      </c>
      <c r="J230" s="136"/>
      <c r="K230" s="136"/>
    </row>
    <row r="231" spans="1:11" x14ac:dyDescent="0.2">
      <c r="A231" s="125"/>
      <c r="B231" s="6"/>
      <c r="C231" s="124"/>
      <c r="D231" s="124">
        <v>5</v>
      </c>
      <c r="E231" s="124" t="s">
        <v>898</v>
      </c>
      <c r="F231" s="124"/>
      <c r="G231" s="204"/>
      <c r="H231" s="204"/>
      <c r="I231" s="204">
        <f t="shared" si="8"/>
        <v>0</v>
      </c>
      <c r="J231" s="136"/>
      <c r="K231" s="136"/>
    </row>
    <row r="232" spans="1:11" x14ac:dyDescent="0.2">
      <c r="A232" s="125"/>
      <c r="B232" s="6"/>
      <c r="C232" s="124"/>
      <c r="D232" s="124"/>
      <c r="E232" s="124"/>
      <c r="F232" s="124"/>
      <c r="G232" s="204"/>
      <c r="H232" s="204"/>
      <c r="I232" s="204"/>
      <c r="J232" s="136"/>
      <c r="K232" s="136"/>
    </row>
    <row r="233" spans="1:11" x14ac:dyDescent="0.2">
      <c r="A233" s="125"/>
      <c r="B233" s="6"/>
      <c r="C233" s="128"/>
      <c r="D233" s="128" t="s">
        <v>55</v>
      </c>
      <c r="E233" s="128"/>
      <c r="F233" s="124"/>
      <c r="G233" s="205">
        <f>SUM(G227:G231)</f>
        <v>0</v>
      </c>
      <c r="H233" s="204"/>
      <c r="I233" s="205">
        <f>SUM(I227:I231)</f>
        <v>0</v>
      </c>
      <c r="J233" s="136"/>
      <c r="K233" s="136"/>
    </row>
    <row r="234" spans="1:11" x14ac:dyDescent="0.2">
      <c r="A234" s="125"/>
      <c r="B234" s="6"/>
      <c r="C234" s="128"/>
      <c r="D234" s="128"/>
      <c r="E234" s="128"/>
      <c r="F234" s="124"/>
      <c r="G234" s="149"/>
      <c r="H234" s="204"/>
      <c r="I234" s="149"/>
      <c r="J234" s="136"/>
      <c r="K234" s="136"/>
    </row>
    <row r="235" spans="1:11" x14ac:dyDescent="0.2">
      <c r="A235" s="125"/>
      <c r="B235" s="6"/>
      <c r="C235" s="128" t="s">
        <v>899</v>
      </c>
      <c r="D235" s="124"/>
      <c r="E235" s="124"/>
      <c r="F235" s="124"/>
      <c r="G235" s="204"/>
      <c r="H235" s="204"/>
      <c r="I235" s="204"/>
      <c r="J235" s="136"/>
      <c r="K235" s="136"/>
    </row>
    <row r="236" spans="1:11" x14ac:dyDescent="0.2">
      <c r="A236" s="125"/>
      <c r="B236" s="6"/>
      <c r="C236" s="124"/>
      <c r="D236" s="124">
        <v>1</v>
      </c>
      <c r="E236" s="206" t="s">
        <v>328</v>
      </c>
      <c r="F236" s="124"/>
      <c r="G236" s="204"/>
      <c r="H236" s="204"/>
      <c r="I236" s="204">
        <f>G236+I164</f>
        <v>0</v>
      </c>
      <c r="J236" s="136"/>
      <c r="K236" s="136"/>
    </row>
    <row r="237" spans="1:11" x14ac:dyDescent="0.2">
      <c r="A237" s="125"/>
      <c r="B237" s="6"/>
      <c r="C237" s="124"/>
      <c r="D237" s="124">
        <v>2</v>
      </c>
      <c r="E237" s="206" t="s">
        <v>329</v>
      </c>
      <c r="F237" s="124"/>
      <c r="G237" s="204"/>
      <c r="H237" s="204"/>
      <c r="I237" s="204">
        <f t="shared" ref="I237:I242" si="9">G237+I165</f>
        <v>0</v>
      </c>
      <c r="J237" s="136"/>
      <c r="K237" s="136"/>
    </row>
    <row r="238" spans="1:11" x14ac:dyDescent="0.2">
      <c r="A238" s="125"/>
      <c r="B238" s="6"/>
      <c r="C238" s="124"/>
      <c r="D238" s="124">
        <v>3</v>
      </c>
      <c r="E238" s="206" t="s">
        <v>900</v>
      </c>
      <c r="F238" s="134"/>
      <c r="G238" s="204"/>
      <c r="H238" s="204"/>
      <c r="I238" s="204">
        <f t="shared" si="9"/>
        <v>1200000</v>
      </c>
      <c r="J238" s="136"/>
      <c r="K238" s="136"/>
    </row>
    <row r="239" spans="1:11" x14ac:dyDescent="0.2">
      <c r="A239" s="125"/>
      <c r="B239" s="6"/>
      <c r="C239" s="124"/>
      <c r="D239" s="124">
        <v>4</v>
      </c>
      <c r="E239" s="206" t="s">
        <v>901</v>
      </c>
      <c r="F239" s="124"/>
      <c r="G239" s="204"/>
      <c r="H239" s="204"/>
      <c r="I239" s="204">
        <f t="shared" si="9"/>
        <v>0</v>
      </c>
      <c r="J239" s="136"/>
      <c r="K239" s="136"/>
    </row>
    <row r="240" spans="1:11" x14ac:dyDescent="0.2">
      <c r="A240" s="125"/>
      <c r="B240" s="6"/>
      <c r="C240" s="124"/>
      <c r="D240" s="124">
        <v>5</v>
      </c>
      <c r="E240" s="206" t="s">
        <v>887</v>
      </c>
      <c r="F240" s="134"/>
      <c r="G240" s="204"/>
      <c r="H240" s="204"/>
      <c r="I240" s="204">
        <f t="shared" si="9"/>
        <v>0</v>
      </c>
      <c r="J240" s="136"/>
      <c r="K240" s="136"/>
    </row>
    <row r="241" spans="1:11" x14ac:dyDescent="0.2">
      <c r="A241" s="125"/>
      <c r="B241" s="6"/>
      <c r="C241" s="124"/>
      <c r="D241" s="124">
        <v>6</v>
      </c>
      <c r="E241" s="206" t="s">
        <v>903</v>
      </c>
      <c r="F241" s="134"/>
      <c r="G241" s="204"/>
      <c r="H241" s="204"/>
      <c r="I241" s="204">
        <f t="shared" si="9"/>
        <v>0</v>
      </c>
      <c r="J241" s="136"/>
      <c r="K241" s="136"/>
    </row>
    <row r="242" spans="1:11" x14ac:dyDescent="0.2">
      <c r="A242" s="125"/>
      <c r="B242" s="6"/>
      <c r="C242" s="124"/>
      <c r="D242" s="124">
        <v>7</v>
      </c>
      <c r="E242" s="206" t="s">
        <v>904</v>
      </c>
      <c r="F242" s="134"/>
      <c r="G242" s="204"/>
      <c r="H242" s="204"/>
      <c r="I242" s="204">
        <f t="shared" si="9"/>
        <v>0</v>
      </c>
      <c r="J242" s="136"/>
      <c r="K242" s="136"/>
    </row>
    <row r="243" spans="1:11" x14ac:dyDescent="0.2">
      <c r="A243" s="125"/>
      <c r="B243" s="134"/>
      <c r="C243" s="128"/>
      <c r="D243" s="124"/>
      <c r="E243" s="206"/>
      <c r="F243" s="124"/>
      <c r="G243" s="204"/>
      <c r="H243" s="204"/>
      <c r="I243" s="204"/>
      <c r="J243" s="136"/>
      <c r="K243" s="136"/>
    </row>
    <row r="244" spans="1:11" x14ac:dyDescent="0.2">
      <c r="A244" s="125"/>
      <c r="B244" s="6"/>
      <c r="C244" s="124"/>
      <c r="D244" s="128" t="s">
        <v>67</v>
      </c>
      <c r="E244" s="127"/>
      <c r="F244" s="208"/>
      <c r="G244" s="205">
        <f>SUM(G236:G243)</f>
        <v>0</v>
      </c>
      <c r="H244" s="204"/>
      <c r="I244" s="205">
        <f>SUM(I236:I243)</f>
        <v>1200000</v>
      </c>
      <c r="J244" s="136"/>
      <c r="K244" s="136"/>
    </row>
    <row r="245" spans="1:11" x14ac:dyDescent="0.2">
      <c r="A245" s="125"/>
      <c r="B245" s="6"/>
      <c r="C245" s="124"/>
      <c r="D245" s="124"/>
      <c r="E245" s="124"/>
      <c r="F245" s="124"/>
      <c r="G245" s="204"/>
      <c r="H245" s="204"/>
      <c r="I245" s="204"/>
      <c r="J245" s="136"/>
      <c r="K245" s="136"/>
    </row>
    <row r="246" spans="1:11" x14ac:dyDescent="0.2">
      <c r="A246" s="125"/>
      <c r="B246" s="6"/>
      <c r="C246" s="128" t="s">
        <v>905</v>
      </c>
      <c r="D246" s="128"/>
      <c r="E246" s="128"/>
      <c r="F246" s="124"/>
      <c r="G246" s="488">
        <f>G233-G244</f>
        <v>0</v>
      </c>
      <c r="H246" s="204"/>
      <c r="I246" s="488">
        <f>I233-I244</f>
        <v>-1200000</v>
      </c>
      <c r="K246" s="136"/>
    </row>
    <row r="247" spans="1:11" x14ac:dyDescent="0.2">
      <c r="A247" s="125"/>
      <c r="B247" s="6"/>
      <c r="C247" s="124"/>
      <c r="D247" s="124"/>
      <c r="E247" s="124"/>
      <c r="F247" s="124"/>
      <c r="G247" s="204"/>
      <c r="H247" s="204"/>
      <c r="I247" s="204"/>
      <c r="J247" s="136"/>
      <c r="K247" s="136"/>
    </row>
    <row r="248" spans="1:11" x14ac:dyDescent="0.2">
      <c r="A248" s="125"/>
      <c r="B248" s="203" t="s">
        <v>907</v>
      </c>
      <c r="C248" s="203" t="s">
        <v>908</v>
      </c>
      <c r="D248" s="151"/>
      <c r="E248" s="134"/>
      <c r="F248" s="134"/>
      <c r="G248" s="204"/>
      <c r="H248" s="204"/>
      <c r="I248" s="204"/>
      <c r="J248" s="136"/>
      <c r="K248" s="136"/>
    </row>
    <row r="249" spans="1:11" x14ac:dyDescent="0.2">
      <c r="A249" s="125"/>
      <c r="B249" s="134"/>
      <c r="C249" s="128"/>
      <c r="D249" s="124" t="s">
        <v>909</v>
      </c>
      <c r="E249" s="124"/>
      <c r="F249" s="124"/>
      <c r="G249" s="204"/>
      <c r="H249" s="204"/>
      <c r="I249" s="204">
        <f>G249+I177</f>
        <v>0</v>
      </c>
      <c r="J249" s="136"/>
      <c r="K249" s="136"/>
    </row>
    <row r="250" spans="1:11" x14ac:dyDescent="0.2">
      <c r="A250" s="125"/>
      <c r="B250" s="6"/>
      <c r="C250" s="128" t="s">
        <v>910</v>
      </c>
      <c r="D250" s="151"/>
      <c r="E250" s="151"/>
      <c r="F250" s="151"/>
      <c r="G250" s="205">
        <f>SUM(G249)</f>
        <v>0</v>
      </c>
      <c r="H250" s="149"/>
      <c r="I250" s="205">
        <f>SUM(I249)</f>
        <v>0</v>
      </c>
      <c r="J250" s="136"/>
      <c r="K250" s="136"/>
    </row>
    <row r="251" spans="1:11" x14ac:dyDescent="0.2">
      <c r="A251" s="125"/>
      <c r="B251" s="6"/>
      <c r="C251" s="694"/>
      <c r="D251" s="694"/>
      <c r="E251" s="694"/>
      <c r="F251" s="124"/>
      <c r="G251" s="433"/>
      <c r="H251" s="210"/>
      <c r="I251" s="433"/>
      <c r="J251" s="136"/>
      <c r="K251" s="136"/>
    </row>
    <row r="252" spans="1:11" x14ac:dyDescent="0.2">
      <c r="A252" s="125"/>
      <c r="B252" s="203" t="s">
        <v>911</v>
      </c>
      <c r="C252" s="203" t="s">
        <v>912</v>
      </c>
      <c r="D252" s="124"/>
      <c r="E252" s="124"/>
      <c r="F252" s="124"/>
      <c r="G252" s="210"/>
      <c r="H252" s="210"/>
      <c r="I252" s="210"/>
      <c r="J252" s="136"/>
      <c r="K252" s="136"/>
    </row>
    <row r="253" spans="1:11" x14ac:dyDescent="0.2">
      <c r="A253" s="125"/>
      <c r="B253" s="195"/>
      <c r="C253" s="195"/>
      <c r="D253" s="124" t="s">
        <v>913</v>
      </c>
      <c r="E253" s="195"/>
      <c r="F253" s="134"/>
      <c r="G253" s="433"/>
      <c r="H253" s="210"/>
      <c r="I253" s="204">
        <f>G253+I182</f>
        <v>0</v>
      </c>
      <c r="J253" s="136"/>
      <c r="K253" s="136"/>
    </row>
    <row r="254" spans="1:11" x14ac:dyDescent="0.2">
      <c r="A254" s="125"/>
      <c r="B254" s="203"/>
      <c r="C254" s="124"/>
      <c r="D254" s="124" t="s">
        <v>914</v>
      </c>
      <c r="E254" s="124"/>
      <c r="F254" s="124"/>
      <c r="G254" s="204"/>
      <c r="H254" s="204"/>
      <c r="I254" s="204">
        <f t="shared" ref="I254:I256" si="10">G254+I183</f>
        <v>0</v>
      </c>
      <c r="J254" s="136"/>
      <c r="K254" s="136"/>
    </row>
    <row r="255" spans="1:11" x14ac:dyDescent="0.2">
      <c r="A255" s="125"/>
      <c r="B255" s="6"/>
      <c r="C255" s="124"/>
      <c r="D255" s="151" t="s">
        <v>915</v>
      </c>
      <c r="E255" s="134"/>
      <c r="F255" s="134"/>
      <c r="G255" s="204"/>
      <c r="H255" s="204"/>
      <c r="I255" s="204">
        <f t="shared" si="10"/>
        <v>0</v>
      </c>
      <c r="J255" s="136"/>
      <c r="K255" s="136"/>
    </row>
    <row r="256" spans="1:11" x14ac:dyDescent="0.2">
      <c r="A256" s="125"/>
      <c r="B256" s="134"/>
      <c r="C256" s="128"/>
      <c r="D256" s="124" t="s">
        <v>916</v>
      </c>
      <c r="E256" s="124"/>
      <c r="F256" s="124"/>
      <c r="G256" s="593"/>
      <c r="H256" s="204"/>
      <c r="I256" s="204">
        <f t="shared" si="10"/>
        <v>0</v>
      </c>
      <c r="J256" s="136"/>
      <c r="K256" s="136"/>
    </row>
    <row r="257" spans="1:11" x14ac:dyDescent="0.2">
      <c r="A257" s="125"/>
      <c r="B257" s="6"/>
      <c r="C257" s="128" t="s">
        <v>917</v>
      </c>
      <c r="D257" s="151"/>
      <c r="E257" s="151"/>
      <c r="F257" s="151"/>
      <c r="G257" s="596">
        <f>SUM(G253:G256)</f>
        <v>0</v>
      </c>
      <c r="H257" s="204"/>
      <c r="I257" s="596">
        <f>SUM(I253:I256)</f>
        <v>0</v>
      </c>
      <c r="J257" s="136"/>
      <c r="K257" s="136"/>
    </row>
    <row r="258" spans="1:11" x14ac:dyDescent="0.2">
      <c r="A258" s="125"/>
      <c r="B258" s="6"/>
      <c r="C258" s="124"/>
      <c r="D258" s="124"/>
      <c r="E258" s="124"/>
      <c r="F258" s="124"/>
      <c r="G258" s="593"/>
      <c r="H258" s="204"/>
      <c r="I258" s="204"/>
      <c r="J258" s="136"/>
      <c r="K258" s="136"/>
    </row>
    <row r="259" spans="1:11" x14ac:dyDescent="0.2">
      <c r="A259" s="125"/>
      <c r="B259" s="203" t="s">
        <v>918</v>
      </c>
      <c r="C259" s="203" t="s">
        <v>919</v>
      </c>
      <c r="D259" s="130"/>
      <c r="E259" s="130"/>
      <c r="F259" s="124"/>
      <c r="G259" s="149">
        <f>G246-G250+G257</f>
        <v>0</v>
      </c>
      <c r="H259" s="204"/>
      <c r="I259" s="149">
        <f>I246-I250+I257</f>
        <v>-1200000</v>
      </c>
      <c r="J259" s="136"/>
      <c r="K259" s="136"/>
    </row>
    <row r="260" spans="1:11" x14ac:dyDescent="0.2">
      <c r="A260" s="125"/>
      <c r="B260" s="6"/>
      <c r="C260" s="124"/>
      <c r="D260" s="124"/>
      <c r="E260" s="124"/>
      <c r="F260" s="124"/>
      <c r="G260" s="204"/>
      <c r="H260" s="204"/>
      <c r="I260" s="204"/>
      <c r="J260" s="136"/>
      <c r="K260" s="136"/>
    </row>
    <row r="261" spans="1:11" x14ac:dyDescent="0.2">
      <c r="A261" s="125"/>
      <c r="B261" s="203" t="s">
        <v>920</v>
      </c>
      <c r="C261" s="203" t="s">
        <v>921</v>
      </c>
      <c r="D261" s="130"/>
      <c r="E261" s="124"/>
      <c r="F261" s="124"/>
      <c r="G261" s="149">
        <f>G191</f>
        <v>1311051855.8000002</v>
      </c>
      <c r="H261" s="149"/>
      <c r="I261" s="149">
        <v>1312251855.8000002</v>
      </c>
      <c r="J261" s="136"/>
      <c r="K261" s="136"/>
    </row>
    <row r="262" spans="1:11" x14ac:dyDescent="0.2">
      <c r="A262" s="125"/>
      <c r="B262" s="6"/>
      <c r="C262" s="124"/>
      <c r="D262" s="124"/>
      <c r="E262" s="124"/>
      <c r="F262" s="124"/>
      <c r="G262" s="149"/>
      <c r="H262" s="149"/>
      <c r="I262" s="149"/>
      <c r="J262" s="136"/>
      <c r="K262" s="136"/>
    </row>
    <row r="263" spans="1:11" x14ac:dyDescent="0.2">
      <c r="A263" s="125"/>
      <c r="B263" s="134" t="s">
        <v>922</v>
      </c>
      <c r="C263" s="128" t="s">
        <v>921</v>
      </c>
      <c r="D263" s="124"/>
      <c r="E263" s="124"/>
      <c r="F263" s="124"/>
      <c r="G263" s="149">
        <f>G259+G261</f>
        <v>1311051855.8000002</v>
      </c>
      <c r="H263" s="149"/>
      <c r="I263" s="149">
        <f>I259+I261</f>
        <v>1311051855.8000002</v>
      </c>
      <c r="J263" s="136"/>
      <c r="K263" s="136"/>
    </row>
    <row r="264" spans="1:11" x14ac:dyDescent="0.2">
      <c r="A264" s="120"/>
      <c r="B264" s="119"/>
      <c r="C264" s="119"/>
      <c r="D264" s="119"/>
      <c r="E264" s="119"/>
      <c r="F264" s="119"/>
      <c r="G264" s="218"/>
      <c r="H264" s="218"/>
      <c r="I264" s="218"/>
      <c r="J264" s="594"/>
      <c r="K264" s="594"/>
    </row>
    <row r="265" spans="1:11" x14ac:dyDescent="0.2">
      <c r="A265" s="761"/>
      <c r="B265" s="761"/>
      <c r="C265" s="761"/>
      <c r="D265" s="761"/>
      <c r="E265" s="761"/>
      <c r="F265" s="124"/>
      <c r="G265" s="219">
        <f>'Lap. Perputaran Uang '!I267</f>
        <v>0</v>
      </c>
      <c r="H265" s="219"/>
      <c r="I265" s="219"/>
    </row>
    <row r="266" spans="1:11" x14ac:dyDescent="0.2">
      <c r="A266" s="697" t="s">
        <v>579</v>
      </c>
      <c r="B266" s="697"/>
      <c r="C266" s="697"/>
      <c r="D266" s="697"/>
      <c r="E266" s="697"/>
      <c r="F266" s="697" t="s">
        <v>566</v>
      </c>
      <c r="G266" s="697"/>
      <c r="H266" s="697"/>
      <c r="I266" s="697"/>
      <c r="J266" s="697"/>
      <c r="K266" s="697"/>
    </row>
    <row r="267" spans="1:11" x14ac:dyDescent="0.2">
      <c r="A267" s="697" t="s">
        <v>678</v>
      </c>
      <c r="B267" s="697"/>
      <c r="C267" s="697"/>
      <c r="D267" s="697"/>
      <c r="E267" s="697"/>
      <c r="F267" s="697" t="s">
        <v>681</v>
      </c>
      <c r="G267" s="697"/>
      <c r="H267" s="697"/>
      <c r="I267" s="697"/>
      <c r="J267" s="697"/>
      <c r="K267" s="697"/>
    </row>
    <row r="268" spans="1:11" x14ac:dyDescent="0.2">
      <c r="A268" s="697"/>
      <c r="B268" s="697"/>
      <c r="C268" s="697"/>
      <c r="D268" s="697"/>
      <c r="E268" s="697"/>
      <c r="F268" s="697"/>
      <c r="G268" s="697"/>
      <c r="H268" s="697"/>
      <c r="I268" s="697"/>
      <c r="J268" s="697"/>
      <c r="K268" s="697"/>
    </row>
    <row r="269" spans="1:11" x14ac:dyDescent="0.2">
      <c r="A269" s="697"/>
      <c r="B269" s="697"/>
      <c r="C269" s="697"/>
      <c r="D269" s="697"/>
      <c r="E269" s="697"/>
      <c r="F269" s="697"/>
      <c r="G269" s="697"/>
      <c r="H269" s="697"/>
      <c r="I269" s="697"/>
      <c r="J269" s="697"/>
      <c r="K269" s="697"/>
    </row>
    <row r="270" spans="1:11" x14ac:dyDescent="0.2">
      <c r="A270" s="697" t="s">
        <v>655</v>
      </c>
      <c r="B270" s="697"/>
      <c r="C270" s="697"/>
      <c r="D270" s="697"/>
      <c r="E270" s="697"/>
      <c r="F270" s="697" t="s">
        <v>567</v>
      </c>
      <c r="G270" s="697"/>
      <c r="H270" s="697"/>
      <c r="I270" s="697"/>
      <c r="J270" s="697"/>
      <c r="K270" s="697"/>
    </row>
    <row r="271" spans="1:11" x14ac:dyDescent="0.2">
      <c r="A271" s="697"/>
      <c r="B271" s="697"/>
      <c r="C271" s="697"/>
      <c r="D271" s="697"/>
      <c r="E271" s="697"/>
      <c r="F271" s="697"/>
      <c r="G271" s="697"/>
      <c r="H271" s="697"/>
      <c r="I271" s="697"/>
      <c r="J271" s="697"/>
      <c r="K271" s="697"/>
    </row>
    <row r="272" spans="1:11" x14ac:dyDescent="0.2">
      <c r="A272" s="697"/>
      <c r="B272" s="697"/>
      <c r="C272" s="697"/>
      <c r="D272" s="697"/>
      <c r="E272" s="697"/>
      <c r="F272" s="697"/>
      <c r="G272" s="697"/>
      <c r="H272" s="697"/>
      <c r="I272" s="697"/>
      <c r="J272" s="697"/>
      <c r="K272" s="697"/>
    </row>
    <row r="288" spans="1:6" x14ac:dyDescent="0.2">
      <c r="A288" s="728" t="s">
        <v>890</v>
      </c>
      <c r="B288" s="728"/>
      <c r="C288" s="590" t="s">
        <v>891</v>
      </c>
      <c r="D288" s="124"/>
      <c r="E288" s="124"/>
      <c r="F288" s="124"/>
    </row>
    <row r="289" spans="1:11" x14ac:dyDescent="0.2">
      <c r="B289" s="124"/>
      <c r="C289" s="124"/>
      <c r="D289" s="124"/>
      <c r="E289" s="124"/>
      <c r="F289" s="124"/>
    </row>
    <row r="290" spans="1:11" ht="15" x14ac:dyDescent="0.25">
      <c r="A290" s="141"/>
      <c r="B290" s="762"/>
      <c r="C290" s="762"/>
      <c r="D290" s="762"/>
      <c r="E290" s="762"/>
      <c r="F290" s="762"/>
      <c r="G290" s="762"/>
      <c r="H290" s="762"/>
      <c r="I290" s="762"/>
      <c r="J290" s="591"/>
      <c r="K290" s="591"/>
    </row>
    <row r="291" spans="1:11" ht="15" x14ac:dyDescent="0.25">
      <c r="A291" s="125"/>
      <c r="B291" s="696" t="s">
        <v>650</v>
      </c>
      <c r="C291" s="696"/>
      <c r="D291" s="696"/>
      <c r="E291" s="696"/>
      <c r="F291" s="696"/>
      <c r="G291" s="696"/>
      <c r="H291" s="696"/>
      <c r="I291" s="696"/>
      <c r="J291" s="136"/>
      <c r="K291" s="136"/>
    </row>
    <row r="292" spans="1:11" ht="15" x14ac:dyDescent="0.25">
      <c r="A292" s="125"/>
      <c r="B292" s="696" t="s">
        <v>41</v>
      </c>
      <c r="C292" s="696"/>
      <c r="D292" s="696"/>
      <c r="E292" s="696"/>
      <c r="F292" s="696"/>
      <c r="G292" s="696"/>
      <c r="H292" s="696"/>
      <c r="I292" s="696"/>
      <c r="J292" s="136"/>
      <c r="K292" s="136"/>
    </row>
    <row r="293" spans="1:11" ht="15" x14ac:dyDescent="0.25">
      <c r="A293" s="125"/>
      <c r="B293" s="742" t="s">
        <v>925</v>
      </c>
      <c r="C293" s="742"/>
      <c r="D293" s="742"/>
      <c r="E293" s="742"/>
      <c r="F293" s="742"/>
      <c r="G293" s="742"/>
      <c r="H293" s="742"/>
      <c r="I293" s="742"/>
      <c r="J293" s="136"/>
      <c r="K293" s="136"/>
    </row>
    <row r="294" spans="1:11" x14ac:dyDescent="0.2">
      <c r="A294" s="125"/>
      <c r="B294" s="124"/>
      <c r="C294" s="124"/>
      <c r="D294" s="124"/>
      <c r="E294" s="124"/>
      <c r="F294" s="124"/>
      <c r="J294" s="136"/>
      <c r="K294" s="136"/>
    </row>
    <row r="295" spans="1:11" x14ac:dyDescent="0.2">
      <c r="A295" s="125"/>
      <c r="B295" s="755" t="s">
        <v>30</v>
      </c>
      <c r="C295" s="756"/>
      <c r="D295" s="756"/>
      <c r="E295" s="757"/>
      <c r="F295" s="127"/>
      <c r="G295" s="201" t="s">
        <v>37</v>
      </c>
      <c r="H295" s="127"/>
      <c r="I295" s="201" t="s">
        <v>39</v>
      </c>
      <c r="J295" s="136"/>
      <c r="K295" s="136"/>
    </row>
    <row r="296" spans="1:11" x14ac:dyDescent="0.2">
      <c r="A296" s="125"/>
      <c r="B296" s="758"/>
      <c r="C296" s="759"/>
      <c r="D296" s="759"/>
      <c r="E296" s="760"/>
      <c r="F296" s="127"/>
      <c r="G296" s="202" t="s">
        <v>40</v>
      </c>
      <c r="H296" s="127"/>
      <c r="I296" s="202" t="s">
        <v>40</v>
      </c>
      <c r="J296" s="136"/>
      <c r="K296" s="136"/>
    </row>
    <row r="297" spans="1:11" x14ac:dyDescent="0.2">
      <c r="A297" s="125"/>
      <c r="B297" s="203" t="s">
        <v>893</v>
      </c>
      <c r="C297" s="203" t="s">
        <v>906</v>
      </c>
      <c r="D297" s="203"/>
      <c r="E297" s="124"/>
      <c r="F297" s="124"/>
      <c r="G297" s="204"/>
      <c r="H297" s="204"/>
      <c r="I297" s="204"/>
      <c r="J297" s="136"/>
      <c r="K297" s="136"/>
    </row>
    <row r="298" spans="1:11" x14ac:dyDescent="0.2">
      <c r="A298" s="125"/>
      <c r="B298" s="6"/>
      <c r="C298" s="128" t="s">
        <v>894</v>
      </c>
      <c r="D298" s="124"/>
      <c r="E298" s="124"/>
      <c r="F298" s="124"/>
      <c r="G298" s="204"/>
      <c r="H298" s="204"/>
      <c r="I298" s="204"/>
      <c r="J298" s="136"/>
      <c r="K298" s="136"/>
    </row>
    <row r="299" spans="1:11" x14ac:dyDescent="0.2">
      <c r="A299" s="125"/>
      <c r="B299" s="6"/>
      <c r="C299" s="124"/>
      <c r="D299" s="124">
        <v>1</v>
      </c>
      <c r="E299" s="124" t="s">
        <v>895</v>
      </c>
      <c r="F299" s="124"/>
      <c r="G299" s="204"/>
      <c r="H299" s="204"/>
      <c r="I299" s="204">
        <f>G299+I227</f>
        <v>0</v>
      </c>
      <c r="J299" s="136"/>
      <c r="K299" s="136"/>
    </row>
    <row r="300" spans="1:11" x14ac:dyDescent="0.2">
      <c r="A300" s="125"/>
      <c r="B300" s="6"/>
      <c r="C300" s="124"/>
      <c r="D300" s="124">
        <v>2</v>
      </c>
      <c r="E300" s="124" t="s">
        <v>896</v>
      </c>
      <c r="F300" s="124"/>
      <c r="G300" s="204"/>
      <c r="H300" s="204"/>
      <c r="I300" s="204">
        <f t="shared" ref="I300:I303" si="11">G300+I228</f>
        <v>0</v>
      </c>
      <c r="J300" s="136"/>
      <c r="K300" s="136"/>
    </row>
    <row r="301" spans="1:11" x14ac:dyDescent="0.2">
      <c r="A301" s="125"/>
      <c r="B301" s="6"/>
      <c r="C301" s="124"/>
      <c r="D301" s="124">
        <v>3</v>
      </c>
      <c r="E301" s="124" t="s">
        <v>897</v>
      </c>
      <c r="F301" s="124"/>
      <c r="G301" s="204"/>
      <c r="H301" s="204"/>
      <c r="I301" s="204">
        <f t="shared" si="11"/>
        <v>0</v>
      </c>
      <c r="J301" s="136"/>
      <c r="K301" s="136"/>
    </row>
    <row r="302" spans="1:11" x14ac:dyDescent="0.2">
      <c r="A302" s="125"/>
      <c r="B302" s="6"/>
      <c r="C302" s="124"/>
      <c r="D302" s="124">
        <v>4</v>
      </c>
      <c r="E302" s="124" t="s">
        <v>902</v>
      </c>
      <c r="F302" s="124"/>
      <c r="G302" s="204"/>
      <c r="H302" s="204"/>
      <c r="I302" s="204">
        <f t="shared" si="11"/>
        <v>0</v>
      </c>
      <c r="J302" s="136"/>
      <c r="K302" s="136"/>
    </row>
    <row r="303" spans="1:11" x14ac:dyDescent="0.2">
      <c r="A303" s="125"/>
      <c r="B303" s="6"/>
      <c r="C303" s="124"/>
      <c r="D303" s="124">
        <v>5</v>
      </c>
      <c r="E303" s="124" t="s">
        <v>898</v>
      </c>
      <c r="F303" s="124"/>
      <c r="G303" s="204"/>
      <c r="H303" s="204"/>
      <c r="I303" s="204">
        <f t="shared" si="11"/>
        <v>0</v>
      </c>
      <c r="J303" s="136"/>
      <c r="K303" s="136"/>
    </row>
    <row r="304" spans="1:11" x14ac:dyDescent="0.2">
      <c r="A304" s="125"/>
      <c r="B304" s="6"/>
      <c r="C304" s="124"/>
      <c r="D304" s="124"/>
      <c r="E304" s="124"/>
      <c r="F304" s="124"/>
      <c r="G304" s="204"/>
      <c r="H304" s="204"/>
      <c r="I304" s="204"/>
      <c r="J304" s="136"/>
      <c r="K304" s="136"/>
    </row>
    <row r="305" spans="1:11" x14ac:dyDescent="0.2">
      <c r="A305" s="125"/>
      <c r="B305" s="6"/>
      <c r="C305" s="128"/>
      <c r="D305" s="128" t="s">
        <v>55</v>
      </c>
      <c r="E305" s="128"/>
      <c r="F305" s="124"/>
      <c r="G305" s="205">
        <f>SUM(G299:G303)</f>
        <v>0</v>
      </c>
      <c r="H305" s="204"/>
      <c r="I305" s="205">
        <f>SUM(I299:I303)</f>
        <v>0</v>
      </c>
      <c r="J305" s="136"/>
      <c r="K305" s="136"/>
    </row>
    <row r="306" spans="1:11" x14ac:dyDescent="0.2">
      <c r="A306" s="125"/>
      <c r="B306" s="6"/>
      <c r="C306" s="128"/>
      <c r="D306" s="128"/>
      <c r="E306" s="128"/>
      <c r="F306" s="124"/>
      <c r="G306" s="149"/>
      <c r="H306" s="204"/>
      <c r="I306" s="149"/>
      <c r="J306" s="136"/>
      <c r="K306" s="136"/>
    </row>
    <row r="307" spans="1:11" x14ac:dyDescent="0.2">
      <c r="A307" s="125"/>
      <c r="B307" s="6"/>
      <c r="C307" s="128" t="s">
        <v>899</v>
      </c>
      <c r="D307" s="124"/>
      <c r="E307" s="124"/>
      <c r="F307" s="124"/>
      <c r="G307" s="204"/>
      <c r="H307" s="204"/>
      <c r="I307" s="204"/>
      <c r="J307" s="136"/>
      <c r="K307" s="136"/>
    </row>
    <row r="308" spans="1:11" x14ac:dyDescent="0.2">
      <c r="A308" s="125"/>
      <c r="B308" s="6"/>
      <c r="C308" s="124"/>
      <c r="D308" s="124">
        <v>1</v>
      </c>
      <c r="E308" s="206" t="s">
        <v>328</v>
      </c>
      <c r="F308" s="124"/>
      <c r="G308" s="204"/>
      <c r="H308" s="204"/>
      <c r="I308" s="204">
        <f>G308+I236</f>
        <v>0</v>
      </c>
      <c r="J308" s="136"/>
      <c r="K308" s="136"/>
    </row>
    <row r="309" spans="1:11" x14ac:dyDescent="0.2">
      <c r="A309" s="125"/>
      <c r="B309" s="6"/>
      <c r="C309" s="124"/>
      <c r="D309" s="124">
        <v>2</v>
      </c>
      <c r="E309" s="206" t="s">
        <v>329</v>
      </c>
      <c r="F309" s="124"/>
      <c r="G309" s="204"/>
      <c r="H309" s="204"/>
      <c r="I309" s="204">
        <f t="shared" ref="I309:I314" si="12">G309+I237</f>
        <v>0</v>
      </c>
      <c r="J309" s="136"/>
      <c r="K309" s="136"/>
    </row>
    <row r="310" spans="1:11" x14ac:dyDescent="0.2">
      <c r="A310" s="125"/>
      <c r="B310" s="6"/>
      <c r="C310" s="124"/>
      <c r="D310" s="124">
        <v>3</v>
      </c>
      <c r="E310" s="206" t="s">
        <v>900</v>
      </c>
      <c r="F310" s="134"/>
      <c r="G310" s="204"/>
      <c r="H310" s="204"/>
      <c r="I310" s="204">
        <f t="shared" si="12"/>
        <v>1200000</v>
      </c>
      <c r="J310" s="136"/>
      <c r="K310" s="136"/>
    </row>
    <row r="311" spans="1:11" x14ac:dyDescent="0.2">
      <c r="A311" s="125"/>
      <c r="B311" s="6"/>
      <c r="C311" s="124"/>
      <c r="D311" s="124">
        <v>4</v>
      </c>
      <c r="E311" s="206" t="s">
        <v>901</v>
      </c>
      <c r="F311" s="124"/>
      <c r="G311" s="204"/>
      <c r="H311" s="204"/>
      <c r="I311" s="204">
        <f t="shared" si="12"/>
        <v>0</v>
      </c>
      <c r="J311" s="136"/>
      <c r="K311" s="136"/>
    </row>
    <row r="312" spans="1:11" x14ac:dyDescent="0.2">
      <c r="A312" s="125"/>
      <c r="B312" s="6"/>
      <c r="C312" s="124"/>
      <c r="D312" s="124">
        <v>5</v>
      </c>
      <c r="E312" s="206" t="s">
        <v>887</v>
      </c>
      <c r="F312" s="134"/>
      <c r="G312" s="204"/>
      <c r="H312" s="204"/>
      <c r="I312" s="204">
        <f t="shared" si="12"/>
        <v>0</v>
      </c>
      <c r="J312" s="136"/>
      <c r="K312" s="136"/>
    </row>
    <row r="313" spans="1:11" x14ac:dyDescent="0.2">
      <c r="A313" s="125"/>
      <c r="B313" s="6"/>
      <c r="C313" s="124"/>
      <c r="D313" s="124">
        <v>6</v>
      </c>
      <c r="E313" s="206" t="s">
        <v>903</v>
      </c>
      <c r="F313" s="134"/>
      <c r="G313" s="204"/>
      <c r="H313" s="204"/>
      <c r="I313" s="204">
        <f t="shared" si="12"/>
        <v>0</v>
      </c>
      <c r="J313" s="136"/>
      <c r="K313" s="136"/>
    </row>
    <row r="314" spans="1:11" x14ac:dyDescent="0.2">
      <c r="A314" s="125"/>
      <c r="B314" s="6"/>
      <c r="C314" s="124"/>
      <c r="D314" s="124">
        <v>7</v>
      </c>
      <c r="E314" s="206" t="s">
        <v>904</v>
      </c>
      <c r="F314" s="134"/>
      <c r="G314" s="204"/>
      <c r="H314" s="204"/>
      <c r="I314" s="204">
        <f t="shared" si="12"/>
        <v>0</v>
      </c>
      <c r="J314" s="136"/>
      <c r="K314" s="136"/>
    </row>
    <row r="315" spans="1:11" x14ac:dyDescent="0.2">
      <c r="A315" s="125"/>
      <c r="B315" s="134"/>
      <c r="C315" s="128"/>
      <c r="D315" s="124"/>
      <c r="E315" s="206"/>
      <c r="F315" s="124"/>
      <c r="G315" s="204"/>
      <c r="H315" s="204"/>
      <c r="I315" s="204"/>
      <c r="J315" s="136"/>
      <c r="K315" s="136"/>
    </row>
    <row r="316" spans="1:11" x14ac:dyDescent="0.2">
      <c r="A316" s="125"/>
      <c r="B316" s="6"/>
      <c r="C316" s="124"/>
      <c r="D316" s="128" t="s">
        <v>67</v>
      </c>
      <c r="E316" s="127"/>
      <c r="F316" s="208"/>
      <c r="G316" s="205">
        <f>SUM(G308:G315)</f>
        <v>0</v>
      </c>
      <c r="H316" s="204"/>
      <c r="I316" s="205">
        <f>SUM(I308:I315)</f>
        <v>1200000</v>
      </c>
      <c r="J316" s="136"/>
      <c r="K316" s="136"/>
    </row>
    <row r="317" spans="1:11" x14ac:dyDescent="0.2">
      <c r="A317" s="125"/>
      <c r="B317" s="6"/>
      <c r="C317" s="124"/>
      <c r="D317" s="124"/>
      <c r="E317" s="124"/>
      <c r="F317" s="124"/>
      <c r="G317" s="204"/>
      <c r="H317" s="204"/>
      <c r="I317" s="204"/>
      <c r="J317" s="136"/>
      <c r="K317" s="136"/>
    </row>
    <row r="318" spans="1:11" x14ac:dyDescent="0.2">
      <c r="A318" s="125"/>
      <c r="B318" s="6"/>
      <c r="C318" s="128" t="s">
        <v>905</v>
      </c>
      <c r="D318" s="128"/>
      <c r="E318" s="128"/>
      <c r="F318" s="124"/>
      <c r="G318" s="488">
        <f>G305-G316</f>
        <v>0</v>
      </c>
      <c r="H318" s="204"/>
      <c r="I318" s="488">
        <f>I305-I316</f>
        <v>-1200000</v>
      </c>
      <c r="K318" s="136"/>
    </row>
    <row r="319" spans="1:11" x14ac:dyDescent="0.2">
      <c r="A319" s="125"/>
      <c r="B319" s="6"/>
      <c r="C319" s="124"/>
      <c r="D319" s="124"/>
      <c r="E319" s="124"/>
      <c r="F319" s="124"/>
      <c r="G319" s="204"/>
      <c r="H319" s="204"/>
      <c r="I319" s="204"/>
      <c r="J319" s="136"/>
      <c r="K319" s="136"/>
    </row>
    <row r="320" spans="1:11" x14ac:dyDescent="0.2">
      <c r="A320" s="125"/>
      <c r="B320" s="203" t="s">
        <v>907</v>
      </c>
      <c r="C320" s="203" t="s">
        <v>908</v>
      </c>
      <c r="D320" s="151"/>
      <c r="E320" s="134"/>
      <c r="F320" s="134"/>
      <c r="G320" s="204"/>
      <c r="H320" s="204"/>
      <c r="I320" s="204"/>
      <c r="J320" s="136"/>
      <c r="K320" s="136"/>
    </row>
    <row r="321" spans="1:11" x14ac:dyDescent="0.2">
      <c r="A321" s="125"/>
      <c r="B321" s="134"/>
      <c r="C321" s="128"/>
      <c r="D321" s="124" t="s">
        <v>909</v>
      </c>
      <c r="E321" s="124"/>
      <c r="F321" s="124"/>
      <c r="G321" s="204"/>
      <c r="H321" s="204"/>
      <c r="I321" s="204">
        <f>G321+I249</f>
        <v>0</v>
      </c>
      <c r="J321" s="136"/>
      <c r="K321" s="136"/>
    </row>
    <row r="322" spans="1:11" x14ac:dyDescent="0.2">
      <c r="A322" s="125"/>
      <c r="B322" s="6"/>
      <c r="C322" s="128" t="s">
        <v>910</v>
      </c>
      <c r="D322" s="151"/>
      <c r="E322" s="151"/>
      <c r="F322" s="151"/>
      <c r="G322" s="205">
        <f>SUM(G321)</f>
        <v>0</v>
      </c>
      <c r="H322" s="149"/>
      <c r="I322" s="205">
        <f>SUM(I321)</f>
        <v>0</v>
      </c>
      <c r="J322" s="136"/>
      <c r="K322" s="136"/>
    </row>
    <row r="323" spans="1:11" x14ac:dyDescent="0.2">
      <c r="A323" s="125"/>
      <c r="B323" s="6"/>
      <c r="C323" s="694"/>
      <c r="D323" s="694"/>
      <c r="E323" s="694"/>
      <c r="F323" s="124"/>
      <c r="G323" s="433"/>
      <c r="H323" s="210"/>
      <c r="I323" s="433"/>
      <c r="J323" s="136"/>
      <c r="K323" s="136"/>
    </row>
    <row r="324" spans="1:11" x14ac:dyDescent="0.2">
      <c r="A324" s="125"/>
      <c r="B324" s="203" t="s">
        <v>911</v>
      </c>
      <c r="C324" s="203" t="s">
        <v>912</v>
      </c>
      <c r="D324" s="124"/>
      <c r="E324" s="124"/>
      <c r="F324" s="124"/>
      <c r="G324" s="210"/>
      <c r="H324" s="210"/>
      <c r="I324" s="210"/>
      <c r="J324" s="136"/>
      <c r="K324" s="136"/>
    </row>
    <row r="325" spans="1:11" x14ac:dyDescent="0.2">
      <c r="A325" s="125"/>
      <c r="B325" s="195"/>
      <c r="C325" s="195"/>
      <c r="D325" s="124" t="s">
        <v>913</v>
      </c>
      <c r="E325" s="195"/>
      <c r="F325" s="134"/>
      <c r="G325" s="433"/>
      <c r="H325" s="210"/>
      <c r="I325" s="204">
        <f>G325+I254</f>
        <v>0</v>
      </c>
      <c r="J325" s="136"/>
      <c r="K325" s="136"/>
    </row>
    <row r="326" spans="1:11" x14ac:dyDescent="0.2">
      <c r="A326" s="125"/>
      <c r="B326" s="203"/>
      <c r="C326" s="124"/>
      <c r="D326" s="124" t="s">
        <v>914</v>
      </c>
      <c r="E326" s="124"/>
      <c r="F326" s="124"/>
      <c r="G326" s="204"/>
      <c r="H326" s="204"/>
      <c r="I326" s="204">
        <f t="shared" ref="I326:I328" si="13">G326+I255</f>
        <v>0</v>
      </c>
      <c r="J326" s="136"/>
      <c r="K326" s="136"/>
    </row>
    <row r="327" spans="1:11" x14ac:dyDescent="0.2">
      <c r="A327" s="125"/>
      <c r="B327" s="6"/>
      <c r="C327" s="124"/>
      <c r="D327" s="151" t="s">
        <v>915</v>
      </c>
      <c r="E327" s="134"/>
      <c r="F327" s="134"/>
      <c r="G327" s="204"/>
      <c r="H327" s="204"/>
      <c r="I327" s="204">
        <f t="shared" si="13"/>
        <v>0</v>
      </c>
      <c r="J327" s="136"/>
      <c r="K327" s="136"/>
    </row>
    <row r="328" spans="1:11" x14ac:dyDescent="0.2">
      <c r="A328" s="125"/>
      <c r="B328" s="134"/>
      <c r="C328" s="128"/>
      <c r="D328" s="124" t="s">
        <v>916</v>
      </c>
      <c r="E328" s="124"/>
      <c r="F328" s="124"/>
      <c r="G328" s="593"/>
      <c r="H328" s="204"/>
      <c r="I328" s="204">
        <f t="shared" si="13"/>
        <v>0</v>
      </c>
      <c r="J328" s="136"/>
      <c r="K328" s="136"/>
    </row>
    <row r="329" spans="1:11" x14ac:dyDescent="0.2">
      <c r="A329" s="125"/>
      <c r="B329" s="6"/>
      <c r="C329" s="128" t="s">
        <v>917</v>
      </c>
      <c r="D329" s="151"/>
      <c r="E329" s="151"/>
      <c r="F329" s="151"/>
      <c r="G329" s="596">
        <f>SUM(G325:G328)</f>
        <v>0</v>
      </c>
      <c r="H329" s="204"/>
      <c r="I329" s="596">
        <f>SUM(I325:I328)</f>
        <v>0</v>
      </c>
      <c r="J329" s="136"/>
      <c r="K329" s="136"/>
    </row>
    <row r="330" spans="1:11" x14ac:dyDescent="0.2">
      <c r="A330" s="125"/>
      <c r="B330" s="6"/>
      <c r="C330" s="124"/>
      <c r="D330" s="124"/>
      <c r="E330" s="124"/>
      <c r="F330" s="124"/>
      <c r="G330" s="593"/>
      <c r="H330" s="204"/>
      <c r="I330" s="204"/>
      <c r="J330" s="136"/>
      <c r="K330" s="136"/>
    </row>
    <row r="331" spans="1:11" x14ac:dyDescent="0.2">
      <c r="A331" s="125"/>
      <c r="B331" s="203" t="s">
        <v>918</v>
      </c>
      <c r="C331" s="203" t="s">
        <v>919</v>
      </c>
      <c r="D331" s="130"/>
      <c r="E331" s="130"/>
      <c r="F331" s="124"/>
      <c r="G331" s="149">
        <f>G318-G322+G329</f>
        <v>0</v>
      </c>
      <c r="H331" s="204"/>
      <c r="I331" s="149">
        <f>I318-I322+I329</f>
        <v>-1200000</v>
      </c>
      <c r="J331" s="136"/>
      <c r="K331" s="136"/>
    </row>
    <row r="332" spans="1:11" x14ac:dyDescent="0.2">
      <c r="A332" s="125"/>
      <c r="B332" s="6"/>
      <c r="C332" s="124"/>
      <c r="D332" s="124"/>
      <c r="E332" s="124"/>
      <c r="F332" s="124"/>
      <c r="G332" s="204"/>
      <c r="H332" s="204"/>
      <c r="I332" s="204"/>
      <c r="J332" s="136"/>
      <c r="K332" s="136"/>
    </row>
    <row r="333" spans="1:11" x14ac:dyDescent="0.2">
      <c r="A333" s="125"/>
      <c r="B333" s="203" t="s">
        <v>920</v>
      </c>
      <c r="C333" s="203" t="s">
        <v>921</v>
      </c>
      <c r="D333" s="130"/>
      <c r="E333" s="124"/>
      <c r="F333" s="124"/>
      <c r="G333" s="149">
        <f>G263</f>
        <v>1311051855.8000002</v>
      </c>
      <c r="H333" s="149"/>
      <c r="I333" s="149">
        <v>1312251855.8000002</v>
      </c>
      <c r="J333" s="136"/>
      <c r="K333" s="136"/>
    </row>
    <row r="334" spans="1:11" x14ac:dyDescent="0.2">
      <c r="A334" s="125"/>
      <c r="B334" s="6"/>
      <c r="C334" s="124"/>
      <c r="D334" s="124"/>
      <c r="E334" s="124"/>
      <c r="F334" s="124"/>
      <c r="G334" s="149"/>
      <c r="H334" s="149"/>
      <c r="I334" s="149"/>
      <c r="J334" s="136"/>
      <c r="K334" s="136"/>
    </row>
    <row r="335" spans="1:11" x14ac:dyDescent="0.2">
      <c r="A335" s="125"/>
      <c r="B335" s="134" t="s">
        <v>922</v>
      </c>
      <c r="C335" s="128" t="s">
        <v>921</v>
      </c>
      <c r="D335" s="124"/>
      <c r="E335" s="124"/>
      <c r="F335" s="124"/>
      <c r="G335" s="149">
        <f>G331+G333</f>
        <v>1311051855.8000002</v>
      </c>
      <c r="H335" s="149"/>
      <c r="I335" s="149">
        <f>I331+I333</f>
        <v>1311051855.8000002</v>
      </c>
      <c r="J335" s="136"/>
      <c r="K335" s="136"/>
    </row>
    <row r="336" spans="1:11" x14ac:dyDescent="0.2">
      <c r="A336" s="120"/>
      <c r="B336" s="119"/>
      <c r="C336" s="119"/>
      <c r="D336" s="119"/>
      <c r="E336" s="119"/>
      <c r="F336" s="119"/>
      <c r="G336" s="218"/>
      <c r="H336" s="218"/>
      <c r="I336" s="218"/>
      <c r="J336" s="594"/>
      <c r="K336" s="594"/>
    </row>
    <row r="337" spans="1:11" x14ac:dyDescent="0.2">
      <c r="A337" s="761"/>
      <c r="B337" s="761"/>
      <c r="C337" s="761"/>
      <c r="D337" s="761"/>
      <c r="E337" s="761"/>
      <c r="F337" s="124"/>
      <c r="G337" s="219">
        <f>'Lap. Perputaran Uang '!I342</f>
        <v>0</v>
      </c>
      <c r="H337" s="219"/>
      <c r="I337" s="219"/>
    </row>
    <row r="338" spans="1:11" x14ac:dyDescent="0.2">
      <c r="A338" s="697" t="s">
        <v>579</v>
      </c>
      <c r="B338" s="697"/>
      <c r="C338" s="697"/>
      <c r="D338" s="697"/>
      <c r="E338" s="697"/>
      <c r="F338" s="697" t="s">
        <v>566</v>
      </c>
      <c r="G338" s="697"/>
      <c r="H338" s="697"/>
      <c r="I338" s="697"/>
      <c r="J338" s="697"/>
      <c r="K338" s="697"/>
    </row>
    <row r="339" spans="1:11" x14ac:dyDescent="0.2">
      <c r="A339" s="697" t="s">
        <v>678</v>
      </c>
      <c r="B339" s="697"/>
      <c r="C339" s="697"/>
      <c r="D339" s="697"/>
      <c r="E339" s="697"/>
      <c r="F339" s="697" t="s">
        <v>681</v>
      </c>
      <c r="G339" s="697"/>
      <c r="H339" s="697"/>
      <c r="I339" s="697"/>
      <c r="J339" s="697"/>
      <c r="K339" s="697"/>
    </row>
    <row r="340" spans="1:11" x14ac:dyDescent="0.2">
      <c r="A340" s="697"/>
      <c r="B340" s="697"/>
      <c r="C340" s="697"/>
      <c r="D340" s="697"/>
      <c r="E340" s="697"/>
      <c r="F340" s="697"/>
      <c r="G340" s="697"/>
      <c r="H340" s="697"/>
      <c r="I340" s="697"/>
      <c r="J340" s="697"/>
      <c r="K340" s="697"/>
    </row>
    <row r="341" spans="1:11" x14ac:dyDescent="0.2">
      <c r="A341" s="697"/>
      <c r="B341" s="697"/>
      <c r="C341" s="697"/>
      <c r="D341" s="697"/>
      <c r="E341" s="697"/>
      <c r="F341" s="697"/>
      <c r="G341" s="697"/>
      <c r="H341" s="697"/>
      <c r="I341" s="697"/>
      <c r="J341" s="697"/>
      <c r="K341" s="697"/>
    </row>
    <row r="342" spans="1:11" x14ac:dyDescent="0.2">
      <c r="A342" s="697" t="s">
        <v>655</v>
      </c>
      <c r="B342" s="697"/>
      <c r="C342" s="697"/>
      <c r="D342" s="697"/>
      <c r="E342" s="697"/>
      <c r="F342" s="697" t="s">
        <v>567</v>
      </c>
      <c r="G342" s="697"/>
      <c r="H342" s="697"/>
      <c r="I342" s="697"/>
      <c r="J342" s="697"/>
      <c r="K342" s="697"/>
    </row>
    <row r="343" spans="1:11" x14ac:dyDescent="0.2">
      <c r="A343" s="697"/>
      <c r="B343" s="697"/>
      <c r="C343" s="697"/>
      <c r="D343" s="697"/>
      <c r="E343" s="697"/>
      <c r="F343" s="697"/>
      <c r="G343" s="697"/>
      <c r="H343" s="697"/>
      <c r="I343" s="697"/>
      <c r="J343" s="697"/>
      <c r="K343" s="697"/>
    </row>
    <row r="344" spans="1:11" x14ac:dyDescent="0.2">
      <c r="A344" s="697"/>
      <c r="B344" s="697"/>
      <c r="C344" s="697"/>
      <c r="D344" s="697"/>
      <c r="E344" s="697"/>
      <c r="F344" s="697"/>
      <c r="G344" s="697"/>
      <c r="H344" s="697"/>
      <c r="I344" s="697"/>
      <c r="J344" s="697"/>
      <c r="K344" s="697"/>
    </row>
    <row r="360" spans="1:11" x14ac:dyDescent="0.2">
      <c r="A360" s="728" t="s">
        <v>890</v>
      </c>
      <c r="B360" s="728"/>
      <c r="C360" s="590" t="s">
        <v>891</v>
      </c>
      <c r="D360" s="124"/>
      <c r="E360" s="124"/>
      <c r="F360" s="124"/>
    </row>
    <row r="361" spans="1:11" x14ac:dyDescent="0.2">
      <c r="B361" s="124"/>
      <c r="C361" s="124"/>
      <c r="D361" s="124"/>
      <c r="E361" s="124"/>
      <c r="F361" s="124"/>
    </row>
    <row r="362" spans="1:11" ht="15" x14ac:dyDescent="0.25">
      <c r="A362" s="141"/>
      <c r="B362" s="762"/>
      <c r="C362" s="762"/>
      <c r="D362" s="762"/>
      <c r="E362" s="762"/>
      <c r="F362" s="762"/>
      <c r="G362" s="762"/>
      <c r="H362" s="762"/>
      <c r="I362" s="762"/>
      <c r="J362" s="591"/>
      <c r="K362" s="591"/>
    </row>
    <row r="363" spans="1:11" ht="15" x14ac:dyDescent="0.25">
      <c r="A363" s="125"/>
      <c r="B363" s="696" t="s">
        <v>650</v>
      </c>
      <c r="C363" s="696"/>
      <c r="D363" s="696"/>
      <c r="E363" s="696"/>
      <c r="F363" s="696"/>
      <c r="G363" s="696"/>
      <c r="H363" s="696"/>
      <c r="I363" s="696"/>
      <c r="J363" s="136"/>
      <c r="K363" s="136"/>
    </row>
    <row r="364" spans="1:11" ht="15" x14ac:dyDescent="0.25">
      <c r="A364" s="125"/>
      <c r="B364" s="696" t="s">
        <v>41</v>
      </c>
      <c r="C364" s="696"/>
      <c r="D364" s="696"/>
      <c r="E364" s="696"/>
      <c r="F364" s="696"/>
      <c r="G364" s="696"/>
      <c r="H364" s="696"/>
      <c r="I364" s="696"/>
      <c r="J364" s="136"/>
      <c r="K364" s="136"/>
    </row>
    <row r="365" spans="1:11" ht="15" x14ac:dyDescent="0.25">
      <c r="A365" s="125"/>
      <c r="B365" s="742" t="s">
        <v>926</v>
      </c>
      <c r="C365" s="742"/>
      <c r="D365" s="742"/>
      <c r="E365" s="742"/>
      <c r="F365" s="742"/>
      <c r="G365" s="742"/>
      <c r="H365" s="742"/>
      <c r="I365" s="742"/>
      <c r="J365" s="136"/>
      <c r="K365" s="136"/>
    </row>
    <row r="366" spans="1:11" x14ac:dyDescent="0.2">
      <c r="A366" s="125"/>
      <c r="B366" s="124"/>
      <c r="C366" s="124"/>
      <c r="D366" s="124"/>
      <c r="E366" s="124"/>
      <c r="F366" s="124"/>
      <c r="J366" s="136"/>
      <c r="K366" s="136"/>
    </row>
    <row r="367" spans="1:11" x14ac:dyDescent="0.2">
      <c r="A367" s="125"/>
      <c r="B367" s="755" t="s">
        <v>30</v>
      </c>
      <c r="C367" s="756"/>
      <c r="D367" s="756"/>
      <c r="E367" s="757"/>
      <c r="F367" s="127"/>
      <c r="G367" s="201" t="s">
        <v>37</v>
      </c>
      <c r="H367" s="127"/>
      <c r="I367" s="201" t="s">
        <v>39</v>
      </c>
      <c r="J367" s="136"/>
      <c r="K367" s="136"/>
    </row>
    <row r="368" spans="1:11" x14ac:dyDescent="0.2">
      <c r="A368" s="125"/>
      <c r="B368" s="758"/>
      <c r="C368" s="759"/>
      <c r="D368" s="759"/>
      <c r="E368" s="760"/>
      <c r="F368" s="127"/>
      <c r="G368" s="202" t="s">
        <v>40</v>
      </c>
      <c r="H368" s="127"/>
      <c r="I368" s="202" t="s">
        <v>40</v>
      </c>
      <c r="J368" s="136"/>
      <c r="K368" s="136"/>
    </row>
    <row r="369" spans="1:11" x14ac:dyDescent="0.2">
      <c r="A369" s="125"/>
      <c r="B369" s="203" t="s">
        <v>893</v>
      </c>
      <c r="C369" s="203" t="s">
        <v>906</v>
      </c>
      <c r="D369" s="203"/>
      <c r="E369" s="124"/>
      <c r="F369" s="124"/>
      <c r="G369" s="204"/>
      <c r="H369" s="204"/>
      <c r="I369" s="204"/>
      <c r="J369" s="136"/>
      <c r="K369" s="136"/>
    </row>
    <row r="370" spans="1:11" x14ac:dyDescent="0.2">
      <c r="A370" s="125"/>
      <c r="B370" s="6"/>
      <c r="C370" s="128" t="s">
        <v>894</v>
      </c>
      <c r="D370" s="124"/>
      <c r="E370" s="124"/>
      <c r="F370" s="124"/>
      <c r="G370" s="204"/>
      <c r="H370" s="204"/>
      <c r="I370" s="204"/>
      <c r="J370" s="136"/>
      <c r="K370" s="136"/>
    </row>
    <row r="371" spans="1:11" x14ac:dyDescent="0.2">
      <c r="A371" s="125"/>
      <c r="B371" s="6"/>
      <c r="C371" s="124"/>
      <c r="D371" s="124">
        <v>1</v>
      </c>
      <c r="E371" s="124" t="s">
        <v>895</v>
      </c>
      <c r="F371" s="124"/>
      <c r="G371" s="204"/>
      <c r="H371" s="204"/>
      <c r="I371" s="204">
        <f>G371+I299</f>
        <v>0</v>
      </c>
      <c r="J371" s="136"/>
      <c r="K371" s="136"/>
    </row>
    <row r="372" spans="1:11" x14ac:dyDescent="0.2">
      <c r="A372" s="125"/>
      <c r="B372" s="6"/>
      <c r="C372" s="124"/>
      <c r="D372" s="124">
        <v>2</v>
      </c>
      <c r="E372" s="124" t="s">
        <v>896</v>
      </c>
      <c r="F372" s="124"/>
      <c r="G372" s="204"/>
      <c r="H372" s="204"/>
      <c r="I372" s="204">
        <f t="shared" ref="I372:I375" si="14">G372+I300</f>
        <v>0</v>
      </c>
      <c r="J372" s="136"/>
      <c r="K372" s="136"/>
    </row>
    <row r="373" spans="1:11" x14ac:dyDescent="0.2">
      <c r="A373" s="125"/>
      <c r="B373" s="6"/>
      <c r="C373" s="124"/>
      <c r="D373" s="124">
        <v>3</v>
      </c>
      <c r="E373" s="124" t="s">
        <v>897</v>
      </c>
      <c r="F373" s="124"/>
      <c r="G373" s="204"/>
      <c r="H373" s="204"/>
      <c r="I373" s="204">
        <f t="shared" si="14"/>
        <v>0</v>
      </c>
      <c r="J373" s="136"/>
      <c r="K373" s="136"/>
    </row>
    <row r="374" spans="1:11" x14ac:dyDescent="0.2">
      <c r="A374" s="125"/>
      <c r="B374" s="6"/>
      <c r="C374" s="124"/>
      <c r="D374" s="124">
        <v>4</v>
      </c>
      <c r="E374" s="124" t="s">
        <v>902</v>
      </c>
      <c r="F374" s="124"/>
      <c r="G374" s="204"/>
      <c r="H374" s="204"/>
      <c r="I374" s="204">
        <f t="shared" si="14"/>
        <v>0</v>
      </c>
      <c r="J374" s="136"/>
      <c r="K374" s="136"/>
    </row>
    <row r="375" spans="1:11" x14ac:dyDescent="0.2">
      <c r="A375" s="125"/>
      <c r="B375" s="6"/>
      <c r="C375" s="124"/>
      <c r="D375" s="124">
        <v>5</v>
      </c>
      <c r="E375" s="124" t="s">
        <v>898</v>
      </c>
      <c r="F375" s="124"/>
      <c r="G375" s="204"/>
      <c r="H375" s="204"/>
      <c r="I375" s="204">
        <f t="shared" si="14"/>
        <v>0</v>
      </c>
      <c r="J375" s="136"/>
      <c r="K375" s="136"/>
    </row>
    <row r="376" spans="1:11" x14ac:dyDescent="0.2">
      <c r="A376" s="125"/>
      <c r="B376" s="6"/>
      <c r="C376" s="124"/>
      <c r="D376" s="124"/>
      <c r="E376" s="124"/>
      <c r="F376" s="124"/>
      <c r="G376" s="204"/>
      <c r="H376" s="204"/>
      <c r="I376" s="204"/>
      <c r="J376" s="136"/>
      <c r="K376" s="136"/>
    </row>
    <row r="377" spans="1:11" x14ac:dyDescent="0.2">
      <c r="A377" s="125"/>
      <c r="B377" s="6"/>
      <c r="C377" s="128"/>
      <c r="D377" s="128" t="s">
        <v>55</v>
      </c>
      <c r="E377" s="128"/>
      <c r="F377" s="124"/>
      <c r="G377" s="205">
        <f>SUM(G371:G375)</f>
        <v>0</v>
      </c>
      <c r="H377" s="204"/>
      <c r="I377" s="205">
        <f>SUM(I371:I375)</f>
        <v>0</v>
      </c>
      <c r="J377" s="136"/>
      <c r="K377" s="136"/>
    </row>
    <row r="378" spans="1:11" x14ac:dyDescent="0.2">
      <c r="A378" s="125"/>
      <c r="B378" s="6"/>
      <c r="C378" s="128"/>
      <c r="D378" s="128"/>
      <c r="E378" s="128"/>
      <c r="F378" s="124"/>
      <c r="G378" s="149"/>
      <c r="H378" s="204"/>
      <c r="I378" s="149"/>
      <c r="J378" s="136"/>
      <c r="K378" s="136"/>
    </row>
    <row r="379" spans="1:11" x14ac:dyDescent="0.2">
      <c r="A379" s="125"/>
      <c r="B379" s="6"/>
      <c r="C379" s="128" t="s">
        <v>899</v>
      </c>
      <c r="D379" s="124"/>
      <c r="E379" s="124"/>
      <c r="F379" s="124"/>
      <c r="G379" s="204"/>
      <c r="H379" s="204"/>
      <c r="I379" s="204"/>
      <c r="J379" s="136"/>
      <c r="K379" s="136"/>
    </row>
    <row r="380" spans="1:11" x14ac:dyDescent="0.2">
      <c r="A380" s="125"/>
      <c r="B380" s="6"/>
      <c r="C380" s="124"/>
      <c r="D380" s="124">
        <v>1</v>
      </c>
      <c r="E380" s="206" t="s">
        <v>328</v>
      </c>
      <c r="F380" s="124"/>
      <c r="G380" s="204"/>
      <c r="H380" s="204"/>
      <c r="I380" s="204">
        <f>G380+I308</f>
        <v>0</v>
      </c>
      <c r="J380" s="136"/>
      <c r="K380" s="136"/>
    </row>
    <row r="381" spans="1:11" x14ac:dyDescent="0.2">
      <c r="A381" s="125"/>
      <c r="B381" s="6"/>
      <c r="C381" s="124"/>
      <c r="D381" s="124">
        <v>2</v>
      </c>
      <c r="E381" s="206" t="s">
        <v>329</v>
      </c>
      <c r="F381" s="124"/>
      <c r="G381" s="204"/>
      <c r="H381" s="204"/>
      <c r="I381" s="204">
        <f t="shared" ref="I381:I386" si="15">G381+I309</f>
        <v>0</v>
      </c>
      <c r="J381" s="136"/>
      <c r="K381" s="136"/>
    </row>
    <row r="382" spans="1:11" x14ac:dyDescent="0.2">
      <c r="A382" s="125"/>
      <c r="B382" s="6"/>
      <c r="C382" s="124"/>
      <c r="D382" s="124">
        <v>3</v>
      </c>
      <c r="E382" s="206" t="s">
        <v>900</v>
      </c>
      <c r="F382" s="134"/>
      <c r="G382" s="204"/>
      <c r="H382" s="204"/>
      <c r="I382" s="204">
        <f t="shared" si="15"/>
        <v>1200000</v>
      </c>
      <c r="J382" s="136"/>
      <c r="K382" s="136"/>
    </row>
    <row r="383" spans="1:11" x14ac:dyDescent="0.2">
      <c r="A383" s="125"/>
      <c r="B383" s="6"/>
      <c r="C383" s="124"/>
      <c r="D383" s="124">
        <v>4</v>
      </c>
      <c r="E383" s="206" t="s">
        <v>901</v>
      </c>
      <c r="F383" s="124"/>
      <c r="G383" s="204"/>
      <c r="H383" s="204"/>
      <c r="I383" s="204">
        <f t="shared" si="15"/>
        <v>0</v>
      </c>
      <c r="J383" s="136"/>
      <c r="K383" s="136"/>
    </row>
    <row r="384" spans="1:11" x14ac:dyDescent="0.2">
      <c r="A384" s="125"/>
      <c r="B384" s="6"/>
      <c r="C384" s="124"/>
      <c r="D384" s="124">
        <v>5</v>
      </c>
      <c r="E384" s="206" t="s">
        <v>887</v>
      </c>
      <c r="F384" s="134"/>
      <c r="G384" s="204"/>
      <c r="H384" s="204"/>
      <c r="I384" s="204">
        <f t="shared" si="15"/>
        <v>0</v>
      </c>
      <c r="J384" s="136"/>
      <c r="K384" s="136"/>
    </row>
    <row r="385" spans="1:11" x14ac:dyDescent="0.2">
      <c r="A385" s="125"/>
      <c r="B385" s="6"/>
      <c r="C385" s="124"/>
      <c r="D385" s="124">
        <v>6</v>
      </c>
      <c r="E385" s="206" t="s">
        <v>903</v>
      </c>
      <c r="F385" s="134"/>
      <c r="G385" s="204"/>
      <c r="H385" s="204"/>
      <c r="I385" s="204">
        <f t="shared" si="15"/>
        <v>0</v>
      </c>
      <c r="J385" s="136"/>
      <c r="K385" s="136"/>
    </row>
    <row r="386" spans="1:11" x14ac:dyDescent="0.2">
      <c r="A386" s="125"/>
      <c r="B386" s="6"/>
      <c r="C386" s="124"/>
      <c r="D386" s="124">
        <v>7</v>
      </c>
      <c r="E386" s="206" t="s">
        <v>904</v>
      </c>
      <c r="F386" s="134"/>
      <c r="G386" s="204"/>
      <c r="H386" s="204"/>
      <c r="I386" s="204">
        <f t="shared" si="15"/>
        <v>0</v>
      </c>
      <c r="J386" s="136"/>
      <c r="K386" s="136"/>
    </row>
    <row r="387" spans="1:11" x14ac:dyDescent="0.2">
      <c r="A387" s="125"/>
      <c r="B387" s="134"/>
      <c r="C387" s="128"/>
      <c r="D387" s="124"/>
      <c r="E387" s="206"/>
      <c r="F387" s="124"/>
      <c r="G387" s="204"/>
      <c r="H387" s="204"/>
      <c r="I387" s="204"/>
      <c r="J387" s="136"/>
      <c r="K387" s="136"/>
    </row>
    <row r="388" spans="1:11" x14ac:dyDescent="0.2">
      <c r="A388" s="125"/>
      <c r="B388" s="6"/>
      <c r="C388" s="124"/>
      <c r="D388" s="128" t="s">
        <v>67</v>
      </c>
      <c r="E388" s="127"/>
      <c r="F388" s="208"/>
      <c r="G388" s="205">
        <f>SUM(G380:G387)</f>
        <v>0</v>
      </c>
      <c r="H388" s="204"/>
      <c r="I388" s="205">
        <f>SUM(I380:I387)</f>
        <v>1200000</v>
      </c>
      <c r="J388" s="136"/>
      <c r="K388" s="136"/>
    </row>
    <row r="389" spans="1:11" x14ac:dyDescent="0.2">
      <c r="A389" s="125"/>
      <c r="B389" s="6"/>
      <c r="C389" s="124"/>
      <c r="D389" s="124"/>
      <c r="E389" s="124"/>
      <c r="F389" s="124"/>
      <c r="G389" s="204"/>
      <c r="H389" s="204"/>
      <c r="I389" s="204"/>
      <c r="J389" s="136"/>
      <c r="K389" s="136"/>
    </row>
    <row r="390" spans="1:11" x14ac:dyDescent="0.2">
      <c r="A390" s="125"/>
      <c r="B390" s="6"/>
      <c r="C390" s="128" t="s">
        <v>905</v>
      </c>
      <c r="D390" s="128"/>
      <c r="E390" s="128"/>
      <c r="F390" s="124"/>
      <c r="G390" s="488">
        <f>G377-G388</f>
        <v>0</v>
      </c>
      <c r="H390" s="204"/>
      <c r="I390" s="488">
        <f>I377-I388</f>
        <v>-1200000</v>
      </c>
      <c r="K390" s="136"/>
    </row>
    <row r="391" spans="1:11" x14ac:dyDescent="0.2">
      <c r="A391" s="125"/>
      <c r="B391" s="6"/>
      <c r="C391" s="124"/>
      <c r="D391" s="124"/>
      <c r="E391" s="124"/>
      <c r="F391" s="124"/>
      <c r="G391" s="204"/>
      <c r="H391" s="204"/>
      <c r="I391" s="204"/>
      <c r="J391" s="136"/>
      <c r="K391" s="136"/>
    </row>
    <row r="392" spans="1:11" x14ac:dyDescent="0.2">
      <c r="A392" s="125"/>
      <c r="B392" s="203" t="s">
        <v>907</v>
      </c>
      <c r="C392" s="203" t="s">
        <v>908</v>
      </c>
      <c r="D392" s="151"/>
      <c r="E392" s="134"/>
      <c r="F392" s="134"/>
      <c r="G392" s="204"/>
      <c r="H392" s="204"/>
      <c r="I392" s="204"/>
      <c r="J392" s="136"/>
      <c r="K392" s="136"/>
    </row>
    <row r="393" spans="1:11" x14ac:dyDescent="0.2">
      <c r="A393" s="125"/>
      <c r="B393" s="134"/>
      <c r="C393" s="128"/>
      <c r="D393" s="124" t="s">
        <v>909</v>
      </c>
      <c r="E393" s="124"/>
      <c r="F393" s="124"/>
      <c r="G393" s="204"/>
      <c r="H393" s="204"/>
      <c r="I393" s="204">
        <f>G393+I321</f>
        <v>0</v>
      </c>
      <c r="J393" s="136"/>
      <c r="K393" s="136"/>
    </row>
    <row r="394" spans="1:11" x14ac:dyDescent="0.2">
      <c r="A394" s="125"/>
      <c r="B394" s="6"/>
      <c r="C394" s="128" t="s">
        <v>910</v>
      </c>
      <c r="D394" s="151"/>
      <c r="E394" s="151"/>
      <c r="F394" s="151"/>
      <c r="G394" s="205">
        <f>SUM(G393)</f>
        <v>0</v>
      </c>
      <c r="H394" s="149"/>
      <c r="I394" s="205">
        <f>SUM(I393)</f>
        <v>0</v>
      </c>
      <c r="J394" s="136"/>
      <c r="K394" s="136"/>
    </row>
    <row r="395" spans="1:11" x14ac:dyDescent="0.2">
      <c r="A395" s="125"/>
      <c r="B395" s="6"/>
      <c r="C395" s="694"/>
      <c r="D395" s="694"/>
      <c r="E395" s="694"/>
      <c r="F395" s="124"/>
      <c r="G395" s="433"/>
      <c r="H395" s="210"/>
      <c r="I395" s="433"/>
      <c r="J395" s="136"/>
      <c r="K395" s="136"/>
    </row>
    <row r="396" spans="1:11" x14ac:dyDescent="0.2">
      <c r="A396" s="125"/>
      <c r="B396" s="203" t="s">
        <v>911</v>
      </c>
      <c r="C396" s="203" t="s">
        <v>912</v>
      </c>
      <c r="D396" s="124"/>
      <c r="E396" s="124"/>
      <c r="F396" s="124"/>
      <c r="G396" s="210"/>
      <c r="H396" s="210"/>
      <c r="I396" s="210"/>
      <c r="J396" s="136"/>
      <c r="K396" s="136"/>
    </row>
    <row r="397" spans="1:11" x14ac:dyDescent="0.2">
      <c r="A397" s="125"/>
      <c r="B397" s="195"/>
      <c r="C397" s="195"/>
      <c r="D397" s="124" t="s">
        <v>913</v>
      </c>
      <c r="E397" s="195"/>
      <c r="F397" s="134"/>
      <c r="G397" s="433"/>
      <c r="H397" s="210"/>
      <c r="I397" s="204">
        <f>G397+I326</f>
        <v>0</v>
      </c>
      <c r="J397" s="136"/>
      <c r="K397" s="136"/>
    </row>
    <row r="398" spans="1:11" x14ac:dyDescent="0.2">
      <c r="A398" s="125"/>
      <c r="B398" s="203"/>
      <c r="C398" s="124"/>
      <c r="D398" s="124" t="s">
        <v>914</v>
      </c>
      <c r="E398" s="124"/>
      <c r="F398" s="124"/>
      <c r="G398" s="204"/>
      <c r="H398" s="204"/>
      <c r="I398" s="204">
        <f t="shared" ref="I398:I400" si="16">G398+I327</f>
        <v>0</v>
      </c>
      <c r="J398" s="136"/>
      <c r="K398" s="136"/>
    </row>
    <row r="399" spans="1:11" x14ac:dyDescent="0.2">
      <c r="A399" s="125"/>
      <c r="B399" s="6"/>
      <c r="C399" s="124"/>
      <c r="D399" s="151" t="s">
        <v>915</v>
      </c>
      <c r="E399" s="134"/>
      <c r="F399" s="134"/>
      <c r="G399" s="204"/>
      <c r="H399" s="204"/>
      <c r="I399" s="204">
        <f t="shared" si="16"/>
        <v>0</v>
      </c>
      <c r="J399" s="136"/>
      <c r="K399" s="136"/>
    </row>
    <row r="400" spans="1:11" x14ac:dyDescent="0.2">
      <c r="A400" s="125"/>
      <c r="B400" s="134"/>
      <c r="C400" s="128"/>
      <c r="D400" s="124" t="s">
        <v>916</v>
      </c>
      <c r="E400" s="124"/>
      <c r="F400" s="124"/>
      <c r="G400" s="593"/>
      <c r="H400" s="204"/>
      <c r="I400" s="204">
        <f t="shared" si="16"/>
        <v>0</v>
      </c>
      <c r="J400" s="136"/>
      <c r="K400" s="136"/>
    </row>
    <row r="401" spans="1:11" x14ac:dyDescent="0.2">
      <c r="A401" s="125"/>
      <c r="B401" s="6"/>
      <c r="C401" s="128" t="s">
        <v>917</v>
      </c>
      <c r="D401" s="151"/>
      <c r="E401" s="151"/>
      <c r="F401" s="151"/>
      <c r="G401" s="596">
        <f>SUM(G397:G400)</f>
        <v>0</v>
      </c>
      <c r="H401" s="204"/>
      <c r="I401" s="596">
        <f>SUM(I397:I400)</f>
        <v>0</v>
      </c>
      <c r="J401" s="136"/>
      <c r="K401" s="136"/>
    </row>
    <row r="402" spans="1:11" x14ac:dyDescent="0.2">
      <c r="A402" s="125"/>
      <c r="B402" s="6"/>
      <c r="C402" s="124"/>
      <c r="D402" s="124"/>
      <c r="E402" s="124"/>
      <c r="F402" s="124"/>
      <c r="G402" s="593"/>
      <c r="H402" s="204"/>
      <c r="I402" s="204"/>
      <c r="J402" s="136"/>
      <c r="K402" s="136"/>
    </row>
    <row r="403" spans="1:11" x14ac:dyDescent="0.2">
      <c r="A403" s="125"/>
      <c r="B403" s="203" t="s">
        <v>918</v>
      </c>
      <c r="C403" s="203" t="s">
        <v>919</v>
      </c>
      <c r="D403" s="130"/>
      <c r="E403" s="130"/>
      <c r="F403" s="124"/>
      <c r="G403" s="149">
        <f>G390-G394+G401</f>
        <v>0</v>
      </c>
      <c r="H403" s="204"/>
      <c r="I403" s="149">
        <f>I390-I394+I401</f>
        <v>-1200000</v>
      </c>
      <c r="J403" s="136"/>
      <c r="K403" s="136"/>
    </row>
    <row r="404" spans="1:11" x14ac:dyDescent="0.2">
      <c r="A404" s="125"/>
      <c r="B404" s="6"/>
      <c r="C404" s="124"/>
      <c r="D404" s="124"/>
      <c r="E404" s="124"/>
      <c r="F404" s="124"/>
      <c r="G404" s="204"/>
      <c r="H404" s="204"/>
      <c r="I404" s="204"/>
      <c r="J404" s="136"/>
      <c r="K404" s="136"/>
    </row>
    <row r="405" spans="1:11" x14ac:dyDescent="0.2">
      <c r="A405" s="125"/>
      <c r="B405" s="203" t="s">
        <v>920</v>
      </c>
      <c r="C405" s="203" t="s">
        <v>921</v>
      </c>
      <c r="D405" s="130"/>
      <c r="E405" s="124"/>
      <c r="F405" s="124"/>
      <c r="G405" s="149">
        <f>G335</f>
        <v>1311051855.8000002</v>
      </c>
      <c r="H405" s="149"/>
      <c r="I405" s="149">
        <v>1312251855.8000002</v>
      </c>
      <c r="J405" s="136"/>
      <c r="K405" s="136"/>
    </row>
    <row r="406" spans="1:11" x14ac:dyDescent="0.2">
      <c r="A406" s="125"/>
      <c r="B406" s="6"/>
      <c r="C406" s="124"/>
      <c r="D406" s="124"/>
      <c r="E406" s="124"/>
      <c r="F406" s="124"/>
      <c r="G406" s="149"/>
      <c r="H406" s="149"/>
      <c r="I406" s="149"/>
      <c r="J406" s="136"/>
      <c r="K406" s="136"/>
    </row>
    <row r="407" spans="1:11" x14ac:dyDescent="0.2">
      <c r="A407" s="125"/>
      <c r="B407" s="134" t="s">
        <v>922</v>
      </c>
      <c r="C407" s="128" t="s">
        <v>921</v>
      </c>
      <c r="D407" s="124"/>
      <c r="E407" s="124"/>
      <c r="F407" s="124"/>
      <c r="G407" s="149">
        <f>G403+G405</f>
        <v>1311051855.8000002</v>
      </c>
      <c r="H407" s="149"/>
      <c r="I407" s="149">
        <f>I403+I405</f>
        <v>1311051855.8000002</v>
      </c>
      <c r="J407" s="136"/>
      <c r="K407" s="136"/>
    </row>
    <row r="408" spans="1:11" x14ac:dyDescent="0.2">
      <c r="A408" s="120"/>
      <c r="B408" s="119"/>
      <c r="C408" s="119"/>
      <c r="D408" s="119"/>
      <c r="E408" s="119"/>
      <c r="F408" s="119"/>
      <c r="G408" s="218"/>
      <c r="H408" s="218"/>
      <c r="I408" s="218"/>
      <c r="J408" s="594"/>
      <c r="K408" s="594"/>
    </row>
    <row r="409" spans="1:11" x14ac:dyDescent="0.2">
      <c r="A409" s="761"/>
      <c r="B409" s="761"/>
      <c r="C409" s="761"/>
      <c r="D409" s="761"/>
      <c r="E409" s="761"/>
      <c r="F409" s="124"/>
      <c r="G409" s="219">
        <f>'Lap. Perputaran Uang '!I417</f>
        <v>0</v>
      </c>
      <c r="H409" s="219"/>
      <c r="I409" s="219"/>
    </row>
    <row r="410" spans="1:11" x14ac:dyDescent="0.2">
      <c r="A410" s="697" t="s">
        <v>579</v>
      </c>
      <c r="B410" s="697"/>
      <c r="C410" s="697"/>
      <c r="D410" s="697"/>
      <c r="E410" s="697"/>
      <c r="F410" s="697" t="s">
        <v>566</v>
      </c>
      <c r="G410" s="697"/>
      <c r="H410" s="697"/>
      <c r="I410" s="697"/>
      <c r="J410" s="697"/>
      <c r="K410" s="697"/>
    </row>
    <row r="411" spans="1:11" x14ac:dyDescent="0.2">
      <c r="A411" s="697" t="s">
        <v>678</v>
      </c>
      <c r="B411" s="697"/>
      <c r="C411" s="697"/>
      <c r="D411" s="697"/>
      <c r="E411" s="697"/>
      <c r="F411" s="697" t="s">
        <v>681</v>
      </c>
      <c r="G411" s="697"/>
      <c r="H411" s="697"/>
      <c r="I411" s="697"/>
      <c r="J411" s="697"/>
      <c r="K411" s="697"/>
    </row>
    <row r="412" spans="1:11" x14ac:dyDescent="0.2">
      <c r="A412" s="697"/>
      <c r="B412" s="697"/>
      <c r="C412" s="697"/>
      <c r="D412" s="697"/>
      <c r="E412" s="697"/>
      <c r="F412" s="697"/>
      <c r="G412" s="697"/>
      <c r="H412" s="697"/>
      <c r="I412" s="697"/>
      <c r="J412" s="697"/>
      <c r="K412" s="697"/>
    </row>
    <row r="413" spans="1:11" x14ac:dyDescent="0.2">
      <c r="A413" s="697"/>
      <c r="B413" s="697"/>
      <c r="C413" s="697"/>
      <c r="D413" s="697"/>
      <c r="E413" s="697"/>
      <c r="F413" s="697"/>
      <c r="G413" s="697"/>
      <c r="H413" s="697"/>
      <c r="I413" s="697"/>
      <c r="J413" s="697"/>
      <c r="K413" s="697"/>
    </row>
    <row r="414" spans="1:11" x14ac:dyDescent="0.2">
      <c r="A414" s="697" t="s">
        <v>655</v>
      </c>
      <c r="B414" s="697"/>
      <c r="C414" s="697"/>
      <c r="D414" s="697"/>
      <c r="E414" s="697"/>
      <c r="F414" s="697" t="s">
        <v>567</v>
      </c>
      <c r="G414" s="697"/>
      <c r="H414" s="697"/>
      <c r="I414" s="697"/>
      <c r="J414" s="697"/>
      <c r="K414" s="697"/>
    </row>
    <row r="415" spans="1:11" x14ac:dyDescent="0.2">
      <c r="A415" s="697"/>
      <c r="B415" s="697"/>
      <c r="C415" s="697"/>
      <c r="D415" s="697"/>
      <c r="E415" s="697"/>
      <c r="F415" s="697"/>
      <c r="G415" s="697"/>
      <c r="H415" s="697"/>
      <c r="I415" s="697"/>
      <c r="J415" s="697"/>
      <c r="K415" s="697"/>
    </row>
    <row r="416" spans="1:11" x14ac:dyDescent="0.2">
      <c r="A416" s="697"/>
      <c r="B416" s="697"/>
      <c r="C416" s="697"/>
      <c r="D416" s="697"/>
      <c r="E416" s="697"/>
      <c r="F416" s="697"/>
      <c r="G416" s="697"/>
      <c r="H416" s="697"/>
      <c r="I416" s="697"/>
      <c r="J416" s="697"/>
      <c r="K416" s="697"/>
    </row>
    <row r="432" spans="1:6" x14ac:dyDescent="0.2">
      <c r="A432" s="728" t="s">
        <v>890</v>
      </c>
      <c r="B432" s="728"/>
      <c r="C432" s="590" t="s">
        <v>891</v>
      </c>
      <c r="D432" s="124"/>
      <c r="E432" s="124"/>
      <c r="F432" s="124"/>
    </row>
    <row r="433" spans="1:11" x14ac:dyDescent="0.2">
      <c r="B433" s="124"/>
      <c r="C433" s="124"/>
      <c r="D433" s="124"/>
      <c r="E433" s="124"/>
      <c r="F433" s="124"/>
    </row>
    <row r="434" spans="1:11" ht="15" x14ac:dyDescent="0.25">
      <c r="A434" s="141"/>
      <c r="B434" s="762"/>
      <c r="C434" s="762"/>
      <c r="D434" s="762"/>
      <c r="E434" s="762"/>
      <c r="F434" s="762"/>
      <c r="G434" s="762"/>
      <c r="H434" s="762"/>
      <c r="I434" s="762"/>
      <c r="J434" s="591"/>
      <c r="K434" s="591"/>
    </row>
    <row r="435" spans="1:11" ht="15" x14ac:dyDescent="0.25">
      <c r="A435" s="125"/>
      <c r="B435" s="696" t="s">
        <v>650</v>
      </c>
      <c r="C435" s="696"/>
      <c r="D435" s="696"/>
      <c r="E435" s="696"/>
      <c r="F435" s="696"/>
      <c r="G435" s="696"/>
      <c r="H435" s="696"/>
      <c r="I435" s="696"/>
      <c r="J435" s="136"/>
      <c r="K435" s="136"/>
    </row>
    <row r="436" spans="1:11" ht="15" x14ac:dyDescent="0.25">
      <c r="A436" s="125"/>
      <c r="B436" s="696" t="s">
        <v>41</v>
      </c>
      <c r="C436" s="696"/>
      <c r="D436" s="696"/>
      <c r="E436" s="696"/>
      <c r="F436" s="696"/>
      <c r="G436" s="696"/>
      <c r="H436" s="696"/>
      <c r="I436" s="696"/>
      <c r="J436" s="136"/>
      <c r="K436" s="136"/>
    </row>
    <row r="437" spans="1:11" ht="15" x14ac:dyDescent="0.25">
      <c r="A437" s="125"/>
      <c r="B437" s="742" t="s">
        <v>927</v>
      </c>
      <c r="C437" s="742"/>
      <c r="D437" s="742"/>
      <c r="E437" s="742"/>
      <c r="F437" s="742"/>
      <c r="G437" s="742"/>
      <c r="H437" s="742"/>
      <c r="I437" s="742"/>
      <c r="J437" s="136"/>
      <c r="K437" s="136"/>
    </row>
    <row r="438" spans="1:11" x14ac:dyDescent="0.2">
      <c r="A438" s="125"/>
      <c r="B438" s="124"/>
      <c r="C438" s="124"/>
      <c r="D438" s="124"/>
      <c r="E438" s="124"/>
      <c r="F438" s="124"/>
      <c r="J438" s="136"/>
      <c r="K438" s="136"/>
    </row>
    <row r="439" spans="1:11" x14ac:dyDescent="0.2">
      <c r="A439" s="125"/>
      <c r="B439" s="755" t="s">
        <v>30</v>
      </c>
      <c r="C439" s="756"/>
      <c r="D439" s="756"/>
      <c r="E439" s="757"/>
      <c r="F439" s="127"/>
      <c r="G439" s="201" t="s">
        <v>37</v>
      </c>
      <c r="H439" s="127"/>
      <c r="I439" s="201" t="s">
        <v>39</v>
      </c>
      <c r="J439" s="136"/>
      <c r="K439" s="136"/>
    </row>
    <row r="440" spans="1:11" x14ac:dyDescent="0.2">
      <c r="A440" s="125"/>
      <c r="B440" s="758"/>
      <c r="C440" s="759"/>
      <c r="D440" s="759"/>
      <c r="E440" s="760"/>
      <c r="F440" s="127"/>
      <c r="G440" s="202" t="s">
        <v>40</v>
      </c>
      <c r="H440" s="127"/>
      <c r="I440" s="202" t="s">
        <v>40</v>
      </c>
      <c r="J440" s="136"/>
      <c r="K440" s="136"/>
    </row>
    <row r="441" spans="1:11" x14ac:dyDescent="0.2">
      <c r="A441" s="125"/>
      <c r="B441" s="203" t="s">
        <v>893</v>
      </c>
      <c r="C441" s="203" t="s">
        <v>906</v>
      </c>
      <c r="D441" s="203"/>
      <c r="E441" s="124"/>
      <c r="F441" s="124"/>
      <c r="G441" s="204"/>
      <c r="H441" s="204"/>
      <c r="I441" s="204"/>
      <c r="J441" s="136"/>
      <c r="K441" s="136"/>
    </row>
    <row r="442" spans="1:11" x14ac:dyDescent="0.2">
      <c r="A442" s="125"/>
      <c r="B442" s="6"/>
      <c r="C442" s="128" t="s">
        <v>894</v>
      </c>
      <c r="D442" s="124"/>
      <c r="E442" s="124"/>
      <c r="F442" s="124"/>
      <c r="G442" s="204"/>
      <c r="H442" s="204"/>
      <c r="I442" s="204"/>
      <c r="J442" s="136"/>
      <c r="K442" s="136"/>
    </row>
    <row r="443" spans="1:11" x14ac:dyDescent="0.2">
      <c r="A443" s="125"/>
      <c r="B443" s="6"/>
      <c r="C443" s="124"/>
      <c r="D443" s="124">
        <v>1</v>
      </c>
      <c r="E443" s="124" t="s">
        <v>895</v>
      </c>
      <c r="F443" s="124"/>
      <c r="G443" s="204"/>
      <c r="H443" s="204"/>
      <c r="I443" s="204">
        <f>G443+I371</f>
        <v>0</v>
      </c>
      <c r="J443" s="136"/>
      <c r="K443" s="136"/>
    </row>
    <row r="444" spans="1:11" x14ac:dyDescent="0.2">
      <c r="A444" s="125"/>
      <c r="B444" s="6"/>
      <c r="C444" s="124"/>
      <c r="D444" s="124">
        <v>2</v>
      </c>
      <c r="E444" s="124" t="s">
        <v>896</v>
      </c>
      <c r="F444" s="124"/>
      <c r="G444" s="204"/>
      <c r="H444" s="204"/>
      <c r="I444" s="204">
        <f t="shared" ref="I444:I447" si="17">G444+I372</f>
        <v>0</v>
      </c>
      <c r="J444" s="136"/>
      <c r="K444" s="136"/>
    </row>
    <row r="445" spans="1:11" x14ac:dyDescent="0.2">
      <c r="A445" s="125"/>
      <c r="B445" s="6"/>
      <c r="C445" s="124"/>
      <c r="D445" s="124">
        <v>3</v>
      </c>
      <c r="E445" s="124" t="s">
        <v>897</v>
      </c>
      <c r="F445" s="124"/>
      <c r="G445" s="204"/>
      <c r="H445" s="204"/>
      <c r="I445" s="204">
        <f t="shared" si="17"/>
        <v>0</v>
      </c>
      <c r="J445" s="136"/>
      <c r="K445" s="136"/>
    </row>
    <row r="446" spans="1:11" x14ac:dyDescent="0.2">
      <c r="A446" s="125"/>
      <c r="B446" s="6"/>
      <c r="C446" s="124"/>
      <c r="D446" s="124">
        <v>4</v>
      </c>
      <c r="E446" s="124" t="s">
        <v>902</v>
      </c>
      <c r="F446" s="124"/>
      <c r="G446" s="204"/>
      <c r="H446" s="204"/>
      <c r="I446" s="204">
        <f t="shared" si="17"/>
        <v>0</v>
      </c>
      <c r="J446" s="136"/>
      <c r="K446" s="136"/>
    </row>
    <row r="447" spans="1:11" x14ac:dyDescent="0.2">
      <c r="A447" s="125"/>
      <c r="B447" s="6"/>
      <c r="C447" s="124"/>
      <c r="D447" s="124">
        <v>5</v>
      </c>
      <c r="E447" s="124" t="s">
        <v>898</v>
      </c>
      <c r="F447" s="124"/>
      <c r="G447" s="204"/>
      <c r="H447" s="204"/>
      <c r="I447" s="204">
        <f t="shared" si="17"/>
        <v>0</v>
      </c>
      <c r="J447" s="136"/>
      <c r="K447" s="136"/>
    </row>
    <row r="448" spans="1:11" x14ac:dyDescent="0.2">
      <c r="A448" s="125"/>
      <c r="B448" s="6"/>
      <c r="C448" s="124"/>
      <c r="D448" s="124"/>
      <c r="E448" s="124"/>
      <c r="F448" s="124"/>
      <c r="G448" s="204"/>
      <c r="H448" s="204"/>
      <c r="I448" s="204"/>
      <c r="J448" s="136"/>
      <c r="K448" s="136"/>
    </row>
    <row r="449" spans="1:11" x14ac:dyDescent="0.2">
      <c r="A449" s="125"/>
      <c r="B449" s="6"/>
      <c r="C449" s="128"/>
      <c r="D449" s="128" t="s">
        <v>55</v>
      </c>
      <c r="E449" s="128"/>
      <c r="F449" s="124"/>
      <c r="G449" s="205">
        <f>SUM(G443:G447)</f>
        <v>0</v>
      </c>
      <c r="H449" s="204"/>
      <c r="I449" s="205">
        <f>SUM(I443:I447)</f>
        <v>0</v>
      </c>
      <c r="J449" s="136"/>
      <c r="K449" s="136"/>
    </row>
    <row r="450" spans="1:11" x14ac:dyDescent="0.2">
      <c r="A450" s="125"/>
      <c r="B450" s="6"/>
      <c r="C450" s="128"/>
      <c r="D450" s="128"/>
      <c r="E450" s="128"/>
      <c r="F450" s="124"/>
      <c r="G450" s="149"/>
      <c r="H450" s="204"/>
      <c r="I450" s="149"/>
      <c r="J450" s="136"/>
      <c r="K450" s="136"/>
    </row>
    <row r="451" spans="1:11" x14ac:dyDescent="0.2">
      <c r="A451" s="125"/>
      <c r="B451" s="6"/>
      <c r="C451" s="128" t="s">
        <v>899</v>
      </c>
      <c r="D451" s="124"/>
      <c r="E451" s="124"/>
      <c r="F451" s="124"/>
      <c r="G451" s="204"/>
      <c r="H451" s="204"/>
      <c r="I451" s="204"/>
      <c r="J451" s="136"/>
      <c r="K451" s="136"/>
    </row>
    <row r="452" spans="1:11" x14ac:dyDescent="0.2">
      <c r="A452" s="125"/>
      <c r="B452" s="6"/>
      <c r="C452" s="124"/>
      <c r="D452" s="124">
        <v>1</v>
      </c>
      <c r="E452" s="206" t="s">
        <v>328</v>
      </c>
      <c r="F452" s="124"/>
      <c r="G452" s="204"/>
      <c r="H452" s="204"/>
      <c r="I452" s="204">
        <f>G452+I380</f>
        <v>0</v>
      </c>
      <c r="J452" s="136"/>
      <c r="K452" s="136"/>
    </row>
    <row r="453" spans="1:11" x14ac:dyDescent="0.2">
      <c r="A453" s="125"/>
      <c r="B453" s="6"/>
      <c r="C453" s="124"/>
      <c r="D453" s="124">
        <v>2</v>
      </c>
      <c r="E453" s="206" t="s">
        <v>329</v>
      </c>
      <c r="F453" s="124"/>
      <c r="G453" s="204"/>
      <c r="H453" s="204"/>
      <c r="I453" s="204">
        <f t="shared" ref="I453:I458" si="18">G453+I381</f>
        <v>0</v>
      </c>
      <c r="J453" s="136"/>
      <c r="K453" s="136"/>
    </row>
    <row r="454" spans="1:11" x14ac:dyDescent="0.2">
      <c r="A454" s="125"/>
      <c r="B454" s="6"/>
      <c r="C454" s="124"/>
      <c r="D454" s="124">
        <v>3</v>
      </c>
      <c r="E454" s="206" t="s">
        <v>900</v>
      </c>
      <c r="F454" s="134"/>
      <c r="G454" s="204"/>
      <c r="H454" s="204"/>
      <c r="I454" s="204">
        <f t="shared" si="18"/>
        <v>1200000</v>
      </c>
      <c r="J454" s="136"/>
      <c r="K454" s="136"/>
    </row>
    <row r="455" spans="1:11" x14ac:dyDescent="0.2">
      <c r="A455" s="125"/>
      <c r="B455" s="6"/>
      <c r="C455" s="124"/>
      <c r="D455" s="124">
        <v>4</v>
      </c>
      <c r="E455" s="206" t="s">
        <v>901</v>
      </c>
      <c r="F455" s="124"/>
      <c r="G455" s="204"/>
      <c r="H455" s="204"/>
      <c r="I455" s="204">
        <f t="shared" si="18"/>
        <v>0</v>
      </c>
      <c r="J455" s="136"/>
      <c r="K455" s="136"/>
    </row>
    <row r="456" spans="1:11" x14ac:dyDescent="0.2">
      <c r="A456" s="125"/>
      <c r="B456" s="6"/>
      <c r="C456" s="124"/>
      <c r="D456" s="124">
        <v>5</v>
      </c>
      <c r="E456" s="206" t="s">
        <v>887</v>
      </c>
      <c r="F456" s="134"/>
      <c r="G456" s="204"/>
      <c r="H456" s="204"/>
      <c r="I456" s="204">
        <f t="shared" si="18"/>
        <v>0</v>
      </c>
      <c r="J456" s="136"/>
      <c r="K456" s="136"/>
    </row>
    <row r="457" spans="1:11" x14ac:dyDescent="0.2">
      <c r="A457" s="125"/>
      <c r="B457" s="6"/>
      <c r="C457" s="124"/>
      <c r="D457" s="124">
        <v>6</v>
      </c>
      <c r="E457" s="206" t="s">
        <v>903</v>
      </c>
      <c r="F457" s="134"/>
      <c r="G457" s="204"/>
      <c r="H457" s="204"/>
      <c r="I457" s="204">
        <f t="shared" si="18"/>
        <v>0</v>
      </c>
      <c r="J457" s="136"/>
      <c r="K457" s="136"/>
    </row>
    <row r="458" spans="1:11" x14ac:dyDescent="0.2">
      <c r="A458" s="125"/>
      <c r="B458" s="6"/>
      <c r="C458" s="124"/>
      <c r="D458" s="124">
        <v>7</v>
      </c>
      <c r="E458" s="206" t="s">
        <v>904</v>
      </c>
      <c r="F458" s="134"/>
      <c r="G458" s="204"/>
      <c r="H458" s="204"/>
      <c r="I458" s="204">
        <f t="shared" si="18"/>
        <v>0</v>
      </c>
      <c r="J458" s="136"/>
      <c r="K458" s="136"/>
    </row>
    <row r="459" spans="1:11" x14ac:dyDescent="0.2">
      <c r="A459" s="125"/>
      <c r="B459" s="134"/>
      <c r="C459" s="128"/>
      <c r="D459" s="124"/>
      <c r="E459" s="206"/>
      <c r="F459" s="124"/>
      <c r="G459" s="204"/>
      <c r="H459" s="204"/>
      <c r="I459" s="204"/>
      <c r="J459" s="136"/>
      <c r="K459" s="136"/>
    </row>
    <row r="460" spans="1:11" x14ac:dyDescent="0.2">
      <c r="A460" s="125"/>
      <c r="B460" s="6"/>
      <c r="C460" s="124"/>
      <c r="D460" s="128" t="s">
        <v>67</v>
      </c>
      <c r="E460" s="127"/>
      <c r="F460" s="208"/>
      <c r="G460" s="205">
        <f>SUM(G452:G459)</f>
        <v>0</v>
      </c>
      <c r="H460" s="204"/>
      <c r="I460" s="205">
        <f>SUM(I452:I459)</f>
        <v>1200000</v>
      </c>
      <c r="J460" s="136"/>
      <c r="K460" s="136"/>
    </row>
    <row r="461" spans="1:11" x14ac:dyDescent="0.2">
      <c r="A461" s="125"/>
      <c r="B461" s="6"/>
      <c r="C461" s="124"/>
      <c r="D461" s="124"/>
      <c r="E461" s="124"/>
      <c r="F461" s="124"/>
      <c r="G461" s="204"/>
      <c r="H461" s="204"/>
      <c r="I461" s="204"/>
      <c r="J461" s="136"/>
      <c r="K461" s="136"/>
    </row>
    <row r="462" spans="1:11" x14ac:dyDescent="0.2">
      <c r="A462" s="125"/>
      <c r="B462" s="6"/>
      <c r="C462" s="128" t="s">
        <v>905</v>
      </c>
      <c r="D462" s="128"/>
      <c r="E462" s="128"/>
      <c r="F462" s="124"/>
      <c r="G462" s="488">
        <f>G449-G460</f>
        <v>0</v>
      </c>
      <c r="H462" s="204"/>
      <c r="I462" s="488">
        <f>I449-I460</f>
        <v>-1200000</v>
      </c>
      <c r="K462" s="136"/>
    </row>
    <row r="463" spans="1:11" x14ac:dyDescent="0.2">
      <c r="A463" s="125"/>
      <c r="B463" s="6"/>
      <c r="C463" s="124"/>
      <c r="D463" s="124"/>
      <c r="E463" s="124"/>
      <c r="F463" s="124"/>
      <c r="G463" s="204"/>
      <c r="H463" s="204"/>
      <c r="I463" s="204"/>
      <c r="J463" s="136"/>
      <c r="K463" s="136"/>
    </row>
    <row r="464" spans="1:11" x14ac:dyDescent="0.2">
      <c r="A464" s="125"/>
      <c r="B464" s="203" t="s">
        <v>907</v>
      </c>
      <c r="C464" s="203" t="s">
        <v>908</v>
      </c>
      <c r="D464" s="151"/>
      <c r="E464" s="134"/>
      <c r="F464" s="134"/>
      <c r="G464" s="204"/>
      <c r="H464" s="204"/>
      <c r="I464" s="204"/>
      <c r="J464" s="136"/>
      <c r="K464" s="136"/>
    </row>
    <row r="465" spans="1:11" x14ac:dyDescent="0.2">
      <c r="A465" s="125"/>
      <c r="B465" s="134"/>
      <c r="C465" s="128"/>
      <c r="D465" s="124" t="s">
        <v>909</v>
      </c>
      <c r="E465" s="124"/>
      <c r="F465" s="124"/>
      <c r="G465" s="204"/>
      <c r="H465" s="204"/>
      <c r="I465" s="204">
        <f>G465+I393</f>
        <v>0</v>
      </c>
      <c r="J465" s="136"/>
      <c r="K465" s="136"/>
    </row>
    <row r="466" spans="1:11" x14ac:dyDescent="0.2">
      <c r="A466" s="125"/>
      <c r="B466" s="6"/>
      <c r="C466" s="128" t="s">
        <v>910</v>
      </c>
      <c r="D466" s="151"/>
      <c r="E466" s="151"/>
      <c r="F466" s="151"/>
      <c r="G466" s="205">
        <f>SUM(G465)</f>
        <v>0</v>
      </c>
      <c r="H466" s="149"/>
      <c r="I466" s="205">
        <f>SUM(I465)</f>
        <v>0</v>
      </c>
      <c r="J466" s="136"/>
      <c r="K466" s="136"/>
    </row>
    <row r="467" spans="1:11" x14ac:dyDescent="0.2">
      <c r="A467" s="125"/>
      <c r="B467" s="6"/>
      <c r="C467" s="694"/>
      <c r="D467" s="694"/>
      <c r="E467" s="694"/>
      <c r="F467" s="124"/>
      <c r="G467" s="433"/>
      <c r="H467" s="210"/>
      <c r="I467" s="433"/>
      <c r="J467" s="136"/>
      <c r="K467" s="136"/>
    </row>
    <row r="468" spans="1:11" x14ac:dyDescent="0.2">
      <c r="A468" s="125"/>
      <c r="B468" s="203" t="s">
        <v>911</v>
      </c>
      <c r="C468" s="203" t="s">
        <v>912</v>
      </c>
      <c r="D468" s="124"/>
      <c r="E468" s="124"/>
      <c r="F468" s="124"/>
      <c r="G468" s="210"/>
      <c r="H468" s="210"/>
      <c r="I468" s="210"/>
      <c r="J468" s="136"/>
      <c r="K468" s="136"/>
    </row>
    <row r="469" spans="1:11" x14ac:dyDescent="0.2">
      <c r="A469" s="125"/>
      <c r="B469" s="195"/>
      <c r="C469" s="195"/>
      <c r="D469" s="124" t="s">
        <v>913</v>
      </c>
      <c r="E469" s="195"/>
      <c r="F469" s="134"/>
      <c r="G469" s="433"/>
      <c r="H469" s="210"/>
      <c r="I469" s="204">
        <f>G469+I398</f>
        <v>0</v>
      </c>
      <c r="J469" s="136"/>
      <c r="K469" s="136"/>
    </row>
    <row r="470" spans="1:11" x14ac:dyDescent="0.2">
      <c r="A470" s="125"/>
      <c r="B470" s="203"/>
      <c r="C470" s="124"/>
      <c r="D470" s="124" t="s">
        <v>914</v>
      </c>
      <c r="E470" s="124"/>
      <c r="F470" s="124"/>
      <c r="G470" s="204"/>
      <c r="H470" s="204"/>
      <c r="I470" s="204">
        <f t="shared" ref="I470:I472" si="19">G470+I399</f>
        <v>0</v>
      </c>
      <c r="J470" s="136"/>
      <c r="K470" s="136"/>
    </row>
    <row r="471" spans="1:11" x14ac:dyDescent="0.2">
      <c r="A471" s="125"/>
      <c r="B471" s="6"/>
      <c r="C471" s="124"/>
      <c r="D471" s="151" t="s">
        <v>915</v>
      </c>
      <c r="E471" s="134"/>
      <c r="F471" s="134"/>
      <c r="G471" s="204"/>
      <c r="H471" s="204"/>
      <c r="I471" s="204">
        <f t="shared" si="19"/>
        <v>0</v>
      </c>
      <c r="J471" s="136"/>
      <c r="K471" s="136"/>
    </row>
    <row r="472" spans="1:11" x14ac:dyDescent="0.2">
      <c r="A472" s="125"/>
      <c r="B472" s="134"/>
      <c r="C472" s="128"/>
      <c r="D472" s="124" t="s">
        <v>916</v>
      </c>
      <c r="E472" s="124"/>
      <c r="F472" s="124"/>
      <c r="G472" s="593"/>
      <c r="H472" s="204"/>
      <c r="I472" s="204">
        <f t="shared" si="19"/>
        <v>0</v>
      </c>
      <c r="J472" s="136"/>
      <c r="K472" s="136"/>
    </row>
    <row r="473" spans="1:11" x14ac:dyDescent="0.2">
      <c r="A473" s="125"/>
      <c r="B473" s="6"/>
      <c r="C473" s="128" t="s">
        <v>917</v>
      </c>
      <c r="D473" s="151"/>
      <c r="E473" s="151"/>
      <c r="F473" s="151"/>
      <c r="G473" s="596">
        <f>SUM(G469:G472)</f>
        <v>0</v>
      </c>
      <c r="H473" s="204"/>
      <c r="I473" s="596">
        <f>SUM(I469:I472)</f>
        <v>0</v>
      </c>
      <c r="J473" s="136"/>
      <c r="K473" s="136"/>
    </row>
    <row r="474" spans="1:11" x14ac:dyDescent="0.2">
      <c r="A474" s="125"/>
      <c r="B474" s="6"/>
      <c r="C474" s="124"/>
      <c r="D474" s="124"/>
      <c r="E474" s="124"/>
      <c r="F474" s="124"/>
      <c r="G474" s="593"/>
      <c r="H474" s="204"/>
      <c r="I474" s="204"/>
      <c r="J474" s="136"/>
      <c r="K474" s="136"/>
    </row>
    <row r="475" spans="1:11" x14ac:dyDescent="0.2">
      <c r="A475" s="125"/>
      <c r="B475" s="203" t="s">
        <v>918</v>
      </c>
      <c r="C475" s="203" t="s">
        <v>919</v>
      </c>
      <c r="D475" s="130"/>
      <c r="E475" s="130"/>
      <c r="F475" s="124"/>
      <c r="G475" s="149">
        <f>G462-G466+G473</f>
        <v>0</v>
      </c>
      <c r="H475" s="204"/>
      <c r="I475" s="149">
        <f>I462-I466+I473</f>
        <v>-1200000</v>
      </c>
      <c r="J475" s="136"/>
      <c r="K475" s="136"/>
    </row>
    <row r="476" spans="1:11" x14ac:dyDescent="0.2">
      <c r="A476" s="125"/>
      <c r="B476" s="6"/>
      <c r="C476" s="124"/>
      <c r="D476" s="124"/>
      <c r="E476" s="124"/>
      <c r="F476" s="124"/>
      <c r="G476" s="204"/>
      <c r="H476" s="204"/>
      <c r="I476" s="204"/>
      <c r="J476" s="136"/>
      <c r="K476" s="136"/>
    </row>
    <row r="477" spans="1:11" x14ac:dyDescent="0.2">
      <c r="A477" s="125"/>
      <c r="B477" s="203" t="s">
        <v>920</v>
      </c>
      <c r="C477" s="203" t="s">
        <v>921</v>
      </c>
      <c r="D477" s="130"/>
      <c r="E477" s="124"/>
      <c r="F477" s="124"/>
      <c r="G477" s="149">
        <f>G407</f>
        <v>1311051855.8000002</v>
      </c>
      <c r="H477" s="149"/>
      <c r="I477" s="149">
        <v>1312251855.8000002</v>
      </c>
      <c r="J477" s="136"/>
      <c r="K477" s="136"/>
    </row>
    <row r="478" spans="1:11" x14ac:dyDescent="0.2">
      <c r="A478" s="125"/>
      <c r="B478" s="6"/>
      <c r="C478" s="124"/>
      <c r="D478" s="124"/>
      <c r="E478" s="124"/>
      <c r="F478" s="124"/>
      <c r="G478" s="149"/>
      <c r="H478" s="149"/>
      <c r="I478" s="149"/>
      <c r="J478" s="136"/>
      <c r="K478" s="136"/>
    </row>
    <row r="479" spans="1:11" x14ac:dyDescent="0.2">
      <c r="A479" s="125"/>
      <c r="B479" s="134" t="s">
        <v>922</v>
      </c>
      <c r="C479" s="128" t="s">
        <v>921</v>
      </c>
      <c r="D479" s="124"/>
      <c r="E479" s="124"/>
      <c r="F479" s="124"/>
      <c r="G479" s="149">
        <f>G475+G477</f>
        <v>1311051855.8000002</v>
      </c>
      <c r="H479" s="149"/>
      <c r="I479" s="149">
        <f>I475+I477</f>
        <v>1311051855.8000002</v>
      </c>
      <c r="J479" s="136"/>
      <c r="K479" s="136"/>
    </row>
    <row r="480" spans="1:11" x14ac:dyDescent="0.2">
      <c r="A480" s="120"/>
      <c r="B480" s="119"/>
      <c r="C480" s="119"/>
      <c r="D480" s="119"/>
      <c r="E480" s="119"/>
      <c r="F480" s="119"/>
      <c r="G480" s="218"/>
      <c r="H480" s="218"/>
      <c r="I480" s="218"/>
      <c r="J480" s="594"/>
      <c r="K480" s="594"/>
    </row>
    <row r="481" spans="1:11" x14ac:dyDescent="0.2">
      <c r="A481" s="761"/>
      <c r="B481" s="761"/>
      <c r="C481" s="761"/>
      <c r="D481" s="761"/>
      <c r="E481" s="761"/>
      <c r="F481" s="124"/>
      <c r="G481" s="219">
        <f>'Lap. Perputaran Uang '!I492</f>
        <v>0</v>
      </c>
      <c r="H481" s="219"/>
      <c r="I481" s="219"/>
    </row>
    <row r="482" spans="1:11" x14ac:dyDescent="0.2">
      <c r="A482" s="697" t="s">
        <v>579</v>
      </c>
      <c r="B482" s="697"/>
      <c r="C482" s="697"/>
      <c r="D482" s="697"/>
      <c r="E482" s="697"/>
      <c r="F482" s="697" t="s">
        <v>566</v>
      </c>
      <c r="G482" s="697"/>
      <c r="H482" s="697"/>
      <c r="I482" s="697"/>
      <c r="J482" s="697"/>
      <c r="K482" s="697"/>
    </row>
    <row r="483" spans="1:11" x14ac:dyDescent="0.2">
      <c r="A483" s="697" t="s">
        <v>678</v>
      </c>
      <c r="B483" s="697"/>
      <c r="C483" s="697"/>
      <c r="D483" s="697"/>
      <c r="E483" s="697"/>
      <c r="F483" s="697" t="s">
        <v>681</v>
      </c>
      <c r="G483" s="697"/>
      <c r="H483" s="697"/>
      <c r="I483" s="697"/>
      <c r="J483" s="697"/>
      <c r="K483" s="697"/>
    </row>
    <row r="484" spans="1:11" x14ac:dyDescent="0.2">
      <c r="A484" s="697"/>
      <c r="B484" s="697"/>
      <c r="C484" s="697"/>
      <c r="D484" s="697"/>
      <c r="E484" s="697"/>
      <c r="F484" s="697"/>
      <c r="G484" s="697"/>
      <c r="H484" s="697"/>
      <c r="I484" s="697"/>
      <c r="J484" s="697"/>
      <c r="K484" s="697"/>
    </row>
    <row r="485" spans="1:11" x14ac:dyDescent="0.2">
      <c r="A485" s="697"/>
      <c r="B485" s="697"/>
      <c r="C485" s="697"/>
      <c r="D485" s="697"/>
      <c r="E485" s="697"/>
      <c r="F485" s="697"/>
      <c r="G485" s="697"/>
      <c r="H485" s="697"/>
      <c r="I485" s="697"/>
      <c r="J485" s="697"/>
      <c r="K485" s="697"/>
    </row>
    <row r="486" spans="1:11" x14ac:dyDescent="0.2">
      <c r="A486" s="697" t="s">
        <v>655</v>
      </c>
      <c r="B486" s="697"/>
      <c r="C486" s="697"/>
      <c r="D486" s="697"/>
      <c r="E486" s="697"/>
      <c r="F486" s="697" t="s">
        <v>567</v>
      </c>
      <c r="G486" s="697"/>
      <c r="H486" s="697"/>
      <c r="I486" s="697"/>
      <c r="J486" s="697"/>
      <c r="K486" s="697"/>
    </row>
    <row r="487" spans="1:11" x14ac:dyDescent="0.2">
      <c r="A487" s="697"/>
      <c r="B487" s="697"/>
      <c r="C487" s="697"/>
      <c r="D487" s="697"/>
      <c r="E487" s="697"/>
      <c r="F487" s="697"/>
      <c r="G487" s="697"/>
      <c r="H487" s="697"/>
      <c r="I487" s="697"/>
      <c r="J487" s="697"/>
      <c r="K487" s="697"/>
    </row>
    <row r="504" spans="1:11" x14ac:dyDescent="0.2">
      <c r="A504" s="728" t="s">
        <v>890</v>
      </c>
      <c r="B504" s="728"/>
      <c r="C504" s="590" t="s">
        <v>891</v>
      </c>
      <c r="D504" s="124"/>
      <c r="E504" s="124"/>
      <c r="F504" s="124"/>
    </row>
    <row r="505" spans="1:11" x14ac:dyDescent="0.2">
      <c r="B505" s="124"/>
      <c r="C505" s="124"/>
      <c r="D505" s="124"/>
      <c r="E505" s="124"/>
      <c r="F505" s="124"/>
    </row>
    <row r="506" spans="1:11" ht="15" x14ac:dyDescent="0.25">
      <c r="A506" s="141"/>
      <c r="B506" s="762"/>
      <c r="C506" s="762"/>
      <c r="D506" s="762"/>
      <c r="E506" s="762"/>
      <c r="F506" s="762"/>
      <c r="G506" s="762"/>
      <c r="H506" s="762"/>
      <c r="I506" s="762"/>
      <c r="J506" s="591"/>
      <c r="K506" s="591"/>
    </row>
    <row r="507" spans="1:11" ht="15" x14ac:dyDescent="0.25">
      <c r="A507" s="125"/>
      <c r="B507" s="696" t="s">
        <v>650</v>
      </c>
      <c r="C507" s="696"/>
      <c r="D507" s="696"/>
      <c r="E507" s="696"/>
      <c r="F507" s="696"/>
      <c r="G507" s="696"/>
      <c r="H507" s="696"/>
      <c r="I507" s="696"/>
      <c r="J507" s="136"/>
      <c r="K507" s="136"/>
    </row>
    <row r="508" spans="1:11" ht="15" x14ac:dyDescent="0.25">
      <c r="A508" s="125"/>
      <c r="B508" s="696" t="s">
        <v>41</v>
      </c>
      <c r="C508" s="696"/>
      <c r="D508" s="696"/>
      <c r="E508" s="696"/>
      <c r="F508" s="696"/>
      <c r="G508" s="696"/>
      <c r="H508" s="696"/>
      <c r="I508" s="696"/>
      <c r="J508" s="136"/>
      <c r="K508" s="136"/>
    </row>
    <row r="509" spans="1:11" ht="15" x14ac:dyDescent="0.25">
      <c r="A509" s="125"/>
      <c r="B509" s="742" t="s">
        <v>928</v>
      </c>
      <c r="C509" s="742"/>
      <c r="D509" s="742"/>
      <c r="E509" s="742"/>
      <c r="F509" s="742"/>
      <c r="G509" s="742"/>
      <c r="H509" s="742"/>
      <c r="I509" s="742"/>
      <c r="J509" s="136"/>
      <c r="K509" s="136"/>
    </row>
    <row r="510" spans="1:11" x14ac:dyDescent="0.2">
      <c r="A510" s="125"/>
      <c r="B510" s="124"/>
      <c r="C510" s="124"/>
      <c r="D510" s="124"/>
      <c r="E510" s="124"/>
      <c r="F510" s="124"/>
      <c r="J510" s="136"/>
      <c r="K510" s="136"/>
    </row>
    <row r="511" spans="1:11" x14ac:dyDescent="0.2">
      <c r="A511" s="125"/>
      <c r="B511" s="755" t="s">
        <v>30</v>
      </c>
      <c r="C511" s="756"/>
      <c r="D511" s="756"/>
      <c r="E511" s="757"/>
      <c r="F511" s="127"/>
      <c r="G511" s="201" t="s">
        <v>37</v>
      </c>
      <c r="H511" s="127"/>
      <c r="I511" s="201" t="s">
        <v>39</v>
      </c>
      <c r="J511" s="136"/>
      <c r="K511" s="136"/>
    </row>
    <row r="512" spans="1:11" x14ac:dyDescent="0.2">
      <c r="A512" s="125"/>
      <c r="B512" s="758"/>
      <c r="C512" s="759"/>
      <c r="D512" s="759"/>
      <c r="E512" s="760"/>
      <c r="F512" s="127"/>
      <c r="G512" s="202" t="s">
        <v>40</v>
      </c>
      <c r="H512" s="127"/>
      <c r="I512" s="202" t="s">
        <v>40</v>
      </c>
      <c r="J512" s="136"/>
      <c r="K512" s="136"/>
    </row>
    <row r="513" spans="1:11" x14ac:dyDescent="0.2">
      <c r="A513" s="125"/>
      <c r="B513" s="203" t="s">
        <v>893</v>
      </c>
      <c r="C513" s="203" t="s">
        <v>906</v>
      </c>
      <c r="D513" s="203"/>
      <c r="E513" s="124"/>
      <c r="F513" s="124"/>
      <c r="G513" s="204"/>
      <c r="H513" s="204"/>
      <c r="I513" s="204"/>
      <c r="J513" s="136"/>
      <c r="K513" s="136"/>
    </row>
    <row r="514" spans="1:11" x14ac:dyDescent="0.2">
      <c r="A514" s="125"/>
      <c r="B514" s="6"/>
      <c r="C514" s="128" t="s">
        <v>894</v>
      </c>
      <c r="D514" s="124"/>
      <c r="E514" s="124"/>
      <c r="F514" s="124"/>
      <c r="G514" s="204"/>
      <c r="H514" s="204"/>
      <c r="I514" s="204"/>
      <c r="J514" s="136"/>
      <c r="K514" s="136"/>
    </row>
    <row r="515" spans="1:11" x14ac:dyDescent="0.2">
      <c r="A515" s="125"/>
      <c r="B515" s="6"/>
      <c r="C515" s="124"/>
      <c r="D515" s="124">
        <v>1</v>
      </c>
      <c r="E515" s="124" t="s">
        <v>895</v>
      </c>
      <c r="F515" s="124"/>
      <c r="G515" s="204"/>
      <c r="H515" s="204"/>
      <c r="I515" s="204">
        <f>G515+I443</f>
        <v>0</v>
      </c>
      <c r="J515" s="136"/>
      <c r="K515" s="136"/>
    </row>
    <row r="516" spans="1:11" x14ac:dyDescent="0.2">
      <c r="A516" s="125"/>
      <c r="B516" s="6"/>
      <c r="C516" s="124"/>
      <c r="D516" s="124">
        <v>2</v>
      </c>
      <c r="E516" s="124" t="s">
        <v>896</v>
      </c>
      <c r="F516" s="124"/>
      <c r="G516" s="204"/>
      <c r="H516" s="204"/>
      <c r="I516" s="204">
        <f t="shared" ref="I516:I519" si="20">G516+I444</f>
        <v>0</v>
      </c>
      <c r="J516" s="136"/>
      <c r="K516" s="136"/>
    </row>
    <row r="517" spans="1:11" x14ac:dyDescent="0.2">
      <c r="A517" s="125"/>
      <c r="B517" s="6"/>
      <c r="C517" s="124"/>
      <c r="D517" s="124">
        <v>3</v>
      </c>
      <c r="E517" s="124" t="s">
        <v>897</v>
      </c>
      <c r="F517" s="124"/>
      <c r="G517" s="204"/>
      <c r="H517" s="204"/>
      <c r="I517" s="204">
        <f t="shared" si="20"/>
        <v>0</v>
      </c>
      <c r="J517" s="136"/>
      <c r="K517" s="136"/>
    </row>
    <row r="518" spans="1:11" x14ac:dyDescent="0.2">
      <c r="A518" s="125"/>
      <c r="B518" s="6"/>
      <c r="C518" s="124"/>
      <c r="D518" s="124">
        <v>4</v>
      </c>
      <c r="E518" s="124" t="s">
        <v>902</v>
      </c>
      <c r="F518" s="124"/>
      <c r="G518" s="204"/>
      <c r="H518" s="204"/>
      <c r="I518" s="204">
        <f t="shared" si="20"/>
        <v>0</v>
      </c>
      <c r="J518" s="136"/>
      <c r="K518" s="136"/>
    </row>
    <row r="519" spans="1:11" x14ac:dyDescent="0.2">
      <c r="A519" s="125"/>
      <c r="B519" s="6"/>
      <c r="C519" s="124"/>
      <c r="D519" s="124">
        <v>5</v>
      </c>
      <c r="E519" s="124" t="s">
        <v>898</v>
      </c>
      <c r="F519" s="124"/>
      <c r="G519" s="204"/>
      <c r="H519" s="204"/>
      <c r="I519" s="204">
        <f t="shared" si="20"/>
        <v>0</v>
      </c>
      <c r="J519" s="136"/>
      <c r="K519" s="136"/>
    </row>
    <row r="520" spans="1:11" x14ac:dyDescent="0.2">
      <c r="A520" s="125"/>
      <c r="B520" s="6"/>
      <c r="C520" s="124"/>
      <c r="D520" s="124"/>
      <c r="E520" s="124"/>
      <c r="F520" s="124"/>
      <c r="G520" s="204"/>
      <c r="H520" s="204"/>
      <c r="I520" s="204"/>
      <c r="J520" s="136"/>
      <c r="K520" s="136"/>
    </row>
    <row r="521" spans="1:11" x14ac:dyDescent="0.2">
      <c r="A521" s="125"/>
      <c r="B521" s="6"/>
      <c r="C521" s="128"/>
      <c r="D521" s="128" t="s">
        <v>55</v>
      </c>
      <c r="E521" s="128"/>
      <c r="F521" s="124"/>
      <c r="G521" s="205">
        <f>SUM(G515:G519)</f>
        <v>0</v>
      </c>
      <c r="H521" s="204"/>
      <c r="I521" s="205">
        <f>SUM(I515:I519)</f>
        <v>0</v>
      </c>
      <c r="J521" s="136"/>
      <c r="K521" s="136"/>
    </row>
    <row r="522" spans="1:11" x14ac:dyDescent="0.2">
      <c r="A522" s="125"/>
      <c r="B522" s="6"/>
      <c r="C522" s="128"/>
      <c r="D522" s="128"/>
      <c r="E522" s="128"/>
      <c r="F522" s="124"/>
      <c r="G522" s="149"/>
      <c r="H522" s="204"/>
      <c r="I522" s="149"/>
      <c r="J522" s="136"/>
      <c r="K522" s="136"/>
    </row>
    <row r="523" spans="1:11" x14ac:dyDescent="0.2">
      <c r="A523" s="125"/>
      <c r="B523" s="6"/>
      <c r="C523" s="128" t="s">
        <v>899</v>
      </c>
      <c r="D523" s="124"/>
      <c r="E523" s="124"/>
      <c r="F523" s="124"/>
      <c r="G523" s="204"/>
      <c r="H523" s="204"/>
      <c r="I523" s="204"/>
      <c r="J523" s="136"/>
      <c r="K523" s="136"/>
    </row>
    <row r="524" spans="1:11" x14ac:dyDescent="0.2">
      <c r="A524" s="125"/>
      <c r="B524" s="6"/>
      <c r="C524" s="124"/>
      <c r="D524" s="124">
        <v>1</v>
      </c>
      <c r="E524" s="206" t="s">
        <v>328</v>
      </c>
      <c r="F524" s="124"/>
      <c r="G524" s="204"/>
      <c r="H524" s="204"/>
      <c r="I524" s="204">
        <f>G524+I452</f>
        <v>0</v>
      </c>
      <c r="J524" s="136"/>
      <c r="K524" s="136"/>
    </row>
    <row r="525" spans="1:11" x14ac:dyDescent="0.2">
      <c r="A525" s="125"/>
      <c r="B525" s="6"/>
      <c r="C525" s="124"/>
      <c r="D525" s="124">
        <v>2</v>
      </c>
      <c r="E525" s="206" t="s">
        <v>329</v>
      </c>
      <c r="F525" s="124"/>
      <c r="G525" s="204"/>
      <c r="H525" s="204"/>
      <c r="I525" s="204">
        <f t="shared" ref="I525:I530" si="21">G525+I453</f>
        <v>0</v>
      </c>
      <c r="J525" s="136"/>
      <c r="K525" s="136"/>
    </row>
    <row r="526" spans="1:11" x14ac:dyDescent="0.2">
      <c r="A526" s="125"/>
      <c r="B526" s="6"/>
      <c r="C526" s="124"/>
      <c r="D526" s="124">
        <v>3</v>
      </c>
      <c r="E526" s="206" t="s">
        <v>900</v>
      </c>
      <c r="F526" s="134"/>
      <c r="G526" s="204"/>
      <c r="H526" s="204"/>
      <c r="I526" s="204">
        <f t="shared" si="21"/>
        <v>1200000</v>
      </c>
      <c r="J526" s="136"/>
      <c r="K526" s="136"/>
    </row>
    <row r="527" spans="1:11" x14ac:dyDescent="0.2">
      <c r="A527" s="125"/>
      <c r="B527" s="6"/>
      <c r="C527" s="124"/>
      <c r="D527" s="124">
        <v>4</v>
      </c>
      <c r="E527" s="206" t="s">
        <v>901</v>
      </c>
      <c r="F527" s="124"/>
      <c r="G527" s="204"/>
      <c r="H527" s="204"/>
      <c r="I527" s="204">
        <f t="shared" si="21"/>
        <v>0</v>
      </c>
      <c r="J527" s="136"/>
      <c r="K527" s="136"/>
    </row>
    <row r="528" spans="1:11" x14ac:dyDescent="0.2">
      <c r="A528" s="125"/>
      <c r="B528" s="6"/>
      <c r="C528" s="124"/>
      <c r="D528" s="124">
        <v>5</v>
      </c>
      <c r="E528" s="206" t="s">
        <v>887</v>
      </c>
      <c r="F528" s="134"/>
      <c r="G528" s="204"/>
      <c r="H528" s="204"/>
      <c r="I528" s="204">
        <f t="shared" si="21"/>
        <v>0</v>
      </c>
      <c r="J528" s="136"/>
      <c r="K528" s="136"/>
    </row>
    <row r="529" spans="1:11" x14ac:dyDescent="0.2">
      <c r="A529" s="125"/>
      <c r="B529" s="6"/>
      <c r="C529" s="124"/>
      <c r="D529" s="124">
        <v>6</v>
      </c>
      <c r="E529" s="206" t="s">
        <v>903</v>
      </c>
      <c r="F529" s="134"/>
      <c r="G529" s="204"/>
      <c r="H529" s="204"/>
      <c r="I529" s="204">
        <f t="shared" si="21"/>
        <v>0</v>
      </c>
      <c r="J529" s="136"/>
      <c r="K529" s="136"/>
    </row>
    <row r="530" spans="1:11" x14ac:dyDescent="0.2">
      <c r="A530" s="125"/>
      <c r="B530" s="6"/>
      <c r="C530" s="124"/>
      <c r="D530" s="124">
        <v>7</v>
      </c>
      <c r="E530" s="206" t="s">
        <v>904</v>
      </c>
      <c r="F530" s="134"/>
      <c r="G530" s="204"/>
      <c r="H530" s="204"/>
      <c r="I530" s="204">
        <f t="shared" si="21"/>
        <v>0</v>
      </c>
      <c r="J530" s="136"/>
      <c r="K530" s="136"/>
    </row>
    <row r="531" spans="1:11" x14ac:dyDescent="0.2">
      <c r="A531" s="125"/>
      <c r="B531" s="134"/>
      <c r="C531" s="128"/>
      <c r="D531" s="124"/>
      <c r="E531" s="206"/>
      <c r="F531" s="124"/>
      <c r="G531" s="204"/>
      <c r="H531" s="204"/>
      <c r="I531" s="204"/>
      <c r="J531" s="136"/>
      <c r="K531" s="136"/>
    </row>
    <row r="532" spans="1:11" x14ac:dyDescent="0.2">
      <c r="A532" s="125"/>
      <c r="B532" s="6"/>
      <c r="C532" s="124"/>
      <c r="D532" s="128" t="s">
        <v>67</v>
      </c>
      <c r="E532" s="127"/>
      <c r="F532" s="208"/>
      <c r="G532" s="205">
        <f>SUM(G524:G531)</f>
        <v>0</v>
      </c>
      <c r="H532" s="204"/>
      <c r="I532" s="205">
        <f>SUM(I524:I531)</f>
        <v>1200000</v>
      </c>
      <c r="J532" s="136"/>
      <c r="K532" s="136"/>
    </row>
    <row r="533" spans="1:11" x14ac:dyDescent="0.2">
      <c r="A533" s="125"/>
      <c r="B533" s="6"/>
      <c r="C533" s="124"/>
      <c r="D533" s="124"/>
      <c r="E533" s="124"/>
      <c r="F533" s="124"/>
      <c r="G533" s="204"/>
      <c r="H533" s="204"/>
      <c r="I533" s="204"/>
      <c r="J533" s="136"/>
      <c r="K533" s="136"/>
    </row>
    <row r="534" spans="1:11" x14ac:dyDescent="0.2">
      <c r="A534" s="125"/>
      <c r="B534" s="6"/>
      <c r="C534" s="128" t="s">
        <v>905</v>
      </c>
      <c r="D534" s="128"/>
      <c r="E534" s="128"/>
      <c r="F534" s="124"/>
      <c r="G534" s="488">
        <f>G521-G532</f>
        <v>0</v>
      </c>
      <c r="H534" s="204"/>
      <c r="I534" s="488">
        <f>I521-I532</f>
        <v>-1200000</v>
      </c>
      <c r="K534" s="136"/>
    </row>
    <row r="535" spans="1:11" x14ac:dyDescent="0.2">
      <c r="A535" s="125"/>
      <c r="B535" s="6"/>
      <c r="C535" s="124"/>
      <c r="D535" s="124"/>
      <c r="E535" s="124"/>
      <c r="F535" s="124"/>
      <c r="G535" s="204"/>
      <c r="H535" s="204"/>
      <c r="I535" s="204"/>
      <c r="J535" s="136"/>
      <c r="K535" s="136"/>
    </row>
    <row r="536" spans="1:11" x14ac:dyDescent="0.2">
      <c r="A536" s="125"/>
      <c r="B536" s="203" t="s">
        <v>907</v>
      </c>
      <c r="C536" s="203" t="s">
        <v>908</v>
      </c>
      <c r="D536" s="151"/>
      <c r="E536" s="134"/>
      <c r="F536" s="134"/>
      <c r="G536" s="204"/>
      <c r="H536" s="204"/>
      <c r="I536" s="204"/>
      <c r="J536" s="136"/>
      <c r="K536" s="136"/>
    </row>
    <row r="537" spans="1:11" x14ac:dyDescent="0.2">
      <c r="A537" s="125"/>
      <c r="B537" s="134"/>
      <c r="C537" s="128"/>
      <c r="D537" s="124" t="s">
        <v>909</v>
      </c>
      <c r="E537" s="124"/>
      <c r="F537" s="124"/>
      <c r="G537" s="204"/>
      <c r="H537" s="204"/>
      <c r="I537" s="204">
        <f>G537+I465</f>
        <v>0</v>
      </c>
      <c r="J537" s="136"/>
      <c r="K537" s="136"/>
    </row>
    <row r="538" spans="1:11" x14ac:dyDescent="0.2">
      <c r="A538" s="125"/>
      <c r="B538" s="6"/>
      <c r="C538" s="128" t="s">
        <v>910</v>
      </c>
      <c r="D538" s="151"/>
      <c r="E538" s="151"/>
      <c r="F538" s="151"/>
      <c r="G538" s="205">
        <f>SUM(G537)</f>
        <v>0</v>
      </c>
      <c r="H538" s="149"/>
      <c r="I538" s="205">
        <f>SUM(I537)</f>
        <v>0</v>
      </c>
      <c r="J538" s="136"/>
      <c r="K538" s="136"/>
    </row>
    <row r="539" spans="1:11" x14ac:dyDescent="0.2">
      <c r="A539" s="125"/>
      <c r="B539" s="6"/>
      <c r="C539" s="694"/>
      <c r="D539" s="694"/>
      <c r="E539" s="694"/>
      <c r="F539" s="124"/>
      <c r="G539" s="433"/>
      <c r="H539" s="210"/>
      <c r="I539" s="433"/>
      <c r="J539" s="136"/>
      <c r="K539" s="136"/>
    </row>
    <row r="540" spans="1:11" x14ac:dyDescent="0.2">
      <c r="A540" s="125"/>
      <c r="B540" s="203" t="s">
        <v>911</v>
      </c>
      <c r="C540" s="203" t="s">
        <v>912</v>
      </c>
      <c r="D540" s="124"/>
      <c r="E540" s="124"/>
      <c r="F540" s="124"/>
      <c r="G540" s="210"/>
      <c r="H540" s="210"/>
      <c r="I540" s="210"/>
      <c r="J540" s="136"/>
      <c r="K540" s="136"/>
    </row>
    <row r="541" spans="1:11" x14ac:dyDescent="0.2">
      <c r="A541" s="125"/>
      <c r="B541" s="195"/>
      <c r="C541" s="195"/>
      <c r="D541" s="124" t="s">
        <v>913</v>
      </c>
      <c r="E541" s="195"/>
      <c r="F541" s="134"/>
      <c r="G541" s="433"/>
      <c r="H541" s="210"/>
      <c r="I541" s="204">
        <f>G541+I470</f>
        <v>0</v>
      </c>
      <c r="J541" s="136"/>
      <c r="K541" s="136"/>
    </row>
    <row r="542" spans="1:11" x14ac:dyDescent="0.2">
      <c r="A542" s="125"/>
      <c r="B542" s="203"/>
      <c r="C542" s="124"/>
      <c r="D542" s="124" t="s">
        <v>914</v>
      </c>
      <c r="E542" s="124"/>
      <c r="F542" s="124"/>
      <c r="G542" s="204"/>
      <c r="H542" s="204"/>
      <c r="I542" s="204">
        <f t="shared" ref="I542:I544" si="22">G542+I471</f>
        <v>0</v>
      </c>
      <c r="J542" s="136"/>
      <c r="K542" s="136"/>
    </row>
    <row r="543" spans="1:11" x14ac:dyDescent="0.2">
      <c r="A543" s="125"/>
      <c r="B543" s="6"/>
      <c r="C543" s="124"/>
      <c r="D543" s="151" t="s">
        <v>915</v>
      </c>
      <c r="E543" s="134"/>
      <c r="F543" s="134"/>
      <c r="G543" s="204"/>
      <c r="H543" s="204"/>
      <c r="I543" s="204">
        <f t="shared" si="22"/>
        <v>0</v>
      </c>
      <c r="J543" s="136"/>
      <c r="K543" s="136"/>
    </row>
    <row r="544" spans="1:11" x14ac:dyDescent="0.2">
      <c r="A544" s="125"/>
      <c r="B544" s="134"/>
      <c r="C544" s="128"/>
      <c r="D544" s="124" t="s">
        <v>916</v>
      </c>
      <c r="E544" s="124"/>
      <c r="F544" s="124"/>
      <c r="G544" s="593"/>
      <c r="H544" s="204"/>
      <c r="I544" s="204">
        <f t="shared" si="22"/>
        <v>0</v>
      </c>
      <c r="J544" s="136"/>
      <c r="K544" s="136"/>
    </row>
    <row r="545" spans="1:11" x14ac:dyDescent="0.2">
      <c r="A545" s="125"/>
      <c r="B545" s="6"/>
      <c r="C545" s="128" t="s">
        <v>917</v>
      </c>
      <c r="D545" s="151"/>
      <c r="E545" s="151"/>
      <c r="F545" s="151"/>
      <c r="G545" s="596">
        <f>SUM(G541:G544)</f>
        <v>0</v>
      </c>
      <c r="H545" s="204"/>
      <c r="I545" s="596">
        <f>SUM(I541:I544)</f>
        <v>0</v>
      </c>
      <c r="J545" s="136"/>
      <c r="K545" s="136"/>
    </row>
    <row r="546" spans="1:11" x14ac:dyDescent="0.2">
      <c r="A546" s="125"/>
      <c r="B546" s="6"/>
      <c r="C546" s="124"/>
      <c r="D546" s="124"/>
      <c r="E546" s="124"/>
      <c r="F546" s="124"/>
      <c r="G546" s="593"/>
      <c r="H546" s="204"/>
      <c r="I546" s="204"/>
      <c r="J546" s="136"/>
      <c r="K546" s="136"/>
    </row>
    <row r="547" spans="1:11" x14ac:dyDescent="0.2">
      <c r="A547" s="125"/>
      <c r="B547" s="203" t="s">
        <v>918</v>
      </c>
      <c r="C547" s="203" t="s">
        <v>919</v>
      </c>
      <c r="D547" s="130"/>
      <c r="E547" s="130"/>
      <c r="F547" s="124"/>
      <c r="G547" s="149">
        <f>G534-G538+G545</f>
        <v>0</v>
      </c>
      <c r="H547" s="204"/>
      <c r="I547" s="149">
        <f>I534-I538+I545</f>
        <v>-1200000</v>
      </c>
      <c r="J547" s="136"/>
      <c r="K547" s="136"/>
    </row>
    <row r="548" spans="1:11" x14ac:dyDescent="0.2">
      <c r="A548" s="125"/>
      <c r="B548" s="6"/>
      <c r="C548" s="124"/>
      <c r="D548" s="124"/>
      <c r="E548" s="124"/>
      <c r="F548" s="124"/>
      <c r="G548" s="204"/>
      <c r="H548" s="204"/>
      <c r="I548" s="204"/>
      <c r="J548" s="136"/>
      <c r="K548" s="136"/>
    </row>
    <row r="549" spans="1:11" x14ac:dyDescent="0.2">
      <c r="A549" s="125"/>
      <c r="B549" s="203" t="s">
        <v>920</v>
      </c>
      <c r="C549" s="203" t="s">
        <v>921</v>
      </c>
      <c r="D549" s="130"/>
      <c r="E549" s="124"/>
      <c r="F549" s="124"/>
      <c r="G549" s="149">
        <f>G479</f>
        <v>1311051855.8000002</v>
      </c>
      <c r="H549" s="149"/>
      <c r="I549" s="149">
        <v>1312251855.8000002</v>
      </c>
      <c r="J549" s="136"/>
      <c r="K549" s="136"/>
    </row>
    <row r="550" spans="1:11" x14ac:dyDescent="0.2">
      <c r="A550" s="125"/>
      <c r="B550" s="6"/>
      <c r="C550" s="124"/>
      <c r="D550" s="124"/>
      <c r="E550" s="124"/>
      <c r="F550" s="124"/>
      <c r="G550" s="149"/>
      <c r="H550" s="149"/>
      <c r="I550" s="149"/>
      <c r="J550" s="136"/>
      <c r="K550" s="136"/>
    </row>
    <row r="551" spans="1:11" x14ac:dyDescent="0.2">
      <c r="A551" s="125"/>
      <c r="B551" s="134" t="s">
        <v>922</v>
      </c>
      <c r="C551" s="128" t="s">
        <v>921</v>
      </c>
      <c r="D551" s="124"/>
      <c r="E551" s="124"/>
      <c r="F551" s="124"/>
      <c r="G551" s="149">
        <f>G547+G549</f>
        <v>1311051855.8000002</v>
      </c>
      <c r="H551" s="149"/>
      <c r="I551" s="149">
        <f>I547+I549</f>
        <v>1311051855.8000002</v>
      </c>
      <c r="J551" s="136"/>
      <c r="K551" s="136"/>
    </row>
    <row r="552" spans="1:11" x14ac:dyDescent="0.2">
      <c r="A552" s="120"/>
      <c r="B552" s="119"/>
      <c r="C552" s="119"/>
      <c r="D552" s="119"/>
      <c r="E552" s="119"/>
      <c r="F552" s="119"/>
      <c r="G552" s="218"/>
      <c r="H552" s="218"/>
      <c r="I552" s="218"/>
      <c r="J552" s="594"/>
      <c r="K552" s="594"/>
    </row>
    <row r="553" spans="1:11" x14ac:dyDescent="0.2">
      <c r="A553" s="761"/>
      <c r="B553" s="761"/>
      <c r="C553" s="761"/>
      <c r="D553" s="761"/>
      <c r="E553" s="761"/>
      <c r="F553" s="124"/>
      <c r="G553" s="219">
        <f>'Lap. Perputaran Uang '!I569</f>
        <v>0</v>
      </c>
      <c r="H553" s="219"/>
      <c r="I553" s="219"/>
    </row>
    <row r="554" spans="1:11" x14ac:dyDescent="0.2">
      <c r="A554" s="697" t="s">
        <v>579</v>
      </c>
      <c r="B554" s="697"/>
      <c r="C554" s="697"/>
      <c r="D554" s="697"/>
      <c r="E554" s="697"/>
      <c r="F554" s="697" t="s">
        <v>566</v>
      </c>
      <c r="G554" s="697"/>
      <c r="H554" s="697"/>
      <c r="I554" s="697"/>
      <c r="J554" s="697"/>
      <c r="K554" s="697"/>
    </row>
    <row r="555" spans="1:11" x14ac:dyDescent="0.2">
      <c r="A555" s="697" t="s">
        <v>678</v>
      </c>
      <c r="B555" s="697"/>
      <c r="C555" s="697"/>
      <c r="D555" s="697"/>
      <c r="E555" s="697"/>
      <c r="F555" s="697" t="s">
        <v>681</v>
      </c>
      <c r="G555" s="697"/>
      <c r="H555" s="697"/>
      <c r="I555" s="697"/>
      <c r="J555" s="697"/>
      <c r="K555" s="697"/>
    </row>
    <row r="556" spans="1:11" x14ac:dyDescent="0.2">
      <c r="A556" s="697"/>
      <c r="B556" s="697"/>
      <c r="C556" s="697"/>
      <c r="D556" s="697"/>
      <c r="E556" s="697"/>
      <c r="F556" s="697"/>
      <c r="G556" s="697"/>
      <c r="H556" s="697"/>
      <c r="I556" s="697"/>
      <c r="J556" s="697"/>
      <c r="K556" s="697"/>
    </row>
    <row r="557" spans="1:11" x14ac:dyDescent="0.2">
      <c r="A557" s="697"/>
      <c r="B557" s="697"/>
      <c r="C557" s="697"/>
      <c r="D557" s="697"/>
      <c r="E557" s="697"/>
      <c r="F557" s="697"/>
      <c r="G557" s="697"/>
      <c r="H557" s="697"/>
      <c r="I557" s="697"/>
      <c r="J557" s="697"/>
      <c r="K557" s="697"/>
    </row>
    <row r="558" spans="1:11" x14ac:dyDescent="0.2">
      <c r="A558" s="697" t="s">
        <v>655</v>
      </c>
      <c r="B558" s="697"/>
      <c r="C558" s="697"/>
      <c r="D558" s="697"/>
      <c r="E558" s="697"/>
      <c r="F558" s="697" t="s">
        <v>567</v>
      </c>
      <c r="G558" s="697"/>
      <c r="H558" s="697"/>
      <c r="I558" s="697"/>
      <c r="J558" s="697"/>
      <c r="K558" s="697"/>
    </row>
    <row r="559" spans="1:11" x14ac:dyDescent="0.2">
      <c r="A559" s="697"/>
      <c r="B559" s="697"/>
      <c r="C559" s="697"/>
      <c r="D559" s="697"/>
      <c r="E559" s="697"/>
      <c r="F559" s="697"/>
      <c r="G559" s="697"/>
      <c r="H559" s="697"/>
      <c r="I559" s="697"/>
      <c r="J559" s="697"/>
      <c r="K559" s="697"/>
    </row>
    <row r="576" spans="1:6" x14ac:dyDescent="0.2">
      <c r="A576" s="728" t="s">
        <v>890</v>
      </c>
      <c r="B576" s="728"/>
      <c r="C576" s="590" t="s">
        <v>891</v>
      </c>
      <c r="D576" s="124"/>
      <c r="E576" s="124"/>
      <c r="F576" s="124"/>
    </row>
    <row r="577" spans="1:11" x14ac:dyDescent="0.2">
      <c r="B577" s="124"/>
      <c r="C577" s="124"/>
      <c r="D577" s="124"/>
      <c r="E577" s="124"/>
      <c r="F577" s="124"/>
    </row>
    <row r="578" spans="1:11" ht="15" x14ac:dyDescent="0.25">
      <c r="A578" s="141"/>
      <c r="B578" s="762"/>
      <c r="C578" s="762"/>
      <c r="D578" s="762"/>
      <c r="E578" s="762"/>
      <c r="F578" s="762"/>
      <c r="G578" s="762"/>
      <c r="H578" s="762"/>
      <c r="I578" s="762"/>
      <c r="J578" s="591"/>
      <c r="K578" s="591"/>
    </row>
    <row r="579" spans="1:11" ht="15" x14ac:dyDescent="0.25">
      <c r="A579" s="125"/>
      <c r="B579" s="696" t="s">
        <v>650</v>
      </c>
      <c r="C579" s="696"/>
      <c r="D579" s="696"/>
      <c r="E579" s="696"/>
      <c r="F579" s="696"/>
      <c r="G579" s="696"/>
      <c r="H579" s="696"/>
      <c r="I579" s="696"/>
      <c r="J579" s="136"/>
      <c r="K579" s="136"/>
    </row>
    <row r="580" spans="1:11" ht="15" x14ac:dyDescent="0.25">
      <c r="A580" s="125"/>
      <c r="B580" s="696" t="s">
        <v>41</v>
      </c>
      <c r="C580" s="696"/>
      <c r="D580" s="696"/>
      <c r="E580" s="696"/>
      <c r="F580" s="696"/>
      <c r="G580" s="696"/>
      <c r="H580" s="696"/>
      <c r="I580" s="696"/>
      <c r="J580" s="136"/>
      <c r="K580" s="136"/>
    </row>
    <row r="581" spans="1:11" ht="15" x14ac:dyDescent="0.25">
      <c r="A581" s="125"/>
      <c r="B581" s="742" t="s">
        <v>929</v>
      </c>
      <c r="C581" s="742"/>
      <c r="D581" s="742"/>
      <c r="E581" s="742"/>
      <c r="F581" s="742"/>
      <c r="G581" s="742"/>
      <c r="H581" s="742"/>
      <c r="I581" s="742"/>
      <c r="J581" s="136"/>
      <c r="K581" s="136"/>
    </row>
    <row r="582" spans="1:11" x14ac:dyDescent="0.2">
      <c r="A582" s="125"/>
      <c r="B582" s="124"/>
      <c r="C582" s="124"/>
      <c r="D582" s="124"/>
      <c r="E582" s="124"/>
      <c r="F582" s="124"/>
      <c r="J582" s="136"/>
      <c r="K582" s="136"/>
    </row>
    <row r="583" spans="1:11" x14ac:dyDescent="0.2">
      <c r="A583" s="125"/>
      <c r="B583" s="755" t="s">
        <v>30</v>
      </c>
      <c r="C583" s="756"/>
      <c r="D583" s="756"/>
      <c r="E583" s="757"/>
      <c r="F583" s="127"/>
      <c r="G583" s="201" t="s">
        <v>37</v>
      </c>
      <c r="H583" s="127"/>
      <c r="I583" s="201" t="s">
        <v>39</v>
      </c>
      <c r="J583" s="136"/>
      <c r="K583" s="136"/>
    </row>
    <row r="584" spans="1:11" x14ac:dyDescent="0.2">
      <c r="A584" s="125"/>
      <c r="B584" s="758"/>
      <c r="C584" s="759"/>
      <c r="D584" s="759"/>
      <c r="E584" s="760"/>
      <c r="F584" s="127"/>
      <c r="G584" s="202" t="s">
        <v>40</v>
      </c>
      <c r="H584" s="127"/>
      <c r="I584" s="202" t="s">
        <v>40</v>
      </c>
      <c r="J584" s="136"/>
      <c r="K584" s="136"/>
    </row>
    <row r="585" spans="1:11" x14ac:dyDescent="0.2">
      <c r="A585" s="125"/>
      <c r="B585" s="203" t="s">
        <v>893</v>
      </c>
      <c r="C585" s="203" t="s">
        <v>906</v>
      </c>
      <c r="D585" s="203"/>
      <c r="E585" s="124"/>
      <c r="F585" s="124"/>
      <c r="G585" s="204"/>
      <c r="H585" s="204"/>
      <c r="I585" s="204"/>
      <c r="J585" s="136"/>
      <c r="K585" s="136"/>
    </row>
    <row r="586" spans="1:11" x14ac:dyDescent="0.2">
      <c r="A586" s="125"/>
      <c r="B586" s="6"/>
      <c r="C586" s="128" t="s">
        <v>894</v>
      </c>
      <c r="D586" s="124"/>
      <c r="E586" s="124"/>
      <c r="F586" s="124"/>
      <c r="G586" s="204"/>
      <c r="H586" s="204"/>
      <c r="I586" s="204"/>
      <c r="J586" s="136"/>
      <c r="K586" s="136"/>
    </row>
    <row r="587" spans="1:11" x14ac:dyDescent="0.2">
      <c r="A587" s="125"/>
      <c r="B587" s="6"/>
      <c r="C587" s="124"/>
      <c r="D587" s="124">
        <v>1</v>
      </c>
      <c r="E587" s="124" t="s">
        <v>895</v>
      </c>
      <c r="F587" s="124"/>
      <c r="G587" s="204"/>
      <c r="H587" s="204"/>
      <c r="I587" s="204">
        <f>G587+I515</f>
        <v>0</v>
      </c>
      <c r="J587" s="136"/>
      <c r="K587" s="136"/>
    </row>
    <row r="588" spans="1:11" x14ac:dyDescent="0.2">
      <c r="A588" s="125"/>
      <c r="B588" s="6"/>
      <c r="C588" s="124"/>
      <c r="D588" s="124">
        <v>2</v>
      </c>
      <c r="E588" s="124" t="s">
        <v>896</v>
      </c>
      <c r="F588" s="124"/>
      <c r="G588" s="204"/>
      <c r="H588" s="204"/>
      <c r="I588" s="204">
        <f t="shared" ref="I588:I591" si="23">G588+I516</f>
        <v>0</v>
      </c>
      <c r="J588" s="136"/>
      <c r="K588" s="136"/>
    </row>
    <row r="589" spans="1:11" x14ac:dyDescent="0.2">
      <c r="A589" s="125"/>
      <c r="B589" s="6"/>
      <c r="C589" s="124"/>
      <c r="D589" s="124">
        <v>3</v>
      </c>
      <c r="E589" s="124" t="s">
        <v>897</v>
      </c>
      <c r="F589" s="124"/>
      <c r="G589" s="204"/>
      <c r="H589" s="204"/>
      <c r="I589" s="204">
        <f t="shared" si="23"/>
        <v>0</v>
      </c>
      <c r="J589" s="136"/>
      <c r="K589" s="136"/>
    </row>
    <row r="590" spans="1:11" x14ac:dyDescent="0.2">
      <c r="A590" s="125"/>
      <c r="B590" s="6"/>
      <c r="C590" s="124"/>
      <c r="D590" s="124">
        <v>4</v>
      </c>
      <c r="E590" s="124" t="s">
        <v>902</v>
      </c>
      <c r="F590" s="124"/>
      <c r="G590" s="204"/>
      <c r="H590" s="204"/>
      <c r="I590" s="204">
        <f t="shared" si="23"/>
        <v>0</v>
      </c>
      <c r="J590" s="136"/>
      <c r="K590" s="136"/>
    </row>
    <row r="591" spans="1:11" x14ac:dyDescent="0.2">
      <c r="A591" s="125"/>
      <c r="B591" s="6"/>
      <c r="C591" s="124"/>
      <c r="D591" s="124">
        <v>5</v>
      </c>
      <c r="E591" s="124" t="s">
        <v>898</v>
      </c>
      <c r="F591" s="124"/>
      <c r="G591" s="204"/>
      <c r="H591" s="204"/>
      <c r="I591" s="204">
        <f t="shared" si="23"/>
        <v>0</v>
      </c>
      <c r="J591" s="136"/>
      <c r="K591" s="136"/>
    </row>
    <row r="592" spans="1:11" x14ac:dyDescent="0.2">
      <c r="A592" s="125"/>
      <c r="B592" s="6"/>
      <c r="C592" s="124"/>
      <c r="D592" s="124"/>
      <c r="E592" s="124"/>
      <c r="F592" s="124"/>
      <c r="G592" s="204"/>
      <c r="H592" s="204"/>
      <c r="I592" s="204"/>
      <c r="J592" s="136"/>
      <c r="K592" s="136"/>
    </row>
    <row r="593" spans="1:11" x14ac:dyDescent="0.2">
      <c r="A593" s="125"/>
      <c r="B593" s="6"/>
      <c r="C593" s="128"/>
      <c r="D593" s="128" t="s">
        <v>55</v>
      </c>
      <c r="E593" s="128"/>
      <c r="F593" s="124"/>
      <c r="G593" s="205">
        <f>SUM(G587:G591)</f>
        <v>0</v>
      </c>
      <c r="H593" s="204"/>
      <c r="I593" s="205">
        <f>SUM(I587:I591)</f>
        <v>0</v>
      </c>
      <c r="J593" s="136"/>
      <c r="K593" s="136"/>
    </row>
    <row r="594" spans="1:11" x14ac:dyDescent="0.2">
      <c r="A594" s="125"/>
      <c r="B594" s="6"/>
      <c r="C594" s="128"/>
      <c r="D594" s="128"/>
      <c r="E594" s="128"/>
      <c r="F594" s="124"/>
      <c r="G594" s="149"/>
      <c r="H594" s="204"/>
      <c r="I594" s="149"/>
      <c r="J594" s="136"/>
      <c r="K594" s="136"/>
    </row>
    <row r="595" spans="1:11" x14ac:dyDescent="0.2">
      <c r="A595" s="125"/>
      <c r="B595" s="6"/>
      <c r="C595" s="128" t="s">
        <v>899</v>
      </c>
      <c r="D595" s="124"/>
      <c r="E595" s="124"/>
      <c r="F595" s="124"/>
      <c r="G595" s="204"/>
      <c r="H595" s="204"/>
      <c r="I595" s="204"/>
      <c r="J595" s="136"/>
      <c r="K595" s="136"/>
    </row>
    <row r="596" spans="1:11" x14ac:dyDescent="0.2">
      <c r="A596" s="125"/>
      <c r="B596" s="6"/>
      <c r="C596" s="124"/>
      <c r="D596" s="124">
        <v>1</v>
      </c>
      <c r="E596" s="206" t="s">
        <v>328</v>
      </c>
      <c r="F596" s="124"/>
      <c r="G596" s="204"/>
      <c r="H596" s="204"/>
      <c r="I596" s="204">
        <f>G596+I524</f>
        <v>0</v>
      </c>
      <c r="J596" s="136"/>
      <c r="K596" s="136"/>
    </row>
    <row r="597" spans="1:11" x14ac:dyDescent="0.2">
      <c r="A597" s="125"/>
      <c r="B597" s="6"/>
      <c r="C597" s="124"/>
      <c r="D597" s="124">
        <v>2</v>
      </c>
      <c r="E597" s="206" t="s">
        <v>329</v>
      </c>
      <c r="F597" s="124"/>
      <c r="G597" s="204"/>
      <c r="H597" s="204"/>
      <c r="I597" s="204">
        <f t="shared" ref="I597:I602" si="24">G597+I525</f>
        <v>0</v>
      </c>
      <c r="J597" s="136"/>
      <c r="K597" s="136"/>
    </row>
    <row r="598" spans="1:11" x14ac:dyDescent="0.2">
      <c r="A598" s="125"/>
      <c r="B598" s="6"/>
      <c r="C598" s="124"/>
      <c r="D598" s="124">
        <v>3</v>
      </c>
      <c r="E598" s="206" t="s">
        <v>900</v>
      </c>
      <c r="F598" s="134"/>
      <c r="G598" s="204"/>
      <c r="H598" s="204"/>
      <c r="I598" s="204">
        <f t="shared" si="24"/>
        <v>1200000</v>
      </c>
      <c r="J598" s="136"/>
      <c r="K598" s="136"/>
    </row>
    <row r="599" spans="1:11" x14ac:dyDescent="0.2">
      <c r="A599" s="125"/>
      <c r="B599" s="6"/>
      <c r="C599" s="124"/>
      <c r="D599" s="124">
        <v>4</v>
      </c>
      <c r="E599" s="206" t="s">
        <v>901</v>
      </c>
      <c r="F599" s="124"/>
      <c r="G599" s="204"/>
      <c r="H599" s="204"/>
      <c r="I599" s="204">
        <f t="shared" si="24"/>
        <v>0</v>
      </c>
      <c r="J599" s="136"/>
      <c r="K599" s="136"/>
    </row>
    <row r="600" spans="1:11" x14ac:dyDescent="0.2">
      <c r="A600" s="125"/>
      <c r="B600" s="6"/>
      <c r="C600" s="124"/>
      <c r="D600" s="124">
        <v>5</v>
      </c>
      <c r="E600" s="206" t="s">
        <v>887</v>
      </c>
      <c r="F600" s="134"/>
      <c r="G600" s="204"/>
      <c r="H600" s="204"/>
      <c r="I600" s="204">
        <f t="shared" si="24"/>
        <v>0</v>
      </c>
      <c r="J600" s="136"/>
      <c r="K600" s="136"/>
    </row>
    <row r="601" spans="1:11" x14ac:dyDescent="0.2">
      <c r="A601" s="125"/>
      <c r="B601" s="6"/>
      <c r="C601" s="124"/>
      <c r="D601" s="124">
        <v>6</v>
      </c>
      <c r="E601" s="206" t="s">
        <v>903</v>
      </c>
      <c r="F601" s="134"/>
      <c r="G601" s="204"/>
      <c r="H601" s="204"/>
      <c r="I601" s="204">
        <f t="shared" si="24"/>
        <v>0</v>
      </c>
      <c r="J601" s="136"/>
      <c r="K601" s="136"/>
    </row>
    <row r="602" spans="1:11" x14ac:dyDescent="0.2">
      <c r="A602" s="125"/>
      <c r="B602" s="6"/>
      <c r="C602" s="124"/>
      <c r="D602" s="124">
        <v>7</v>
      </c>
      <c r="E602" s="206" t="s">
        <v>904</v>
      </c>
      <c r="F602" s="134"/>
      <c r="G602" s="204"/>
      <c r="H602" s="204"/>
      <c r="I602" s="204">
        <f t="shared" si="24"/>
        <v>0</v>
      </c>
      <c r="J602" s="136"/>
      <c r="K602" s="136"/>
    </row>
    <row r="603" spans="1:11" x14ac:dyDescent="0.2">
      <c r="A603" s="125"/>
      <c r="B603" s="134"/>
      <c r="C603" s="128"/>
      <c r="D603" s="124"/>
      <c r="E603" s="206"/>
      <c r="F603" s="124"/>
      <c r="G603" s="204"/>
      <c r="H603" s="204"/>
      <c r="I603" s="204"/>
      <c r="J603" s="136"/>
      <c r="K603" s="136"/>
    </row>
    <row r="604" spans="1:11" x14ac:dyDescent="0.2">
      <c r="A604" s="125"/>
      <c r="B604" s="6"/>
      <c r="C604" s="124"/>
      <c r="D604" s="128" t="s">
        <v>67</v>
      </c>
      <c r="E604" s="127"/>
      <c r="F604" s="208"/>
      <c r="G604" s="205">
        <f>SUM(G596:G603)</f>
        <v>0</v>
      </c>
      <c r="H604" s="204"/>
      <c r="I604" s="205">
        <f>SUM(I596:I603)</f>
        <v>1200000</v>
      </c>
      <c r="J604" s="136"/>
      <c r="K604" s="136"/>
    </row>
    <row r="605" spans="1:11" x14ac:dyDescent="0.2">
      <c r="A605" s="125"/>
      <c r="B605" s="6"/>
      <c r="C605" s="124"/>
      <c r="D605" s="124"/>
      <c r="E605" s="124"/>
      <c r="F605" s="124"/>
      <c r="G605" s="204"/>
      <c r="H605" s="204"/>
      <c r="I605" s="204"/>
      <c r="J605" s="136"/>
      <c r="K605" s="136"/>
    </row>
    <row r="606" spans="1:11" x14ac:dyDescent="0.2">
      <c r="A606" s="125"/>
      <c r="B606" s="6"/>
      <c r="C606" s="128" t="s">
        <v>905</v>
      </c>
      <c r="D606" s="128"/>
      <c r="E606" s="128"/>
      <c r="F606" s="124"/>
      <c r="G606" s="488">
        <f>G593-G604</f>
        <v>0</v>
      </c>
      <c r="H606" s="204"/>
      <c r="I606" s="488">
        <f>I593-I604</f>
        <v>-1200000</v>
      </c>
      <c r="K606" s="136"/>
    </row>
    <row r="607" spans="1:11" x14ac:dyDescent="0.2">
      <c r="A607" s="125"/>
      <c r="B607" s="6"/>
      <c r="C607" s="124"/>
      <c r="D607" s="124"/>
      <c r="E607" s="124"/>
      <c r="F607" s="124"/>
      <c r="G607" s="204"/>
      <c r="H607" s="204"/>
      <c r="I607" s="204"/>
      <c r="J607" s="136"/>
      <c r="K607" s="136"/>
    </row>
    <row r="608" spans="1:11" x14ac:dyDescent="0.2">
      <c r="A608" s="125"/>
      <c r="B608" s="203" t="s">
        <v>907</v>
      </c>
      <c r="C608" s="203" t="s">
        <v>908</v>
      </c>
      <c r="D608" s="151"/>
      <c r="E608" s="134"/>
      <c r="F608" s="134"/>
      <c r="G608" s="204"/>
      <c r="H608" s="204"/>
      <c r="I608" s="204"/>
      <c r="J608" s="136"/>
      <c r="K608" s="136"/>
    </row>
    <row r="609" spans="1:11" x14ac:dyDescent="0.2">
      <c r="A609" s="125"/>
      <c r="B609" s="134"/>
      <c r="C609" s="128"/>
      <c r="D609" s="124" t="s">
        <v>909</v>
      </c>
      <c r="E609" s="124"/>
      <c r="F609" s="124"/>
      <c r="G609" s="204"/>
      <c r="H609" s="204"/>
      <c r="I609" s="204">
        <f>G609+I537</f>
        <v>0</v>
      </c>
      <c r="J609" s="136"/>
      <c r="K609" s="136"/>
    </row>
    <row r="610" spans="1:11" x14ac:dyDescent="0.2">
      <c r="A610" s="125"/>
      <c r="B610" s="6"/>
      <c r="C610" s="128" t="s">
        <v>910</v>
      </c>
      <c r="D610" s="151"/>
      <c r="E610" s="151"/>
      <c r="F610" s="151"/>
      <c r="G610" s="205">
        <f>SUM(G609)</f>
        <v>0</v>
      </c>
      <c r="H610" s="149"/>
      <c r="I610" s="205">
        <f>SUM(I609)</f>
        <v>0</v>
      </c>
      <c r="J610" s="136"/>
      <c r="K610" s="136"/>
    </row>
    <row r="611" spans="1:11" x14ac:dyDescent="0.2">
      <c r="A611" s="125"/>
      <c r="B611" s="6"/>
      <c r="C611" s="694"/>
      <c r="D611" s="694"/>
      <c r="E611" s="694"/>
      <c r="F611" s="124"/>
      <c r="G611" s="433"/>
      <c r="H611" s="210"/>
      <c r="I611" s="433"/>
      <c r="J611" s="136"/>
      <c r="K611" s="136"/>
    </row>
    <row r="612" spans="1:11" x14ac:dyDescent="0.2">
      <c r="A612" s="125"/>
      <c r="B612" s="203" t="s">
        <v>911</v>
      </c>
      <c r="C612" s="203" t="s">
        <v>912</v>
      </c>
      <c r="D612" s="124"/>
      <c r="E612" s="124"/>
      <c r="F612" s="124"/>
      <c r="G612" s="210"/>
      <c r="H612" s="210"/>
      <c r="I612" s="210"/>
      <c r="J612" s="136"/>
      <c r="K612" s="136"/>
    </row>
    <row r="613" spans="1:11" x14ac:dyDescent="0.2">
      <c r="A613" s="125"/>
      <c r="B613" s="195"/>
      <c r="C613" s="195"/>
      <c r="D613" s="124" t="s">
        <v>913</v>
      </c>
      <c r="E613" s="195"/>
      <c r="F613" s="134"/>
      <c r="G613" s="433"/>
      <c r="H613" s="210"/>
      <c r="I613" s="204">
        <f>G613+I542</f>
        <v>0</v>
      </c>
      <c r="J613" s="136"/>
      <c r="K613" s="136"/>
    </row>
    <row r="614" spans="1:11" x14ac:dyDescent="0.2">
      <c r="A614" s="125"/>
      <c r="B614" s="203"/>
      <c r="C614" s="124"/>
      <c r="D614" s="124" t="s">
        <v>914</v>
      </c>
      <c r="E614" s="124"/>
      <c r="F614" s="124"/>
      <c r="G614" s="204"/>
      <c r="H614" s="204"/>
      <c r="I614" s="204">
        <f t="shared" ref="I614:I616" si="25">G614+I543</f>
        <v>0</v>
      </c>
      <c r="J614" s="136"/>
      <c r="K614" s="136"/>
    </row>
    <row r="615" spans="1:11" x14ac:dyDescent="0.2">
      <c r="A615" s="125"/>
      <c r="B615" s="6"/>
      <c r="C615" s="124"/>
      <c r="D615" s="151" t="s">
        <v>915</v>
      </c>
      <c r="E615" s="134"/>
      <c r="F615" s="134"/>
      <c r="G615" s="204"/>
      <c r="H615" s="204"/>
      <c r="I615" s="204">
        <f t="shared" si="25"/>
        <v>0</v>
      </c>
      <c r="J615" s="136"/>
      <c r="K615" s="136"/>
    </row>
    <row r="616" spans="1:11" x14ac:dyDescent="0.2">
      <c r="A616" s="125"/>
      <c r="B616" s="134"/>
      <c r="C616" s="128"/>
      <c r="D616" s="124" t="s">
        <v>916</v>
      </c>
      <c r="E616" s="124"/>
      <c r="F616" s="124"/>
      <c r="G616" s="593"/>
      <c r="H616" s="204"/>
      <c r="I616" s="204">
        <f t="shared" si="25"/>
        <v>0</v>
      </c>
      <c r="J616" s="136"/>
      <c r="K616" s="136"/>
    </row>
    <row r="617" spans="1:11" x14ac:dyDescent="0.2">
      <c r="A617" s="125"/>
      <c r="B617" s="6"/>
      <c r="C617" s="128" t="s">
        <v>917</v>
      </c>
      <c r="D617" s="151"/>
      <c r="E617" s="151"/>
      <c r="F617" s="151"/>
      <c r="G617" s="596">
        <f>SUM(G613:G616)</f>
        <v>0</v>
      </c>
      <c r="H617" s="204"/>
      <c r="I617" s="596">
        <f>SUM(I613:I616)</f>
        <v>0</v>
      </c>
      <c r="J617" s="136"/>
      <c r="K617" s="136"/>
    </row>
    <row r="618" spans="1:11" x14ac:dyDescent="0.2">
      <c r="A618" s="125"/>
      <c r="B618" s="6"/>
      <c r="C618" s="124"/>
      <c r="D618" s="124"/>
      <c r="E618" s="124"/>
      <c r="F618" s="124"/>
      <c r="G618" s="593"/>
      <c r="H618" s="204"/>
      <c r="I618" s="204"/>
      <c r="J618" s="136"/>
      <c r="K618" s="136"/>
    </row>
    <row r="619" spans="1:11" x14ac:dyDescent="0.2">
      <c r="A619" s="125"/>
      <c r="B619" s="203" t="s">
        <v>918</v>
      </c>
      <c r="C619" s="203" t="s">
        <v>919</v>
      </c>
      <c r="D619" s="130"/>
      <c r="E619" s="130"/>
      <c r="F619" s="124"/>
      <c r="G619" s="149">
        <f>G606-G610+G617</f>
        <v>0</v>
      </c>
      <c r="H619" s="204"/>
      <c r="I619" s="149">
        <f>I606-I610+I617</f>
        <v>-1200000</v>
      </c>
      <c r="J619" s="136"/>
      <c r="K619" s="136"/>
    </row>
    <row r="620" spans="1:11" x14ac:dyDescent="0.2">
      <c r="A620" s="125"/>
      <c r="B620" s="6"/>
      <c r="C620" s="124"/>
      <c r="D620" s="124"/>
      <c r="E620" s="124"/>
      <c r="F620" s="124"/>
      <c r="G620" s="204"/>
      <c r="H620" s="204"/>
      <c r="I620" s="204"/>
      <c r="J620" s="136"/>
      <c r="K620" s="136"/>
    </row>
    <row r="621" spans="1:11" x14ac:dyDescent="0.2">
      <c r="A621" s="125"/>
      <c r="B621" s="203" t="s">
        <v>920</v>
      </c>
      <c r="C621" s="203" t="s">
        <v>921</v>
      </c>
      <c r="D621" s="130"/>
      <c r="E621" s="124"/>
      <c r="F621" s="124"/>
      <c r="G621" s="149">
        <f>G551</f>
        <v>1311051855.8000002</v>
      </c>
      <c r="H621" s="149"/>
      <c r="I621" s="149">
        <v>1312251855.8000002</v>
      </c>
      <c r="J621" s="136"/>
      <c r="K621" s="136"/>
    </row>
    <row r="622" spans="1:11" x14ac:dyDescent="0.2">
      <c r="A622" s="125"/>
      <c r="B622" s="6"/>
      <c r="C622" s="124"/>
      <c r="D622" s="124"/>
      <c r="E622" s="124"/>
      <c r="F622" s="124"/>
      <c r="G622" s="149"/>
      <c r="H622" s="149"/>
      <c r="I622" s="149"/>
      <c r="J622" s="136"/>
      <c r="K622" s="136"/>
    </row>
    <row r="623" spans="1:11" x14ac:dyDescent="0.2">
      <c r="A623" s="125"/>
      <c r="B623" s="134" t="s">
        <v>922</v>
      </c>
      <c r="C623" s="128" t="s">
        <v>921</v>
      </c>
      <c r="D623" s="124"/>
      <c r="E623" s="124"/>
      <c r="F623" s="124"/>
      <c r="G623" s="149">
        <f>G619+G621</f>
        <v>1311051855.8000002</v>
      </c>
      <c r="H623" s="149"/>
      <c r="I623" s="149">
        <f>I619+I621</f>
        <v>1311051855.8000002</v>
      </c>
      <c r="J623" s="136"/>
      <c r="K623" s="136"/>
    </row>
    <row r="624" spans="1:11" x14ac:dyDescent="0.2">
      <c r="A624" s="120"/>
      <c r="B624" s="119"/>
      <c r="C624" s="119"/>
      <c r="D624" s="119"/>
      <c r="E624" s="119"/>
      <c r="F624" s="119"/>
      <c r="G624" s="218"/>
      <c r="H624" s="218"/>
      <c r="I624" s="218"/>
      <c r="J624" s="594"/>
      <c r="K624" s="594"/>
    </row>
    <row r="625" spans="1:11" x14ac:dyDescent="0.2">
      <c r="A625" s="761"/>
      <c r="B625" s="761"/>
      <c r="C625" s="761"/>
      <c r="D625" s="761"/>
      <c r="E625" s="761"/>
      <c r="F625" s="124"/>
      <c r="G625" s="219"/>
      <c r="H625" s="219"/>
      <c r="I625" s="219"/>
    </row>
    <row r="626" spans="1:11" x14ac:dyDescent="0.2">
      <c r="A626" s="697" t="s">
        <v>579</v>
      </c>
      <c r="B626" s="697"/>
      <c r="C626" s="697"/>
      <c r="D626" s="697"/>
      <c r="E626" s="697"/>
      <c r="F626" s="697" t="s">
        <v>566</v>
      </c>
      <c r="G626" s="697"/>
      <c r="H626" s="697"/>
      <c r="I626" s="697"/>
      <c r="J626" s="697"/>
      <c r="K626" s="697"/>
    </row>
    <row r="627" spans="1:11" x14ac:dyDescent="0.2">
      <c r="A627" s="697" t="s">
        <v>678</v>
      </c>
      <c r="B627" s="697"/>
      <c r="C627" s="697"/>
      <c r="D627" s="697"/>
      <c r="E627" s="697"/>
      <c r="F627" s="697" t="s">
        <v>681</v>
      </c>
      <c r="G627" s="697"/>
      <c r="H627" s="697"/>
      <c r="I627" s="697"/>
      <c r="J627" s="697"/>
      <c r="K627" s="697"/>
    </row>
    <row r="628" spans="1:11" x14ac:dyDescent="0.2">
      <c r="A628" s="697"/>
      <c r="B628" s="697"/>
      <c r="C628" s="697"/>
      <c r="D628" s="697"/>
      <c r="E628" s="697"/>
      <c r="F628" s="697"/>
      <c r="G628" s="697"/>
      <c r="H628" s="697"/>
      <c r="I628" s="697"/>
      <c r="J628" s="697"/>
      <c r="K628" s="697"/>
    </row>
    <row r="629" spans="1:11" x14ac:dyDescent="0.2">
      <c r="A629" s="697"/>
      <c r="B629" s="697"/>
      <c r="C629" s="697"/>
      <c r="D629" s="697"/>
      <c r="E629" s="697"/>
      <c r="F629" s="697"/>
      <c r="G629" s="697"/>
      <c r="H629" s="697"/>
      <c r="I629" s="697"/>
      <c r="J629" s="697"/>
      <c r="K629" s="697"/>
    </row>
    <row r="630" spans="1:11" x14ac:dyDescent="0.2">
      <c r="A630" s="697" t="s">
        <v>655</v>
      </c>
      <c r="B630" s="697"/>
      <c r="C630" s="697"/>
      <c r="D630" s="697"/>
      <c r="E630" s="697"/>
      <c r="F630" s="697" t="s">
        <v>567</v>
      </c>
      <c r="G630" s="697"/>
      <c r="H630" s="697"/>
      <c r="I630" s="697"/>
      <c r="J630" s="697"/>
      <c r="K630" s="697"/>
    </row>
    <row r="631" spans="1:11" x14ac:dyDescent="0.2">
      <c r="A631" s="697"/>
      <c r="B631" s="697"/>
      <c r="C631" s="697"/>
      <c r="D631" s="697"/>
      <c r="E631" s="697"/>
      <c r="F631" s="697"/>
      <c r="G631" s="697"/>
      <c r="H631" s="697"/>
      <c r="I631" s="697"/>
      <c r="J631" s="697"/>
      <c r="K631" s="697"/>
    </row>
    <row r="648" spans="1:11" x14ac:dyDescent="0.2">
      <c r="A648" s="728" t="s">
        <v>890</v>
      </c>
      <c r="B648" s="728"/>
      <c r="C648" s="590" t="s">
        <v>891</v>
      </c>
      <c r="D648" s="124"/>
      <c r="E648" s="124"/>
      <c r="F648" s="124"/>
    </row>
    <row r="649" spans="1:11" x14ac:dyDescent="0.2">
      <c r="B649" s="124"/>
      <c r="C649" s="124"/>
      <c r="D649" s="124"/>
      <c r="E649" s="124"/>
      <c r="F649" s="124"/>
    </row>
    <row r="650" spans="1:11" ht="15" x14ac:dyDescent="0.25">
      <c r="A650" s="141"/>
      <c r="B650" s="762"/>
      <c r="C650" s="762"/>
      <c r="D650" s="762"/>
      <c r="E650" s="762"/>
      <c r="F650" s="762"/>
      <c r="G650" s="762"/>
      <c r="H650" s="762"/>
      <c r="I650" s="762"/>
      <c r="J650" s="591"/>
      <c r="K650" s="591"/>
    </row>
    <row r="651" spans="1:11" ht="15" x14ac:dyDescent="0.25">
      <c r="A651" s="125"/>
      <c r="B651" s="696" t="s">
        <v>650</v>
      </c>
      <c r="C651" s="696"/>
      <c r="D651" s="696"/>
      <c r="E651" s="696"/>
      <c r="F651" s="696"/>
      <c r="G651" s="696"/>
      <c r="H651" s="696"/>
      <c r="I651" s="696"/>
      <c r="J651" s="136"/>
      <c r="K651" s="136"/>
    </row>
    <row r="652" spans="1:11" ht="15" x14ac:dyDescent="0.25">
      <c r="A652" s="125"/>
      <c r="B652" s="696" t="s">
        <v>41</v>
      </c>
      <c r="C652" s="696"/>
      <c r="D652" s="696"/>
      <c r="E652" s="696"/>
      <c r="F652" s="696"/>
      <c r="G652" s="696"/>
      <c r="H652" s="696"/>
      <c r="I652" s="696"/>
      <c r="J652" s="136"/>
      <c r="K652" s="136"/>
    </row>
    <row r="653" spans="1:11" ht="15" x14ac:dyDescent="0.25">
      <c r="A653" s="125"/>
      <c r="B653" s="742" t="s">
        <v>930</v>
      </c>
      <c r="C653" s="742"/>
      <c r="D653" s="742"/>
      <c r="E653" s="742"/>
      <c r="F653" s="742"/>
      <c r="G653" s="742"/>
      <c r="H653" s="742"/>
      <c r="I653" s="742"/>
      <c r="J653" s="136"/>
      <c r="K653" s="136"/>
    </row>
    <row r="654" spans="1:11" x14ac:dyDescent="0.2">
      <c r="A654" s="125"/>
      <c r="B654" s="124"/>
      <c r="C654" s="124"/>
      <c r="D654" s="124"/>
      <c r="E654" s="124"/>
      <c r="F654" s="124"/>
      <c r="J654" s="136"/>
      <c r="K654" s="136"/>
    </row>
    <row r="655" spans="1:11" x14ac:dyDescent="0.2">
      <c r="A655" s="125"/>
      <c r="B655" s="755" t="s">
        <v>30</v>
      </c>
      <c r="C655" s="756"/>
      <c r="D655" s="756"/>
      <c r="E655" s="757"/>
      <c r="F655" s="127"/>
      <c r="G655" s="201" t="s">
        <v>37</v>
      </c>
      <c r="H655" s="127"/>
      <c r="I655" s="201" t="s">
        <v>39</v>
      </c>
      <c r="J655" s="136"/>
      <c r="K655" s="136"/>
    </row>
    <row r="656" spans="1:11" x14ac:dyDescent="0.2">
      <c r="A656" s="125"/>
      <c r="B656" s="758"/>
      <c r="C656" s="759"/>
      <c r="D656" s="759"/>
      <c r="E656" s="760"/>
      <c r="F656" s="127"/>
      <c r="G656" s="202" t="s">
        <v>40</v>
      </c>
      <c r="H656" s="127"/>
      <c r="I656" s="202" t="s">
        <v>40</v>
      </c>
      <c r="J656" s="136"/>
      <c r="K656" s="136"/>
    </row>
    <row r="657" spans="1:11" x14ac:dyDescent="0.2">
      <c r="A657" s="125"/>
      <c r="B657" s="203" t="s">
        <v>893</v>
      </c>
      <c r="C657" s="203" t="s">
        <v>906</v>
      </c>
      <c r="D657" s="203"/>
      <c r="E657" s="124"/>
      <c r="F657" s="124"/>
      <c r="G657" s="204"/>
      <c r="H657" s="204"/>
      <c r="I657" s="204"/>
      <c r="J657" s="136"/>
      <c r="K657" s="136"/>
    </row>
    <row r="658" spans="1:11" x14ac:dyDescent="0.2">
      <c r="A658" s="125"/>
      <c r="B658" s="6"/>
      <c r="C658" s="128" t="s">
        <v>894</v>
      </c>
      <c r="D658" s="124"/>
      <c r="E658" s="124"/>
      <c r="F658" s="124"/>
      <c r="G658" s="204"/>
      <c r="H658" s="204"/>
      <c r="I658" s="204"/>
      <c r="J658" s="136"/>
      <c r="K658" s="136"/>
    </row>
    <row r="659" spans="1:11" x14ac:dyDescent="0.2">
      <c r="A659" s="125"/>
      <c r="B659" s="6"/>
      <c r="C659" s="124"/>
      <c r="D659" s="124">
        <v>1</v>
      </c>
      <c r="E659" s="124" t="s">
        <v>895</v>
      </c>
      <c r="F659" s="124"/>
      <c r="G659" s="204"/>
      <c r="H659" s="204"/>
      <c r="I659" s="204">
        <f>G659+I587</f>
        <v>0</v>
      </c>
      <c r="J659" s="136"/>
      <c r="K659" s="136"/>
    </row>
    <row r="660" spans="1:11" x14ac:dyDescent="0.2">
      <c r="A660" s="125"/>
      <c r="B660" s="6"/>
      <c r="C660" s="124"/>
      <c r="D660" s="124">
        <v>2</v>
      </c>
      <c r="E660" s="124" t="s">
        <v>896</v>
      </c>
      <c r="F660" s="124"/>
      <c r="G660" s="204"/>
      <c r="H660" s="204"/>
      <c r="I660" s="204">
        <f t="shared" ref="I660:I663" si="26">G660+I588</f>
        <v>0</v>
      </c>
      <c r="J660" s="136"/>
      <c r="K660" s="136"/>
    </row>
    <row r="661" spans="1:11" x14ac:dyDescent="0.2">
      <c r="A661" s="125"/>
      <c r="B661" s="6"/>
      <c r="C661" s="124"/>
      <c r="D661" s="124">
        <v>3</v>
      </c>
      <c r="E661" s="124" t="s">
        <v>897</v>
      </c>
      <c r="F661" s="124"/>
      <c r="G661" s="204"/>
      <c r="H661" s="204"/>
      <c r="I661" s="204">
        <f t="shared" si="26"/>
        <v>0</v>
      </c>
      <c r="J661" s="136"/>
      <c r="K661" s="136"/>
    </row>
    <row r="662" spans="1:11" x14ac:dyDescent="0.2">
      <c r="A662" s="125"/>
      <c r="B662" s="6"/>
      <c r="C662" s="124"/>
      <c r="D662" s="124">
        <v>4</v>
      </c>
      <c r="E662" s="124" t="s">
        <v>902</v>
      </c>
      <c r="F662" s="124"/>
      <c r="G662" s="204"/>
      <c r="H662" s="204"/>
      <c r="I662" s="204">
        <f t="shared" si="26"/>
        <v>0</v>
      </c>
      <c r="J662" s="136"/>
      <c r="K662" s="136"/>
    </row>
    <row r="663" spans="1:11" x14ac:dyDescent="0.2">
      <c r="A663" s="125"/>
      <c r="B663" s="6"/>
      <c r="C663" s="124"/>
      <c r="D663" s="124">
        <v>5</v>
      </c>
      <c r="E663" s="124" t="s">
        <v>898</v>
      </c>
      <c r="F663" s="124"/>
      <c r="G663" s="204"/>
      <c r="H663" s="204"/>
      <c r="I663" s="204">
        <f t="shared" si="26"/>
        <v>0</v>
      </c>
      <c r="J663" s="136"/>
      <c r="K663" s="136"/>
    </row>
    <row r="664" spans="1:11" x14ac:dyDescent="0.2">
      <c r="A664" s="125"/>
      <c r="B664" s="6"/>
      <c r="C664" s="124"/>
      <c r="D664" s="124"/>
      <c r="E664" s="124"/>
      <c r="F664" s="124"/>
      <c r="G664" s="204"/>
      <c r="H664" s="204"/>
      <c r="I664" s="204"/>
      <c r="J664" s="136"/>
      <c r="K664" s="136"/>
    </row>
    <row r="665" spans="1:11" x14ac:dyDescent="0.2">
      <c r="A665" s="125"/>
      <c r="B665" s="6"/>
      <c r="C665" s="128"/>
      <c r="D665" s="128" t="s">
        <v>55</v>
      </c>
      <c r="E665" s="128"/>
      <c r="F665" s="124"/>
      <c r="G665" s="205">
        <f>SUM(G659:G663)</f>
        <v>0</v>
      </c>
      <c r="H665" s="204"/>
      <c r="I665" s="205">
        <f>SUM(I659:I663)</f>
        <v>0</v>
      </c>
      <c r="J665" s="136"/>
      <c r="K665" s="136"/>
    </row>
    <row r="666" spans="1:11" x14ac:dyDescent="0.2">
      <c r="A666" s="125"/>
      <c r="B666" s="6"/>
      <c r="C666" s="128"/>
      <c r="D666" s="128"/>
      <c r="E666" s="128"/>
      <c r="F666" s="124"/>
      <c r="G666" s="149"/>
      <c r="H666" s="204"/>
      <c r="I666" s="149"/>
      <c r="J666" s="136"/>
      <c r="K666" s="136"/>
    </row>
    <row r="667" spans="1:11" x14ac:dyDescent="0.2">
      <c r="A667" s="125"/>
      <c r="B667" s="6"/>
      <c r="C667" s="128" t="s">
        <v>899</v>
      </c>
      <c r="D667" s="124"/>
      <c r="E667" s="124"/>
      <c r="F667" s="124"/>
      <c r="G667" s="204"/>
      <c r="H667" s="204"/>
      <c r="I667" s="204"/>
      <c r="J667" s="136"/>
      <c r="K667" s="136"/>
    </row>
    <row r="668" spans="1:11" x14ac:dyDescent="0.2">
      <c r="A668" s="125"/>
      <c r="B668" s="6"/>
      <c r="C668" s="124"/>
      <c r="D668" s="124">
        <v>1</v>
      </c>
      <c r="E668" s="206" t="s">
        <v>328</v>
      </c>
      <c r="F668" s="124"/>
      <c r="G668" s="204"/>
      <c r="H668" s="204"/>
      <c r="I668" s="204">
        <f>G668+I596</f>
        <v>0</v>
      </c>
      <c r="J668" s="136"/>
      <c r="K668" s="136"/>
    </row>
    <row r="669" spans="1:11" x14ac:dyDescent="0.2">
      <c r="A669" s="125"/>
      <c r="B669" s="6"/>
      <c r="C669" s="124"/>
      <c r="D669" s="124">
        <v>2</v>
      </c>
      <c r="E669" s="206" t="s">
        <v>329</v>
      </c>
      <c r="F669" s="124"/>
      <c r="G669" s="204"/>
      <c r="H669" s="204"/>
      <c r="I669" s="204">
        <f t="shared" ref="I669:I674" si="27">G669+I597</f>
        <v>0</v>
      </c>
      <c r="J669" s="136"/>
      <c r="K669" s="136"/>
    </row>
    <row r="670" spans="1:11" x14ac:dyDescent="0.2">
      <c r="A670" s="125"/>
      <c r="B670" s="6"/>
      <c r="C670" s="124"/>
      <c r="D670" s="124">
        <v>3</v>
      </c>
      <c r="E670" s="206" t="s">
        <v>900</v>
      </c>
      <c r="F670" s="134"/>
      <c r="G670" s="204"/>
      <c r="H670" s="204"/>
      <c r="I670" s="204">
        <f t="shared" si="27"/>
        <v>1200000</v>
      </c>
      <c r="J670" s="136"/>
      <c r="K670" s="136"/>
    </row>
    <row r="671" spans="1:11" x14ac:dyDescent="0.2">
      <c r="A671" s="125"/>
      <c r="B671" s="6"/>
      <c r="C671" s="124"/>
      <c r="D671" s="124">
        <v>4</v>
      </c>
      <c r="E671" s="206" t="s">
        <v>901</v>
      </c>
      <c r="F671" s="124"/>
      <c r="G671" s="204"/>
      <c r="H671" s="204"/>
      <c r="I671" s="204">
        <f t="shared" si="27"/>
        <v>0</v>
      </c>
      <c r="J671" s="136"/>
      <c r="K671" s="136"/>
    </row>
    <row r="672" spans="1:11" x14ac:dyDescent="0.2">
      <c r="A672" s="125"/>
      <c r="B672" s="6"/>
      <c r="C672" s="124"/>
      <c r="D672" s="124">
        <v>5</v>
      </c>
      <c r="E672" s="206" t="s">
        <v>887</v>
      </c>
      <c r="F672" s="134"/>
      <c r="G672" s="204"/>
      <c r="H672" s="204"/>
      <c r="I672" s="204">
        <f t="shared" si="27"/>
        <v>0</v>
      </c>
      <c r="J672" s="136"/>
      <c r="K672" s="136"/>
    </row>
    <row r="673" spans="1:11" x14ac:dyDescent="0.2">
      <c r="A673" s="125"/>
      <c r="B673" s="6"/>
      <c r="C673" s="124"/>
      <c r="D673" s="124">
        <v>6</v>
      </c>
      <c r="E673" s="206" t="s">
        <v>903</v>
      </c>
      <c r="F673" s="134"/>
      <c r="G673" s="204"/>
      <c r="H673" s="204"/>
      <c r="I673" s="204">
        <f t="shared" si="27"/>
        <v>0</v>
      </c>
      <c r="J673" s="136"/>
      <c r="K673" s="136"/>
    </row>
    <row r="674" spans="1:11" x14ac:dyDescent="0.2">
      <c r="A674" s="125"/>
      <c r="B674" s="6"/>
      <c r="C674" s="124"/>
      <c r="D674" s="124">
        <v>7</v>
      </c>
      <c r="E674" s="206" t="s">
        <v>904</v>
      </c>
      <c r="F674" s="134"/>
      <c r="G674" s="204"/>
      <c r="H674" s="204"/>
      <c r="I674" s="204">
        <f t="shared" si="27"/>
        <v>0</v>
      </c>
      <c r="J674" s="136"/>
      <c r="K674" s="136"/>
    </row>
    <row r="675" spans="1:11" x14ac:dyDescent="0.2">
      <c r="A675" s="125"/>
      <c r="B675" s="134"/>
      <c r="C675" s="128"/>
      <c r="D675" s="124"/>
      <c r="E675" s="206"/>
      <c r="F675" s="124"/>
      <c r="G675" s="204"/>
      <c r="H675" s="204"/>
      <c r="I675" s="204"/>
      <c r="J675" s="136"/>
      <c r="K675" s="136"/>
    </row>
    <row r="676" spans="1:11" x14ac:dyDescent="0.2">
      <c r="A676" s="125"/>
      <c r="B676" s="6"/>
      <c r="C676" s="124"/>
      <c r="D676" s="128" t="s">
        <v>67</v>
      </c>
      <c r="E676" s="127"/>
      <c r="F676" s="208"/>
      <c r="G676" s="205">
        <f>SUM(G668:G675)</f>
        <v>0</v>
      </c>
      <c r="H676" s="204"/>
      <c r="I676" s="205">
        <f>SUM(I668:I675)</f>
        <v>1200000</v>
      </c>
      <c r="J676" s="136"/>
      <c r="K676" s="136"/>
    </row>
    <row r="677" spans="1:11" x14ac:dyDescent="0.2">
      <c r="A677" s="125"/>
      <c r="B677" s="6"/>
      <c r="C677" s="124"/>
      <c r="D677" s="124"/>
      <c r="E677" s="124"/>
      <c r="F677" s="124"/>
      <c r="G677" s="204"/>
      <c r="H677" s="204"/>
      <c r="I677" s="204"/>
      <c r="J677" s="136"/>
      <c r="K677" s="136"/>
    </row>
    <row r="678" spans="1:11" x14ac:dyDescent="0.2">
      <c r="A678" s="125"/>
      <c r="B678" s="6"/>
      <c r="C678" s="128" t="s">
        <v>905</v>
      </c>
      <c r="D678" s="128"/>
      <c r="E678" s="128"/>
      <c r="F678" s="124"/>
      <c r="G678" s="488">
        <f>G665-G676</f>
        <v>0</v>
      </c>
      <c r="H678" s="204"/>
      <c r="I678" s="488">
        <f>I665-I676</f>
        <v>-1200000</v>
      </c>
      <c r="K678" s="136"/>
    </row>
    <row r="679" spans="1:11" x14ac:dyDescent="0.2">
      <c r="A679" s="125"/>
      <c r="B679" s="6"/>
      <c r="C679" s="124"/>
      <c r="D679" s="124"/>
      <c r="E679" s="124"/>
      <c r="F679" s="124"/>
      <c r="G679" s="204"/>
      <c r="H679" s="204"/>
      <c r="I679" s="204"/>
      <c r="J679" s="136"/>
      <c r="K679" s="136"/>
    </row>
    <row r="680" spans="1:11" x14ac:dyDescent="0.2">
      <c r="A680" s="125"/>
      <c r="B680" s="203" t="s">
        <v>907</v>
      </c>
      <c r="C680" s="203" t="s">
        <v>908</v>
      </c>
      <c r="D680" s="151"/>
      <c r="E680" s="134"/>
      <c r="F680" s="134"/>
      <c r="G680" s="204"/>
      <c r="H680" s="204"/>
      <c r="I680" s="204"/>
      <c r="J680" s="136"/>
      <c r="K680" s="136"/>
    </row>
    <row r="681" spans="1:11" x14ac:dyDescent="0.2">
      <c r="A681" s="125"/>
      <c r="B681" s="134"/>
      <c r="C681" s="128"/>
      <c r="D681" s="124" t="s">
        <v>909</v>
      </c>
      <c r="E681" s="124"/>
      <c r="F681" s="124"/>
      <c r="G681" s="204"/>
      <c r="H681" s="204"/>
      <c r="I681" s="204">
        <f>G681+I609</f>
        <v>0</v>
      </c>
      <c r="J681" s="136"/>
      <c r="K681" s="136"/>
    </row>
    <row r="682" spans="1:11" x14ac:dyDescent="0.2">
      <c r="A682" s="125"/>
      <c r="B682" s="6"/>
      <c r="C682" s="128" t="s">
        <v>910</v>
      </c>
      <c r="D682" s="151"/>
      <c r="E682" s="151"/>
      <c r="F682" s="151"/>
      <c r="G682" s="205">
        <f>SUM(G681)</f>
        <v>0</v>
      </c>
      <c r="H682" s="149"/>
      <c r="I682" s="205">
        <f>SUM(I681)</f>
        <v>0</v>
      </c>
      <c r="J682" s="136"/>
      <c r="K682" s="136"/>
    </row>
    <row r="683" spans="1:11" x14ac:dyDescent="0.2">
      <c r="A683" s="125"/>
      <c r="B683" s="6"/>
      <c r="C683" s="694"/>
      <c r="D683" s="694"/>
      <c r="E683" s="694"/>
      <c r="F683" s="124"/>
      <c r="G683" s="433"/>
      <c r="H683" s="210"/>
      <c r="I683" s="433"/>
      <c r="J683" s="136"/>
      <c r="K683" s="136"/>
    </row>
    <row r="684" spans="1:11" x14ac:dyDescent="0.2">
      <c r="A684" s="125"/>
      <c r="B684" s="203" t="s">
        <v>911</v>
      </c>
      <c r="C684" s="203" t="s">
        <v>912</v>
      </c>
      <c r="D684" s="124"/>
      <c r="E684" s="124"/>
      <c r="F684" s="124"/>
      <c r="G684" s="210"/>
      <c r="H684" s="210"/>
      <c r="I684" s="210"/>
      <c r="J684" s="136"/>
      <c r="K684" s="136"/>
    </row>
    <row r="685" spans="1:11" x14ac:dyDescent="0.2">
      <c r="A685" s="125"/>
      <c r="B685" s="195"/>
      <c r="C685" s="195"/>
      <c r="D685" s="124" t="s">
        <v>913</v>
      </c>
      <c r="E685" s="195"/>
      <c r="F685" s="134"/>
      <c r="G685" s="433"/>
      <c r="H685" s="210"/>
      <c r="I685" s="204">
        <f>G685+I614</f>
        <v>0</v>
      </c>
      <c r="J685" s="136"/>
      <c r="K685" s="136"/>
    </row>
    <row r="686" spans="1:11" x14ac:dyDescent="0.2">
      <c r="A686" s="125"/>
      <c r="B686" s="203"/>
      <c r="C686" s="124"/>
      <c r="D686" s="124" t="s">
        <v>914</v>
      </c>
      <c r="E686" s="124"/>
      <c r="F686" s="124"/>
      <c r="G686" s="204"/>
      <c r="H686" s="204"/>
      <c r="I686" s="204">
        <f t="shared" ref="I686:I688" si="28">G686+I615</f>
        <v>0</v>
      </c>
      <c r="J686" s="136"/>
      <c r="K686" s="136"/>
    </row>
    <row r="687" spans="1:11" x14ac:dyDescent="0.2">
      <c r="A687" s="125"/>
      <c r="B687" s="6"/>
      <c r="C687" s="124"/>
      <c r="D687" s="151" t="s">
        <v>915</v>
      </c>
      <c r="E687" s="134"/>
      <c r="F687" s="134"/>
      <c r="G687" s="204"/>
      <c r="H687" s="204"/>
      <c r="I687" s="204">
        <f t="shared" si="28"/>
        <v>0</v>
      </c>
      <c r="J687" s="136"/>
      <c r="K687" s="136"/>
    </row>
    <row r="688" spans="1:11" x14ac:dyDescent="0.2">
      <c r="A688" s="125"/>
      <c r="B688" s="134"/>
      <c r="C688" s="128"/>
      <c r="D688" s="124" t="s">
        <v>916</v>
      </c>
      <c r="E688" s="124"/>
      <c r="F688" s="124"/>
      <c r="G688" s="593"/>
      <c r="H688" s="204"/>
      <c r="I688" s="204">
        <f t="shared" si="28"/>
        <v>0</v>
      </c>
      <c r="J688" s="136"/>
      <c r="K688" s="136"/>
    </row>
    <row r="689" spans="1:11" x14ac:dyDescent="0.2">
      <c r="A689" s="125"/>
      <c r="B689" s="6"/>
      <c r="C689" s="128" t="s">
        <v>917</v>
      </c>
      <c r="D689" s="151"/>
      <c r="E689" s="151"/>
      <c r="F689" s="151"/>
      <c r="G689" s="596">
        <f>SUM(G685:G688)</f>
        <v>0</v>
      </c>
      <c r="H689" s="204"/>
      <c r="I689" s="596">
        <f>SUM(I685:I688)</f>
        <v>0</v>
      </c>
      <c r="J689" s="136"/>
      <c r="K689" s="136"/>
    </row>
    <row r="690" spans="1:11" x14ac:dyDescent="0.2">
      <c r="A690" s="125"/>
      <c r="B690" s="6"/>
      <c r="C690" s="124"/>
      <c r="D690" s="124"/>
      <c r="E690" s="124"/>
      <c r="F690" s="124"/>
      <c r="G690" s="593"/>
      <c r="H690" s="204"/>
      <c r="I690" s="204"/>
      <c r="J690" s="136"/>
      <c r="K690" s="136"/>
    </row>
    <row r="691" spans="1:11" x14ac:dyDescent="0.2">
      <c r="A691" s="125"/>
      <c r="B691" s="203" t="s">
        <v>918</v>
      </c>
      <c r="C691" s="203" t="s">
        <v>919</v>
      </c>
      <c r="D691" s="130"/>
      <c r="E691" s="130"/>
      <c r="F691" s="124"/>
      <c r="G691" s="149">
        <f>G678-G682+G689</f>
        <v>0</v>
      </c>
      <c r="H691" s="204"/>
      <c r="I691" s="149">
        <f>I678-I682+I689</f>
        <v>-1200000</v>
      </c>
      <c r="J691" s="136"/>
      <c r="K691" s="136"/>
    </row>
    <row r="692" spans="1:11" x14ac:dyDescent="0.2">
      <c r="A692" s="125"/>
      <c r="B692" s="6"/>
      <c r="C692" s="124"/>
      <c r="D692" s="124"/>
      <c r="E692" s="124"/>
      <c r="F692" s="124"/>
      <c r="G692" s="204"/>
      <c r="H692" s="204"/>
      <c r="I692" s="204"/>
      <c r="J692" s="136"/>
      <c r="K692" s="136"/>
    </row>
    <row r="693" spans="1:11" x14ac:dyDescent="0.2">
      <c r="A693" s="125"/>
      <c r="B693" s="203" t="s">
        <v>920</v>
      </c>
      <c r="C693" s="203" t="s">
        <v>921</v>
      </c>
      <c r="D693" s="130"/>
      <c r="E693" s="124"/>
      <c r="F693" s="124"/>
      <c r="G693" s="149">
        <f>G623</f>
        <v>1311051855.8000002</v>
      </c>
      <c r="H693" s="149"/>
      <c r="I693" s="149">
        <v>1312251855.8000002</v>
      </c>
      <c r="J693" s="136"/>
      <c r="K693" s="136"/>
    </row>
    <row r="694" spans="1:11" x14ac:dyDescent="0.2">
      <c r="A694" s="125"/>
      <c r="B694" s="6"/>
      <c r="C694" s="124"/>
      <c r="D694" s="124"/>
      <c r="E694" s="124"/>
      <c r="F694" s="124"/>
      <c r="G694" s="149"/>
      <c r="H694" s="149"/>
      <c r="I694" s="149"/>
      <c r="J694" s="136"/>
      <c r="K694" s="136"/>
    </row>
    <row r="695" spans="1:11" x14ac:dyDescent="0.2">
      <c r="A695" s="125"/>
      <c r="B695" s="134" t="s">
        <v>922</v>
      </c>
      <c r="C695" s="128" t="s">
        <v>921</v>
      </c>
      <c r="D695" s="124"/>
      <c r="E695" s="124"/>
      <c r="F695" s="124"/>
      <c r="G695" s="149">
        <f>G691+G693</f>
        <v>1311051855.8000002</v>
      </c>
      <c r="H695" s="149"/>
      <c r="I695" s="149">
        <f>I691+I693</f>
        <v>1311051855.8000002</v>
      </c>
      <c r="J695" s="136"/>
      <c r="K695" s="136"/>
    </row>
    <row r="696" spans="1:11" x14ac:dyDescent="0.2">
      <c r="A696" s="120"/>
      <c r="B696" s="119"/>
      <c r="C696" s="119"/>
      <c r="D696" s="119"/>
      <c r="E696" s="119"/>
      <c r="F696" s="119"/>
      <c r="G696" s="218"/>
      <c r="H696" s="218"/>
      <c r="I696" s="218"/>
      <c r="J696" s="594"/>
      <c r="K696" s="594"/>
    </row>
    <row r="697" spans="1:11" x14ac:dyDescent="0.2">
      <c r="A697" s="761"/>
      <c r="B697" s="761"/>
      <c r="C697" s="761"/>
      <c r="D697" s="761"/>
      <c r="E697" s="761"/>
      <c r="F697" s="124"/>
      <c r="G697" s="219"/>
      <c r="H697" s="219"/>
      <c r="I697" s="219"/>
    </row>
    <row r="698" spans="1:11" x14ac:dyDescent="0.2">
      <c r="A698" s="697" t="s">
        <v>579</v>
      </c>
      <c r="B698" s="697"/>
      <c r="C698" s="697"/>
      <c r="D698" s="697"/>
      <c r="E698" s="697"/>
      <c r="F698" s="697" t="s">
        <v>566</v>
      </c>
      <c r="G698" s="697"/>
      <c r="H698" s="697"/>
      <c r="I698" s="697"/>
      <c r="J698" s="697"/>
      <c r="K698" s="697"/>
    </row>
    <row r="699" spans="1:11" x14ac:dyDescent="0.2">
      <c r="A699" s="697" t="s">
        <v>678</v>
      </c>
      <c r="B699" s="697"/>
      <c r="C699" s="697"/>
      <c r="D699" s="697"/>
      <c r="E699" s="697"/>
      <c r="F699" s="697" t="s">
        <v>681</v>
      </c>
      <c r="G699" s="697"/>
      <c r="H699" s="697"/>
      <c r="I699" s="697"/>
      <c r="J699" s="697"/>
      <c r="K699" s="697"/>
    </row>
    <row r="700" spans="1:11" x14ac:dyDescent="0.2">
      <c r="A700" s="697"/>
      <c r="B700" s="697"/>
      <c r="C700" s="697"/>
      <c r="D700" s="697"/>
      <c r="E700" s="697"/>
      <c r="F700" s="697"/>
      <c r="G700" s="697"/>
      <c r="H700" s="697"/>
      <c r="I700" s="697"/>
      <c r="J700" s="697"/>
      <c r="K700" s="697"/>
    </row>
    <row r="701" spans="1:11" x14ac:dyDescent="0.2">
      <c r="A701" s="697"/>
      <c r="B701" s="697"/>
      <c r="C701" s="697"/>
      <c r="D701" s="697"/>
      <c r="E701" s="697"/>
      <c r="F701" s="697"/>
      <c r="G701" s="697"/>
      <c r="H701" s="697"/>
      <c r="I701" s="697"/>
      <c r="J701" s="697"/>
      <c r="K701" s="697"/>
    </row>
    <row r="702" spans="1:11" x14ac:dyDescent="0.2">
      <c r="A702" s="697" t="s">
        <v>655</v>
      </c>
      <c r="B702" s="697"/>
      <c r="C702" s="697"/>
      <c r="D702" s="697"/>
      <c r="E702" s="697"/>
      <c r="F702" s="697" t="s">
        <v>567</v>
      </c>
      <c r="G702" s="697"/>
      <c r="H702" s="697"/>
      <c r="I702" s="697"/>
      <c r="J702" s="697"/>
      <c r="K702" s="697"/>
    </row>
    <row r="703" spans="1:11" x14ac:dyDescent="0.2">
      <c r="A703" s="697"/>
      <c r="B703" s="697"/>
      <c r="C703" s="697"/>
      <c r="D703" s="697"/>
      <c r="E703" s="697"/>
      <c r="F703" s="697"/>
      <c r="G703" s="697"/>
      <c r="H703" s="697"/>
      <c r="I703" s="697"/>
      <c r="J703" s="697"/>
      <c r="K703" s="697"/>
    </row>
    <row r="720" spans="1:6" x14ac:dyDescent="0.2">
      <c r="A720" s="728" t="s">
        <v>890</v>
      </c>
      <c r="B720" s="728"/>
      <c r="C720" s="590" t="s">
        <v>891</v>
      </c>
      <c r="D720" s="124"/>
      <c r="E720" s="124"/>
      <c r="F720" s="124"/>
    </row>
    <row r="721" spans="1:11" x14ac:dyDescent="0.2">
      <c r="B721" s="124"/>
      <c r="C721" s="124"/>
      <c r="D721" s="124"/>
      <c r="E721" s="124"/>
      <c r="F721" s="124"/>
    </row>
    <row r="722" spans="1:11" ht="15" x14ac:dyDescent="0.25">
      <c r="A722" s="141"/>
      <c r="B722" s="762"/>
      <c r="C722" s="762"/>
      <c r="D722" s="762"/>
      <c r="E722" s="762"/>
      <c r="F722" s="762"/>
      <c r="G722" s="762"/>
      <c r="H722" s="762"/>
      <c r="I722" s="762"/>
      <c r="J722" s="591"/>
      <c r="K722" s="591"/>
    </row>
    <row r="723" spans="1:11" ht="15" x14ac:dyDescent="0.25">
      <c r="A723" s="125"/>
      <c r="B723" s="696" t="s">
        <v>650</v>
      </c>
      <c r="C723" s="696"/>
      <c r="D723" s="696"/>
      <c r="E723" s="696"/>
      <c r="F723" s="696"/>
      <c r="G723" s="696"/>
      <c r="H723" s="696"/>
      <c r="I723" s="696"/>
      <c r="J723" s="136"/>
      <c r="K723" s="136"/>
    </row>
    <row r="724" spans="1:11" ht="15" x14ac:dyDescent="0.25">
      <c r="A724" s="125"/>
      <c r="B724" s="696" t="s">
        <v>41</v>
      </c>
      <c r="C724" s="696"/>
      <c r="D724" s="696"/>
      <c r="E724" s="696"/>
      <c r="F724" s="696"/>
      <c r="G724" s="696"/>
      <c r="H724" s="696"/>
      <c r="I724" s="696"/>
      <c r="J724" s="136"/>
      <c r="K724" s="136"/>
    </row>
    <row r="725" spans="1:11" ht="15" x14ac:dyDescent="0.25">
      <c r="A725" s="125"/>
      <c r="B725" s="742" t="s">
        <v>931</v>
      </c>
      <c r="C725" s="742"/>
      <c r="D725" s="742"/>
      <c r="E725" s="742"/>
      <c r="F725" s="742"/>
      <c r="G725" s="742"/>
      <c r="H725" s="742"/>
      <c r="I725" s="742"/>
      <c r="J725" s="136"/>
      <c r="K725" s="136"/>
    </row>
    <row r="726" spans="1:11" x14ac:dyDescent="0.2">
      <c r="A726" s="125"/>
      <c r="B726" s="124"/>
      <c r="C726" s="124"/>
      <c r="D726" s="124"/>
      <c r="E726" s="124"/>
      <c r="F726" s="124"/>
      <c r="J726" s="136"/>
      <c r="K726" s="136"/>
    </row>
    <row r="727" spans="1:11" x14ac:dyDescent="0.2">
      <c r="A727" s="125"/>
      <c r="B727" s="755" t="s">
        <v>30</v>
      </c>
      <c r="C727" s="756"/>
      <c r="D727" s="756"/>
      <c r="E727" s="757"/>
      <c r="F727" s="127"/>
      <c r="G727" s="201" t="s">
        <v>37</v>
      </c>
      <c r="H727" s="127"/>
      <c r="I727" s="201" t="s">
        <v>39</v>
      </c>
      <c r="J727" s="136"/>
      <c r="K727" s="136"/>
    </row>
    <row r="728" spans="1:11" x14ac:dyDescent="0.2">
      <c r="A728" s="125"/>
      <c r="B728" s="758"/>
      <c r="C728" s="759"/>
      <c r="D728" s="759"/>
      <c r="E728" s="760"/>
      <c r="F728" s="127"/>
      <c r="G728" s="202" t="s">
        <v>40</v>
      </c>
      <c r="H728" s="127"/>
      <c r="I728" s="202" t="s">
        <v>40</v>
      </c>
      <c r="J728" s="136"/>
      <c r="K728" s="136"/>
    </row>
    <row r="729" spans="1:11" x14ac:dyDescent="0.2">
      <c r="A729" s="125"/>
      <c r="B729" s="203" t="s">
        <v>893</v>
      </c>
      <c r="C729" s="203" t="s">
        <v>906</v>
      </c>
      <c r="D729" s="203"/>
      <c r="E729" s="124"/>
      <c r="F729" s="124"/>
      <c r="G729" s="204"/>
      <c r="H729" s="204"/>
      <c r="I729" s="204"/>
      <c r="J729" s="136"/>
      <c r="K729" s="136"/>
    </row>
    <row r="730" spans="1:11" x14ac:dyDescent="0.2">
      <c r="A730" s="125"/>
      <c r="B730" s="6"/>
      <c r="C730" s="128" t="s">
        <v>894</v>
      </c>
      <c r="D730" s="124"/>
      <c r="E730" s="124"/>
      <c r="F730" s="124"/>
      <c r="G730" s="204"/>
      <c r="H730" s="204"/>
      <c r="I730" s="204"/>
      <c r="J730" s="136"/>
      <c r="K730" s="136"/>
    </row>
    <row r="731" spans="1:11" x14ac:dyDescent="0.2">
      <c r="A731" s="125"/>
      <c r="B731" s="6"/>
      <c r="C731" s="124"/>
      <c r="D731" s="124">
        <v>1</v>
      </c>
      <c r="E731" s="124" t="s">
        <v>895</v>
      </c>
      <c r="F731" s="124"/>
      <c r="G731" s="204"/>
      <c r="H731" s="204"/>
      <c r="I731" s="204">
        <f>G731+I659</f>
        <v>0</v>
      </c>
      <c r="J731" s="136"/>
      <c r="K731" s="136"/>
    </row>
    <row r="732" spans="1:11" x14ac:dyDescent="0.2">
      <c r="A732" s="125"/>
      <c r="B732" s="6"/>
      <c r="C732" s="124"/>
      <c r="D732" s="124">
        <v>2</v>
      </c>
      <c r="E732" s="124" t="s">
        <v>896</v>
      </c>
      <c r="F732" s="124"/>
      <c r="G732" s="204"/>
      <c r="H732" s="204"/>
      <c r="I732" s="204">
        <f t="shared" ref="I732:I735" si="29">G732+I660</f>
        <v>0</v>
      </c>
      <c r="J732" s="136"/>
      <c r="K732" s="136"/>
    </row>
    <row r="733" spans="1:11" x14ac:dyDescent="0.2">
      <c r="A733" s="125"/>
      <c r="B733" s="6"/>
      <c r="C733" s="124"/>
      <c r="D733" s="124">
        <v>3</v>
      </c>
      <c r="E733" s="124" t="s">
        <v>897</v>
      </c>
      <c r="F733" s="124"/>
      <c r="G733" s="204"/>
      <c r="H733" s="204"/>
      <c r="I733" s="204">
        <f t="shared" si="29"/>
        <v>0</v>
      </c>
      <c r="J733" s="136"/>
      <c r="K733" s="136"/>
    </row>
    <row r="734" spans="1:11" x14ac:dyDescent="0.2">
      <c r="A734" s="125"/>
      <c r="B734" s="6"/>
      <c r="C734" s="124"/>
      <c r="D734" s="124">
        <v>4</v>
      </c>
      <c r="E734" s="124" t="s">
        <v>902</v>
      </c>
      <c r="F734" s="124"/>
      <c r="G734" s="204"/>
      <c r="H734" s="204"/>
      <c r="I734" s="204">
        <f t="shared" si="29"/>
        <v>0</v>
      </c>
      <c r="J734" s="136"/>
      <c r="K734" s="136"/>
    </row>
    <row r="735" spans="1:11" x14ac:dyDescent="0.2">
      <c r="A735" s="125"/>
      <c r="B735" s="6"/>
      <c r="C735" s="124"/>
      <c r="D735" s="124">
        <v>5</v>
      </c>
      <c r="E735" s="124" t="s">
        <v>898</v>
      </c>
      <c r="F735" s="124"/>
      <c r="G735" s="204"/>
      <c r="H735" s="204"/>
      <c r="I735" s="204">
        <f t="shared" si="29"/>
        <v>0</v>
      </c>
      <c r="J735" s="136"/>
      <c r="K735" s="136"/>
    </row>
    <row r="736" spans="1:11" x14ac:dyDescent="0.2">
      <c r="A736" s="125"/>
      <c r="B736" s="6"/>
      <c r="C736" s="124"/>
      <c r="D736" s="124"/>
      <c r="E736" s="124"/>
      <c r="F736" s="124"/>
      <c r="G736" s="204"/>
      <c r="H736" s="204"/>
      <c r="I736" s="204"/>
      <c r="J736" s="136"/>
      <c r="K736" s="136"/>
    </row>
    <row r="737" spans="1:11" x14ac:dyDescent="0.2">
      <c r="A737" s="125"/>
      <c r="B737" s="6"/>
      <c r="C737" s="128"/>
      <c r="D737" s="128" t="s">
        <v>55</v>
      </c>
      <c r="E737" s="128"/>
      <c r="F737" s="124"/>
      <c r="G737" s="205">
        <f>SUM(G731:G735)</f>
        <v>0</v>
      </c>
      <c r="H737" s="204"/>
      <c r="I737" s="205">
        <f>SUM(I731:I735)</f>
        <v>0</v>
      </c>
      <c r="J737" s="136"/>
      <c r="K737" s="136"/>
    </row>
    <row r="738" spans="1:11" x14ac:dyDescent="0.2">
      <c r="A738" s="125"/>
      <c r="B738" s="6"/>
      <c r="C738" s="128"/>
      <c r="D738" s="128"/>
      <c r="E738" s="128"/>
      <c r="F738" s="124"/>
      <c r="G738" s="149"/>
      <c r="H738" s="204"/>
      <c r="I738" s="149"/>
      <c r="J738" s="136"/>
      <c r="K738" s="136"/>
    </row>
    <row r="739" spans="1:11" x14ac:dyDescent="0.2">
      <c r="A739" s="125"/>
      <c r="B739" s="6"/>
      <c r="C739" s="128" t="s">
        <v>899</v>
      </c>
      <c r="D739" s="124"/>
      <c r="E739" s="124"/>
      <c r="F739" s="124"/>
      <c r="G739" s="204"/>
      <c r="H739" s="204"/>
      <c r="I739" s="204"/>
      <c r="J739" s="136"/>
      <c r="K739" s="136"/>
    </row>
    <row r="740" spans="1:11" x14ac:dyDescent="0.2">
      <c r="A740" s="125"/>
      <c r="B740" s="6"/>
      <c r="C740" s="124"/>
      <c r="D740" s="124">
        <v>1</v>
      </c>
      <c r="E740" s="206" t="s">
        <v>328</v>
      </c>
      <c r="F740" s="124"/>
      <c r="G740" s="204"/>
      <c r="H740" s="204"/>
      <c r="I740" s="204">
        <f>G740+I668</f>
        <v>0</v>
      </c>
      <c r="J740" s="136"/>
      <c r="K740" s="136"/>
    </row>
    <row r="741" spans="1:11" x14ac:dyDescent="0.2">
      <c r="A741" s="125"/>
      <c r="B741" s="6"/>
      <c r="C741" s="124"/>
      <c r="D741" s="124">
        <v>2</v>
      </c>
      <c r="E741" s="206" t="s">
        <v>329</v>
      </c>
      <c r="F741" s="124"/>
      <c r="G741" s="204"/>
      <c r="H741" s="204"/>
      <c r="I741" s="204">
        <f t="shared" ref="I741:I746" si="30">G741+I669</f>
        <v>0</v>
      </c>
      <c r="J741" s="136"/>
      <c r="K741" s="136"/>
    </row>
    <row r="742" spans="1:11" x14ac:dyDescent="0.2">
      <c r="A742" s="125"/>
      <c r="B742" s="6"/>
      <c r="C742" s="124"/>
      <c r="D742" s="124">
        <v>3</v>
      </c>
      <c r="E742" s="206" t="s">
        <v>900</v>
      </c>
      <c r="F742" s="134"/>
      <c r="G742" s="204"/>
      <c r="H742" s="204"/>
      <c r="I742" s="204">
        <f t="shared" si="30"/>
        <v>1200000</v>
      </c>
      <c r="J742" s="136"/>
      <c r="K742" s="136"/>
    </row>
    <row r="743" spans="1:11" x14ac:dyDescent="0.2">
      <c r="A743" s="125"/>
      <c r="B743" s="6"/>
      <c r="C743" s="124"/>
      <c r="D743" s="124">
        <v>4</v>
      </c>
      <c r="E743" s="206" t="s">
        <v>901</v>
      </c>
      <c r="F743" s="124"/>
      <c r="G743" s="204"/>
      <c r="H743" s="204"/>
      <c r="I743" s="204">
        <f t="shared" si="30"/>
        <v>0</v>
      </c>
      <c r="J743" s="136"/>
      <c r="K743" s="136"/>
    </row>
    <row r="744" spans="1:11" x14ac:dyDescent="0.2">
      <c r="A744" s="125"/>
      <c r="B744" s="6"/>
      <c r="C744" s="124"/>
      <c r="D744" s="124">
        <v>5</v>
      </c>
      <c r="E744" s="206" t="s">
        <v>887</v>
      </c>
      <c r="F744" s="134"/>
      <c r="G744" s="204"/>
      <c r="H744" s="204"/>
      <c r="I744" s="204">
        <f t="shared" si="30"/>
        <v>0</v>
      </c>
      <c r="J744" s="136"/>
      <c r="K744" s="136"/>
    </row>
    <row r="745" spans="1:11" x14ac:dyDescent="0.2">
      <c r="A745" s="125"/>
      <c r="B745" s="6"/>
      <c r="C745" s="124"/>
      <c r="D745" s="124">
        <v>6</v>
      </c>
      <c r="E745" s="206" t="s">
        <v>903</v>
      </c>
      <c r="F745" s="134"/>
      <c r="G745" s="204"/>
      <c r="H745" s="204"/>
      <c r="I745" s="204">
        <f t="shared" si="30"/>
        <v>0</v>
      </c>
      <c r="J745" s="136"/>
      <c r="K745" s="136"/>
    </row>
    <row r="746" spans="1:11" x14ac:dyDescent="0.2">
      <c r="A746" s="125"/>
      <c r="B746" s="6"/>
      <c r="C746" s="124"/>
      <c r="D746" s="124">
        <v>7</v>
      </c>
      <c r="E746" s="206" t="s">
        <v>904</v>
      </c>
      <c r="F746" s="134"/>
      <c r="G746" s="204"/>
      <c r="H746" s="204"/>
      <c r="I746" s="204">
        <f t="shared" si="30"/>
        <v>0</v>
      </c>
      <c r="J746" s="136"/>
      <c r="K746" s="136"/>
    </row>
    <row r="747" spans="1:11" x14ac:dyDescent="0.2">
      <c r="A747" s="125"/>
      <c r="B747" s="134"/>
      <c r="C747" s="128"/>
      <c r="D747" s="124"/>
      <c r="E747" s="206"/>
      <c r="F747" s="124"/>
      <c r="G747" s="204"/>
      <c r="H747" s="204"/>
      <c r="I747" s="204"/>
      <c r="J747" s="136"/>
      <c r="K747" s="136"/>
    </row>
    <row r="748" spans="1:11" x14ac:dyDescent="0.2">
      <c r="A748" s="125"/>
      <c r="B748" s="6"/>
      <c r="C748" s="124"/>
      <c r="D748" s="128" t="s">
        <v>67</v>
      </c>
      <c r="E748" s="127"/>
      <c r="F748" s="208"/>
      <c r="G748" s="205">
        <f>SUM(G740:G747)</f>
        <v>0</v>
      </c>
      <c r="H748" s="204"/>
      <c r="I748" s="205">
        <f>SUM(I740:I747)</f>
        <v>1200000</v>
      </c>
      <c r="J748" s="136"/>
      <c r="K748" s="136"/>
    </row>
    <row r="749" spans="1:11" x14ac:dyDescent="0.2">
      <c r="A749" s="125"/>
      <c r="B749" s="6"/>
      <c r="C749" s="124"/>
      <c r="D749" s="124"/>
      <c r="E749" s="124"/>
      <c r="F749" s="124"/>
      <c r="G749" s="204"/>
      <c r="H749" s="204"/>
      <c r="I749" s="204"/>
      <c r="J749" s="136"/>
      <c r="K749" s="136"/>
    </row>
    <row r="750" spans="1:11" x14ac:dyDescent="0.2">
      <c r="A750" s="125"/>
      <c r="B750" s="6"/>
      <c r="C750" s="128" t="s">
        <v>905</v>
      </c>
      <c r="D750" s="128"/>
      <c r="E750" s="128"/>
      <c r="F750" s="124"/>
      <c r="G750" s="488">
        <f>G737-G748</f>
        <v>0</v>
      </c>
      <c r="H750" s="204"/>
      <c r="I750" s="488">
        <f>I737-I748</f>
        <v>-1200000</v>
      </c>
      <c r="K750" s="136"/>
    </row>
    <row r="751" spans="1:11" x14ac:dyDescent="0.2">
      <c r="A751" s="125"/>
      <c r="B751" s="6"/>
      <c r="C751" s="124"/>
      <c r="D751" s="124"/>
      <c r="E751" s="124"/>
      <c r="F751" s="124"/>
      <c r="G751" s="204"/>
      <c r="H751" s="204"/>
      <c r="I751" s="204"/>
      <c r="J751" s="136"/>
      <c r="K751" s="136"/>
    </row>
    <row r="752" spans="1:11" x14ac:dyDescent="0.2">
      <c r="A752" s="125"/>
      <c r="B752" s="203" t="s">
        <v>907</v>
      </c>
      <c r="C752" s="203" t="s">
        <v>908</v>
      </c>
      <c r="D752" s="151"/>
      <c r="E752" s="134"/>
      <c r="F752" s="134"/>
      <c r="G752" s="204"/>
      <c r="H752" s="204"/>
      <c r="I752" s="204"/>
      <c r="J752" s="136"/>
      <c r="K752" s="136"/>
    </row>
    <row r="753" spans="1:11" x14ac:dyDescent="0.2">
      <c r="A753" s="125"/>
      <c r="B753" s="134"/>
      <c r="C753" s="128"/>
      <c r="D753" s="124" t="s">
        <v>909</v>
      </c>
      <c r="E753" s="124"/>
      <c r="F753" s="124"/>
      <c r="G753" s="204"/>
      <c r="H753" s="204"/>
      <c r="I753" s="204">
        <f>G753+I681</f>
        <v>0</v>
      </c>
      <c r="J753" s="136"/>
      <c r="K753" s="136"/>
    </row>
    <row r="754" spans="1:11" x14ac:dyDescent="0.2">
      <c r="A754" s="125"/>
      <c r="B754" s="6"/>
      <c r="C754" s="128" t="s">
        <v>910</v>
      </c>
      <c r="D754" s="151"/>
      <c r="E754" s="151"/>
      <c r="F754" s="151"/>
      <c r="G754" s="205">
        <f>SUM(G753)</f>
        <v>0</v>
      </c>
      <c r="H754" s="149"/>
      <c r="I754" s="205">
        <f>SUM(I753)</f>
        <v>0</v>
      </c>
      <c r="J754" s="136"/>
      <c r="K754" s="136"/>
    </row>
    <row r="755" spans="1:11" x14ac:dyDescent="0.2">
      <c r="A755" s="125"/>
      <c r="B755" s="6"/>
      <c r="C755" s="694"/>
      <c r="D755" s="694"/>
      <c r="E755" s="694"/>
      <c r="F755" s="124"/>
      <c r="G755" s="433"/>
      <c r="H755" s="210"/>
      <c r="I755" s="433"/>
      <c r="J755" s="136"/>
      <c r="K755" s="136"/>
    </row>
    <row r="756" spans="1:11" x14ac:dyDescent="0.2">
      <c r="A756" s="125"/>
      <c r="B756" s="203" t="s">
        <v>911</v>
      </c>
      <c r="C756" s="203" t="s">
        <v>912</v>
      </c>
      <c r="D756" s="124"/>
      <c r="E756" s="124"/>
      <c r="F756" s="124"/>
      <c r="G756" s="210"/>
      <c r="H756" s="210"/>
      <c r="I756" s="210"/>
      <c r="J756" s="136"/>
      <c r="K756" s="136"/>
    </row>
    <row r="757" spans="1:11" x14ac:dyDescent="0.2">
      <c r="A757" s="125"/>
      <c r="B757" s="195"/>
      <c r="C757" s="195"/>
      <c r="D757" s="124" t="s">
        <v>913</v>
      </c>
      <c r="E757" s="195"/>
      <c r="F757" s="134"/>
      <c r="G757" s="433"/>
      <c r="H757" s="210"/>
      <c r="I757" s="204">
        <f>G757+I686</f>
        <v>0</v>
      </c>
      <c r="J757" s="136"/>
      <c r="K757" s="136"/>
    </row>
    <row r="758" spans="1:11" x14ac:dyDescent="0.2">
      <c r="A758" s="125"/>
      <c r="B758" s="203"/>
      <c r="C758" s="124"/>
      <c r="D758" s="124" t="s">
        <v>914</v>
      </c>
      <c r="E758" s="124"/>
      <c r="F758" s="124"/>
      <c r="G758" s="204"/>
      <c r="H758" s="204"/>
      <c r="I758" s="204">
        <f t="shared" ref="I758:I760" si="31">G758+I687</f>
        <v>0</v>
      </c>
      <c r="J758" s="136"/>
      <c r="K758" s="136"/>
    </row>
    <row r="759" spans="1:11" x14ac:dyDescent="0.2">
      <c r="A759" s="125"/>
      <c r="B759" s="6"/>
      <c r="C759" s="124"/>
      <c r="D759" s="151" t="s">
        <v>915</v>
      </c>
      <c r="E759" s="134"/>
      <c r="F759" s="134"/>
      <c r="G759" s="204"/>
      <c r="H759" s="204"/>
      <c r="I759" s="204">
        <f t="shared" si="31"/>
        <v>0</v>
      </c>
      <c r="J759" s="136"/>
      <c r="K759" s="136"/>
    </row>
    <row r="760" spans="1:11" x14ac:dyDescent="0.2">
      <c r="A760" s="125"/>
      <c r="B760" s="134"/>
      <c r="C760" s="128"/>
      <c r="D760" s="124" t="s">
        <v>916</v>
      </c>
      <c r="E760" s="124"/>
      <c r="F760" s="124"/>
      <c r="G760" s="593"/>
      <c r="H760" s="204"/>
      <c r="I760" s="204">
        <f t="shared" si="31"/>
        <v>0</v>
      </c>
      <c r="J760" s="136"/>
      <c r="K760" s="136"/>
    </row>
    <row r="761" spans="1:11" x14ac:dyDescent="0.2">
      <c r="A761" s="125"/>
      <c r="B761" s="6"/>
      <c r="C761" s="128" t="s">
        <v>917</v>
      </c>
      <c r="D761" s="151"/>
      <c r="E761" s="151"/>
      <c r="F761" s="151"/>
      <c r="G761" s="596">
        <f>SUM(G757:G760)</f>
        <v>0</v>
      </c>
      <c r="H761" s="204"/>
      <c r="I761" s="596">
        <f>SUM(I757:I760)</f>
        <v>0</v>
      </c>
      <c r="J761" s="136"/>
      <c r="K761" s="136"/>
    </row>
    <row r="762" spans="1:11" x14ac:dyDescent="0.2">
      <c r="A762" s="125"/>
      <c r="B762" s="6"/>
      <c r="C762" s="124"/>
      <c r="D762" s="124"/>
      <c r="E762" s="124"/>
      <c r="F762" s="124"/>
      <c r="G762" s="593"/>
      <c r="H762" s="204"/>
      <c r="I762" s="204"/>
      <c r="J762" s="136"/>
      <c r="K762" s="136"/>
    </row>
    <row r="763" spans="1:11" x14ac:dyDescent="0.2">
      <c r="A763" s="125"/>
      <c r="B763" s="203" t="s">
        <v>918</v>
      </c>
      <c r="C763" s="203" t="s">
        <v>919</v>
      </c>
      <c r="D763" s="130"/>
      <c r="E763" s="130"/>
      <c r="F763" s="124"/>
      <c r="G763" s="149">
        <f>G750-G754+G761</f>
        <v>0</v>
      </c>
      <c r="H763" s="204"/>
      <c r="I763" s="149">
        <f>I750-I754+I761</f>
        <v>-1200000</v>
      </c>
      <c r="J763" s="136"/>
      <c r="K763" s="136"/>
    </row>
    <row r="764" spans="1:11" x14ac:dyDescent="0.2">
      <c r="A764" s="125"/>
      <c r="B764" s="6"/>
      <c r="C764" s="124"/>
      <c r="D764" s="124"/>
      <c r="E764" s="124"/>
      <c r="F764" s="124"/>
      <c r="G764" s="204"/>
      <c r="H764" s="204"/>
      <c r="I764" s="204"/>
      <c r="J764" s="136"/>
      <c r="K764" s="136"/>
    </row>
    <row r="765" spans="1:11" x14ac:dyDescent="0.2">
      <c r="A765" s="125"/>
      <c r="B765" s="203" t="s">
        <v>920</v>
      </c>
      <c r="C765" s="203" t="s">
        <v>921</v>
      </c>
      <c r="D765" s="130"/>
      <c r="E765" s="124"/>
      <c r="F765" s="124"/>
      <c r="G765" s="149">
        <f>G695</f>
        <v>1311051855.8000002</v>
      </c>
      <c r="H765" s="149"/>
      <c r="I765" s="149">
        <v>1312251855.8000002</v>
      </c>
      <c r="J765" s="136"/>
      <c r="K765" s="136"/>
    </row>
    <row r="766" spans="1:11" x14ac:dyDescent="0.2">
      <c r="A766" s="125"/>
      <c r="B766" s="6"/>
      <c r="C766" s="124"/>
      <c r="D766" s="124"/>
      <c r="E766" s="124"/>
      <c r="F766" s="124"/>
      <c r="G766" s="149"/>
      <c r="H766" s="149"/>
      <c r="I766" s="149"/>
      <c r="J766" s="136"/>
      <c r="K766" s="136"/>
    </row>
    <row r="767" spans="1:11" x14ac:dyDescent="0.2">
      <c r="A767" s="125"/>
      <c r="B767" s="134" t="s">
        <v>922</v>
      </c>
      <c r="C767" s="128" t="s">
        <v>921</v>
      </c>
      <c r="D767" s="124"/>
      <c r="E767" s="124"/>
      <c r="F767" s="124"/>
      <c r="G767" s="149">
        <f>G763+G765</f>
        <v>1311051855.8000002</v>
      </c>
      <c r="H767" s="149"/>
      <c r="I767" s="149">
        <f>I763+I765</f>
        <v>1311051855.8000002</v>
      </c>
      <c r="J767" s="136"/>
      <c r="K767" s="136"/>
    </row>
    <row r="768" spans="1:11" x14ac:dyDescent="0.2">
      <c r="A768" s="120"/>
      <c r="B768" s="119"/>
      <c r="C768" s="119"/>
      <c r="D768" s="119"/>
      <c r="E768" s="119"/>
      <c r="F768" s="119"/>
      <c r="G768" s="218"/>
      <c r="H768" s="218"/>
      <c r="I768" s="218"/>
      <c r="J768" s="594"/>
      <c r="K768" s="594"/>
    </row>
    <row r="769" spans="1:11" x14ac:dyDescent="0.2">
      <c r="A769" s="761"/>
      <c r="B769" s="761"/>
      <c r="C769" s="761"/>
      <c r="D769" s="761"/>
      <c r="E769" s="761"/>
      <c r="F769" s="124"/>
      <c r="G769" s="219"/>
      <c r="H769" s="219"/>
      <c r="I769" s="219"/>
    </row>
    <row r="770" spans="1:11" x14ac:dyDescent="0.2">
      <c r="A770" s="697" t="s">
        <v>579</v>
      </c>
      <c r="B770" s="697"/>
      <c r="C770" s="697"/>
      <c r="D770" s="697"/>
      <c r="E770" s="697"/>
      <c r="F770" s="697" t="s">
        <v>566</v>
      </c>
      <c r="G770" s="697"/>
      <c r="H770" s="697"/>
      <c r="I770" s="697"/>
      <c r="J770" s="697"/>
      <c r="K770" s="697"/>
    </row>
    <row r="771" spans="1:11" x14ac:dyDescent="0.2">
      <c r="A771" s="697" t="s">
        <v>678</v>
      </c>
      <c r="B771" s="697"/>
      <c r="C771" s="697"/>
      <c r="D771" s="697"/>
      <c r="E771" s="697"/>
      <c r="F771" s="697" t="s">
        <v>681</v>
      </c>
      <c r="G771" s="697"/>
      <c r="H771" s="697"/>
      <c r="I771" s="697"/>
      <c r="J771" s="697"/>
      <c r="K771" s="697"/>
    </row>
    <row r="772" spans="1:11" x14ac:dyDescent="0.2">
      <c r="A772" s="697"/>
      <c r="B772" s="697"/>
      <c r="C772" s="697"/>
      <c r="D772" s="697"/>
      <c r="E772" s="697"/>
      <c r="F772" s="697"/>
      <c r="G772" s="697"/>
      <c r="H772" s="697"/>
      <c r="I772" s="697"/>
      <c r="J772" s="697"/>
      <c r="K772" s="697"/>
    </row>
    <row r="773" spans="1:11" x14ac:dyDescent="0.2">
      <c r="A773" s="697"/>
      <c r="B773" s="697"/>
      <c r="C773" s="697"/>
      <c r="D773" s="697"/>
      <c r="E773" s="697"/>
      <c r="F773" s="697"/>
      <c r="G773" s="697"/>
      <c r="H773" s="697"/>
      <c r="I773" s="697"/>
      <c r="J773" s="697"/>
      <c r="K773" s="697"/>
    </row>
    <row r="774" spans="1:11" x14ac:dyDescent="0.2">
      <c r="A774" s="697" t="s">
        <v>655</v>
      </c>
      <c r="B774" s="697"/>
      <c r="C774" s="697"/>
      <c r="D774" s="697"/>
      <c r="E774" s="697"/>
      <c r="F774" s="697" t="s">
        <v>567</v>
      </c>
      <c r="G774" s="697"/>
      <c r="H774" s="697"/>
      <c r="I774" s="697"/>
      <c r="J774" s="697"/>
      <c r="K774" s="697"/>
    </row>
    <row r="775" spans="1:11" x14ac:dyDescent="0.2">
      <c r="A775" s="697"/>
      <c r="B775" s="697"/>
      <c r="C775" s="697"/>
      <c r="D775" s="697"/>
      <c r="E775" s="697"/>
      <c r="F775" s="697"/>
      <c r="G775" s="697"/>
      <c r="H775" s="697"/>
      <c r="I775" s="697"/>
      <c r="J775" s="697"/>
      <c r="K775" s="697"/>
    </row>
    <row r="792" spans="1:11" x14ac:dyDescent="0.2">
      <c r="A792" s="728" t="s">
        <v>890</v>
      </c>
      <c r="B792" s="728"/>
      <c r="C792" s="590" t="s">
        <v>891</v>
      </c>
      <c r="D792" s="124"/>
      <c r="E792" s="124"/>
      <c r="F792" s="124"/>
    </row>
    <row r="793" spans="1:11" x14ac:dyDescent="0.2">
      <c r="B793" s="124"/>
      <c r="C793" s="124"/>
      <c r="D793" s="124"/>
      <c r="E793" s="124"/>
      <c r="F793" s="124"/>
    </row>
    <row r="794" spans="1:11" ht="15" x14ac:dyDescent="0.25">
      <c r="A794" s="141"/>
      <c r="B794" s="762"/>
      <c r="C794" s="762"/>
      <c r="D794" s="762"/>
      <c r="E794" s="762"/>
      <c r="F794" s="762"/>
      <c r="G794" s="762"/>
      <c r="H794" s="762"/>
      <c r="I794" s="762"/>
      <c r="J794" s="591"/>
      <c r="K794" s="591"/>
    </row>
    <row r="795" spans="1:11" ht="15" x14ac:dyDescent="0.25">
      <c r="A795" s="125"/>
      <c r="B795" s="696" t="s">
        <v>650</v>
      </c>
      <c r="C795" s="696"/>
      <c r="D795" s="696"/>
      <c r="E795" s="696"/>
      <c r="F795" s="696"/>
      <c r="G795" s="696"/>
      <c r="H795" s="696"/>
      <c r="I795" s="696"/>
      <c r="J795" s="136"/>
      <c r="K795" s="136"/>
    </row>
    <row r="796" spans="1:11" ht="15" x14ac:dyDescent="0.25">
      <c r="A796" s="125"/>
      <c r="B796" s="696" t="s">
        <v>41</v>
      </c>
      <c r="C796" s="696"/>
      <c r="D796" s="696"/>
      <c r="E796" s="696"/>
      <c r="F796" s="696"/>
      <c r="G796" s="696"/>
      <c r="H796" s="696"/>
      <c r="I796" s="696"/>
      <c r="J796" s="136"/>
      <c r="K796" s="136"/>
    </row>
    <row r="797" spans="1:11" ht="15" x14ac:dyDescent="0.25">
      <c r="A797" s="125"/>
      <c r="B797" s="742" t="s">
        <v>932</v>
      </c>
      <c r="C797" s="742"/>
      <c r="D797" s="742"/>
      <c r="E797" s="742"/>
      <c r="F797" s="742"/>
      <c r="G797" s="742"/>
      <c r="H797" s="742"/>
      <c r="I797" s="742"/>
      <c r="J797" s="136"/>
      <c r="K797" s="136"/>
    </row>
    <row r="798" spans="1:11" x14ac:dyDescent="0.2">
      <c r="A798" s="125"/>
      <c r="B798" s="124"/>
      <c r="C798" s="124"/>
      <c r="D798" s="124"/>
      <c r="E798" s="124"/>
      <c r="F798" s="124"/>
      <c r="J798" s="136"/>
      <c r="K798" s="136"/>
    </row>
    <row r="799" spans="1:11" x14ac:dyDescent="0.2">
      <c r="A799" s="125"/>
      <c r="B799" s="755" t="s">
        <v>30</v>
      </c>
      <c r="C799" s="756"/>
      <c r="D799" s="756"/>
      <c r="E799" s="757"/>
      <c r="F799" s="127"/>
      <c r="G799" s="201" t="s">
        <v>37</v>
      </c>
      <c r="H799" s="127"/>
      <c r="I799" s="201" t="s">
        <v>39</v>
      </c>
      <c r="J799" s="136"/>
      <c r="K799" s="136"/>
    </row>
    <row r="800" spans="1:11" x14ac:dyDescent="0.2">
      <c r="A800" s="125"/>
      <c r="B800" s="758"/>
      <c r="C800" s="759"/>
      <c r="D800" s="759"/>
      <c r="E800" s="760"/>
      <c r="F800" s="127"/>
      <c r="G800" s="202" t="s">
        <v>40</v>
      </c>
      <c r="H800" s="127"/>
      <c r="I800" s="202" t="s">
        <v>40</v>
      </c>
      <c r="J800" s="136"/>
      <c r="K800" s="136"/>
    </row>
    <row r="801" spans="1:11" x14ac:dyDescent="0.2">
      <c r="A801" s="125"/>
      <c r="B801" s="203" t="s">
        <v>893</v>
      </c>
      <c r="C801" s="203" t="s">
        <v>906</v>
      </c>
      <c r="D801" s="203"/>
      <c r="E801" s="124"/>
      <c r="F801" s="124"/>
      <c r="G801" s="204"/>
      <c r="H801" s="204"/>
      <c r="I801" s="204"/>
      <c r="J801" s="136"/>
      <c r="K801" s="136"/>
    </row>
    <row r="802" spans="1:11" x14ac:dyDescent="0.2">
      <c r="A802" s="125"/>
      <c r="B802" s="6"/>
      <c r="C802" s="128" t="s">
        <v>894</v>
      </c>
      <c r="D802" s="124"/>
      <c r="E802" s="124"/>
      <c r="F802" s="124"/>
      <c r="G802" s="204"/>
      <c r="H802" s="204"/>
      <c r="I802" s="204"/>
      <c r="J802" s="136"/>
      <c r="K802" s="136"/>
    </row>
    <row r="803" spans="1:11" x14ac:dyDescent="0.2">
      <c r="A803" s="125"/>
      <c r="B803" s="6"/>
      <c r="C803" s="124"/>
      <c r="D803" s="124">
        <v>1</v>
      </c>
      <c r="E803" s="124" t="s">
        <v>895</v>
      </c>
      <c r="F803" s="124"/>
      <c r="G803" s="204"/>
      <c r="H803" s="204"/>
      <c r="I803" s="204">
        <f>G803+I731</f>
        <v>0</v>
      </c>
      <c r="J803" s="136"/>
      <c r="K803" s="136"/>
    </row>
    <row r="804" spans="1:11" x14ac:dyDescent="0.2">
      <c r="A804" s="125"/>
      <c r="B804" s="6"/>
      <c r="C804" s="124"/>
      <c r="D804" s="124">
        <v>2</v>
      </c>
      <c r="E804" s="124" t="s">
        <v>896</v>
      </c>
      <c r="F804" s="124"/>
      <c r="G804" s="204"/>
      <c r="H804" s="204"/>
      <c r="I804" s="204">
        <f t="shared" ref="I804:I807" si="32">G804+I732</f>
        <v>0</v>
      </c>
      <c r="J804" s="136"/>
      <c r="K804" s="136"/>
    </row>
    <row r="805" spans="1:11" x14ac:dyDescent="0.2">
      <c r="A805" s="125"/>
      <c r="B805" s="6"/>
      <c r="C805" s="124"/>
      <c r="D805" s="124">
        <v>3</v>
      </c>
      <c r="E805" s="124" t="s">
        <v>897</v>
      </c>
      <c r="F805" s="124"/>
      <c r="G805" s="204"/>
      <c r="H805" s="204"/>
      <c r="I805" s="204">
        <f t="shared" si="32"/>
        <v>0</v>
      </c>
      <c r="J805" s="136"/>
      <c r="K805" s="136"/>
    </row>
    <row r="806" spans="1:11" x14ac:dyDescent="0.2">
      <c r="A806" s="125"/>
      <c r="B806" s="6"/>
      <c r="C806" s="124"/>
      <c r="D806" s="124">
        <v>4</v>
      </c>
      <c r="E806" s="124" t="s">
        <v>902</v>
      </c>
      <c r="F806" s="124"/>
      <c r="G806" s="204"/>
      <c r="H806" s="204"/>
      <c r="I806" s="204">
        <f t="shared" si="32"/>
        <v>0</v>
      </c>
      <c r="J806" s="136"/>
      <c r="K806" s="136"/>
    </row>
    <row r="807" spans="1:11" x14ac:dyDescent="0.2">
      <c r="A807" s="125"/>
      <c r="B807" s="6"/>
      <c r="C807" s="124"/>
      <c r="D807" s="124">
        <v>5</v>
      </c>
      <c r="E807" s="124" t="s">
        <v>898</v>
      </c>
      <c r="F807" s="124"/>
      <c r="G807" s="204"/>
      <c r="H807" s="204"/>
      <c r="I807" s="204">
        <f t="shared" si="32"/>
        <v>0</v>
      </c>
      <c r="J807" s="136"/>
      <c r="K807" s="136"/>
    </row>
    <row r="808" spans="1:11" x14ac:dyDescent="0.2">
      <c r="A808" s="125"/>
      <c r="B808" s="6"/>
      <c r="C808" s="124"/>
      <c r="D808" s="124"/>
      <c r="E808" s="124"/>
      <c r="F808" s="124"/>
      <c r="G808" s="204"/>
      <c r="H808" s="204"/>
      <c r="I808" s="204"/>
      <c r="J808" s="136"/>
      <c r="K808" s="136"/>
    </row>
    <row r="809" spans="1:11" x14ac:dyDescent="0.2">
      <c r="A809" s="125"/>
      <c r="B809" s="6"/>
      <c r="C809" s="128"/>
      <c r="D809" s="128" t="s">
        <v>55</v>
      </c>
      <c r="E809" s="128"/>
      <c r="F809" s="124"/>
      <c r="G809" s="205">
        <f>SUM(G803:G807)</f>
        <v>0</v>
      </c>
      <c r="H809" s="204"/>
      <c r="I809" s="205">
        <f>SUM(I803:I807)</f>
        <v>0</v>
      </c>
      <c r="J809" s="136"/>
      <c r="K809" s="136"/>
    </row>
    <row r="810" spans="1:11" x14ac:dyDescent="0.2">
      <c r="A810" s="125"/>
      <c r="B810" s="6"/>
      <c r="C810" s="128"/>
      <c r="D810" s="128"/>
      <c r="E810" s="128"/>
      <c r="F810" s="124"/>
      <c r="G810" s="149"/>
      <c r="H810" s="204"/>
      <c r="I810" s="149"/>
      <c r="J810" s="136"/>
      <c r="K810" s="136"/>
    </row>
    <row r="811" spans="1:11" x14ac:dyDescent="0.2">
      <c r="A811" s="125"/>
      <c r="B811" s="6"/>
      <c r="C811" s="128" t="s">
        <v>899</v>
      </c>
      <c r="D811" s="124"/>
      <c r="E811" s="124"/>
      <c r="F811" s="124"/>
      <c r="G811" s="204"/>
      <c r="H811" s="204"/>
      <c r="I811" s="204"/>
      <c r="J811" s="136"/>
      <c r="K811" s="136"/>
    </row>
    <row r="812" spans="1:11" x14ac:dyDescent="0.2">
      <c r="A812" s="125"/>
      <c r="B812" s="6"/>
      <c r="C812" s="124"/>
      <c r="D812" s="124">
        <v>1</v>
      </c>
      <c r="E812" s="206" t="s">
        <v>328</v>
      </c>
      <c r="F812" s="124"/>
      <c r="G812" s="204"/>
      <c r="H812" s="204"/>
      <c r="I812" s="204">
        <f>G812+I740</f>
        <v>0</v>
      </c>
      <c r="J812" s="136"/>
      <c r="K812" s="136"/>
    </row>
    <row r="813" spans="1:11" x14ac:dyDescent="0.2">
      <c r="A813" s="125"/>
      <c r="B813" s="6"/>
      <c r="C813" s="124"/>
      <c r="D813" s="124">
        <v>2</v>
      </c>
      <c r="E813" s="206" t="s">
        <v>329</v>
      </c>
      <c r="F813" s="124"/>
      <c r="G813" s="204"/>
      <c r="H813" s="204"/>
      <c r="I813" s="204">
        <f t="shared" ref="I813:I818" si="33">G813+I741</f>
        <v>0</v>
      </c>
      <c r="J813" s="136"/>
      <c r="K813" s="136"/>
    </row>
    <row r="814" spans="1:11" x14ac:dyDescent="0.2">
      <c r="A814" s="125"/>
      <c r="B814" s="6"/>
      <c r="C814" s="124"/>
      <c r="D814" s="124">
        <v>3</v>
      </c>
      <c r="E814" s="206" t="s">
        <v>900</v>
      </c>
      <c r="F814" s="134"/>
      <c r="G814" s="204"/>
      <c r="H814" s="204"/>
      <c r="I814" s="204">
        <f t="shared" si="33"/>
        <v>1200000</v>
      </c>
      <c r="J814" s="136"/>
      <c r="K814" s="136"/>
    </row>
    <row r="815" spans="1:11" x14ac:dyDescent="0.2">
      <c r="A815" s="125"/>
      <c r="B815" s="6"/>
      <c r="C815" s="124"/>
      <c r="D815" s="124">
        <v>4</v>
      </c>
      <c r="E815" s="206" t="s">
        <v>901</v>
      </c>
      <c r="F815" s="124"/>
      <c r="G815" s="204"/>
      <c r="H815" s="204"/>
      <c r="I815" s="204">
        <f t="shared" si="33"/>
        <v>0</v>
      </c>
      <c r="J815" s="136"/>
      <c r="K815" s="136"/>
    </row>
    <row r="816" spans="1:11" x14ac:dyDescent="0.2">
      <c r="A816" s="125"/>
      <c r="B816" s="6"/>
      <c r="C816" s="124"/>
      <c r="D816" s="124">
        <v>5</v>
      </c>
      <c r="E816" s="206" t="s">
        <v>887</v>
      </c>
      <c r="F816" s="134"/>
      <c r="G816" s="204"/>
      <c r="H816" s="204"/>
      <c r="I816" s="204">
        <f t="shared" si="33"/>
        <v>0</v>
      </c>
      <c r="J816" s="136"/>
      <c r="K816" s="136"/>
    </row>
    <row r="817" spans="1:11" x14ac:dyDescent="0.2">
      <c r="A817" s="125"/>
      <c r="B817" s="6"/>
      <c r="C817" s="124"/>
      <c r="D817" s="124">
        <v>6</v>
      </c>
      <c r="E817" s="206" t="s">
        <v>903</v>
      </c>
      <c r="F817" s="134"/>
      <c r="G817" s="204"/>
      <c r="H817" s="204"/>
      <c r="I817" s="204">
        <f t="shared" si="33"/>
        <v>0</v>
      </c>
      <c r="J817" s="136"/>
      <c r="K817" s="136"/>
    </row>
    <row r="818" spans="1:11" x14ac:dyDescent="0.2">
      <c r="A818" s="125"/>
      <c r="B818" s="6"/>
      <c r="C818" s="124"/>
      <c r="D818" s="124">
        <v>7</v>
      </c>
      <c r="E818" s="206" t="s">
        <v>904</v>
      </c>
      <c r="F818" s="134"/>
      <c r="G818" s="204"/>
      <c r="H818" s="204"/>
      <c r="I818" s="204">
        <f t="shared" si="33"/>
        <v>0</v>
      </c>
      <c r="J818" s="136"/>
      <c r="K818" s="136"/>
    </row>
    <row r="819" spans="1:11" x14ac:dyDescent="0.2">
      <c r="A819" s="125"/>
      <c r="B819" s="134"/>
      <c r="C819" s="128"/>
      <c r="D819" s="124"/>
      <c r="E819" s="206"/>
      <c r="F819" s="124"/>
      <c r="G819" s="204"/>
      <c r="H819" s="204"/>
      <c r="I819" s="204"/>
      <c r="J819" s="136"/>
      <c r="K819" s="136"/>
    </row>
    <row r="820" spans="1:11" x14ac:dyDescent="0.2">
      <c r="A820" s="125"/>
      <c r="B820" s="6"/>
      <c r="C820" s="124"/>
      <c r="D820" s="128" t="s">
        <v>67</v>
      </c>
      <c r="E820" s="127"/>
      <c r="F820" s="208"/>
      <c r="G820" s="205">
        <f>SUM(G812:G819)</f>
        <v>0</v>
      </c>
      <c r="H820" s="204"/>
      <c r="I820" s="205">
        <f>SUM(I812:I819)</f>
        <v>1200000</v>
      </c>
      <c r="J820" s="136"/>
      <c r="K820" s="136"/>
    </row>
    <row r="821" spans="1:11" x14ac:dyDescent="0.2">
      <c r="A821" s="125"/>
      <c r="B821" s="6"/>
      <c r="C821" s="124"/>
      <c r="D821" s="124"/>
      <c r="E821" s="124"/>
      <c r="F821" s="124"/>
      <c r="G821" s="204"/>
      <c r="H821" s="204"/>
      <c r="I821" s="204"/>
      <c r="J821" s="136"/>
      <c r="K821" s="136"/>
    </row>
    <row r="822" spans="1:11" x14ac:dyDescent="0.2">
      <c r="A822" s="125"/>
      <c r="B822" s="6"/>
      <c r="C822" s="128" t="s">
        <v>905</v>
      </c>
      <c r="D822" s="128"/>
      <c r="E822" s="128"/>
      <c r="F822" s="124"/>
      <c r="G822" s="488">
        <f>G809-G820</f>
        <v>0</v>
      </c>
      <c r="H822" s="204"/>
      <c r="I822" s="488">
        <f>I809-I820</f>
        <v>-1200000</v>
      </c>
      <c r="K822" s="136"/>
    </row>
    <row r="823" spans="1:11" x14ac:dyDescent="0.2">
      <c r="A823" s="125"/>
      <c r="B823" s="6"/>
      <c r="C823" s="124"/>
      <c r="D823" s="124"/>
      <c r="E823" s="124"/>
      <c r="F823" s="124"/>
      <c r="G823" s="204"/>
      <c r="H823" s="204"/>
      <c r="I823" s="204"/>
      <c r="J823" s="136"/>
      <c r="K823" s="136"/>
    </row>
    <row r="824" spans="1:11" x14ac:dyDescent="0.2">
      <c r="A824" s="125"/>
      <c r="B824" s="203" t="s">
        <v>907</v>
      </c>
      <c r="C824" s="203" t="s">
        <v>908</v>
      </c>
      <c r="D824" s="151"/>
      <c r="E824" s="134"/>
      <c r="F824" s="134"/>
      <c r="G824" s="204"/>
      <c r="H824" s="204"/>
      <c r="I824" s="204"/>
      <c r="J824" s="136"/>
      <c r="K824" s="136"/>
    </row>
    <row r="825" spans="1:11" x14ac:dyDescent="0.2">
      <c r="A825" s="125"/>
      <c r="B825" s="134"/>
      <c r="C825" s="128"/>
      <c r="D825" s="124" t="s">
        <v>909</v>
      </c>
      <c r="E825" s="124"/>
      <c r="F825" s="124"/>
      <c r="G825" s="204"/>
      <c r="H825" s="204"/>
      <c r="I825" s="204">
        <f>G825+I753</f>
        <v>0</v>
      </c>
      <c r="J825" s="136"/>
      <c r="K825" s="136"/>
    </row>
    <row r="826" spans="1:11" x14ac:dyDescent="0.2">
      <c r="A826" s="125"/>
      <c r="B826" s="6"/>
      <c r="C826" s="128" t="s">
        <v>910</v>
      </c>
      <c r="D826" s="151"/>
      <c r="E826" s="151"/>
      <c r="F826" s="151"/>
      <c r="G826" s="205">
        <f>SUM(G825)</f>
        <v>0</v>
      </c>
      <c r="H826" s="149"/>
      <c r="I826" s="205">
        <f>SUM(I825)</f>
        <v>0</v>
      </c>
      <c r="J826" s="136"/>
      <c r="K826" s="136"/>
    </row>
    <row r="827" spans="1:11" x14ac:dyDescent="0.2">
      <c r="A827" s="125"/>
      <c r="B827" s="6"/>
      <c r="C827" s="694"/>
      <c r="D827" s="694"/>
      <c r="E827" s="694"/>
      <c r="F827" s="124"/>
      <c r="G827" s="433"/>
      <c r="H827" s="210"/>
      <c r="I827" s="433"/>
      <c r="J827" s="136"/>
      <c r="K827" s="136"/>
    </row>
    <row r="828" spans="1:11" x14ac:dyDescent="0.2">
      <c r="A828" s="125"/>
      <c r="B828" s="203" t="s">
        <v>911</v>
      </c>
      <c r="C828" s="203" t="s">
        <v>912</v>
      </c>
      <c r="D828" s="124"/>
      <c r="E828" s="124"/>
      <c r="F828" s="124"/>
      <c r="G828" s="210"/>
      <c r="H828" s="210"/>
      <c r="I828" s="210"/>
      <c r="J828" s="136"/>
      <c r="K828" s="136"/>
    </row>
    <row r="829" spans="1:11" x14ac:dyDescent="0.2">
      <c r="A829" s="125"/>
      <c r="B829" s="195"/>
      <c r="C829" s="195"/>
      <c r="D829" s="124" t="s">
        <v>913</v>
      </c>
      <c r="E829" s="195"/>
      <c r="F829" s="134"/>
      <c r="G829" s="433"/>
      <c r="H829" s="210"/>
      <c r="I829" s="204">
        <f>G829+I758</f>
        <v>0</v>
      </c>
      <c r="J829" s="136"/>
      <c r="K829" s="136"/>
    </row>
    <row r="830" spans="1:11" x14ac:dyDescent="0.2">
      <c r="A830" s="125"/>
      <c r="B830" s="203"/>
      <c r="C830" s="124"/>
      <c r="D830" s="124" t="s">
        <v>914</v>
      </c>
      <c r="E830" s="124"/>
      <c r="F830" s="124"/>
      <c r="G830" s="204"/>
      <c r="H830" s="204"/>
      <c r="I830" s="204">
        <f t="shared" ref="I830:I832" si="34">G830+I759</f>
        <v>0</v>
      </c>
      <c r="J830" s="136"/>
      <c r="K830" s="136"/>
    </row>
    <row r="831" spans="1:11" x14ac:dyDescent="0.2">
      <c r="A831" s="125"/>
      <c r="B831" s="6"/>
      <c r="C831" s="124"/>
      <c r="D831" s="151" t="s">
        <v>915</v>
      </c>
      <c r="E831" s="134"/>
      <c r="F831" s="134"/>
      <c r="G831" s="204"/>
      <c r="H831" s="204"/>
      <c r="I831" s="204">
        <f t="shared" si="34"/>
        <v>0</v>
      </c>
      <c r="J831" s="136"/>
      <c r="K831" s="136"/>
    </row>
    <row r="832" spans="1:11" x14ac:dyDescent="0.2">
      <c r="A832" s="125"/>
      <c r="B832" s="134"/>
      <c r="C832" s="128"/>
      <c r="D832" s="124" t="s">
        <v>916</v>
      </c>
      <c r="E832" s="124"/>
      <c r="F832" s="124"/>
      <c r="G832" s="593"/>
      <c r="H832" s="204"/>
      <c r="I832" s="204">
        <f t="shared" si="34"/>
        <v>0</v>
      </c>
      <c r="J832" s="136"/>
      <c r="K832" s="136"/>
    </row>
    <row r="833" spans="1:11" x14ac:dyDescent="0.2">
      <c r="A833" s="125"/>
      <c r="B833" s="6"/>
      <c r="C833" s="128" t="s">
        <v>917</v>
      </c>
      <c r="D833" s="151"/>
      <c r="E833" s="151"/>
      <c r="F833" s="151"/>
      <c r="G833" s="596">
        <f>SUM(G829:G832)</f>
        <v>0</v>
      </c>
      <c r="H833" s="204"/>
      <c r="I833" s="596">
        <f>SUM(I829:I832)</f>
        <v>0</v>
      </c>
      <c r="J833" s="136"/>
      <c r="K833" s="136"/>
    </row>
    <row r="834" spans="1:11" x14ac:dyDescent="0.2">
      <c r="A834" s="125"/>
      <c r="B834" s="6"/>
      <c r="C834" s="124"/>
      <c r="D834" s="124"/>
      <c r="E834" s="124"/>
      <c r="F834" s="124"/>
      <c r="G834" s="593"/>
      <c r="H834" s="204"/>
      <c r="I834" s="204"/>
      <c r="J834" s="136"/>
      <c r="K834" s="136"/>
    </row>
    <row r="835" spans="1:11" x14ac:dyDescent="0.2">
      <c r="A835" s="125"/>
      <c r="B835" s="203" t="s">
        <v>918</v>
      </c>
      <c r="C835" s="203" t="s">
        <v>919</v>
      </c>
      <c r="D835" s="130"/>
      <c r="E835" s="130"/>
      <c r="F835" s="124"/>
      <c r="G835" s="149">
        <f>G822-G826+G833</f>
        <v>0</v>
      </c>
      <c r="H835" s="204"/>
      <c r="I835" s="149">
        <f>I822-I826+I833</f>
        <v>-1200000</v>
      </c>
      <c r="J835" s="136"/>
      <c r="K835" s="136"/>
    </row>
    <row r="836" spans="1:11" x14ac:dyDescent="0.2">
      <c r="A836" s="125"/>
      <c r="B836" s="6"/>
      <c r="C836" s="124"/>
      <c r="D836" s="124"/>
      <c r="E836" s="124"/>
      <c r="F836" s="124"/>
      <c r="G836" s="204"/>
      <c r="H836" s="204"/>
      <c r="I836" s="204"/>
      <c r="J836" s="136"/>
      <c r="K836" s="136"/>
    </row>
    <row r="837" spans="1:11" x14ac:dyDescent="0.2">
      <c r="A837" s="125"/>
      <c r="B837" s="203" t="s">
        <v>920</v>
      </c>
      <c r="C837" s="203" t="s">
        <v>921</v>
      </c>
      <c r="D837" s="130"/>
      <c r="E837" s="124"/>
      <c r="F837" s="124"/>
      <c r="G837" s="149">
        <f>G767</f>
        <v>1311051855.8000002</v>
      </c>
      <c r="H837" s="149"/>
      <c r="I837" s="149">
        <v>1312251855.8000002</v>
      </c>
      <c r="J837" s="136"/>
      <c r="K837" s="136"/>
    </row>
    <row r="838" spans="1:11" x14ac:dyDescent="0.2">
      <c r="A838" s="125"/>
      <c r="B838" s="6"/>
      <c r="C838" s="124"/>
      <c r="D838" s="124"/>
      <c r="E838" s="124"/>
      <c r="F838" s="124"/>
      <c r="G838" s="149"/>
      <c r="H838" s="149"/>
      <c r="I838" s="149"/>
      <c r="J838" s="136"/>
      <c r="K838" s="136"/>
    </row>
    <row r="839" spans="1:11" x14ac:dyDescent="0.2">
      <c r="A839" s="125"/>
      <c r="B839" s="134" t="s">
        <v>922</v>
      </c>
      <c r="C839" s="128" t="s">
        <v>921</v>
      </c>
      <c r="D839" s="124"/>
      <c r="E839" s="124"/>
      <c r="F839" s="124"/>
      <c r="G839" s="149">
        <f>G835+G837</f>
        <v>1311051855.8000002</v>
      </c>
      <c r="H839" s="149"/>
      <c r="I839" s="149">
        <f>I835+I837</f>
        <v>1311051855.8000002</v>
      </c>
      <c r="J839" s="136"/>
      <c r="K839" s="136"/>
    </row>
    <row r="840" spans="1:11" x14ac:dyDescent="0.2">
      <c r="A840" s="120"/>
      <c r="B840" s="119"/>
      <c r="C840" s="119"/>
      <c r="D840" s="119"/>
      <c r="E840" s="119"/>
      <c r="F840" s="119"/>
      <c r="G840" s="218"/>
      <c r="H840" s="218"/>
      <c r="I840" s="218"/>
      <c r="J840" s="594"/>
      <c r="K840" s="594"/>
    </row>
    <row r="841" spans="1:11" x14ac:dyDescent="0.2">
      <c r="A841" s="761"/>
      <c r="B841" s="761"/>
      <c r="C841" s="761"/>
      <c r="D841" s="761"/>
      <c r="E841" s="761"/>
      <c r="F841" s="124"/>
      <c r="G841" s="219"/>
      <c r="H841" s="219"/>
      <c r="I841" s="219"/>
    </row>
    <row r="842" spans="1:11" x14ac:dyDescent="0.2">
      <c r="A842" s="697" t="s">
        <v>579</v>
      </c>
      <c r="B842" s="697"/>
      <c r="C842" s="697"/>
      <c r="D842" s="697"/>
      <c r="E842" s="697"/>
      <c r="F842" s="697" t="s">
        <v>566</v>
      </c>
      <c r="G842" s="697"/>
      <c r="H842" s="697"/>
      <c r="I842" s="697"/>
      <c r="J842" s="697"/>
      <c r="K842" s="697"/>
    </row>
    <row r="843" spans="1:11" x14ac:dyDescent="0.2">
      <c r="A843" s="697" t="s">
        <v>678</v>
      </c>
      <c r="B843" s="697"/>
      <c r="C843" s="697"/>
      <c r="D843" s="697"/>
      <c r="E843" s="697"/>
      <c r="F843" s="697" t="s">
        <v>681</v>
      </c>
      <c r="G843" s="697"/>
      <c r="H843" s="697"/>
      <c r="I843" s="697"/>
      <c r="J843" s="697"/>
      <c r="K843" s="697"/>
    </row>
    <row r="844" spans="1:11" x14ac:dyDescent="0.2">
      <c r="A844" s="697"/>
      <c r="B844" s="697"/>
      <c r="C844" s="697"/>
      <c r="D844" s="697"/>
      <c r="E844" s="697"/>
      <c r="F844" s="697"/>
      <c r="G844" s="697"/>
      <c r="H844" s="697"/>
      <c r="I844" s="697"/>
      <c r="J844" s="697"/>
      <c r="K844" s="697"/>
    </row>
    <row r="845" spans="1:11" x14ac:dyDescent="0.2">
      <c r="A845" s="697"/>
      <c r="B845" s="697"/>
      <c r="C845" s="697"/>
      <c r="D845" s="697"/>
      <c r="E845" s="697"/>
      <c r="F845" s="697"/>
      <c r="G845" s="697"/>
      <c r="H845" s="697"/>
      <c r="I845" s="697"/>
      <c r="J845" s="697"/>
      <c r="K845" s="697"/>
    </row>
    <row r="846" spans="1:11" x14ac:dyDescent="0.2">
      <c r="A846" s="697" t="s">
        <v>655</v>
      </c>
      <c r="B846" s="697"/>
      <c r="C846" s="697"/>
      <c r="D846" s="697"/>
      <c r="E846" s="697"/>
      <c r="F846" s="697" t="s">
        <v>567</v>
      </c>
      <c r="G846" s="697"/>
      <c r="H846" s="697"/>
      <c r="I846" s="697"/>
      <c r="J846" s="697"/>
      <c r="K846" s="697"/>
    </row>
    <row r="847" spans="1:11" x14ac:dyDescent="0.2">
      <c r="A847" s="697"/>
      <c r="B847" s="697"/>
      <c r="C847" s="697"/>
      <c r="D847" s="697"/>
      <c r="E847" s="697"/>
      <c r="F847" s="697"/>
      <c r="G847" s="697"/>
      <c r="H847" s="697"/>
      <c r="I847" s="697"/>
      <c r="J847" s="697"/>
      <c r="K847" s="697"/>
    </row>
    <row r="864" spans="1:6" x14ac:dyDescent="0.2">
      <c r="A864" s="728" t="s">
        <v>890</v>
      </c>
      <c r="B864" s="728"/>
      <c r="C864" s="590" t="s">
        <v>891</v>
      </c>
      <c r="D864" s="124"/>
      <c r="E864" s="124"/>
      <c r="F864" s="124"/>
    </row>
    <row r="865" spans="1:11" x14ac:dyDescent="0.2">
      <c r="B865" s="124"/>
      <c r="C865" s="124"/>
      <c r="D865" s="124"/>
      <c r="E865" s="124"/>
      <c r="F865" s="124"/>
    </row>
    <row r="866" spans="1:11" ht="15" x14ac:dyDescent="0.25">
      <c r="A866" s="141"/>
      <c r="B866" s="762"/>
      <c r="C866" s="762"/>
      <c r="D866" s="762"/>
      <c r="E866" s="762"/>
      <c r="F866" s="762"/>
      <c r="G866" s="762"/>
      <c r="H866" s="762"/>
      <c r="I866" s="762"/>
      <c r="J866" s="591"/>
      <c r="K866" s="591"/>
    </row>
    <row r="867" spans="1:11" ht="15" x14ac:dyDescent="0.25">
      <c r="A867" s="125"/>
      <c r="B867" s="696" t="s">
        <v>650</v>
      </c>
      <c r="C867" s="696"/>
      <c r="D867" s="696"/>
      <c r="E867" s="696"/>
      <c r="F867" s="696"/>
      <c r="G867" s="696"/>
      <c r="H867" s="696"/>
      <c r="I867" s="696"/>
      <c r="J867" s="136"/>
      <c r="K867" s="136"/>
    </row>
    <row r="868" spans="1:11" ht="15" x14ac:dyDescent="0.25">
      <c r="A868" s="125"/>
      <c r="B868" s="696" t="s">
        <v>41</v>
      </c>
      <c r="C868" s="696"/>
      <c r="D868" s="696"/>
      <c r="E868" s="696"/>
      <c r="F868" s="696"/>
      <c r="G868" s="696"/>
      <c r="H868" s="696"/>
      <c r="I868" s="696"/>
      <c r="J868" s="136"/>
      <c r="K868" s="136"/>
    </row>
    <row r="869" spans="1:11" ht="15" x14ac:dyDescent="0.25">
      <c r="A869" s="125"/>
      <c r="B869" s="742" t="s">
        <v>933</v>
      </c>
      <c r="C869" s="742"/>
      <c r="D869" s="742"/>
      <c r="E869" s="742"/>
      <c r="F869" s="742"/>
      <c r="G869" s="742"/>
      <c r="H869" s="742"/>
      <c r="I869" s="742"/>
      <c r="J869" s="136"/>
      <c r="K869" s="136"/>
    </row>
    <row r="870" spans="1:11" x14ac:dyDescent="0.2">
      <c r="A870" s="125"/>
      <c r="B870" s="124"/>
      <c r="C870" s="124"/>
      <c r="D870" s="124"/>
      <c r="E870" s="124"/>
      <c r="F870" s="124"/>
      <c r="J870" s="136"/>
      <c r="K870" s="136"/>
    </row>
    <row r="871" spans="1:11" x14ac:dyDescent="0.2">
      <c r="A871" s="125"/>
      <c r="B871" s="755" t="s">
        <v>30</v>
      </c>
      <c r="C871" s="756"/>
      <c r="D871" s="756"/>
      <c r="E871" s="757"/>
      <c r="F871" s="127"/>
      <c r="G871" s="201" t="s">
        <v>37</v>
      </c>
      <c r="H871" s="127"/>
      <c r="I871" s="201" t="s">
        <v>39</v>
      </c>
      <c r="J871" s="136"/>
      <c r="K871" s="136"/>
    </row>
    <row r="872" spans="1:11" x14ac:dyDescent="0.2">
      <c r="A872" s="125"/>
      <c r="B872" s="758"/>
      <c r="C872" s="759"/>
      <c r="D872" s="759"/>
      <c r="E872" s="760"/>
      <c r="F872" s="127"/>
      <c r="G872" s="202" t="s">
        <v>40</v>
      </c>
      <c r="H872" s="127"/>
      <c r="I872" s="202" t="s">
        <v>40</v>
      </c>
      <c r="J872" s="136"/>
      <c r="K872" s="136"/>
    </row>
    <row r="873" spans="1:11" x14ac:dyDescent="0.2">
      <c r="A873" s="125"/>
      <c r="B873" s="203" t="s">
        <v>893</v>
      </c>
      <c r="C873" s="203" t="s">
        <v>906</v>
      </c>
      <c r="D873" s="203"/>
      <c r="E873" s="124"/>
      <c r="F873" s="124"/>
      <c r="G873" s="204"/>
      <c r="H873" s="204"/>
      <c r="I873" s="204"/>
      <c r="J873" s="136"/>
      <c r="K873" s="136"/>
    </row>
    <row r="874" spans="1:11" x14ac:dyDescent="0.2">
      <c r="A874" s="125"/>
      <c r="B874" s="6"/>
      <c r="C874" s="128" t="s">
        <v>894</v>
      </c>
      <c r="D874" s="124"/>
      <c r="E874" s="124"/>
      <c r="F874" s="124"/>
      <c r="G874" s="204"/>
      <c r="H874" s="204"/>
      <c r="I874" s="204"/>
      <c r="J874" s="136"/>
      <c r="K874" s="136"/>
    </row>
    <row r="875" spans="1:11" x14ac:dyDescent="0.2">
      <c r="A875" s="125"/>
      <c r="B875" s="6"/>
      <c r="C875" s="124"/>
      <c r="D875" s="124">
        <v>1</v>
      </c>
      <c r="E875" s="124" t="s">
        <v>895</v>
      </c>
      <c r="F875" s="124"/>
      <c r="G875" s="204"/>
      <c r="H875" s="204"/>
      <c r="I875" s="204">
        <f>G875+I803</f>
        <v>0</v>
      </c>
      <c r="J875" s="136"/>
      <c r="K875" s="136"/>
    </row>
    <row r="876" spans="1:11" x14ac:dyDescent="0.2">
      <c r="A876" s="125"/>
      <c r="B876" s="6"/>
      <c r="C876" s="124"/>
      <c r="D876" s="124">
        <v>2</v>
      </c>
      <c r="E876" s="124" t="s">
        <v>896</v>
      </c>
      <c r="F876" s="124"/>
      <c r="G876" s="204"/>
      <c r="H876" s="204"/>
      <c r="I876" s="204">
        <f t="shared" ref="I876:I879" si="35">G876+I804</f>
        <v>0</v>
      </c>
      <c r="J876" s="136"/>
      <c r="K876" s="136"/>
    </row>
    <row r="877" spans="1:11" x14ac:dyDescent="0.2">
      <c r="A877" s="125"/>
      <c r="B877" s="6"/>
      <c r="C877" s="124"/>
      <c r="D877" s="124">
        <v>3</v>
      </c>
      <c r="E877" s="124" t="s">
        <v>897</v>
      </c>
      <c r="F877" s="124"/>
      <c r="G877" s="204"/>
      <c r="H877" s="204"/>
      <c r="I877" s="204">
        <f t="shared" si="35"/>
        <v>0</v>
      </c>
      <c r="J877" s="136"/>
      <c r="K877" s="136"/>
    </row>
    <row r="878" spans="1:11" x14ac:dyDescent="0.2">
      <c r="A878" s="125"/>
      <c r="B878" s="6"/>
      <c r="C878" s="124"/>
      <c r="D878" s="124">
        <v>4</v>
      </c>
      <c r="E878" s="124" t="s">
        <v>902</v>
      </c>
      <c r="F878" s="124"/>
      <c r="G878" s="204"/>
      <c r="H878" s="204"/>
      <c r="I878" s="204">
        <f t="shared" si="35"/>
        <v>0</v>
      </c>
      <c r="J878" s="136"/>
      <c r="K878" s="136"/>
    </row>
    <row r="879" spans="1:11" x14ac:dyDescent="0.2">
      <c r="A879" s="125"/>
      <c r="B879" s="6"/>
      <c r="C879" s="124"/>
      <c r="D879" s="124">
        <v>5</v>
      </c>
      <c r="E879" s="124" t="s">
        <v>898</v>
      </c>
      <c r="F879" s="124"/>
      <c r="G879" s="204"/>
      <c r="H879" s="204"/>
      <c r="I879" s="204">
        <f t="shared" si="35"/>
        <v>0</v>
      </c>
      <c r="J879" s="136"/>
      <c r="K879" s="136"/>
    </row>
    <row r="880" spans="1:11" x14ac:dyDescent="0.2">
      <c r="A880" s="125"/>
      <c r="B880" s="6"/>
      <c r="C880" s="124"/>
      <c r="D880" s="124"/>
      <c r="E880" s="124"/>
      <c r="F880" s="124"/>
      <c r="G880" s="204"/>
      <c r="H880" s="204"/>
      <c r="I880" s="204"/>
      <c r="J880" s="136"/>
      <c r="K880" s="136"/>
    </row>
    <row r="881" spans="1:11" x14ac:dyDescent="0.2">
      <c r="A881" s="125"/>
      <c r="B881" s="6"/>
      <c r="C881" s="128"/>
      <c r="D881" s="128" t="s">
        <v>55</v>
      </c>
      <c r="E881" s="128"/>
      <c r="F881" s="124"/>
      <c r="G881" s="205">
        <f>SUM(G875:G879)</f>
        <v>0</v>
      </c>
      <c r="H881" s="204"/>
      <c r="I881" s="205">
        <f>SUM(I875:I879)</f>
        <v>0</v>
      </c>
      <c r="J881" s="136"/>
      <c r="K881" s="136"/>
    </row>
    <row r="882" spans="1:11" x14ac:dyDescent="0.2">
      <c r="A882" s="125"/>
      <c r="B882" s="6"/>
      <c r="C882" s="128"/>
      <c r="D882" s="128"/>
      <c r="E882" s="128"/>
      <c r="F882" s="124"/>
      <c r="G882" s="149"/>
      <c r="H882" s="204"/>
      <c r="I882" s="149"/>
      <c r="J882" s="136"/>
      <c r="K882" s="136"/>
    </row>
    <row r="883" spans="1:11" x14ac:dyDescent="0.2">
      <c r="A883" s="125"/>
      <c r="B883" s="6"/>
      <c r="C883" s="128" t="s">
        <v>899</v>
      </c>
      <c r="D883" s="124"/>
      <c r="E883" s="124"/>
      <c r="F883" s="124"/>
      <c r="G883" s="204"/>
      <c r="H883" s="204"/>
      <c r="I883" s="204"/>
      <c r="J883" s="136"/>
      <c r="K883" s="136"/>
    </row>
    <row r="884" spans="1:11" x14ac:dyDescent="0.2">
      <c r="A884" s="125"/>
      <c r="B884" s="6"/>
      <c r="C884" s="124"/>
      <c r="D884" s="124">
        <v>1</v>
      </c>
      <c r="E884" s="206" t="s">
        <v>328</v>
      </c>
      <c r="F884" s="124"/>
      <c r="G884" s="204"/>
      <c r="H884" s="204"/>
      <c r="I884" s="204">
        <f>G884+I812</f>
        <v>0</v>
      </c>
      <c r="J884" s="136"/>
      <c r="K884" s="136"/>
    </row>
    <row r="885" spans="1:11" x14ac:dyDescent="0.2">
      <c r="A885" s="125"/>
      <c r="B885" s="6"/>
      <c r="C885" s="124"/>
      <c r="D885" s="124">
        <v>2</v>
      </c>
      <c r="E885" s="206" t="s">
        <v>329</v>
      </c>
      <c r="F885" s="124"/>
      <c r="G885" s="204"/>
      <c r="H885" s="204"/>
      <c r="I885" s="204">
        <f t="shared" ref="I885:I890" si="36">G885+I813</f>
        <v>0</v>
      </c>
      <c r="J885" s="136"/>
      <c r="K885" s="136"/>
    </row>
    <row r="886" spans="1:11" x14ac:dyDescent="0.2">
      <c r="A886" s="125"/>
      <c r="B886" s="6"/>
      <c r="C886" s="124"/>
      <c r="D886" s="124">
        <v>3</v>
      </c>
      <c r="E886" s="206" t="s">
        <v>900</v>
      </c>
      <c r="F886" s="134"/>
      <c r="G886" s="204"/>
      <c r="H886" s="204"/>
      <c r="I886" s="204">
        <f t="shared" si="36"/>
        <v>1200000</v>
      </c>
      <c r="J886" s="136"/>
      <c r="K886" s="136"/>
    </row>
    <row r="887" spans="1:11" x14ac:dyDescent="0.2">
      <c r="A887" s="125"/>
      <c r="B887" s="6"/>
      <c r="C887" s="124"/>
      <c r="D887" s="124">
        <v>4</v>
      </c>
      <c r="E887" s="206" t="s">
        <v>901</v>
      </c>
      <c r="F887" s="124"/>
      <c r="G887" s="204"/>
      <c r="H887" s="204"/>
      <c r="I887" s="204">
        <f t="shared" si="36"/>
        <v>0</v>
      </c>
      <c r="J887" s="136"/>
      <c r="K887" s="136"/>
    </row>
    <row r="888" spans="1:11" x14ac:dyDescent="0.2">
      <c r="A888" s="125"/>
      <c r="B888" s="6"/>
      <c r="C888" s="124"/>
      <c r="D888" s="124">
        <v>5</v>
      </c>
      <c r="E888" s="206" t="s">
        <v>887</v>
      </c>
      <c r="F888" s="134"/>
      <c r="G888" s="204"/>
      <c r="H888" s="204"/>
      <c r="I888" s="204">
        <f t="shared" si="36"/>
        <v>0</v>
      </c>
      <c r="J888" s="136"/>
      <c r="K888" s="136"/>
    </row>
    <row r="889" spans="1:11" x14ac:dyDescent="0.2">
      <c r="A889" s="125"/>
      <c r="B889" s="6"/>
      <c r="C889" s="124"/>
      <c r="D889" s="124">
        <v>6</v>
      </c>
      <c r="E889" s="206" t="s">
        <v>903</v>
      </c>
      <c r="F889" s="134"/>
      <c r="G889" s="204"/>
      <c r="H889" s="204"/>
      <c r="I889" s="204">
        <f t="shared" si="36"/>
        <v>0</v>
      </c>
      <c r="J889" s="136"/>
      <c r="K889" s="136"/>
    </row>
    <row r="890" spans="1:11" x14ac:dyDescent="0.2">
      <c r="A890" s="125"/>
      <c r="B890" s="6"/>
      <c r="C890" s="124"/>
      <c r="D890" s="124">
        <v>7</v>
      </c>
      <c r="E890" s="206" t="s">
        <v>904</v>
      </c>
      <c r="F890" s="134"/>
      <c r="G890" s="204"/>
      <c r="H890" s="204"/>
      <c r="I890" s="204">
        <f t="shared" si="36"/>
        <v>0</v>
      </c>
      <c r="J890" s="136"/>
      <c r="K890" s="136"/>
    </row>
    <row r="891" spans="1:11" x14ac:dyDescent="0.2">
      <c r="A891" s="125"/>
      <c r="B891" s="134"/>
      <c r="C891" s="128"/>
      <c r="D891" s="124"/>
      <c r="E891" s="206"/>
      <c r="F891" s="124"/>
      <c r="G891" s="204"/>
      <c r="H891" s="204"/>
      <c r="I891" s="204"/>
      <c r="J891" s="136"/>
      <c r="K891" s="136"/>
    </row>
    <row r="892" spans="1:11" x14ac:dyDescent="0.2">
      <c r="A892" s="125"/>
      <c r="B892" s="6"/>
      <c r="C892" s="124"/>
      <c r="D892" s="128" t="s">
        <v>67</v>
      </c>
      <c r="E892" s="127"/>
      <c r="F892" s="208"/>
      <c r="G892" s="205">
        <f>SUM(G884:G891)</f>
        <v>0</v>
      </c>
      <c r="H892" s="204"/>
      <c r="I892" s="205">
        <f>SUM(I884:I891)</f>
        <v>1200000</v>
      </c>
      <c r="J892" s="136"/>
      <c r="K892" s="136"/>
    </row>
    <row r="893" spans="1:11" x14ac:dyDescent="0.2">
      <c r="A893" s="125"/>
      <c r="B893" s="6"/>
      <c r="C893" s="124"/>
      <c r="D893" s="124"/>
      <c r="E893" s="124"/>
      <c r="F893" s="124"/>
      <c r="G893" s="204"/>
      <c r="H893" s="204"/>
      <c r="I893" s="204"/>
      <c r="J893" s="136"/>
      <c r="K893" s="136"/>
    </row>
    <row r="894" spans="1:11" x14ac:dyDescent="0.2">
      <c r="A894" s="125"/>
      <c r="B894" s="6"/>
      <c r="C894" s="128" t="s">
        <v>905</v>
      </c>
      <c r="D894" s="128"/>
      <c r="E894" s="128"/>
      <c r="F894" s="124"/>
      <c r="G894" s="488">
        <f>G881-G892</f>
        <v>0</v>
      </c>
      <c r="H894" s="204"/>
      <c r="I894" s="488">
        <f>I881-I892</f>
        <v>-1200000</v>
      </c>
      <c r="K894" s="136"/>
    </row>
    <row r="895" spans="1:11" x14ac:dyDescent="0.2">
      <c r="A895" s="125"/>
      <c r="B895" s="6"/>
      <c r="C895" s="124"/>
      <c r="D895" s="124"/>
      <c r="E895" s="124"/>
      <c r="F895" s="124"/>
      <c r="G895" s="204"/>
      <c r="H895" s="204"/>
      <c r="I895" s="204"/>
      <c r="J895" s="136"/>
      <c r="K895" s="136"/>
    </row>
    <row r="896" spans="1:11" x14ac:dyDescent="0.2">
      <c r="A896" s="125"/>
      <c r="B896" s="203" t="s">
        <v>907</v>
      </c>
      <c r="C896" s="203" t="s">
        <v>908</v>
      </c>
      <c r="D896" s="151"/>
      <c r="E896" s="134"/>
      <c r="F896" s="134"/>
      <c r="G896" s="204"/>
      <c r="H896" s="204"/>
      <c r="I896" s="204"/>
      <c r="J896" s="136"/>
      <c r="K896" s="136"/>
    </row>
    <row r="897" spans="1:11" x14ac:dyDescent="0.2">
      <c r="A897" s="125"/>
      <c r="B897" s="134"/>
      <c r="C897" s="128"/>
      <c r="D897" s="124" t="s">
        <v>909</v>
      </c>
      <c r="E897" s="124"/>
      <c r="F897" s="124"/>
      <c r="G897" s="204"/>
      <c r="H897" s="204"/>
      <c r="I897" s="204">
        <f>G897+I825</f>
        <v>0</v>
      </c>
      <c r="J897" s="136"/>
      <c r="K897" s="136"/>
    </row>
    <row r="898" spans="1:11" x14ac:dyDescent="0.2">
      <c r="A898" s="125"/>
      <c r="B898" s="6"/>
      <c r="C898" s="128" t="s">
        <v>910</v>
      </c>
      <c r="D898" s="151"/>
      <c r="E898" s="151"/>
      <c r="F898" s="151"/>
      <c r="G898" s="205">
        <f>SUM(G897)</f>
        <v>0</v>
      </c>
      <c r="H898" s="149"/>
      <c r="I898" s="205">
        <f>SUM(I897)</f>
        <v>0</v>
      </c>
      <c r="J898" s="136"/>
      <c r="K898" s="136"/>
    </row>
    <row r="899" spans="1:11" x14ac:dyDescent="0.2">
      <c r="A899" s="125"/>
      <c r="B899" s="6"/>
      <c r="C899" s="694"/>
      <c r="D899" s="694"/>
      <c r="E899" s="694"/>
      <c r="F899" s="124"/>
      <c r="G899" s="433"/>
      <c r="H899" s="210"/>
      <c r="I899" s="433"/>
      <c r="J899" s="136"/>
      <c r="K899" s="136"/>
    </row>
    <row r="900" spans="1:11" x14ac:dyDescent="0.2">
      <c r="A900" s="125"/>
      <c r="B900" s="203" t="s">
        <v>911</v>
      </c>
      <c r="C900" s="203" t="s">
        <v>912</v>
      </c>
      <c r="D900" s="124"/>
      <c r="E900" s="124"/>
      <c r="F900" s="124"/>
      <c r="G900" s="210"/>
      <c r="H900" s="210"/>
      <c r="I900" s="210"/>
      <c r="J900" s="136"/>
      <c r="K900" s="136"/>
    </row>
    <row r="901" spans="1:11" x14ac:dyDescent="0.2">
      <c r="A901" s="125"/>
      <c r="B901" s="195"/>
      <c r="C901" s="195"/>
      <c r="D901" s="124" t="s">
        <v>913</v>
      </c>
      <c r="E901" s="195"/>
      <c r="F901" s="134"/>
      <c r="G901" s="433"/>
      <c r="H901" s="210"/>
      <c r="I901" s="204">
        <f>G901+I830</f>
        <v>0</v>
      </c>
      <c r="J901" s="136"/>
      <c r="K901" s="136"/>
    </row>
    <row r="902" spans="1:11" x14ac:dyDescent="0.2">
      <c r="A902" s="125"/>
      <c r="B902" s="203"/>
      <c r="C902" s="124"/>
      <c r="D902" s="124" t="s">
        <v>914</v>
      </c>
      <c r="E902" s="124"/>
      <c r="F902" s="124"/>
      <c r="G902" s="204"/>
      <c r="H902" s="204"/>
      <c r="I902" s="204">
        <f t="shared" ref="I902:I904" si="37">G902+I831</f>
        <v>0</v>
      </c>
      <c r="J902" s="136"/>
      <c r="K902" s="136"/>
    </row>
    <row r="903" spans="1:11" x14ac:dyDescent="0.2">
      <c r="A903" s="125"/>
      <c r="B903" s="6"/>
      <c r="C903" s="124"/>
      <c r="D903" s="151" t="s">
        <v>915</v>
      </c>
      <c r="E903" s="134"/>
      <c r="F903" s="134"/>
      <c r="G903" s="204"/>
      <c r="H903" s="204"/>
      <c r="I903" s="204">
        <f t="shared" si="37"/>
        <v>0</v>
      </c>
      <c r="J903" s="136"/>
      <c r="K903" s="136"/>
    </row>
    <row r="904" spans="1:11" x14ac:dyDescent="0.2">
      <c r="A904" s="125"/>
      <c r="B904" s="134"/>
      <c r="C904" s="128"/>
      <c r="D904" s="124" t="s">
        <v>916</v>
      </c>
      <c r="E904" s="124"/>
      <c r="F904" s="124"/>
      <c r="G904" s="593"/>
      <c r="H904" s="204"/>
      <c r="I904" s="204">
        <f t="shared" si="37"/>
        <v>0</v>
      </c>
      <c r="J904" s="136"/>
      <c r="K904" s="136"/>
    </row>
    <row r="905" spans="1:11" x14ac:dyDescent="0.2">
      <c r="A905" s="125"/>
      <c r="B905" s="6"/>
      <c r="C905" s="128" t="s">
        <v>917</v>
      </c>
      <c r="D905" s="151"/>
      <c r="E905" s="151"/>
      <c r="F905" s="151"/>
      <c r="G905" s="596">
        <f>SUM(G901:G904)</f>
        <v>0</v>
      </c>
      <c r="H905" s="204"/>
      <c r="I905" s="596">
        <f>SUM(I901:I904)</f>
        <v>0</v>
      </c>
      <c r="J905" s="136"/>
      <c r="K905" s="136"/>
    </row>
    <row r="906" spans="1:11" x14ac:dyDescent="0.2">
      <c r="A906" s="125"/>
      <c r="B906" s="6"/>
      <c r="C906" s="124"/>
      <c r="D906" s="124"/>
      <c r="E906" s="124"/>
      <c r="F906" s="124"/>
      <c r="G906" s="593"/>
      <c r="H906" s="204"/>
      <c r="I906" s="204"/>
      <c r="J906" s="136"/>
      <c r="K906" s="136"/>
    </row>
    <row r="907" spans="1:11" x14ac:dyDescent="0.2">
      <c r="A907" s="125"/>
      <c r="B907" s="203" t="s">
        <v>918</v>
      </c>
      <c r="C907" s="203" t="s">
        <v>919</v>
      </c>
      <c r="D907" s="130"/>
      <c r="E907" s="130"/>
      <c r="F907" s="124"/>
      <c r="G907" s="149">
        <f>G894-G898+G905</f>
        <v>0</v>
      </c>
      <c r="H907" s="204"/>
      <c r="I907" s="149">
        <f>I894-I898+I905</f>
        <v>-1200000</v>
      </c>
      <c r="J907" s="136"/>
      <c r="K907" s="136"/>
    </row>
    <row r="908" spans="1:11" x14ac:dyDescent="0.2">
      <c r="A908" s="125"/>
      <c r="B908" s="6"/>
      <c r="C908" s="124"/>
      <c r="D908" s="124"/>
      <c r="E908" s="124"/>
      <c r="F908" s="124"/>
      <c r="G908" s="204"/>
      <c r="H908" s="204"/>
      <c r="I908" s="204"/>
      <c r="J908" s="136"/>
      <c r="K908" s="136"/>
    </row>
    <row r="909" spans="1:11" x14ac:dyDescent="0.2">
      <c r="A909" s="125"/>
      <c r="B909" s="203" t="s">
        <v>920</v>
      </c>
      <c r="C909" s="203" t="s">
        <v>921</v>
      </c>
      <c r="D909" s="130"/>
      <c r="E909" s="124"/>
      <c r="F909" s="124"/>
      <c r="G909" s="149">
        <f>G839</f>
        <v>1311051855.8000002</v>
      </c>
      <c r="H909" s="149"/>
      <c r="I909" s="149">
        <v>1312251855.8000002</v>
      </c>
      <c r="J909" s="136"/>
      <c r="K909" s="136"/>
    </row>
    <row r="910" spans="1:11" x14ac:dyDescent="0.2">
      <c r="A910" s="125"/>
      <c r="B910" s="6"/>
      <c r="C910" s="124"/>
      <c r="D910" s="124"/>
      <c r="E910" s="124"/>
      <c r="F910" s="124"/>
      <c r="G910" s="149"/>
      <c r="H910" s="149"/>
      <c r="I910" s="149"/>
      <c r="J910" s="136"/>
      <c r="K910" s="136"/>
    </row>
    <row r="911" spans="1:11" x14ac:dyDescent="0.2">
      <c r="A911" s="125"/>
      <c r="B911" s="134" t="s">
        <v>922</v>
      </c>
      <c r="C911" s="128" t="s">
        <v>921</v>
      </c>
      <c r="D911" s="124"/>
      <c r="E911" s="124"/>
      <c r="F911" s="124"/>
      <c r="G911" s="149">
        <f>G907+G909</f>
        <v>1311051855.8000002</v>
      </c>
      <c r="H911" s="149"/>
      <c r="I911" s="149">
        <f>I907+I909</f>
        <v>1311051855.8000002</v>
      </c>
      <c r="J911" s="136"/>
      <c r="K911" s="136"/>
    </row>
    <row r="912" spans="1:11" x14ac:dyDescent="0.2">
      <c r="A912" s="120"/>
      <c r="B912" s="119"/>
      <c r="C912" s="119"/>
      <c r="D912" s="119"/>
      <c r="E912" s="119"/>
      <c r="F912" s="119"/>
      <c r="G912" s="218"/>
      <c r="H912" s="218"/>
      <c r="I912" s="218"/>
      <c r="J912" s="594"/>
      <c r="K912" s="594"/>
    </row>
    <row r="913" spans="1:11" x14ac:dyDescent="0.2">
      <c r="A913" s="761"/>
      <c r="B913" s="761"/>
      <c r="C913" s="761"/>
      <c r="D913" s="761"/>
      <c r="E913" s="761"/>
      <c r="F913" s="124"/>
      <c r="G913" s="219"/>
      <c r="H913" s="219"/>
      <c r="I913" s="219"/>
    </row>
    <row r="914" spans="1:11" x14ac:dyDescent="0.2">
      <c r="A914" s="697" t="s">
        <v>579</v>
      </c>
      <c r="B914" s="697"/>
      <c r="C914" s="697"/>
      <c r="D914" s="697"/>
      <c r="E914" s="697"/>
      <c r="F914" s="697" t="s">
        <v>566</v>
      </c>
      <c r="G914" s="697"/>
      <c r="H914" s="697"/>
      <c r="I914" s="697"/>
      <c r="J914" s="697"/>
      <c r="K914" s="697"/>
    </row>
    <row r="915" spans="1:11" x14ac:dyDescent="0.2">
      <c r="A915" s="697" t="s">
        <v>678</v>
      </c>
      <c r="B915" s="697"/>
      <c r="C915" s="697"/>
      <c r="D915" s="697"/>
      <c r="E915" s="697"/>
      <c r="F915" s="697" t="s">
        <v>681</v>
      </c>
      <c r="G915" s="697"/>
      <c r="H915" s="697"/>
      <c r="I915" s="697"/>
      <c r="J915" s="697"/>
      <c r="K915" s="697"/>
    </row>
    <row r="916" spans="1:11" x14ac:dyDescent="0.2">
      <c r="A916" s="697"/>
      <c r="B916" s="697"/>
      <c r="C916" s="697"/>
      <c r="D916" s="697"/>
      <c r="E916" s="697"/>
      <c r="F916" s="697"/>
      <c r="G916" s="697"/>
      <c r="H916" s="697"/>
      <c r="I916" s="697"/>
      <c r="J916" s="697"/>
      <c r="K916" s="697"/>
    </row>
    <row r="917" spans="1:11" x14ac:dyDescent="0.2">
      <c r="A917" s="697"/>
      <c r="B917" s="697"/>
      <c r="C917" s="697"/>
      <c r="D917" s="697"/>
      <c r="E917" s="697"/>
      <c r="F917" s="697"/>
      <c r="G917" s="697"/>
      <c r="H917" s="697"/>
      <c r="I917" s="697"/>
      <c r="J917" s="697"/>
      <c r="K917" s="697"/>
    </row>
    <row r="918" spans="1:11" x14ac:dyDescent="0.2">
      <c r="A918" s="697" t="s">
        <v>655</v>
      </c>
      <c r="B918" s="697"/>
      <c r="C918" s="697"/>
      <c r="D918" s="697"/>
      <c r="E918" s="697"/>
      <c r="F918" s="697" t="s">
        <v>567</v>
      </c>
      <c r="G918" s="697"/>
      <c r="H918" s="697"/>
      <c r="I918" s="697"/>
      <c r="J918" s="697"/>
      <c r="K918" s="697"/>
    </row>
    <row r="919" spans="1:11" x14ac:dyDescent="0.2">
      <c r="A919" s="697"/>
      <c r="B919" s="697"/>
      <c r="C919" s="697"/>
      <c r="D919" s="697"/>
      <c r="E919" s="697"/>
      <c r="F919" s="697"/>
      <c r="G919" s="697"/>
      <c r="H919" s="697"/>
      <c r="I919" s="697"/>
      <c r="J919" s="697"/>
      <c r="K919" s="697"/>
    </row>
  </sheetData>
  <mergeCells count="258">
    <mergeCell ref="A917:E917"/>
    <mergeCell ref="F917:K917"/>
    <mergeCell ref="A918:E918"/>
    <mergeCell ref="F918:K918"/>
    <mergeCell ref="A919:K919"/>
    <mergeCell ref="A913:E913"/>
    <mergeCell ref="A914:E914"/>
    <mergeCell ref="F914:K914"/>
    <mergeCell ref="A915:E915"/>
    <mergeCell ref="F915:K915"/>
    <mergeCell ref="A916:E916"/>
    <mergeCell ref="F916:K916"/>
    <mergeCell ref="B866:I866"/>
    <mergeCell ref="B867:I867"/>
    <mergeCell ref="B868:I868"/>
    <mergeCell ref="B869:I869"/>
    <mergeCell ref="B871:E872"/>
    <mergeCell ref="C899:E899"/>
    <mergeCell ref="A845:E845"/>
    <mergeCell ref="F845:K845"/>
    <mergeCell ref="A846:E846"/>
    <mergeCell ref="F846:K846"/>
    <mergeCell ref="A847:K847"/>
    <mergeCell ref="A864:B864"/>
    <mergeCell ref="A841:E841"/>
    <mergeCell ref="A842:E842"/>
    <mergeCell ref="F842:K842"/>
    <mergeCell ref="A843:E843"/>
    <mergeCell ref="F843:K843"/>
    <mergeCell ref="A844:E844"/>
    <mergeCell ref="F844:K844"/>
    <mergeCell ref="B794:I794"/>
    <mergeCell ref="B795:I795"/>
    <mergeCell ref="B796:I796"/>
    <mergeCell ref="B797:I797"/>
    <mergeCell ref="B799:E800"/>
    <mergeCell ref="C827:E827"/>
    <mergeCell ref="A773:E773"/>
    <mergeCell ref="F773:K773"/>
    <mergeCell ref="A774:E774"/>
    <mergeCell ref="F774:K774"/>
    <mergeCell ref="A775:K775"/>
    <mergeCell ref="A792:B792"/>
    <mergeCell ref="A769:E769"/>
    <mergeCell ref="A770:E770"/>
    <mergeCell ref="F770:K770"/>
    <mergeCell ref="A771:E771"/>
    <mergeCell ref="F771:K771"/>
    <mergeCell ref="A772:E772"/>
    <mergeCell ref="F772:K772"/>
    <mergeCell ref="B722:I722"/>
    <mergeCell ref="B723:I723"/>
    <mergeCell ref="B724:I724"/>
    <mergeCell ref="B725:I725"/>
    <mergeCell ref="B727:E728"/>
    <mergeCell ref="C755:E755"/>
    <mergeCell ref="A701:E701"/>
    <mergeCell ref="F701:K701"/>
    <mergeCell ref="A702:E702"/>
    <mergeCell ref="F702:K702"/>
    <mergeCell ref="A703:K703"/>
    <mergeCell ref="A720:B720"/>
    <mergeCell ref="A697:E697"/>
    <mergeCell ref="A698:E698"/>
    <mergeCell ref="F698:K698"/>
    <mergeCell ref="A699:E699"/>
    <mergeCell ref="F699:K699"/>
    <mergeCell ref="A700:E700"/>
    <mergeCell ref="F700:K700"/>
    <mergeCell ref="B650:I650"/>
    <mergeCell ref="B651:I651"/>
    <mergeCell ref="B652:I652"/>
    <mergeCell ref="B653:I653"/>
    <mergeCell ref="B655:E656"/>
    <mergeCell ref="C683:E683"/>
    <mergeCell ref="A629:E629"/>
    <mergeCell ref="F629:K629"/>
    <mergeCell ref="A630:E630"/>
    <mergeCell ref="F630:K630"/>
    <mergeCell ref="A631:K631"/>
    <mergeCell ref="A648:B648"/>
    <mergeCell ref="A625:E625"/>
    <mergeCell ref="A626:E626"/>
    <mergeCell ref="F626:K626"/>
    <mergeCell ref="A627:E627"/>
    <mergeCell ref="F627:K627"/>
    <mergeCell ref="A628:E628"/>
    <mergeCell ref="F628:K628"/>
    <mergeCell ref="B578:I578"/>
    <mergeCell ref="B579:I579"/>
    <mergeCell ref="B580:I580"/>
    <mergeCell ref="B581:I581"/>
    <mergeCell ref="B583:E584"/>
    <mergeCell ref="C611:E611"/>
    <mergeCell ref="A557:E557"/>
    <mergeCell ref="F557:K557"/>
    <mergeCell ref="A558:E558"/>
    <mergeCell ref="F558:K558"/>
    <mergeCell ref="A559:K559"/>
    <mergeCell ref="A576:B576"/>
    <mergeCell ref="A553:E553"/>
    <mergeCell ref="A554:E554"/>
    <mergeCell ref="F554:K554"/>
    <mergeCell ref="A555:E555"/>
    <mergeCell ref="F555:K555"/>
    <mergeCell ref="A556:E556"/>
    <mergeCell ref="F556:K556"/>
    <mergeCell ref="B506:I506"/>
    <mergeCell ref="B507:I507"/>
    <mergeCell ref="B508:I508"/>
    <mergeCell ref="B509:I509"/>
    <mergeCell ref="B511:E512"/>
    <mergeCell ref="C539:E539"/>
    <mergeCell ref="A485:E485"/>
    <mergeCell ref="F485:K485"/>
    <mergeCell ref="A486:E486"/>
    <mergeCell ref="F486:K486"/>
    <mergeCell ref="A487:K487"/>
    <mergeCell ref="A504:B504"/>
    <mergeCell ref="A482:E482"/>
    <mergeCell ref="F482:K482"/>
    <mergeCell ref="A483:E483"/>
    <mergeCell ref="F483:K483"/>
    <mergeCell ref="A484:E484"/>
    <mergeCell ref="F484:K484"/>
    <mergeCell ref="B435:I435"/>
    <mergeCell ref="B436:I436"/>
    <mergeCell ref="B437:I437"/>
    <mergeCell ref="B439:E440"/>
    <mergeCell ref="C467:E467"/>
    <mergeCell ref="A481:E481"/>
    <mergeCell ref="A414:E414"/>
    <mergeCell ref="F414:K414"/>
    <mergeCell ref="A415:K415"/>
    <mergeCell ref="A416:K416"/>
    <mergeCell ref="A432:B432"/>
    <mergeCell ref="B434:I434"/>
    <mergeCell ref="A411:E411"/>
    <mergeCell ref="F411:K411"/>
    <mergeCell ref="A412:E412"/>
    <mergeCell ref="F412:K412"/>
    <mergeCell ref="A413:E413"/>
    <mergeCell ref="F413:K413"/>
    <mergeCell ref="B365:I365"/>
    <mergeCell ref="B367:E368"/>
    <mergeCell ref="C395:E395"/>
    <mergeCell ref="A409:E409"/>
    <mergeCell ref="A410:E410"/>
    <mergeCell ref="F410:K410"/>
    <mergeCell ref="A343:K343"/>
    <mergeCell ref="A344:K344"/>
    <mergeCell ref="A360:B360"/>
    <mergeCell ref="B362:I362"/>
    <mergeCell ref="B363:I363"/>
    <mergeCell ref="B364:I364"/>
    <mergeCell ref="A340:E340"/>
    <mergeCell ref="F340:K340"/>
    <mergeCell ref="A341:E341"/>
    <mergeCell ref="F341:K341"/>
    <mergeCell ref="A342:E342"/>
    <mergeCell ref="F342:K342"/>
    <mergeCell ref="C323:E323"/>
    <mergeCell ref="A337:E337"/>
    <mergeCell ref="A338:E338"/>
    <mergeCell ref="F338:K338"/>
    <mergeCell ref="A339:E339"/>
    <mergeCell ref="F339:K339"/>
    <mergeCell ref="A288:B288"/>
    <mergeCell ref="B290:I290"/>
    <mergeCell ref="B291:I291"/>
    <mergeCell ref="B292:I292"/>
    <mergeCell ref="B293:I293"/>
    <mergeCell ref="B295:E296"/>
    <mergeCell ref="A269:E269"/>
    <mergeCell ref="F269:K269"/>
    <mergeCell ref="A270:E270"/>
    <mergeCell ref="F270:K270"/>
    <mergeCell ref="A271:K271"/>
    <mergeCell ref="A272:K272"/>
    <mergeCell ref="A266:E266"/>
    <mergeCell ref="F266:K266"/>
    <mergeCell ref="A267:E267"/>
    <mergeCell ref="F267:K267"/>
    <mergeCell ref="A268:E268"/>
    <mergeCell ref="F268:K268"/>
    <mergeCell ref="B219:I219"/>
    <mergeCell ref="B220:I220"/>
    <mergeCell ref="B221:I221"/>
    <mergeCell ref="B223:E224"/>
    <mergeCell ref="C251:E251"/>
    <mergeCell ref="A265:E265"/>
    <mergeCell ref="A199:K199"/>
    <mergeCell ref="A200:K200"/>
    <mergeCell ref="A201:K201"/>
    <mergeCell ref="A202:K202"/>
    <mergeCell ref="A216:B216"/>
    <mergeCell ref="B218:I218"/>
    <mergeCell ref="A196:E196"/>
    <mergeCell ref="F196:K196"/>
    <mergeCell ref="A197:E197"/>
    <mergeCell ref="F197:K197"/>
    <mergeCell ref="A198:E198"/>
    <mergeCell ref="F198:K198"/>
    <mergeCell ref="C179:E179"/>
    <mergeCell ref="A193:E193"/>
    <mergeCell ref="A194:E194"/>
    <mergeCell ref="F194:K194"/>
    <mergeCell ref="A195:E195"/>
    <mergeCell ref="F195:K195"/>
    <mergeCell ref="A144:B144"/>
    <mergeCell ref="B146:I146"/>
    <mergeCell ref="B147:I147"/>
    <mergeCell ref="B148:I148"/>
    <mergeCell ref="B149:I149"/>
    <mergeCell ref="B151:E152"/>
    <mergeCell ref="A128:K128"/>
    <mergeCell ref="A129:K129"/>
    <mergeCell ref="A130:K130"/>
    <mergeCell ref="M130:N130"/>
    <mergeCell ref="A131:K131"/>
    <mergeCell ref="A132:K132"/>
    <mergeCell ref="A125:E125"/>
    <mergeCell ref="F125:K125"/>
    <mergeCell ref="A126:E126"/>
    <mergeCell ref="F126:K126"/>
    <mergeCell ref="A127:E127"/>
    <mergeCell ref="F127:K127"/>
    <mergeCell ref="C108:E108"/>
    <mergeCell ref="A122:E122"/>
    <mergeCell ref="A123:E123"/>
    <mergeCell ref="F123:K123"/>
    <mergeCell ref="A124:E124"/>
    <mergeCell ref="F124:K124"/>
    <mergeCell ref="A56:K56"/>
    <mergeCell ref="A73:B73"/>
    <mergeCell ref="B75:I75"/>
    <mergeCell ref="B76:I76"/>
    <mergeCell ref="B77:I77"/>
    <mergeCell ref="B78:I78"/>
    <mergeCell ref="A55:E55"/>
    <mergeCell ref="F55:K55"/>
    <mergeCell ref="C36:E36"/>
    <mergeCell ref="A50:E50"/>
    <mergeCell ref="A51:E51"/>
    <mergeCell ref="F51:K51"/>
    <mergeCell ref="A52:E52"/>
    <mergeCell ref="F52:K52"/>
    <mergeCell ref="B80:E81"/>
    <mergeCell ref="A1:B1"/>
    <mergeCell ref="B3:I3"/>
    <mergeCell ref="B4:I4"/>
    <mergeCell ref="B5:I5"/>
    <mergeCell ref="B6:I6"/>
    <mergeCell ref="B8:E9"/>
    <mergeCell ref="A53:E53"/>
    <mergeCell ref="F53:K53"/>
    <mergeCell ref="A54:E54"/>
    <mergeCell ref="F54:K54"/>
  </mergeCells>
  <pageMargins left="1.1811023622047245" right="0.43307086614173229" top="0.43307086614173229" bottom="0.51181102362204722" header="0.31496062992125984" footer="0.31496062992125984"/>
  <pageSetup paperSize="5" scale="95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911"/>
  <sheetViews>
    <sheetView showWhiteSpace="0" view="pageLayout" topLeftCell="A798" zoomScaleNormal="100" workbookViewId="0">
      <selection activeCell="L798" sqref="L798"/>
    </sheetView>
  </sheetViews>
  <sheetFormatPr defaultColWidth="9.140625" defaultRowHeight="14.25" x14ac:dyDescent="0.2"/>
  <cols>
    <col min="1" max="1" width="1" style="112" customWidth="1"/>
    <col min="2" max="2" width="2.28515625" style="112" customWidth="1"/>
    <col min="3" max="3" width="2.7109375" style="112" customWidth="1"/>
    <col min="4" max="4" width="1.85546875" style="112" customWidth="1"/>
    <col min="5" max="5" width="40.42578125" style="112" customWidth="1"/>
    <col min="6" max="6" width="1" style="112" customWidth="1"/>
    <col min="7" max="7" width="17.5703125" style="124" customWidth="1"/>
    <col min="8" max="8" width="1" style="124" customWidth="1"/>
    <col min="9" max="9" width="17.5703125" style="124" customWidth="1"/>
    <col min="10" max="10" width="9.140625" style="112" hidden="1" customWidth="1"/>
    <col min="11" max="11" width="1" style="112" customWidth="1"/>
    <col min="12" max="12" width="21.28515625" style="592" customWidth="1"/>
    <col min="13" max="13" width="18.42578125" style="112" customWidth="1"/>
    <col min="14" max="14" width="9.140625" style="112" customWidth="1"/>
    <col min="15" max="16384" width="9.140625" style="112"/>
  </cols>
  <sheetData>
    <row r="1" spans="1:11" x14ac:dyDescent="0.2">
      <c r="A1" s="728" t="s">
        <v>1043</v>
      </c>
      <c r="B1" s="728"/>
      <c r="C1" s="590" t="s">
        <v>41</v>
      </c>
      <c r="D1" s="124"/>
      <c r="E1" s="124"/>
      <c r="F1" s="124"/>
    </row>
    <row r="2" spans="1:11" x14ac:dyDescent="0.2">
      <c r="B2" s="124"/>
      <c r="C2" s="124"/>
      <c r="D2" s="124"/>
      <c r="E2" s="124"/>
      <c r="F2" s="124"/>
    </row>
    <row r="3" spans="1:11" ht="15" x14ac:dyDescent="0.25">
      <c r="A3" s="141"/>
      <c r="B3" s="762"/>
      <c r="C3" s="762"/>
      <c r="D3" s="762"/>
      <c r="E3" s="762"/>
      <c r="F3" s="762"/>
      <c r="G3" s="762"/>
      <c r="H3" s="762"/>
      <c r="I3" s="762"/>
      <c r="J3" s="591"/>
      <c r="K3" s="591"/>
    </row>
    <row r="4" spans="1:11" ht="15" x14ac:dyDescent="0.25">
      <c r="A4" s="125"/>
      <c r="B4" s="696" t="s">
        <v>650</v>
      </c>
      <c r="C4" s="696"/>
      <c r="D4" s="696"/>
      <c r="E4" s="696"/>
      <c r="F4" s="696"/>
      <c r="G4" s="696"/>
      <c r="H4" s="696"/>
      <c r="I4" s="696"/>
      <c r="J4" s="136"/>
      <c r="K4" s="136"/>
    </row>
    <row r="5" spans="1:11" ht="15" x14ac:dyDescent="0.25">
      <c r="A5" s="125"/>
      <c r="B5" s="696" t="s">
        <v>41</v>
      </c>
      <c r="C5" s="696"/>
      <c r="D5" s="696"/>
      <c r="E5" s="696"/>
      <c r="F5" s="696"/>
      <c r="G5" s="696"/>
      <c r="H5" s="696"/>
      <c r="I5" s="696"/>
      <c r="J5" s="136"/>
      <c r="K5" s="136"/>
    </row>
    <row r="6" spans="1:11" ht="15" x14ac:dyDescent="0.25">
      <c r="A6" s="125"/>
      <c r="B6" s="742" t="s">
        <v>1056</v>
      </c>
      <c r="C6" s="742"/>
      <c r="D6" s="742"/>
      <c r="E6" s="742"/>
      <c r="F6" s="742"/>
      <c r="G6" s="742"/>
      <c r="H6" s="742"/>
      <c r="I6" s="742"/>
      <c r="J6" s="136"/>
      <c r="K6" s="136"/>
    </row>
    <row r="7" spans="1:11" x14ac:dyDescent="0.2">
      <c r="A7" s="125"/>
      <c r="B7" s="124"/>
      <c r="C7" s="124"/>
      <c r="D7" s="124"/>
      <c r="E7" s="124"/>
      <c r="F7" s="124"/>
      <c r="J7" s="136"/>
      <c r="K7" s="136"/>
    </row>
    <row r="8" spans="1:11" x14ac:dyDescent="0.2">
      <c r="A8" s="125"/>
      <c r="B8" s="755" t="s">
        <v>30</v>
      </c>
      <c r="C8" s="756"/>
      <c r="D8" s="756"/>
      <c r="E8" s="757"/>
      <c r="F8" s="127"/>
      <c r="G8" s="201" t="s">
        <v>1051</v>
      </c>
      <c r="H8" s="127"/>
      <c r="I8" s="201" t="s">
        <v>861</v>
      </c>
      <c r="J8" s="136"/>
      <c r="K8" s="136"/>
    </row>
    <row r="9" spans="1:11" x14ac:dyDescent="0.2">
      <c r="A9" s="125"/>
      <c r="B9" s="758"/>
      <c r="C9" s="759"/>
      <c r="D9" s="759"/>
      <c r="E9" s="760"/>
      <c r="F9" s="127"/>
      <c r="G9" s="202" t="s">
        <v>40</v>
      </c>
      <c r="H9" s="127"/>
      <c r="I9" s="202" t="s">
        <v>40</v>
      </c>
      <c r="J9" s="136"/>
      <c r="K9" s="136"/>
    </row>
    <row r="10" spans="1:11" x14ac:dyDescent="0.2">
      <c r="A10" s="125"/>
      <c r="B10" s="203" t="s">
        <v>43</v>
      </c>
      <c r="C10" s="128"/>
      <c r="D10" s="124"/>
      <c r="E10" s="124"/>
      <c r="F10" s="124"/>
      <c r="G10" s="204"/>
      <c r="H10" s="204"/>
      <c r="I10" s="204"/>
      <c r="J10" s="136"/>
      <c r="K10" s="136"/>
    </row>
    <row r="11" spans="1:11" x14ac:dyDescent="0.2">
      <c r="A11" s="125"/>
      <c r="B11" s="6"/>
      <c r="C11" s="124" t="s">
        <v>42</v>
      </c>
      <c r="D11" s="124"/>
      <c r="E11" s="124"/>
      <c r="F11" s="124"/>
      <c r="G11" s="204"/>
      <c r="H11" s="204"/>
      <c r="I11" s="204"/>
      <c r="J11" s="136"/>
      <c r="K11" s="136"/>
    </row>
    <row r="12" spans="1:11" x14ac:dyDescent="0.2">
      <c r="A12" s="125"/>
      <c r="B12" s="6"/>
      <c r="C12" s="124"/>
      <c r="D12" s="124" t="s">
        <v>44</v>
      </c>
      <c r="E12" s="124"/>
      <c r="F12" s="124"/>
      <c r="G12" s="204">
        <f>I83</f>
        <v>0</v>
      </c>
      <c r="H12" s="204"/>
      <c r="I12" s="204">
        <v>0</v>
      </c>
      <c r="J12" s="136"/>
      <c r="K12" s="136"/>
    </row>
    <row r="13" spans="1:11" x14ac:dyDescent="0.2">
      <c r="A13" s="125"/>
      <c r="B13" s="6"/>
      <c r="C13" s="124"/>
      <c r="D13" s="124" t="s">
        <v>573</v>
      </c>
      <c r="E13" s="124"/>
      <c r="F13" s="124"/>
      <c r="G13" s="204">
        <f>I84</f>
        <v>0</v>
      </c>
      <c r="H13" s="204"/>
      <c r="I13" s="204">
        <v>0</v>
      </c>
      <c r="J13" s="136"/>
      <c r="K13" s="136"/>
    </row>
    <row r="14" spans="1:11" x14ac:dyDescent="0.2">
      <c r="A14" s="125"/>
      <c r="B14" s="6"/>
      <c r="C14" s="124"/>
      <c r="D14" s="124" t="s">
        <v>591</v>
      </c>
      <c r="E14" s="124"/>
      <c r="F14" s="124"/>
      <c r="G14" s="204">
        <f>I157</f>
        <v>0</v>
      </c>
      <c r="H14" s="204"/>
      <c r="I14" s="204"/>
      <c r="J14" s="136"/>
      <c r="K14" s="136"/>
    </row>
    <row r="15" spans="1:11" x14ac:dyDescent="0.2">
      <c r="A15" s="125"/>
      <c r="B15" s="6"/>
      <c r="C15" s="124"/>
      <c r="D15" s="124" t="s">
        <v>592</v>
      </c>
      <c r="E15" s="124"/>
      <c r="F15" s="124"/>
      <c r="G15" s="204">
        <f>I158</f>
        <v>0</v>
      </c>
      <c r="H15" s="204"/>
      <c r="I15" s="204"/>
      <c r="J15" s="136"/>
      <c r="K15" s="136"/>
    </row>
    <row r="16" spans="1:11" x14ac:dyDescent="0.2">
      <c r="A16" s="125"/>
      <c r="B16" s="6"/>
      <c r="C16" s="124"/>
      <c r="D16" s="124"/>
      <c r="E16" s="134" t="s">
        <v>51</v>
      </c>
      <c r="F16" s="124"/>
      <c r="G16" s="205">
        <f>SUM(G12:G15)</f>
        <v>0</v>
      </c>
      <c r="H16" s="204"/>
      <c r="I16" s="205">
        <f>SUM(I12:I15)</f>
        <v>0</v>
      </c>
      <c r="J16" s="136"/>
      <c r="K16" s="136"/>
    </row>
    <row r="17" spans="1:11" x14ac:dyDescent="0.2">
      <c r="A17" s="125"/>
      <c r="B17" s="6"/>
      <c r="C17" s="124"/>
      <c r="D17" s="124" t="s">
        <v>561</v>
      </c>
      <c r="E17" s="124"/>
      <c r="F17" s="124"/>
      <c r="G17" s="204"/>
      <c r="H17" s="204"/>
      <c r="I17" s="204"/>
      <c r="J17" s="136"/>
      <c r="K17" s="136"/>
    </row>
    <row r="18" spans="1:11" x14ac:dyDescent="0.2">
      <c r="A18" s="125"/>
      <c r="B18" s="6"/>
      <c r="C18" s="124"/>
      <c r="E18" s="206" t="s">
        <v>299</v>
      </c>
      <c r="F18" s="124"/>
      <c r="G18" s="204">
        <f>I89</f>
        <v>0</v>
      </c>
      <c r="H18" s="204"/>
      <c r="I18" s="204">
        <v>0</v>
      </c>
      <c r="J18" s="136"/>
      <c r="K18" s="136"/>
    </row>
    <row r="19" spans="1:11" x14ac:dyDescent="0.2">
      <c r="A19" s="125"/>
      <c r="B19" s="6"/>
      <c r="C19" s="124"/>
      <c r="D19" s="124"/>
      <c r="E19" s="206" t="s">
        <v>47</v>
      </c>
      <c r="F19" s="124"/>
      <c r="G19" s="204">
        <f>I162</f>
        <v>0</v>
      </c>
      <c r="H19" s="204"/>
      <c r="I19" s="204">
        <v>0</v>
      </c>
      <c r="J19" s="136"/>
      <c r="K19" s="136"/>
    </row>
    <row r="20" spans="1:11" x14ac:dyDescent="0.2">
      <c r="A20" s="125"/>
      <c r="B20" s="6"/>
      <c r="C20" s="124"/>
      <c r="D20" s="134"/>
      <c r="E20" s="207" t="s">
        <v>264</v>
      </c>
      <c r="F20" s="134"/>
      <c r="G20" s="204">
        <f>I163</f>
        <v>0</v>
      </c>
      <c r="H20" s="204"/>
      <c r="I20" s="204">
        <v>0</v>
      </c>
      <c r="J20" s="136"/>
      <c r="K20" s="136"/>
    </row>
    <row r="21" spans="1:11" x14ac:dyDescent="0.2">
      <c r="A21" s="125"/>
      <c r="B21" s="6"/>
      <c r="C21" s="124"/>
      <c r="D21" s="124"/>
      <c r="E21" s="206" t="s">
        <v>49</v>
      </c>
      <c r="F21" s="124"/>
      <c r="G21" s="204">
        <f>I92</f>
        <v>0</v>
      </c>
      <c r="H21" s="204"/>
      <c r="I21" s="204">
        <v>0</v>
      </c>
      <c r="J21" s="136"/>
      <c r="K21" s="136"/>
    </row>
    <row r="22" spans="1:11" x14ac:dyDescent="0.2">
      <c r="A22" s="125"/>
      <c r="B22" s="6"/>
      <c r="C22" s="124"/>
      <c r="D22" s="134"/>
      <c r="E22" s="207" t="s">
        <v>45</v>
      </c>
      <c r="F22" s="134"/>
      <c r="G22" s="204">
        <f>I93</f>
        <v>0</v>
      </c>
      <c r="H22" s="204"/>
      <c r="I22" s="204">
        <v>0</v>
      </c>
      <c r="J22" s="136"/>
      <c r="K22" s="136"/>
    </row>
    <row r="23" spans="1:11" x14ac:dyDescent="0.2">
      <c r="A23" s="125"/>
      <c r="B23" s="134"/>
      <c r="C23" s="128"/>
      <c r="D23" s="124"/>
      <c r="E23" s="206" t="s">
        <v>50</v>
      </c>
      <c r="F23" s="124"/>
      <c r="G23" s="204">
        <f>I166</f>
        <v>0</v>
      </c>
      <c r="H23" s="204"/>
      <c r="I23" s="204">
        <v>0</v>
      </c>
      <c r="J23" s="136"/>
      <c r="K23" s="136"/>
    </row>
    <row r="24" spans="1:11" x14ac:dyDescent="0.2">
      <c r="A24" s="125"/>
      <c r="B24" s="6"/>
      <c r="C24" s="124"/>
      <c r="D24" s="208"/>
      <c r="E24" s="127" t="s">
        <v>52</v>
      </c>
      <c r="F24" s="208"/>
      <c r="G24" s="205">
        <f>SUM(G18:G23)</f>
        <v>0</v>
      </c>
      <c r="H24" s="204"/>
      <c r="I24" s="205">
        <f>SUM(I18:I23)</f>
        <v>0</v>
      </c>
      <c r="J24" s="136"/>
      <c r="K24" s="136"/>
    </row>
    <row r="25" spans="1:11" x14ac:dyDescent="0.2">
      <c r="A25" s="125"/>
      <c r="B25" s="6"/>
      <c r="C25" s="124"/>
      <c r="D25" s="124"/>
      <c r="E25" s="124"/>
      <c r="F25" s="124"/>
      <c r="G25" s="204"/>
      <c r="H25" s="204"/>
      <c r="I25" s="204"/>
      <c r="J25" s="136"/>
      <c r="K25" s="136"/>
    </row>
    <row r="26" spans="1:11" ht="15" thickBot="1" x14ac:dyDescent="0.25">
      <c r="A26" s="125"/>
      <c r="B26" s="6"/>
      <c r="C26" s="710" t="s">
        <v>66</v>
      </c>
      <c r="D26" s="710"/>
      <c r="E26" s="710"/>
      <c r="F26" s="124"/>
      <c r="G26" s="209">
        <f>G24+G16</f>
        <v>0</v>
      </c>
      <c r="H26" s="204"/>
      <c r="I26" s="209">
        <f>I24+I16</f>
        <v>0</v>
      </c>
      <c r="K26" s="136"/>
    </row>
    <row r="27" spans="1:11" ht="15" thickTop="1" x14ac:dyDescent="0.2">
      <c r="A27" s="125"/>
      <c r="B27" s="6"/>
      <c r="C27" s="124" t="s">
        <v>53</v>
      </c>
      <c r="D27" s="124"/>
      <c r="E27" s="124"/>
      <c r="F27" s="124"/>
      <c r="G27" s="204"/>
      <c r="H27" s="204"/>
      <c r="I27" s="204"/>
      <c r="J27" s="136"/>
      <c r="K27" s="136"/>
    </row>
    <row r="28" spans="1:11" x14ac:dyDescent="0.2">
      <c r="A28" s="125"/>
      <c r="B28" s="6"/>
      <c r="C28" s="151"/>
      <c r="D28" s="151" t="s">
        <v>54</v>
      </c>
      <c r="E28" s="134"/>
      <c r="F28" s="134"/>
      <c r="G28" s="204">
        <f>I99</f>
        <v>0</v>
      </c>
      <c r="H28" s="204"/>
      <c r="I28" s="204">
        <v>0</v>
      </c>
      <c r="J28" s="136"/>
      <c r="K28" s="136"/>
    </row>
    <row r="29" spans="1:11" x14ac:dyDescent="0.2">
      <c r="A29" s="125"/>
      <c r="B29" s="134"/>
      <c r="C29" s="128"/>
      <c r="D29" s="124" t="s">
        <v>108</v>
      </c>
      <c r="E29" s="124"/>
      <c r="F29" s="124"/>
      <c r="G29" s="204">
        <f>I100</f>
        <v>0</v>
      </c>
      <c r="H29" s="204"/>
      <c r="I29" s="204">
        <v>0</v>
      </c>
      <c r="J29" s="136"/>
      <c r="K29" s="136"/>
    </row>
    <row r="30" spans="1:11" x14ac:dyDescent="0.2">
      <c r="A30" s="125"/>
      <c r="B30" s="6"/>
      <c r="C30" s="124"/>
      <c r="D30" s="151" t="s">
        <v>1047</v>
      </c>
      <c r="E30" s="151"/>
      <c r="F30" s="151"/>
      <c r="G30" s="204">
        <f>I172</f>
        <v>0</v>
      </c>
      <c r="H30" s="204"/>
      <c r="I30" s="204">
        <v>0</v>
      </c>
      <c r="J30" s="136"/>
      <c r="K30" s="136"/>
    </row>
    <row r="31" spans="1:11" ht="15" thickBot="1" x14ac:dyDescent="0.25">
      <c r="A31" s="125"/>
      <c r="B31" s="6"/>
      <c r="C31" s="694" t="s">
        <v>65</v>
      </c>
      <c r="D31" s="694"/>
      <c r="E31" s="694"/>
      <c r="F31" s="124"/>
      <c r="G31" s="209">
        <f>SUM(G28:G30)</f>
        <v>0</v>
      </c>
      <c r="H31" s="210"/>
      <c r="I31" s="209">
        <f>SUM(I28:I30)</f>
        <v>0</v>
      </c>
      <c r="J31" s="136"/>
      <c r="K31" s="136"/>
    </row>
    <row r="32" spans="1:11" ht="15" thickTop="1" x14ac:dyDescent="0.2">
      <c r="A32" s="125"/>
      <c r="B32" s="6"/>
      <c r="C32" s="124"/>
      <c r="D32" s="124"/>
      <c r="E32" s="124"/>
      <c r="F32" s="124"/>
      <c r="G32" s="210"/>
      <c r="H32" s="210"/>
      <c r="I32" s="210"/>
      <c r="J32" s="136"/>
      <c r="K32" s="136"/>
    </row>
    <row r="33" spans="1:11" x14ac:dyDescent="0.2">
      <c r="A33" s="125"/>
      <c r="B33" s="764" t="s">
        <v>55</v>
      </c>
      <c r="C33" s="764"/>
      <c r="D33" s="764"/>
      <c r="E33" s="764"/>
      <c r="F33" s="134"/>
      <c r="G33" s="211">
        <f>G31+G26</f>
        <v>0</v>
      </c>
      <c r="H33" s="204"/>
      <c r="I33" s="211">
        <f>I31+I26</f>
        <v>0</v>
      </c>
      <c r="J33" s="136"/>
      <c r="K33" s="136"/>
    </row>
    <row r="34" spans="1:11" x14ac:dyDescent="0.2">
      <c r="A34" s="125"/>
      <c r="B34" s="203" t="s">
        <v>56</v>
      </c>
      <c r="C34" s="124"/>
      <c r="D34" s="124"/>
      <c r="E34" s="124"/>
      <c r="F34" s="124"/>
      <c r="G34" s="204"/>
      <c r="H34" s="204"/>
      <c r="I34" s="204"/>
      <c r="J34" s="136"/>
      <c r="K34" s="136"/>
    </row>
    <row r="35" spans="1:11" x14ac:dyDescent="0.2">
      <c r="A35" s="125"/>
      <c r="B35" s="6"/>
      <c r="C35" s="124" t="s">
        <v>57</v>
      </c>
      <c r="D35" s="134"/>
      <c r="E35" s="134"/>
      <c r="F35" s="134"/>
      <c r="G35" s="204"/>
      <c r="H35" s="204"/>
      <c r="I35" s="204"/>
      <c r="J35" s="136"/>
      <c r="K35" s="136"/>
    </row>
    <row r="36" spans="1:11" x14ac:dyDescent="0.2">
      <c r="A36" s="125"/>
      <c r="B36" s="134"/>
      <c r="C36" s="128"/>
      <c r="D36" s="124" t="s">
        <v>58</v>
      </c>
      <c r="E36" s="124"/>
      <c r="F36" s="124"/>
      <c r="G36" s="204">
        <f>I107</f>
        <v>0</v>
      </c>
      <c r="H36" s="204"/>
      <c r="I36" s="204">
        <v>0</v>
      </c>
      <c r="J36" s="136"/>
      <c r="K36" s="136"/>
    </row>
    <row r="37" spans="1:11" x14ac:dyDescent="0.2">
      <c r="A37" s="125"/>
      <c r="B37" s="6"/>
      <c r="C37" s="124"/>
      <c r="D37" s="151" t="s">
        <v>59</v>
      </c>
      <c r="E37" s="151"/>
      <c r="F37" s="151"/>
      <c r="G37" s="204">
        <f>I108</f>
        <v>0</v>
      </c>
      <c r="H37" s="204"/>
      <c r="I37" s="204">
        <v>0</v>
      </c>
      <c r="J37" s="136"/>
      <c r="K37" s="136"/>
    </row>
    <row r="38" spans="1:11" x14ac:dyDescent="0.2">
      <c r="A38" s="125"/>
      <c r="B38" s="6"/>
      <c r="C38" s="124"/>
      <c r="D38" s="124" t="s">
        <v>60</v>
      </c>
      <c r="E38" s="124"/>
      <c r="F38" s="124"/>
      <c r="G38" s="204">
        <f>I109</f>
        <v>0</v>
      </c>
      <c r="H38" s="204"/>
      <c r="I38" s="204">
        <v>0</v>
      </c>
      <c r="J38" s="136"/>
      <c r="K38" s="136"/>
    </row>
    <row r="39" spans="1:11" ht="15" thickBot="1" x14ac:dyDescent="0.25">
      <c r="A39" s="125"/>
      <c r="B39" s="6"/>
      <c r="C39" s="694" t="s">
        <v>63</v>
      </c>
      <c r="D39" s="694"/>
      <c r="E39" s="694"/>
      <c r="F39" s="124"/>
      <c r="G39" s="604">
        <f>SUM(G36:G38)</f>
        <v>0</v>
      </c>
      <c r="H39" s="204"/>
      <c r="I39" s="213">
        <f>SUM(I36:I38)</f>
        <v>0</v>
      </c>
      <c r="J39" s="136"/>
      <c r="K39" s="136"/>
    </row>
    <row r="40" spans="1:11" ht="15" thickTop="1" x14ac:dyDescent="0.2">
      <c r="A40" s="125"/>
      <c r="B40" s="6"/>
      <c r="C40" s="124" t="s">
        <v>61</v>
      </c>
      <c r="D40" s="124"/>
      <c r="E40" s="124"/>
      <c r="F40" s="124"/>
      <c r="G40" s="605"/>
      <c r="H40" s="204"/>
      <c r="I40" s="204"/>
      <c r="J40" s="136"/>
      <c r="K40" s="136"/>
    </row>
    <row r="41" spans="1:11" x14ac:dyDescent="0.2">
      <c r="A41" s="125"/>
      <c r="B41" s="6"/>
      <c r="C41" s="124"/>
      <c r="D41" s="124" t="s">
        <v>281</v>
      </c>
      <c r="E41" s="124"/>
      <c r="F41" s="124"/>
      <c r="G41" s="204">
        <f>I112</f>
        <v>0</v>
      </c>
      <c r="H41" s="204"/>
      <c r="I41" s="204">
        <v>0</v>
      </c>
      <c r="J41" s="136"/>
      <c r="K41" s="136"/>
    </row>
    <row r="42" spans="1:11" x14ac:dyDescent="0.2">
      <c r="A42" s="125"/>
      <c r="B42" s="6"/>
      <c r="C42" s="124"/>
      <c r="D42" s="124" t="s">
        <v>294</v>
      </c>
      <c r="E42" s="124"/>
      <c r="F42" s="124"/>
      <c r="G42" s="204">
        <f>I184</f>
        <v>0</v>
      </c>
      <c r="H42" s="204"/>
      <c r="I42" s="204">
        <v>0</v>
      </c>
      <c r="J42" s="136"/>
      <c r="K42" s="136"/>
    </row>
    <row r="43" spans="1:11" x14ac:dyDescent="0.2">
      <c r="A43" s="125"/>
      <c r="B43" s="6"/>
      <c r="C43" s="124"/>
      <c r="D43" s="124" t="s">
        <v>62</v>
      </c>
      <c r="E43" s="124"/>
      <c r="F43" s="124"/>
      <c r="G43" s="204">
        <f>I114</f>
        <v>0</v>
      </c>
      <c r="H43" s="204"/>
      <c r="I43" s="204">
        <v>0</v>
      </c>
      <c r="J43" s="136"/>
      <c r="K43" s="136"/>
    </row>
    <row r="44" spans="1:11" ht="15" thickBot="1" x14ac:dyDescent="0.25">
      <c r="A44" s="125"/>
      <c r="B44" s="6"/>
      <c r="C44" s="694" t="s">
        <v>64</v>
      </c>
      <c r="D44" s="694"/>
      <c r="E44" s="694"/>
      <c r="F44" s="134"/>
      <c r="G44" s="606">
        <f>SUM(G41:G43)</f>
        <v>0</v>
      </c>
      <c r="H44" s="204"/>
      <c r="I44" s="215">
        <f>SUM(I41:I43)</f>
        <v>0</v>
      </c>
      <c r="J44" s="136"/>
      <c r="K44" s="136"/>
    </row>
    <row r="45" spans="1:11" ht="15" thickTop="1" x14ac:dyDescent="0.2">
      <c r="A45" s="125"/>
      <c r="B45" s="6"/>
      <c r="C45" s="124"/>
      <c r="D45" s="124"/>
      <c r="E45" s="124"/>
      <c r="F45" s="124"/>
      <c r="G45" s="204"/>
      <c r="H45" s="204"/>
      <c r="I45" s="204"/>
      <c r="J45" s="136"/>
      <c r="K45" s="136"/>
    </row>
    <row r="46" spans="1:11" x14ac:dyDescent="0.2">
      <c r="A46" s="125"/>
      <c r="B46" s="764" t="s">
        <v>67</v>
      </c>
      <c r="C46" s="764"/>
      <c r="D46" s="764"/>
      <c r="E46" s="764"/>
      <c r="F46" s="134"/>
      <c r="G46" s="211">
        <f>G39+G44</f>
        <v>0</v>
      </c>
      <c r="H46" s="204"/>
      <c r="I46" s="211">
        <f>I44+I39</f>
        <v>0</v>
      </c>
      <c r="J46" s="136"/>
      <c r="K46" s="136"/>
    </row>
    <row r="47" spans="1:11" x14ac:dyDescent="0.2">
      <c r="A47" s="125"/>
      <c r="B47" s="124" t="s">
        <v>68</v>
      </c>
      <c r="C47" s="124"/>
      <c r="D47" s="124"/>
      <c r="E47" s="124"/>
      <c r="F47" s="124"/>
      <c r="G47" s="204">
        <f>G33-G46</f>
        <v>0</v>
      </c>
      <c r="H47" s="204"/>
      <c r="I47" s="204">
        <f>I33-I46</f>
        <v>0</v>
      </c>
      <c r="J47" s="136"/>
      <c r="K47" s="136"/>
    </row>
    <row r="48" spans="1:11" ht="15" thickBot="1" x14ac:dyDescent="0.25">
      <c r="A48" s="125"/>
      <c r="B48" s="124" t="s">
        <v>69</v>
      </c>
      <c r="C48" s="130"/>
      <c r="D48" s="130"/>
      <c r="E48" s="127"/>
      <c r="F48" s="127"/>
      <c r="G48" s="216">
        <v>0</v>
      </c>
      <c r="H48" s="216"/>
      <c r="I48" s="216">
        <v>1312251856</v>
      </c>
      <c r="J48" s="136"/>
      <c r="K48" s="136"/>
    </row>
    <row r="49" spans="1:11" ht="23.25" customHeight="1" thickBot="1" x14ac:dyDescent="0.25">
      <c r="A49" s="125"/>
      <c r="B49" s="765" t="s">
        <v>70</v>
      </c>
      <c r="C49" s="766"/>
      <c r="D49" s="766"/>
      <c r="E49" s="767"/>
      <c r="F49" s="142"/>
      <c r="G49" s="217">
        <f>G48+G47</f>
        <v>0</v>
      </c>
      <c r="H49" s="216"/>
      <c r="I49" s="217">
        <f>SUM(I47:I48)</f>
        <v>1312251856</v>
      </c>
      <c r="J49" s="136"/>
      <c r="K49" s="136"/>
    </row>
    <row r="50" spans="1:11" x14ac:dyDescent="0.2">
      <c r="A50" s="120"/>
      <c r="B50" s="119"/>
      <c r="C50" s="119"/>
      <c r="D50" s="119"/>
      <c r="E50" s="119"/>
      <c r="F50" s="119"/>
      <c r="G50" s="218"/>
      <c r="H50" s="218"/>
      <c r="I50" s="218"/>
      <c r="J50" s="594"/>
      <c r="K50" s="594"/>
    </row>
    <row r="51" spans="1:11" x14ac:dyDescent="0.2">
      <c r="A51" s="761"/>
      <c r="B51" s="761"/>
      <c r="C51" s="761"/>
      <c r="D51" s="761"/>
      <c r="E51" s="761"/>
      <c r="F51" s="124"/>
      <c r="G51" s="686">
        <f>'Neraca '!H922</f>
        <v>0</v>
      </c>
      <c r="H51" s="686"/>
      <c r="I51" s="686">
        <f>'Neraca '!J922</f>
        <v>0</v>
      </c>
    </row>
    <row r="52" spans="1:11" x14ac:dyDescent="0.2">
      <c r="A52" s="697" t="s">
        <v>579</v>
      </c>
      <c r="B52" s="697"/>
      <c r="C52" s="697"/>
      <c r="D52" s="697"/>
      <c r="E52" s="697"/>
      <c r="F52" s="697" t="s">
        <v>1062</v>
      </c>
      <c r="G52" s="697"/>
      <c r="H52" s="697"/>
      <c r="I52" s="697"/>
      <c r="J52" s="697"/>
      <c r="K52" s="697"/>
    </row>
    <row r="53" spans="1:11" x14ac:dyDescent="0.2">
      <c r="A53" s="697" t="s">
        <v>678</v>
      </c>
      <c r="B53" s="697"/>
      <c r="C53" s="697"/>
      <c r="D53" s="697"/>
      <c r="E53" s="697"/>
      <c r="F53" s="697" t="s">
        <v>681</v>
      </c>
      <c r="G53" s="697"/>
      <c r="H53" s="697"/>
      <c r="I53" s="697"/>
      <c r="J53" s="697"/>
      <c r="K53" s="697"/>
    </row>
    <row r="54" spans="1:11" x14ac:dyDescent="0.2">
      <c r="A54" s="697"/>
      <c r="B54" s="697"/>
      <c r="C54" s="697"/>
      <c r="D54" s="697"/>
      <c r="E54" s="697"/>
      <c r="F54" s="697"/>
      <c r="G54" s="697"/>
      <c r="H54" s="697"/>
      <c r="I54" s="697"/>
      <c r="J54" s="697"/>
      <c r="K54" s="697"/>
    </row>
    <row r="55" spans="1:11" x14ac:dyDescent="0.2">
      <c r="A55" s="697"/>
      <c r="B55" s="697"/>
      <c r="C55" s="697"/>
      <c r="D55" s="697"/>
      <c r="E55" s="697"/>
      <c r="F55" s="697"/>
      <c r="G55" s="697"/>
      <c r="H55" s="697"/>
      <c r="I55" s="697"/>
      <c r="J55" s="697"/>
      <c r="K55" s="697"/>
    </row>
    <row r="56" spans="1:11" x14ac:dyDescent="0.2">
      <c r="A56" s="697" t="s">
        <v>1038</v>
      </c>
      <c r="B56" s="697"/>
      <c r="C56" s="697"/>
      <c r="D56" s="697"/>
      <c r="E56" s="697"/>
      <c r="F56" s="697" t="s">
        <v>1039</v>
      </c>
      <c r="G56" s="697"/>
      <c r="H56" s="697"/>
      <c r="I56" s="697"/>
      <c r="J56" s="697"/>
      <c r="K56" s="697"/>
    </row>
    <row r="57" spans="1:11" x14ac:dyDescent="0.2">
      <c r="A57" s="697"/>
      <c r="B57" s="697"/>
      <c r="C57" s="697"/>
      <c r="D57" s="697"/>
      <c r="E57" s="697"/>
      <c r="F57" s="697"/>
      <c r="G57" s="697"/>
      <c r="H57" s="697"/>
      <c r="I57" s="697"/>
      <c r="J57" s="697"/>
      <c r="K57" s="697"/>
    </row>
    <row r="72" spans="1:11" x14ac:dyDescent="0.2">
      <c r="A72" s="783" t="s">
        <v>1043</v>
      </c>
      <c r="B72" s="728"/>
      <c r="C72" s="590" t="s">
        <v>41</v>
      </c>
      <c r="D72" s="124"/>
      <c r="E72" s="124"/>
      <c r="F72" s="124"/>
    </row>
    <row r="73" spans="1:11" x14ac:dyDescent="0.2">
      <c r="B73" s="124"/>
      <c r="C73" s="124"/>
      <c r="D73" s="124"/>
      <c r="E73" s="124"/>
      <c r="F73" s="124"/>
    </row>
    <row r="74" spans="1:11" ht="6.75" customHeight="1" x14ac:dyDescent="0.25">
      <c r="A74" s="141"/>
      <c r="B74" s="762"/>
      <c r="C74" s="762"/>
      <c r="D74" s="762"/>
      <c r="E74" s="762"/>
      <c r="F74" s="762"/>
      <c r="G74" s="762"/>
      <c r="H74" s="762"/>
      <c r="I74" s="762"/>
      <c r="J74" s="591"/>
      <c r="K74" s="591"/>
    </row>
    <row r="75" spans="1:11" ht="17.25" customHeight="1" x14ac:dyDescent="0.25">
      <c r="A75" s="125"/>
      <c r="B75" s="696" t="s">
        <v>650</v>
      </c>
      <c r="C75" s="696"/>
      <c r="D75" s="696"/>
      <c r="E75" s="696"/>
      <c r="F75" s="696"/>
      <c r="G75" s="696"/>
      <c r="H75" s="696"/>
      <c r="I75" s="696"/>
      <c r="J75" s="136"/>
      <c r="K75" s="136"/>
    </row>
    <row r="76" spans="1:11" ht="20.25" customHeight="1" x14ac:dyDescent="0.25">
      <c r="A76" s="125"/>
      <c r="B76" s="696" t="s">
        <v>41</v>
      </c>
      <c r="C76" s="696"/>
      <c r="D76" s="696"/>
      <c r="E76" s="696"/>
      <c r="F76" s="696"/>
      <c r="G76" s="696"/>
      <c r="H76" s="696"/>
      <c r="I76" s="696"/>
      <c r="J76" s="136"/>
      <c r="K76" s="136"/>
    </row>
    <row r="77" spans="1:11" ht="19.5" customHeight="1" x14ac:dyDescent="0.25">
      <c r="A77" s="125"/>
      <c r="B77" s="742" t="s">
        <v>1056</v>
      </c>
      <c r="C77" s="742"/>
      <c r="D77" s="742"/>
      <c r="E77" s="742"/>
      <c r="F77" s="742"/>
      <c r="G77" s="742"/>
      <c r="H77" s="742"/>
      <c r="I77" s="742"/>
      <c r="J77" s="136"/>
      <c r="K77" s="136"/>
    </row>
    <row r="78" spans="1:11" ht="9" customHeight="1" x14ac:dyDescent="0.2">
      <c r="A78" s="125"/>
      <c r="B78" s="124"/>
      <c r="C78" s="124"/>
      <c r="D78" s="124"/>
      <c r="E78" s="124"/>
      <c r="F78" s="124"/>
      <c r="J78" s="136"/>
      <c r="K78" s="136"/>
    </row>
    <row r="79" spans="1:11" ht="12" customHeight="1" x14ac:dyDescent="0.2">
      <c r="A79" s="125"/>
      <c r="B79" s="755" t="s">
        <v>30</v>
      </c>
      <c r="C79" s="756"/>
      <c r="D79" s="756"/>
      <c r="E79" s="757"/>
      <c r="F79" s="127"/>
      <c r="G79" s="201" t="s">
        <v>37</v>
      </c>
      <c r="H79" s="127"/>
      <c r="I79" s="201" t="s">
        <v>39</v>
      </c>
      <c r="J79" s="136"/>
      <c r="K79" s="136"/>
    </row>
    <row r="80" spans="1:11" ht="12" customHeight="1" x14ac:dyDescent="0.2">
      <c r="A80" s="125"/>
      <c r="B80" s="758"/>
      <c r="C80" s="759"/>
      <c r="D80" s="759"/>
      <c r="E80" s="760"/>
      <c r="F80" s="127"/>
      <c r="G80" s="202" t="s">
        <v>40</v>
      </c>
      <c r="H80" s="127"/>
      <c r="I80" s="202" t="s">
        <v>40</v>
      </c>
      <c r="J80" s="136"/>
      <c r="K80" s="136"/>
    </row>
    <row r="81" spans="1:11" x14ac:dyDescent="0.2">
      <c r="A81" s="125"/>
      <c r="B81" s="203" t="s">
        <v>43</v>
      </c>
      <c r="C81" s="128"/>
      <c r="D81" s="124"/>
      <c r="E81" s="124"/>
      <c r="F81" s="124"/>
      <c r="G81" s="204"/>
      <c r="H81" s="204"/>
      <c r="I81" s="204"/>
      <c r="J81" s="136"/>
      <c r="K81" s="136"/>
    </row>
    <row r="82" spans="1:11" x14ac:dyDescent="0.2">
      <c r="A82" s="125"/>
      <c r="B82" s="6"/>
      <c r="C82" s="124" t="s">
        <v>42</v>
      </c>
      <c r="D82" s="124"/>
      <c r="E82" s="124"/>
      <c r="F82" s="124"/>
      <c r="G82" s="204"/>
      <c r="H82" s="204"/>
      <c r="I82" s="204"/>
      <c r="J82" s="136"/>
      <c r="K82" s="136"/>
    </row>
    <row r="83" spans="1:11" x14ac:dyDescent="0.2">
      <c r="A83" s="125"/>
      <c r="B83" s="6"/>
      <c r="C83" s="124"/>
      <c r="D83" s="124" t="s">
        <v>44</v>
      </c>
      <c r="E83" s="124"/>
      <c r="F83" s="124"/>
      <c r="G83" s="204">
        <v>0</v>
      </c>
      <c r="H83" s="204"/>
      <c r="I83" s="204">
        <f>G83</f>
        <v>0</v>
      </c>
      <c r="J83" s="136"/>
      <c r="K83" s="136"/>
    </row>
    <row r="84" spans="1:11" x14ac:dyDescent="0.2">
      <c r="A84" s="125"/>
      <c r="B84" s="6"/>
      <c r="C84" s="124"/>
      <c r="D84" s="124" t="s">
        <v>573</v>
      </c>
      <c r="E84" s="124"/>
      <c r="F84" s="124"/>
      <c r="G84" s="204">
        <v>0</v>
      </c>
      <c r="H84" s="204"/>
      <c r="I84" s="204">
        <f>G84</f>
        <v>0</v>
      </c>
      <c r="J84" s="136"/>
      <c r="K84" s="136"/>
    </row>
    <row r="85" spans="1:11" x14ac:dyDescent="0.2">
      <c r="A85" s="125"/>
      <c r="B85" s="6"/>
      <c r="C85" s="124"/>
      <c r="D85" s="124" t="s">
        <v>591</v>
      </c>
      <c r="E85" s="124"/>
      <c r="F85" s="124"/>
      <c r="G85" s="204">
        <v>0</v>
      </c>
      <c r="H85" s="204"/>
      <c r="I85" s="204">
        <f t="shared" ref="I85:I86" si="0">G85</f>
        <v>0</v>
      </c>
      <c r="J85" s="136"/>
      <c r="K85" s="136"/>
    </row>
    <row r="86" spans="1:11" x14ac:dyDescent="0.2">
      <c r="A86" s="125"/>
      <c r="B86" s="6"/>
      <c r="C86" s="124"/>
      <c r="D86" s="124" t="s">
        <v>592</v>
      </c>
      <c r="E86" s="124"/>
      <c r="F86" s="124"/>
      <c r="G86" s="204">
        <f>[4]JU!$E$14</f>
        <v>0</v>
      </c>
      <c r="H86" s="204"/>
      <c r="I86" s="204">
        <f t="shared" si="0"/>
        <v>0</v>
      </c>
      <c r="J86" s="136"/>
      <c r="K86" s="136"/>
    </row>
    <row r="87" spans="1:11" x14ac:dyDescent="0.2">
      <c r="A87" s="125"/>
      <c r="B87" s="6"/>
      <c r="C87" s="124"/>
      <c r="D87" s="124"/>
      <c r="E87" s="134" t="s">
        <v>51</v>
      </c>
      <c r="F87" s="124"/>
      <c r="G87" s="205">
        <f>SUM(G83:G86)</f>
        <v>0</v>
      </c>
      <c r="H87" s="204"/>
      <c r="I87" s="205">
        <f>SUM(I83:I86)</f>
        <v>0</v>
      </c>
      <c r="J87" s="136"/>
      <c r="K87" s="136"/>
    </row>
    <row r="88" spans="1:11" ht="11.25" customHeight="1" x14ac:dyDescent="0.2">
      <c r="A88" s="125"/>
      <c r="B88" s="6"/>
      <c r="C88" s="124"/>
      <c r="D88" s="124" t="s">
        <v>561</v>
      </c>
      <c r="E88" s="124"/>
      <c r="F88" s="124"/>
      <c r="G88" s="204"/>
      <c r="H88" s="204"/>
      <c r="I88" s="204"/>
      <c r="J88" s="136"/>
      <c r="K88" s="136"/>
    </row>
    <row r="89" spans="1:11" x14ac:dyDescent="0.2">
      <c r="A89" s="125"/>
      <c r="B89" s="6"/>
      <c r="C89" s="124"/>
      <c r="E89" s="206" t="s">
        <v>299</v>
      </c>
      <c r="F89" s="124"/>
      <c r="G89" s="204">
        <v>0</v>
      </c>
      <c r="H89" s="204"/>
      <c r="I89" s="204">
        <f>G89</f>
        <v>0</v>
      </c>
      <c r="J89" s="136"/>
      <c r="K89" s="136"/>
    </row>
    <row r="90" spans="1:11" x14ac:dyDescent="0.2">
      <c r="A90" s="125"/>
      <c r="B90" s="6"/>
      <c r="C90" s="124"/>
      <c r="D90" s="124"/>
      <c r="E90" s="206" t="s">
        <v>47</v>
      </c>
      <c r="F90" s="124"/>
      <c r="G90" s="204"/>
      <c r="H90" s="204"/>
      <c r="I90" s="204"/>
      <c r="J90" s="136"/>
      <c r="K90" s="136"/>
    </row>
    <row r="91" spans="1:11" x14ac:dyDescent="0.2">
      <c r="A91" s="125"/>
      <c r="B91" s="6"/>
      <c r="C91" s="124"/>
      <c r="D91" s="134"/>
      <c r="E91" s="207" t="s">
        <v>264</v>
      </c>
      <c r="F91" s="134"/>
      <c r="G91" s="204"/>
      <c r="H91" s="204"/>
      <c r="I91" s="204">
        <f>G91</f>
        <v>0</v>
      </c>
      <c r="J91" s="136"/>
      <c r="K91" s="136"/>
    </row>
    <row r="92" spans="1:11" x14ac:dyDescent="0.2">
      <c r="A92" s="125"/>
      <c r="B92" s="6"/>
      <c r="C92" s="124"/>
      <c r="D92" s="124"/>
      <c r="E92" s="206" t="s">
        <v>49</v>
      </c>
      <c r="F92" s="124"/>
      <c r="G92" s="204">
        <v>0</v>
      </c>
      <c r="H92" s="204"/>
      <c r="I92" s="204">
        <f>G92</f>
        <v>0</v>
      </c>
      <c r="J92" s="136"/>
      <c r="K92" s="136"/>
    </row>
    <row r="93" spans="1:11" x14ac:dyDescent="0.2">
      <c r="A93" s="125"/>
      <c r="B93" s="6"/>
      <c r="C93" s="124"/>
      <c r="D93" s="134"/>
      <c r="E93" s="207" t="s">
        <v>45</v>
      </c>
      <c r="F93" s="134"/>
      <c r="G93" s="204"/>
      <c r="H93" s="204"/>
      <c r="I93" s="204"/>
      <c r="J93" s="136"/>
      <c r="K93" s="136"/>
    </row>
    <row r="94" spans="1:11" x14ac:dyDescent="0.2">
      <c r="A94" s="125"/>
      <c r="B94" s="134"/>
      <c r="C94" s="128"/>
      <c r="D94" s="124"/>
      <c r="E94" s="206" t="s">
        <v>50</v>
      </c>
      <c r="F94" s="124"/>
      <c r="G94" s="204"/>
      <c r="H94" s="204"/>
      <c r="I94" s="204">
        <f>G94</f>
        <v>0</v>
      </c>
      <c r="J94" s="136"/>
      <c r="K94" s="136"/>
    </row>
    <row r="95" spans="1:11" x14ac:dyDescent="0.2">
      <c r="A95" s="125"/>
      <c r="B95" s="6"/>
      <c r="C95" s="124"/>
      <c r="D95" s="208"/>
      <c r="E95" s="127" t="s">
        <v>52</v>
      </c>
      <c r="F95" s="208"/>
      <c r="G95" s="205">
        <f>SUM(G89:G94)</f>
        <v>0</v>
      </c>
      <c r="H95" s="204"/>
      <c r="I95" s="205">
        <f>SUM(I89:I94)</f>
        <v>0</v>
      </c>
      <c r="J95" s="136"/>
      <c r="K95" s="136"/>
    </row>
    <row r="96" spans="1:11" ht="6.75" customHeight="1" x14ac:dyDescent="0.2">
      <c r="A96" s="125"/>
      <c r="B96" s="6"/>
      <c r="C96" s="124"/>
      <c r="D96" s="124"/>
      <c r="E96" s="124"/>
      <c r="F96" s="124"/>
      <c r="G96" s="204"/>
      <c r="H96" s="204"/>
      <c r="I96" s="204"/>
      <c r="J96" s="136"/>
      <c r="K96" s="136"/>
    </row>
    <row r="97" spans="1:11" ht="15" thickBot="1" x14ac:dyDescent="0.25">
      <c r="A97" s="125"/>
      <c r="B97" s="6"/>
      <c r="C97" s="710" t="s">
        <v>66</v>
      </c>
      <c r="D97" s="710"/>
      <c r="E97" s="710"/>
      <c r="F97" s="124"/>
      <c r="G97" s="209">
        <f>G95+G87</f>
        <v>0</v>
      </c>
      <c r="H97" s="204"/>
      <c r="I97" s="209">
        <f>I95+I87</f>
        <v>0</v>
      </c>
      <c r="K97" s="136"/>
    </row>
    <row r="98" spans="1:11" ht="15" thickTop="1" x14ac:dyDescent="0.2">
      <c r="A98" s="125"/>
      <c r="B98" s="6"/>
      <c r="C98" s="124" t="s">
        <v>53</v>
      </c>
      <c r="D98" s="124"/>
      <c r="E98" s="124"/>
      <c r="F98" s="124"/>
      <c r="G98" s="204"/>
      <c r="H98" s="204"/>
      <c r="I98" s="204"/>
      <c r="J98" s="136"/>
      <c r="K98" s="136"/>
    </row>
    <row r="99" spans="1:11" x14ac:dyDescent="0.2">
      <c r="A99" s="125"/>
      <c r="B99" s="6"/>
      <c r="C99" s="151"/>
      <c r="D99" s="151" t="s">
        <v>54</v>
      </c>
      <c r="E99" s="134"/>
      <c r="F99" s="134"/>
      <c r="G99" s="204">
        <v>0</v>
      </c>
      <c r="H99" s="204"/>
      <c r="I99" s="204">
        <f>G99</f>
        <v>0</v>
      </c>
      <c r="J99" s="136"/>
      <c r="K99" s="136"/>
    </row>
    <row r="100" spans="1:11" x14ac:dyDescent="0.2">
      <c r="A100" s="125"/>
      <c r="B100" s="134"/>
      <c r="C100" s="128"/>
      <c r="D100" s="124" t="s">
        <v>108</v>
      </c>
      <c r="E100" s="124"/>
      <c r="F100" s="124"/>
      <c r="G100" s="204"/>
      <c r="H100" s="204"/>
      <c r="I100" s="204">
        <f t="shared" ref="I100:I101" si="1">G100</f>
        <v>0</v>
      </c>
      <c r="J100" s="136"/>
      <c r="K100" s="136"/>
    </row>
    <row r="101" spans="1:11" x14ac:dyDescent="0.2">
      <c r="A101" s="125"/>
      <c r="B101" s="6"/>
      <c r="C101" s="124"/>
      <c r="D101" s="151" t="s">
        <v>1047</v>
      </c>
      <c r="E101" s="151"/>
      <c r="F101" s="151"/>
      <c r="G101" s="204"/>
      <c r="H101" s="204"/>
      <c r="I101" s="204">
        <f t="shared" si="1"/>
        <v>0</v>
      </c>
      <c r="J101" s="136"/>
      <c r="K101" s="136"/>
    </row>
    <row r="102" spans="1:11" ht="15" thickBot="1" x14ac:dyDescent="0.25">
      <c r="A102" s="125"/>
      <c r="B102" s="6"/>
      <c r="C102" s="694" t="s">
        <v>65</v>
      </c>
      <c r="D102" s="694"/>
      <c r="E102" s="694"/>
      <c r="F102" s="124"/>
      <c r="G102" s="209">
        <f>SUM(G99:G101)</f>
        <v>0</v>
      </c>
      <c r="H102" s="210"/>
      <c r="I102" s="209">
        <f>SUM(I99:I101)</f>
        <v>0</v>
      </c>
      <c r="J102" s="136"/>
      <c r="K102" s="136"/>
    </row>
    <row r="103" spans="1:11" ht="6" customHeight="1" thickTop="1" x14ac:dyDescent="0.2">
      <c r="A103" s="125"/>
      <c r="B103" s="6"/>
      <c r="C103" s="124"/>
      <c r="D103" s="124"/>
      <c r="E103" s="124"/>
      <c r="F103" s="124"/>
      <c r="G103" s="210"/>
      <c r="H103" s="210"/>
      <c r="I103" s="210"/>
      <c r="J103" s="136"/>
      <c r="K103" s="136"/>
    </row>
    <row r="104" spans="1:11" x14ac:dyDescent="0.2">
      <c r="A104" s="125"/>
      <c r="B104" s="764" t="s">
        <v>55</v>
      </c>
      <c r="C104" s="764"/>
      <c r="D104" s="764"/>
      <c r="E104" s="764"/>
      <c r="F104" s="134"/>
      <c r="G104" s="211">
        <f>G102+G97</f>
        <v>0</v>
      </c>
      <c r="H104" s="204"/>
      <c r="I104" s="211">
        <f>I102+I97</f>
        <v>0</v>
      </c>
      <c r="J104" s="136"/>
      <c r="K104" s="136"/>
    </row>
    <row r="105" spans="1:11" x14ac:dyDescent="0.2">
      <c r="A105" s="125"/>
      <c r="B105" s="203" t="s">
        <v>56</v>
      </c>
      <c r="C105" s="124"/>
      <c r="D105" s="124"/>
      <c r="E105" s="124"/>
      <c r="F105" s="124"/>
      <c r="G105" s="204"/>
      <c r="H105" s="204"/>
      <c r="I105" s="204"/>
      <c r="J105" s="136"/>
      <c r="K105" s="136"/>
    </row>
    <row r="106" spans="1:11" x14ac:dyDescent="0.2">
      <c r="A106" s="125"/>
      <c r="B106" s="6"/>
      <c r="C106" s="124" t="s">
        <v>57</v>
      </c>
      <c r="D106" s="134"/>
      <c r="E106" s="134"/>
      <c r="F106" s="134"/>
      <c r="G106" s="204"/>
      <c r="H106" s="204"/>
      <c r="I106" s="204"/>
      <c r="J106" s="136"/>
      <c r="K106" s="136"/>
    </row>
    <row r="107" spans="1:11" x14ac:dyDescent="0.2">
      <c r="A107" s="125"/>
      <c r="B107" s="134"/>
      <c r="C107" s="128"/>
      <c r="D107" s="124" t="s">
        <v>58</v>
      </c>
      <c r="E107" s="124"/>
      <c r="F107" s="124"/>
      <c r="G107" s="212">
        <v>0</v>
      </c>
      <c r="H107" s="204"/>
      <c r="I107" s="204">
        <f>G107</f>
        <v>0</v>
      </c>
      <c r="J107" s="136"/>
      <c r="K107" s="136"/>
    </row>
    <row r="108" spans="1:11" x14ac:dyDescent="0.2">
      <c r="A108" s="125"/>
      <c r="B108" s="6"/>
      <c r="C108" s="124"/>
      <c r="D108" s="151" t="s">
        <v>59</v>
      </c>
      <c r="E108" s="151"/>
      <c r="F108" s="151"/>
      <c r="G108" s="593">
        <v>0</v>
      </c>
      <c r="H108" s="204"/>
      <c r="I108" s="204">
        <f>G108</f>
        <v>0</v>
      </c>
      <c r="J108" s="136"/>
      <c r="K108" s="136"/>
    </row>
    <row r="109" spans="1:11" x14ac:dyDescent="0.2">
      <c r="A109" s="125"/>
      <c r="B109" s="6"/>
      <c r="C109" s="124"/>
      <c r="D109" s="124" t="s">
        <v>60</v>
      </c>
      <c r="E109" s="124"/>
      <c r="F109" s="124"/>
      <c r="G109" s="593">
        <v>0</v>
      </c>
      <c r="H109" s="204"/>
      <c r="I109" s="204">
        <f>G109</f>
        <v>0</v>
      </c>
      <c r="J109" s="136"/>
      <c r="K109" s="136"/>
    </row>
    <row r="110" spans="1:11" ht="15" thickBot="1" x14ac:dyDescent="0.25">
      <c r="A110" s="125"/>
      <c r="B110" s="6"/>
      <c r="C110" s="694" t="s">
        <v>63</v>
      </c>
      <c r="D110" s="694"/>
      <c r="E110" s="694"/>
      <c r="F110" s="124"/>
      <c r="G110" s="213">
        <f>SUM(G107:G109)</f>
        <v>0</v>
      </c>
      <c r="H110" s="204"/>
      <c r="I110" s="213">
        <f>SUM(I107:I109)</f>
        <v>0</v>
      </c>
      <c r="J110" s="136"/>
      <c r="K110" s="136"/>
    </row>
    <row r="111" spans="1:11" ht="15" thickTop="1" x14ac:dyDescent="0.2">
      <c r="A111" s="125"/>
      <c r="B111" s="6"/>
      <c r="C111" s="124" t="s">
        <v>61</v>
      </c>
      <c r="D111" s="124"/>
      <c r="E111" s="124"/>
      <c r="F111" s="124"/>
      <c r="G111" s="204"/>
      <c r="H111" s="204"/>
      <c r="I111" s="204"/>
      <c r="J111" s="136"/>
      <c r="K111" s="136"/>
    </row>
    <row r="112" spans="1:11" x14ac:dyDescent="0.2">
      <c r="A112" s="125"/>
      <c r="B112" s="6"/>
      <c r="C112" s="124"/>
      <c r="D112" s="124" t="s">
        <v>281</v>
      </c>
      <c r="E112" s="124"/>
      <c r="F112" s="124"/>
      <c r="G112" s="204">
        <v>0</v>
      </c>
      <c r="H112" s="204"/>
      <c r="I112" s="204">
        <f>G112</f>
        <v>0</v>
      </c>
      <c r="J112" s="136"/>
      <c r="K112" s="136"/>
    </row>
    <row r="113" spans="1:14" x14ac:dyDescent="0.2">
      <c r="A113" s="125"/>
      <c r="B113" s="6"/>
      <c r="C113" s="124"/>
      <c r="D113" s="124" t="s">
        <v>294</v>
      </c>
      <c r="E113" s="124"/>
      <c r="F113" s="124"/>
      <c r="G113" s="204"/>
      <c r="H113" s="204"/>
      <c r="I113" s="204">
        <f>G113</f>
        <v>0</v>
      </c>
      <c r="J113" s="136"/>
      <c r="K113" s="136"/>
    </row>
    <row r="114" spans="1:14" x14ac:dyDescent="0.2">
      <c r="A114" s="125"/>
      <c r="B114" s="6"/>
      <c r="C114" s="124"/>
      <c r="D114" s="124" t="s">
        <v>62</v>
      </c>
      <c r="E114" s="124"/>
      <c r="F114" s="124"/>
      <c r="G114" s="204">
        <v>0</v>
      </c>
      <c r="H114" s="204"/>
      <c r="I114" s="204">
        <f>G114</f>
        <v>0</v>
      </c>
      <c r="J114" s="136"/>
      <c r="K114" s="136"/>
    </row>
    <row r="115" spans="1:14" ht="15" thickBot="1" x14ac:dyDescent="0.25">
      <c r="A115" s="125"/>
      <c r="B115" s="6"/>
      <c r="C115" s="694" t="s">
        <v>64</v>
      </c>
      <c r="D115" s="694"/>
      <c r="E115" s="694"/>
      <c r="F115" s="134"/>
      <c r="G115" s="214">
        <f>SUM(G112:G114)</f>
        <v>0</v>
      </c>
      <c r="H115" s="204"/>
      <c r="I115" s="215">
        <f>SUM(I112:I114)</f>
        <v>0</v>
      </c>
      <c r="J115" s="136"/>
      <c r="K115" s="136"/>
    </row>
    <row r="116" spans="1:14" ht="6.75" customHeight="1" thickTop="1" x14ac:dyDescent="0.2">
      <c r="A116" s="125"/>
      <c r="B116" s="6"/>
      <c r="C116" s="124"/>
      <c r="D116" s="124"/>
      <c r="E116" s="124"/>
      <c r="F116" s="124"/>
      <c r="G116" s="204"/>
      <c r="H116" s="204"/>
      <c r="I116" s="204"/>
      <c r="J116" s="136"/>
      <c r="K116" s="136"/>
    </row>
    <row r="117" spans="1:14" x14ac:dyDescent="0.2">
      <c r="A117" s="125"/>
      <c r="B117" s="764" t="s">
        <v>67</v>
      </c>
      <c r="C117" s="764"/>
      <c r="D117" s="764"/>
      <c r="E117" s="764"/>
      <c r="F117" s="134"/>
      <c r="G117" s="211">
        <f>G110+G115</f>
        <v>0</v>
      </c>
      <c r="H117" s="204"/>
      <c r="I117" s="211">
        <f>I115+I110</f>
        <v>0</v>
      </c>
      <c r="J117" s="136"/>
      <c r="K117" s="136"/>
    </row>
    <row r="118" spans="1:14" x14ac:dyDescent="0.2">
      <c r="A118" s="125"/>
      <c r="B118" s="124" t="s">
        <v>68</v>
      </c>
      <c r="C118" s="124"/>
      <c r="D118" s="124"/>
      <c r="E118" s="124"/>
      <c r="F118" s="124"/>
      <c r="G118" s="204">
        <f>G104-G117</f>
        <v>0</v>
      </c>
      <c r="H118" s="204"/>
      <c r="I118" s="204">
        <f>G118</f>
        <v>0</v>
      </c>
      <c r="J118" s="136"/>
      <c r="K118" s="136"/>
    </row>
    <row r="119" spans="1:14" ht="15" customHeight="1" thickBot="1" x14ac:dyDescent="0.25">
      <c r="A119" s="125"/>
      <c r="B119" s="124" t="s">
        <v>69</v>
      </c>
      <c r="C119" s="130"/>
      <c r="D119" s="130"/>
      <c r="E119" s="127"/>
      <c r="F119" s="127"/>
      <c r="G119" s="216">
        <v>0</v>
      </c>
      <c r="H119" s="216"/>
      <c r="I119" s="216">
        <f>G119</f>
        <v>0</v>
      </c>
      <c r="J119" s="136"/>
      <c r="K119" s="136"/>
    </row>
    <row r="120" spans="1:14" ht="20.25" customHeight="1" thickBot="1" x14ac:dyDescent="0.25">
      <c r="A120" s="125"/>
      <c r="B120" s="765" t="s">
        <v>70</v>
      </c>
      <c r="C120" s="766"/>
      <c r="D120" s="766"/>
      <c r="E120" s="767"/>
      <c r="F120" s="142"/>
      <c r="G120" s="217">
        <f>G119+G118</f>
        <v>0</v>
      </c>
      <c r="H120" s="216"/>
      <c r="I120" s="217">
        <f>SUM(I118:I119)</f>
        <v>0</v>
      </c>
      <c r="J120" s="136"/>
      <c r="K120" s="136"/>
    </row>
    <row r="121" spans="1:14" x14ac:dyDescent="0.2">
      <c r="A121" s="120"/>
      <c r="B121" s="119"/>
      <c r="C121" s="119"/>
      <c r="D121" s="119"/>
      <c r="E121" s="119"/>
      <c r="F121" s="119"/>
      <c r="G121" s="218"/>
      <c r="H121" s="218"/>
      <c r="I121" s="218"/>
      <c r="J121" s="594"/>
      <c r="K121" s="594"/>
      <c r="L121" s="592">
        <f>G120-G122</f>
        <v>0</v>
      </c>
    </row>
    <row r="122" spans="1:14" x14ac:dyDescent="0.2">
      <c r="A122" s="761"/>
      <c r="B122" s="761"/>
      <c r="C122" s="761"/>
      <c r="D122" s="761"/>
      <c r="E122" s="761"/>
      <c r="F122" s="124"/>
      <c r="G122" s="686">
        <f>'ARUS KAS'!E44</f>
        <v>0</v>
      </c>
      <c r="H122" s="686"/>
      <c r="I122" s="686"/>
      <c r="L122" s="212"/>
      <c r="M122" s="219"/>
      <c r="N122" s="219"/>
    </row>
    <row r="123" spans="1:14" x14ac:dyDescent="0.2">
      <c r="A123" s="697" t="s">
        <v>579</v>
      </c>
      <c r="B123" s="697"/>
      <c r="C123" s="697"/>
      <c r="D123" s="697"/>
      <c r="E123" s="697"/>
      <c r="F123" s="697" t="s">
        <v>1062</v>
      </c>
      <c r="G123" s="697"/>
      <c r="H123" s="697"/>
      <c r="I123" s="697"/>
      <c r="J123" s="697"/>
      <c r="K123" s="697"/>
      <c r="L123" s="212"/>
      <c r="M123" s="200"/>
      <c r="N123" s="200"/>
    </row>
    <row r="124" spans="1:14" x14ac:dyDescent="0.2">
      <c r="A124" s="697" t="s">
        <v>678</v>
      </c>
      <c r="B124" s="697"/>
      <c r="C124" s="697"/>
      <c r="D124" s="697"/>
      <c r="E124" s="697"/>
      <c r="F124" s="697" t="s">
        <v>681</v>
      </c>
      <c r="G124" s="697"/>
      <c r="H124" s="697"/>
      <c r="I124" s="697"/>
      <c r="J124" s="697"/>
      <c r="K124" s="697"/>
      <c r="L124" s="212"/>
      <c r="M124" s="200"/>
      <c r="N124" s="200"/>
    </row>
    <row r="125" spans="1:14" x14ac:dyDescent="0.2">
      <c r="A125" s="697"/>
      <c r="B125" s="697"/>
      <c r="C125" s="697"/>
      <c r="D125" s="697"/>
      <c r="E125" s="697"/>
      <c r="F125" s="697"/>
      <c r="G125" s="697"/>
      <c r="H125" s="697"/>
      <c r="I125" s="697"/>
      <c r="J125" s="697"/>
      <c r="K125" s="697"/>
      <c r="L125" s="212"/>
      <c r="M125" s="200"/>
      <c r="N125" s="200"/>
    </row>
    <row r="126" spans="1:14" x14ac:dyDescent="0.2">
      <c r="A126" s="697"/>
      <c r="B126" s="697"/>
      <c r="C126" s="697"/>
      <c r="D126" s="697"/>
      <c r="E126" s="697"/>
      <c r="F126" s="697"/>
      <c r="G126" s="697"/>
      <c r="H126" s="697"/>
      <c r="I126" s="697"/>
      <c r="J126" s="697"/>
      <c r="K126" s="697"/>
      <c r="L126" s="212"/>
      <c r="M126" s="200"/>
      <c r="N126" s="200"/>
    </row>
    <row r="127" spans="1:14" x14ac:dyDescent="0.2">
      <c r="A127" s="697" t="s">
        <v>1038</v>
      </c>
      <c r="B127" s="697"/>
      <c r="C127" s="697"/>
      <c r="D127" s="697"/>
      <c r="E127" s="697"/>
      <c r="F127" s="697" t="s">
        <v>1039</v>
      </c>
      <c r="G127" s="697"/>
      <c r="H127" s="697"/>
      <c r="I127" s="697"/>
      <c r="J127" s="697"/>
      <c r="K127" s="697"/>
      <c r="L127" s="212"/>
      <c r="M127" s="200"/>
      <c r="N127" s="200"/>
    </row>
    <row r="128" spans="1:14" x14ac:dyDescent="0.2">
      <c r="A128" s="697"/>
      <c r="B128" s="697"/>
      <c r="C128" s="697"/>
      <c r="D128" s="697"/>
      <c r="E128" s="697"/>
      <c r="F128" s="697"/>
      <c r="G128" s="697"/>
      <c r="H128" s="697"/>
      <c r="I128" s="697"/>
      <c r="J128" s="697"/>
      <c r="K128" s="697"/>
      <c r="L128" s="212"/>
      <c r="M128" s="200"/>
      <c r="N128" s="200"/>
    </row>
    <row r="129" spans="1:14" x14ac:dyDescent="0.2">
      <c r="A129" s="697"/>
      <c r="B129" s="697"/>
      <c r="C129" s="697"/>
      <c r="D129" s="697"/>
      <c r="E129" s="697"/>
      <c r="F129" s="697"/>
      <c r="G129" s="697"/>
      <c r="H129" s="697"/>
      <c r="I129" s="697"/>
      <c r="J129" s="697"/>
      <c r="K129" s="697"/>
      <c r="L129" s="212"/>
      <c r="M129" s="200"/>
      <c r="N129" s="200"/>
    </row>
    <row r="130" spans="1:14" x14ac:dyDescent="0.2">
      <c r="A130" s="697"/>
      <c r="B130" s="697"/>
      <c r="C130" s="697"/>
      <c r="D130" s="697"/>
      <c r="E130" s="697"/>
      <c r="F130" s="697"/>
      <c r="G130" s="697"/>
      <c r="H130" s="697"/>
      <c r="I130" s="697"/>
      <c r="J130" s="697"/>
      <c r="K130" s="697"/>
      <c r="L130" s="212"/>
      <c r="M130" s="763"/>
      <c r="N130" s="763"/>
    </row>
    <row r="131" spans="1:14" x14ac:dyDescent="0.2">
      <c r="A131" s="697"/>
      <c r="B131" s="697"/>
      <c r="C131" s="697"/>
      <c r="D131" s="697"/>
      <c r="E131" s="697"/>
      <c r="F131" s="697"/>
      <c r="G131" s="697"/>
      <c r="H131" s="697"/>
      <c r="I131" s="697"/>
      <c r="J131" s="697"/>
      <c r="K131" s="697"/>
      <c r="L131" s="212"/>
      <c r="M131" s="200"/>
      <c r="N131" s="200"/>
    </row>
    <row r="132" spans="1:14" x14ac:dyDescent="0.2">
      <c r="A132" s="697"/>
      <c r="B132" s="697"/>
      <c r="C132" s="697"/>
      <c r="D132" s="697"/>
      <c r="E132" s="697"/>
      <c r="F132" s="697"/>
      <c r="G132" s="697"/>
      <c r="H132" s="697"/>
      <c r="I132" s="697"/>
      <c r="J132" s="697"/>
      <c r="K132" s="697"/>
      <c r="L132" s="212"/>
      <c r="M132" s="200"/>
      <c r="N132" s="200"/>
    </row>
    <row r="134" spans="1:14" x14ac:dyDescent="0.2">
      <c r="B134" s="124"/>
      <c r="C134" s="124"/>
      <c r="D134" s="124"/>
      <c r="E134" s="124"/>
      <c r="F134" s="124"/>
      <c r="G134" s="200"/>
      <c r="H134" s="200"/>
      <c r="I134" s="200"/>
    </row>
    <row r="135" spans="1:14" x14ac:dyDescent="0.2">
      <c r="B135" s="124"/>
      <c r="C135" s="124"/>
      <c r="D135" s="124"/>
      <c r="E135" s="124"/>
      <c r="F135" s="124"/>
      <c r="G135" s="200"/>
    </row>
    <row r="136" spans="1:14" x14ac:dyDescent="0.2">
      <c r="B136" s="124"/>
      <c r="C136" s="124"/>
      <c r="D136" s="124"/>
      <c r="E136" s="124"/>
      <c r="F136" s="124"/>
    </row>
    <row r="137" spans="1:14" x14ac:dyDescent="0.2">
      <c r="B137" s="124"/>
      <c r="C137" s="124"/>
      <c r="D137" s="124"/>
      <c r="E137" s="124"/>
      <c r="F137" s="124"/>
    </row>
    <row r="138" spans="1:14" x14ac:dyDescent="0.2">
      <c r="B138" s="124"/>
      <c r="C138" s="124"/>
      <c r="D138" s="124"/>
      <c r="E138" s="124"/>
      <c r="F138" s="124"/>
    </row>
    <row r="139" spans="1:14" x14ac:dyDescent="0.2">
      <c r="B139" s="124"/>
      <c r="C139" s="124"/>
      <c r="D139" s="124"/>
      <c r="E139" s="124"/>
      <c r="F139" s="124"/>
    </row>
    <row r="140" spans="1:14" x14ac:dyDescent="0.2">
      <c r="B140" s="124"/>
      <c r="C140" s="124"/>
      <c r="D140" s="124"/>
      <c r="E140" s="124"/>
      <c r="F140" s="124"/>
    </row>
    <row r="141" spans="1:14" x14ac:dyDescent="0.2">
      <c r="B141" s="124"/>
      <c r="C141" s="124"/>
      <c r="D141" s="124"/>
      <c r="E141" s="124"/>
      <c r="F141" s="124"/>
    </row>
    <row r="142" spans="1:14" x14ac:dyDescent="0.2">
      <c r="B142" s="124"/>
      <c r="C142" s="124"/>
      <c r="D142" s="124"/>
      <c r="E142" s="124"/>
      <c r="F142" s="124"/>
    </row>
    <row r="143" spans="1:14" x14ac:dyDescent="0.2">
      <c r="B143" s="124"/>
      <c r="C143" s="124"/>
      <c r="D143" s="124"/>
      <c r="E143" s="124"/>
      <c r="F143" s="124"/>
    </row>
    <row r="144" spans="1:14" x14ac:dyDescent="0.2">
      <c r="C144" s="124"/>
      <c r="D144" s="124"/>
      <c r="E144" s="124"/>
      <c r="F144" s="124"/>
    </row>
    <row r="145" spans="1:11" x14ac:dyDescent="0.2">
      <c r="B145" s="728" t="s">
        <v>890</v>
      </c>
      <c r="C145" s="728"/>
      <c r="D145" s="590" t="s">
        <v>891</v>
      </c>
      <c r="E145" s="124"/>
      <c r="F145" s="124"/>
    </row>
    <row r="146" spans="1:11" x14ac:dyDescent="0.2">
      <c r="B146" s="124"/>
      <c r="C146" s="124"/>
      <c r="D146" s="124"/>
      <c r="E146" s="124"/>
      <c r="F146" s="124"/>
    </row>
    <row r="147" spans="1:11" ht="15" x14ac:dyDescent="0.25">
      <c r="A147" s="141"/>
      <c r="B147" s="762"/>
      <c r="C147" s="762"/>
      <c r="D147" s="762"/>
      <c r="E147" s="762"/>
      <c r="F147" s="762"/>
      <c r="G147" s="762"/>
      <c r="H147" s="762"/>
      <c r="I147" s="762"/>
      <c r="J147" s="591"/>
      <c r="K147" s="591"/>
    </row>
    <row r="148" spans="1:11" ht="15" x14ac:dyDescent="0.25">
      <c r="A148" s="125"/>
      <c r="B148" s="696" t="s">
        <v>41</v>
      </c>
      <c r="C148" s="696"/>
      <c r="D148" s="696"/>
      <c r="E148" s="696"/>
      <c r="F148" s="696"/>
      <c r="G148" s="696"/>
      <c r="H148" s="696"/>
      <c r="I148" s="696"/>
      <c r="J148" s="136"/>
      <c r="K148" s="136"/>
    </row>
    <row r="149" spans="1:11" ht="15" x14ac:dyDescent="0.25">
      <c r="A149" s="125"/>
      <c r="B149" s="696" t="s">
        <v>951</v>
      </c>
      <c r="C149" s="696"/>
      <c r="D149" s="696"/>
      <c r="E149" s="696"/>
      <c r="F149" s="696"/>
      <c r="G149" s="696"/>
      <c r="H149" s="696"/>
      <c r="I149" s="696"/>
      <c r="J149" s="136"/>
      <c r="K149" s="136"/>
    </row>
    <row r="150" spans="1:11" x14ac:dyDescent="0.2">
      <c r="A150" s="125"/>
      <c r="B150" s="124"/>
      <c r="C150" s="124"/>
      <c r="D150" s="124"/>
      <c r="E150" s="124"/>
      <c r="F150" s="124"/>
      <c r="J150" s="136"/>
      <c r="K150" s="136"/>
    </row>
    <row r="151" spans="1:11" x14ac:dyDescent="0.2">
      <c r="A151" s="125"/>
      <c r="B151" s="755" t="s">
        <v>38</v>
      </c>
      <c r="C151" s="756"/>
      <c r="D151" s="756"/>
      <c r="E151" s="757"/>
      <c r="F151" s="127"/>
      <c r="G151" s="201" t="s">
        <v>37</v>
      </c>
      <c r="H151" s="127"/>
      <c r="I151" s="201" t="s">
        <v>39</v>
      </c>
      <c r="J151" s="136"/>
      <c r="K151" s="136"/>
    </row>
    <row r="152" spans="1:11" x14ac:dyDescent="0.2">
      <c r="A152" s="125"/>
      <c r="B152" s="758"/>
      <c r="C152" s="759"/>
      <c r="D152" s="759"/>
      <c r="E152" s="760"/>
      <c r="F152" s="127"/>
      <c r="G152" s="202" t="s">
        <v>40</v>
      </c>
      <c r="H152" s="127"/>
      <c r="I152" s="202" t="s">
        <v>40</v>
      </c>
      <c r="J152" s="136"/>
      <c r="K152" s="136"/>
    </row>
    <row r="153" spans="1:11" x14ac:dyDescent="0.2">
      <c r="A153" s="125"/>
      <c r="B153" s="203" t="s">
        <v>43</v>
      </c>
      <c r="C153" s="128"/>
      <c r="D153" s="124"/>
      <c r="E153" s="124"/>
      <c r="F153" s="124"/>
      <c r="G153" s="204"/>
      <c r="H153" s="204"/>
      <c r="I153" s="204"/>
      <c r="J153" s="136"/>
      <c r="K153" s="136"/>
    </row>
    <row r="154" spans="1:11" x14ac:dyDescent="0.2">
      <c r="A154" s="125"/>
      <c r="B154" s="6"/>
      <c r="C154" s="124" t="s">
        <v>42</v>
      </c>
      <c r="D154" s="124"/>
      <c r="E154" s="124"/>
      <c r="F154" s="124"/>
      <c r="G154" s="204"/>
      <c r="H154" s="204"/>
      <c r="I154" s="204"/>
      <c r="J154" s="136"/>
      <c r="K154" s="136"/>
    </row>
    <row r="155" spans="1:11" x14ac:dyDescent="0.2">
      <c r="A155" s="125"/>
      <c r="B155" s="6"/>
      <c r="C155" s="124"/>
      <c r="D155" s="124" t="s">
        <v>44</v>
      </c>
      <c r="E155" s="124"/>
      <c r="F155" s="124"/>
      <c r="G155" s="204">
        <v>0</v>
      </c>
      <c r="H155" s="204"/>
      <c r="I155" s="204">
        <f>G155+I83</f>
        <v>0</v>
      </c>
      <c r="J155" s="136"/>
      <c r="K155" s="136"/>
    </row>
    <row r="156" spans="1:11" x14ac:dyDescent="0.2">
      <c r="A156" s="125"/>
      <c r="B156" s="6"/>
      <c r="C156" s="124"/>
      <c r="D156" s="124" t="s">
        <v>573</v>
      </c>
      <c r="E156" s="124"/>
      <c r="F156" s="124"/>
      <c r="G156" s="204">
        <v>0</v>
      </c>
      <c r="H156" s="204"/>
      <c r="I156" s="204">
        <f>G156+I84</f>
        <v>0</v>
      </c>
      <c r="J156" s="136"/>
      <c r="K156" s="136"/>
    </row>
    <row r="157" spans="1:11" x14ac:dyDescent="0.2">
      <c r="A157" s="125"/>
      <c r="B157" s="6"/>
      <c r="C157" s="124"/>
      <c r="D157" s="124" t="s">
        <v>591</v>
      </c>
      <c r="E157" s="124"/>
      <c r="F157" s="124"/>
      <c r="G157" s="204"/>
      <c r="H157" s="204"/>
      <c r="I157" s="204">
        <f>G157+I85</f>
        <v>0</v>
      </c>
      <c r="J157" s="136"/>
      <c r="K157" s="136"/>
    </row>
    <row r="158" spans="1:11" x14ac:dyDescent="0.2">
      <c r="A158" s="125"/>
      <c r="B158" s="6"/>
      <c r="C158" s="124"/>
      <c r="D158" s="124" t="s">
        <v>592</v>
      </c>
      <c r="E158" s="124"/>
      <c r="F158" s="124"/>
      <c r="G158" s="204"/>
      <c r="H158" s="204"/>
      <c r="I158" s="204">
        <f>G158+I86</f>
        <v>0</v>
      </c>
      <c r="J158" s="136"/>
      <c r="K158" s="136"/>
    </row>
    <row r="159" spans="1:11" x14ac:dyDescent="0.2">
      <c r="A159" s="125"/>
      <c r="B159" s="6"/>
      <c r="C159" s="124"/>
      <c r="D159" s="124"/>
      <c r="E159" s="134" t="s">
        <v>51</v>
      </c>
      <c r="F159" s="124"/>
      <c r="G159" s="205">
        <f>SUM(G155:G158)</f>
        <v>0</v>
      </c>
      <c r="H159" s="204"/>
      <c r="I159" s="205">
        <f>SUM(I155:I158)</f>
        <v>0</v>
      </c>
      <c r="J159" s="136"/>
      <c r="K159" s="136"/>
    </row>
    <row r="160" spans="1:11" x14ac:dyDescent="0.2">
      <c r="A160" s="125"/>
      <c r="B160" s="6"/>
      <c r="C160" s="124"/>
      <c r="D160" s="124" t="s">
        <v>561</v>
      </c>
      <c r="E160" s="124"/>
      <c r="F160" s="124"/>
      <c r="G160" s="204"/>
      <c r="H160" s="204"/>
      <c r="I160" s="204"/>
      <c r="J160" s="136"/>
      <c r="K160" s="136"/>
    </row>
    <row r="161" spans="1:11" x14ac:dyDescent="0.2">
      <c r="A161" s="125"/>
      <c r="B161" s="6"/>
      <c r="C161" s="124"/>
      <c r="E161" s="206" t="s">
        <v>299</v>
      </c>
      <c r="F161" s="124"/>
      <c r="G161" s="204">
        <v>0</v>
      </c>
      <c r="H161" s="204"/>
      <c r="I161" s="204">
        <f t="shared" ref="I161:I166" si="2">G161+I89</f>
        <v>0</v>
      </c>
      <c r="J161" s="136"/>
      <c r="K161" s="136"/>
    </row>
    <row r="162" spans="1:11" x14ac:dyDescent="0.2">
      <c r="A162" s="125"/>
      <c r="B162" s="6"/>
      <c r="C162" s="124"/>
      <c r="D162" s="124"/>
      <c r="E162" s="206" t="s">
        <v>47</v>
      </c>
      <c r="F162" s="124"/>
      <c r="G162" s="204"/>
      <c r="H162" s="204"/>
      <c r="I162" s="204">
        <f t="shared" si="2"/>
        <v>0</v>
      </c>
      <c r="J162" s="136"/>
      <c r="K162" s="136"/>
    </row>
    <row r="163" spans="1:11" x14ac:dyDescent="0.2">
      <c r="A163" s="125"/>
      <c r="B163" s="6"/>
      <c r="C163" s="124"/>
      <c r="D163" s="134"/>
      <c r="E163" s="207" t="s">
        <v>264</v>
      </c>
      <c r="F163" s="134"/>
      <c r="G163" s="204"/>
      <c r="H163" s="204"/>
      <c r="I163" s="204">
        <f t="shared" si="2"/>
        <v>0</v>
      </c>
      <c r="J163" s="136"/>
      <c r="K163" s="136"/>
    </row>
    <row r="164" spans="1:11" x14ac:dyDescent="0.2">
      <c r="A164" s="125"/>
      <c r="B164" s="6"/>
      <c r="C164" s="124"/>
      <c r="D164" s="124"/>
      <c r="E164" s="206" t="s">
        <v>49</v>
      </c>
      <c r="F164" s="124"/>
      <c r="G164" s="204">
        <v>0</v>
      </c>
      <c r="H164" s="204"/>
      <c r="I164" s="204">
        <f t="shared" si="2"/>
        <v>0</v>
      </c>
      <c r="J164" s="136"/>
      <c r="K164" s="136"/>
    </row>
    <row r="165" spans="1:11" x14ac:dyDescent="0.2">
      <c r="A165" s="125"/>
      <c r="B165" s="6"/>
      <c r="C165" s="124"/>
      <c r="D165" s="134"/>
      <c r="E165" s="207" t="s">
        <v>45</v>
      </c>
      <c r="F165" s="134"/>
      <c r="G165" s="204"/>
      <c r="H165" s="204"/>
      <c r="I165" s="204">
        <f t="shared" si="2"/>
        <v>0</v>
      </c>
      <c r="J165" s="136"/>
      <c r="K165" s="136"/>
    </row>
    <row r="166" spans="1:11" x14ac:dyDescent="0.2">
      <c r="A166" s="125"/>
      <c r="B166" s="134"/>
      <c r="C166" s="128"/>
      <c r="D166" s="124"/>
      <c r="E166" s="206" t="s">
        <v>50</v>
      </c>
      <c r="F166" s="124"/>
      <c r="G166" s="204"/>
      <c r="H166" s="204"/>
      <c r="I166" s="204">
        <f t="shared" si="2"/>
        <v>0</v>
      </c>
      <c r="J166" s="136"/>
      <c r="K166" s="136"/>
    </row>
    <row r="167" spans="1:11" x14ac:dyDescent="0.2">
      <c r="A167" s="125"/>
      <c r="B167" s="6"/>
      <c r="C167" s="124"/>
      <c r="D167" s="208"/>
      <c r="E167" s="127" t="s">
        <v>52</v>
      </c>
      <c r="F167" s="208"/>
      <c r="G167" s="205">
        <f>SUM(G161:G166)</f>
        <v>0</v>
      </c>
      <c r="H167" s="204"/>
      <c r="I167" s="205">
        <f>SUM(I161:I166)</f>
        <v>0</v>
      </c>
      <c r="J167" s="136"/>
      <c r="K167" s="136"/>
    </row>
    <row r="168" spans="1:11" ht="15" thickBot="1" x14ac:dyDescent="0.25">
      <c r="A168" s="125"/>
      <c r="B168" s="6"/>
      <c r="C168" s="710" t="s">
        <v>66</v>
      </c>
      <c r="D168" s="710"/>
      <c r="E168" s="710"/>
      <c r="F168" s="124"/>
      <c r="G168" s="209">
        <f>G167+G159</f>
        <v>0</v>
      </c>
      <c r="H168" s="433">
        <f t="shared" ref="H168:I168" si="3">H167+H159</f>
        <v>0</v>
      </c>
      <c r="I168" s="209">
        <f t="shared" si="3"/>
        <v>0</v>
      </c>
      <c r="K168" s="136"/>
    </row>
    <row r="169" spans="1:11" ht="15" thickTop="1" x14ac:dyDescent="0.2">
      <c r="A169" s="125"/>
      <c r="B169" s="6"/>
      <c r="C169" s="124" t="s">
        <v>53</v>
      </c>
      <c r="D169" s="124"/>
      <c r="E169" s="124"/>
      <c r="F169" s="124"/>
      <c r="G169" s="204"/>
      <c r="H169" s="204"/>
      <c r="I169" s="204"/>
      <c r="J169" s="136"/>
      <c r="K169" s="136"/>
    </row>
    <row r="170" spans="1:11" x14ac:dyDescent="0.2">
      <c r="A170" s="125"/>
      <c r="B170" s="6"/>
      <c r="C170" s="151"/>
      <c r="D170" s="151" t="s">
        <v>54</v>
      </c>
      <c r="E170" s="134"/>
      <c r="F170" s="134"/>
      <c r="G170" s="204">
        <v>0</v>
      </c>
      <c r="H170" s="204"/>
      <c r="I170" s="204">
        <f>G170+I99</f>
        <v>0</v>
      </c>
      <c r="J170" s="136"/>
      <c r="K170" s="136"/>
    </row>
    <row r="171" spans="1:11" x14ac:dyDescent="0.2">
      <c r="A171" s="125"/>
      <c r="B171" s="134"/>
      <c r="C171" s="128"/>
      <c r="D171" s="124" t="s">
        <v>108</v>
      </c>
      <c r="E171" s="124"/>
      <c r="F171" s="124"/>
      <c r="G171" s="204"/>
      <c r="H171" s="204"/>
      <c r="I171" s="204">
        <f>G171+I100</f>
        <v>0</v>
      </c>
      <c r="J171" s="136"/>
      <c r="K171" s="136"/>
    </row>
    <row r="172" spans="1:11" x14ac:dyDescent="0.2">
      <c r="A172" s="125"/>
      <c r="B172" s="6"/>
      <c r="C172" s="124"/>
      <c r="D172" s="151" t="s">
        <v>1047</v>
      </c>
      <c r="E172" s="151"/>
      <c r="F172" s="151"/>
      <c r="G172" s="204">
        <f>-I86</f>
        <v>0</v>
      </c>
      <c r="H172" s="204"/>
      <c r="I172" s="204">
        <f>G172+I101</f>
        <v>0</v>
      </c>
      <c r="J172" s="136"/>
      <c r="K172" s="136"/>
    </row>
    <row r="173" spans="1:11" ht="15" thickBot="1" x14ac:dyDescent="0.25">
      <c r="A173" s="125"/>
      <c r="B173" s="6"/>
      <c r="C173" s="694" t="s">
        <v>65</v>
      </c>
      <c r="D173" s="694"/>
      <c r="E173" s="694"/>
      <c r="F173" s="124"/>
      <c r="G173" s="209">
        <f>SUM(G170:G172)</f>
        <v>0</v>
      </c>
      <c r="H173" s="210"/>
      <c r="I173" s="209">
        <f>SUM(I170:I172)</f>
        <v>0</v>
      </c>
      <c r="J173" s="136"/>
      <c r="K173" s="136"/>
    </row>
    <row r="174" spans="1:11" ht="15" thickTop="1" x14ac:dyDescent="0.2">
      <c r="A174" s="125"/>
      <c r="B174" s="6"/>
      <c r="C174" s="124"/>
      <c r="D174" s="124"/>
      <c r="E174" s="124"/>
      <c r="F174" s="124"/>
      <c r="G174" s="210"/>
      <c r="H174" s="210"/>
      <c r="I174" s="210"/>
      <c r="J174" s="136"/>
      <c r="K174" s="136"/>
    </row>
    <row r="175" spans="1:11" x14ac:dyDescent="0.2">
      <c r="A175" s="125"/>
      <c r="B175" s="764" t="s">
        <v>55</v>
      </c>
      <c r="C175" s="764"/>
      <c r="D175" s="764"/>
      <c r="E175" s="764"/>
      <c r="F175" s="134"/>
      <c r="G175" s="211">
        <f>G173+G168</f>
        <v>0</v>
      </c>
      <c r="H175" s="204"/>
      <c r="I175" s="211">
        <f>I173+I168</f>
        <v>0</v>
      </c>
      <c r="J175" s="136"/>
      <c r="K175" s="136"/>
    </row>
    <row r="176" spans="1:11" x14ac:dyDescent="0.2">
      <c r="A176" s="125"/>
      <c r="B176" s="203" t="s">
        <v>56</v>
      </c>
      <c r="C176" s="124"/>
      <c r="D176" s="124"/>
      <c r="E176" s="124"/>
      <c r="F176" s="124"/>
      <c r="G176" s="204"/>
      <c r="H176" s="204"/>
      <c r="I176" s="204"/>
      <c r="J176" s="136"/>
      <c r="K176" s="136"/>
    </row>
    <row r="177" spans="1:11" x14ac:dyDescent="0.2">
      <c r="A177" s="125"/>
      <c r="B177" s="6"/>
      <c r="C177" s="124" t="s">
        <v>57</v>
      </c>
      <c r="D177" s="134"/>
      <c r="E177" s="134"/>
      <c r="F177" s="134"/>
      <c r="G177" s="204"/>
      <c r="H177" s="204"/>
      <c r="I177" s="204"/>
      <c r="J177" s="136"/>
      <c r="K177" s="136"/>
    </row>
    <row r="178" spans="1:11" x14ac:dyDescent="0.2">
      <c r="A178" s="125"/>
      <c r="B178" s="134"/>
      <c r="C178" s="128"/>
      <c r="D178" s="124" t="s">
        <v>302</v>
      </c>
      <c r="E178" s="124"/>
      <c r="F178" s="124"/>
      <c r="G178" s="212">
        <v>0</v>
      </c>
      <c r="H178" s="204"/>
      <c r="I178" s="204">
        <f>G178+I107</f>
        <v>0</v>
      </c>
      <c r="J178" s="136"/>
      <c r="K178" s="136"/>
    </row>
    <row r="179" spans="1:11" x14ac:dyDescent="0.2">
      <c r="A179" s="125"/>
      <c r="B179" s="6"/>
      <c r="C179" s="124"/>
      <c r="D179" s="151" t="s">
        <v>59</v>
      </c>
      <c r="E179" s="151"/>
      <c r="F179" s="151"/>
      <c r="G179" s="593">
        <v>0</v>
      </c>
      <c r="H179" s="204"/>
      <c r="I179" s="204">
        <f>G179+I108</f>
        <v>0</v>
      </c>
      <c r="J179" s="136"/>
      <c r="K179" s="136"/>
    </row>
    <row r="180" spans="1:11" x14ac:dyDescent="0.2">
      <c r="A180" s="125"/>
      <c r="B180" s="6"/>
      <c r="C180" s="124"/>
      <c r="D180" s="124" t="s">
        <v>60</v>
      </c>
      <c r="E180" s="124"/>
      <c r="F180" s="124"/>
      <c r="G180" s="593">
        <v>0</v>
      </c>
      <c r="H180" s="204"/>
      <c r="I180" s="204">
        <f>G180+I109</f>
        <v>0</v>
      </c>
      <c r="J180" s="136"/>
      <c r="K180" s="136"/>
    </row>
    <row r="181" spans="1:11" ht="15" thickBot="1" x14ac:dyDescent="0.25">
      <c r="A181" s="125"/>
      <c r="B181" s="6"/>
      <c r="C181" s="694" t="s">
        <v>63</v>
      </c>
      <c r="D181" s="694"/>
      <c r="E181" s="694"/>
      <c r="F181" s="124"/>
      <c r="G181" s="213">
        <f>SUM(G178:G180)</f>
        <v>0</v>
      </c>
      <c r="H181" s="204"/>
      <c r="I181" s="213">
        <f>SUM(I178:I180)</f>
        <v>0</v>
      </c>
      <c r="J181" s="136"/>
      <c r="K181" s="136"/>
    </row>
    <row r="182" spans="1:11" ht="15" thickTop="1" x14ac:dyDescent="0.2">
      <c r="A182" s="125"/>
      <c r="B182" s="6"/>
      <c r="C182" s="124" t="s">
        <v>61</v>
      </c>
      <c r="D182" s="124"/>
      <c r="E182" s="124"/>
      <c r="F182" s="124"/>
      <c r="G182" s="204"/>
      <c r="H182" s="204"/>
      <c r="I182" s="204"/>
      <c r="J182" s="136"/>
      <c r="K182" s="136"/>
    </row>
    <row r="183" spans="1:11" x14ac:dyDescent="0.2">
      <c r="A183" s="125"/>
      <c r="B183" s="6"/>
      <c r="C183" s="124"/>
      <c r="D183" s="124" t="s">
        <v>71</v>
      </c>
      <c r="E183" s="124"/>
      <c r="F183" s="124"/>
      <c r="G183" s="204"/>
      <c r="H183" s="204"/>
      <c r="I183" s="204">
        <f>G183+I112</f>
        <v>0</v>
      </c>
      <c r="J183" s="136"/>
      <c r="K183" s="136"/>
    </row>
    <row r="184" spans="1:11" x14ac:dyDescent="0.2">
      <c r="A184" s="125"/>
      <c r="B184" s="6"/>
      <c r="C184" s="124"/>
      <c r="D184" s="124" t="s">
        <v>294</v>
      </c>
      <c r="E184" s="124"/>
      <c r="F184" s="124"/>
      <c r="G184" s="204">
        <v>0</v>
      </c>
      <c r="H184" s="204"/>
      <c r="I184" s="204">
        <f>G184+I113</f>
        <v>0</v>
      </c>
      <c r="J184" s="136"/>
      <c r="K184" s="136"/>
    </row>
    <row r="185" spans="1:11" x14ac:dyDescent="0.2">
      <c r="A185" s="125"/>
      <c r="B185" s="6"/>
      <c r="C185" s="124"/>
      <c r="D185" s="124" t="s">
        <v>62</v>
      </c>
      <c r="E185" s="124"/>
      <c r="F185" s="124"/>
      <c r="G185" s="204">
        <v>0</v>
      </c>
      <c r="H185" s="204"/>
      <c r="I185" s="204">
        <f>G185+I114</f>
        <v>0</v>
      </c>
      <c r="J185" s="136"/>
      <c r="K185" s="136"/>
    </row>
    <row r="186" spans="1:11" ht="15" thickBot="1" x14ac:dyDescent="0.25">
      <c r="A186" s="125"/>
      <c r="B186" s="6"/>
      <c r="C186" s="694" t="s">
        <v>64</v>
      </c>
      <c r="D186" s="694"/>
      <c r="E186" s="694"/>
      <c r="F186" s="134"/>
      <c r="G186" s="214">
        <f>SUM(G183:G185)</f>
        <v>0</v>
      </c>
      <c r="H186" s="204"/>
      <c r="I186" s="215">
        <f>SUM(I183:I185)</f>
        <v>0</v>
      </c>
      <c r="J186" s="136"/>
      <c r="K186" s="136"/>
    </row>
    <row r="187" spans="1:11" ht="15" thickTop="1" x14ac:dyDescent="0.2">
      <c r="A187" s="125"/>
      <c r="B187" s="6"/>
      <c r="C187" s="124"/>
      <c r="D187" s="124"/>
      <c r="E187" s="124"/>
      <c r="F187" s="124"/>
      <c r="G187" s="204"/>
      <c r="H187" s="204"/>
      <c r="I187" s="204"/>
      <c r="J187" s="136"/>
      <c r="K187" s="136"/>
    </row>
    <row r="188" spans="1:11" x14ac:dyDescent="0.2">
      <c r="A188" s="125"/>
      <c r="B188" s="764" t="s">
        <v>67</v>
      </c>
      <c r="C188" s="764"/>
      <c r="D188" s="764"/>
      <c r="E188" s="764"/>
      <c r="F188" s="134"/>
      <c r="G188" s="211">
        <f>G181+G186</f>
        <v>0</v>
      </c>
      <c r="H188" s="204"/>
      <c r="I188" s="211">
        <f>I186+I181</f>
        <v>0</v>
      </c>
      <c r="J188" s="136"/>
      <c r="K188" s="136"/>
    </row>
    <row r="189" spans="1:11" x14ac:dyDescent="0.2">
      <c r="A189" s="125"/>
      <c r="B189" s="124" t="s">
        <v>68</v>
      </c>
      <c r="C189" s="124"/>
      <c r="D189" s="124"/>
      <c r="E189" s="124"/>
      <c r="F189" s="124"/>
      <c r="G189" s="204">
        <f>G175-G188</f>
        <v>0</v>
      </c>
      <c r="H189" s="204"/>
      <c r="I189" s="204">
        <f>I175-I188</f>
        <v>0</v>
      </c>
      <c r="J189" s="136"/>
      <c r="K189" s="136"/>
    </row>
    <row r="190" spans="1:11" ht="15" thickBot="1" x14ac:dyDescent="0.25">
      <c r="A190" s="125"/>
      <c r="B190" s="124" t="s">
        <v>69</v>
      </c>
      <c r="C190" s="130"/>
      <c r="D190" s="130"/>
      <c r="E190" s="127"/>
      <c r="F190" s="127"/>
      <c r="G190" s="216">
        <f>G120</f>
        <v>0</v>
      </c>
      <c r="H190" s="216"/>
      <c r="I190" s="216">
        <f>I119</f>
        <v>0</v>
      </c>
      <c r="J190" s="136"/>
      <c r="K190" s="136"/>
    </row>
    <row r="191" spans="1:11" ht="21" customHeight="1" thickBot="1" x14ac:dyDescent="0.25">
      <c r="A191" s="125"/>
      <c r="B191" s="765" t="s">
        <v>70</v>
      </c>
      <c r="C191" s="766"/>
      <c r="D191" s="766"/>
      <c r="E191" s="767"/>
      <c r="F191" s="142"/>
      <c r="G191" s="217">
        <f>G190+G189</f>
        <v>0</v>
      </c>
      <c r="H191" s="216"/>
      <c r="I191" s="217">
        <f>SUM(I189:I190)</f>
        <v>0</v>
      </c>
      <c r="J191" s="136"/>
      <c r="K191" s="136"/>
    </row>
    <row r="192" spans="1:11" x14ac:dyDescent="0.2">
      <c r="A192" s="120"/>
      <c r="B192" s="119"/>
      <c r="C192" s="119"/>
      <c r="D192" s="119"/>
      <c r="E192" s="119"/>
      <c r="F192" s="119"/>
      <c r="G192" s="218"/>
      <c r="H192" s="218"/>
      <c r="I192" s="218"/>
      <c r="J192" s="594"/>
      <c r="K192" s="594"/>
    </row>
    <row r="193" spans="1:15" x14ac:dyDescent="0.2">
      <c r="B193" s="124"/>
      <c r="C193" s="124"/>
      <c r="D193" s="124"/>
      <c r="E193" s="124"/>
      <c r="F193" s="124"/>
      <c r="G193" s="686">
        <f>'Neraca '!H93</f>
        <v>0</v>
      </c>
      <c r="H193" s="686"/>
      <c r="I193" s="686"/>
      <c r="L193" s="212">
        <f>G191-G193</f>
        <v>0</v>
      </c>
      <c r="M193" s="219"/>
      <c r="N193" s="219"/>
    </row>
    <row r="194" spans="1:15" x14ac:dyDescent="0.2">
      <c r="A194" s="697" t="s">
        <v>579</v>
      </c>
      <c r="B194" s="697"/>
      <c r="C194" s="697"/>
      <c r="D194" s="697"/>
      <c r="E194" s="697"/>
      <c r="F194" s="697" t="s">
        <v>1062</v>
      </c>
      <c r="G194" s="697"/>
      <c r="H194" s="697"/>
      <c r="I194" s="697"/>
      <c r="J194" s="697"/>
      <c r="K194" s="697"/>
      <c r="L194" s="212"/>
      <c r="M194" s="200"/>
      <c r="N194" s="200"/>
    </row>
    <row r="195" spans="1:15" x14ac:dyDescent="0.2">
      <c r="A195" s="697" t="s">
        <v>678</v>
      </c>
      <c r="B195" s="697"/>
      <c r="C195" s="697"/>
      <c r="D195" s="697"/>
      <c r="E195" s="697"/>
      <c r="F195" s="697" t="s">
        <v>681</v>
      </c>
      <c r="G195" s="697"/>
      <c r="H195" s="697"/>
      <c r="I195" s="697"/>
      <c r="J195" s="697"/>
      <c r="K195" s="697"/>
      <c r="L195" s="212"/>
      <c r="M195" s="200"/>
      <c r="N195" s="200"/>
    </row>
    <row r="196" spans="1:15" x14ac:dyDescent="0.2">
      <c r="A196" s="697"/>
      <c r="B196" s="697"/>
      <c r="C196" s="697"/>
      <c r="D196" s="697"/>
      <c r="E196" s="697"/>
      <c r="F196" s="697"/>
      <c r="G196" s="697"/>
      <c r="H196" s="697"/>
      <c r="I196" s="697"/>
      <c r="J196" s="697"/>
      <c r="K196" s="697"/>
      <c r="L196" s="212"/>
      <c r="M196" s="200"/>
      <c r="N196" s="200"/>
    </row>
    <row r="197" spans="1:15" x14ac:dyDescent="0.2">
      <c r="A197" s="697"/>
      <c r="B197" s="697"/>
      <c r="C197" s="697"/>
      <c r="D197" s="697"/>
      <c r="E197" s="697"/>
      <c r="F197" s="697"/>
      <c r="G197" s="697"/>
      <c r="H197" s="697"/>
      <c r="I197" s="697"/>
      <c r="J197" s="697"/>
      <c r="K197" s="697"/>
      <c r="L197" s="212"/>
      <c r="M197" s="200"/>
      <c r="N197" s="200"/>
    </row>
    <row r="198" spans="1:15" x14ac:dyDescent="0.2">
      <c r="A198" s="697" t="s">
        <v>1038</v>
      </c>
      <c r="B198" s="697"/>
      <c r="C198" s="697"/>
      <c r="D198" s="697"/>
      <c r="E198" s="697"/>
      <c r="F198" s="697" t="s">
        <v>1039</v>
      </c>
      <c r="G198" s="697"/>
      <c r="H198" s="697"/>
      <c r="I198" s="697"/>
      <c r="J198" s="697"/>
      <c r="K198" s="697"/>
      <c r="L198" s="212"/>
      <c r="M198" s="200"/>
      <c r="N198" s="200"/>
    </row>
    <row r="199" spans="1:15" x14ac:dyDescent="0.2">
      <c r="A199" s="697"/>
      <c r="B199" s="697"/>
      <c r="C199" s="697"/>
      <c r="D199" s="697"/>
      <c r="E199" s="697"/>
      <c r="F199" s="697"/>
      <c r="G199" s="697"/>
      <c r="H199" s="697"/>
      <c r="I199" s="697"/>
      <c r="J199" s="697"/>
      <c r="K199" s="697"/>
      <c r="L199" s="212"/>
      <c r="M199" s="200"/>
      <c r="N199" s="200"/>
    </row>
    <row r="200" spans="1:15" x14ac:dyDescent="0.2">
      <c r="A200" s="697"/>
      <c r="B200" s="697"/>
      <c r="C200" s="697"/>
      <c r="D200" s="697"/>
      <c r="E200" s="697"/>
      <c r="F200" s="697"/>
      <c r="G200" s="697"/>
      <c r="H200" s="697"/>
      <c r="I200" s="697"/>
      <c r="J200" s="697"/>
      <c r="K200" s="697"/>
      <c r="L200" s="212"/>
      <c r="M200" s="200"/>
      <c r="N200" s="200"/>
    </row>
    <row r="201" spans="1:15" x14ac:dyDescent="0.2">
      <c r="A201" s="697"/>
      <c r="B201" s="697"/>
      <c r="C201" s="697"/>
      <c r="D201" s="697"/>
      <c r="E201" s="697"/>
      <c r="F201" s="697"/>
      <c r="G201" s="697"/>
      <c r="H201" s="697"/>
      <c r="I201" s="697"/>
      <c r="J201" s="697"/>
      <c r="K201" s="697"/>
      <c r="L201" s="212"/>
      <c r="M201" s="200"/>
      <c r="N201" s="763"/>
      <c r="O201" s="763"/>
    </row>
    <row r="202" spans="1:15" x14ac:dyDescent="0.2">
      <c r="A202" s="697"/>
      <c r="B202" s="697"/>
      <c r="C202" s="697"/>
      <c r="D202" s="697"/>
      <c r="E202" s="697"/>
      <c r="F202" s="697"/>
      <c r="G202" s="697"/>
      <c r="H202" s="697"/>
      <c r="I202" s="697"/>
      <c r="J202" s="697"/>
      <c r="K202" s="697"/>
      <c r="L202" s="212"/>
      <c r="M202" s="200"/>
      <c r="N202" s="200"/>
    </row>
    <row r="203" spans="1:15" x14ac:dyDescent="0.2">
      <c r="A203" s="697"/>
      <c r="B203" s="697"/>
      <c r="C203" s="697"/>
      <c r="D203" s="697"/>
      <c r="E203" s="697"/>
      <c r="F203" s="697"/>
      <c r="G203" s="697"/>
      <c r="H203" s="697"/>
      <c r="I203" s="697"/>
      <c r="J203" s="697"/>
      <c r="K203" s="697"/>
    </row>
    <row r="205" spans="1:15" x14ac:dyDescent="0.2">
      <c r="B205" s="124"/>
      <c r="C205" s="124"/>
      <c r="D205" s="124"/>
      <c r="E205" s="124"/>
      <c r="F205" s="124"/>
      <c r="G205" s="200"/>
      <c r="H205" s="200"/>
      <c r="I205" s="200"/>
    </row>
    <row r="206" spans="1:15" x14ac:dyDescent="0.2">
      <c r="B206" s="124"/>
      <c r="C206" s="124"/>
      <c r="D206" s="124"/>
      <c r="E206" s="124"/>
      <c r="F206" s="124"/>
    </row>
    <row r="207" spans="1:15" x14ac:dyDescent="0.2">
      <c r="B207" s="124"/>
      <c r="C207" s="124"/>
      <c r="D207" s="124"/>
      <c r="E207" s="124"/>
      <c r="F207" s="124"/>
    </row>
    <row r="208" spans="1:15" x14ac:dyDescent="0.2">
      <c r="B208" s="124"/>
      <c r="C208" s="124"/>
      <c r="D208" s="124"/>
      <c r="E208" s="124"/>
      <c r="F208" s="124"/>
    </row>
    <row r="209" spans="1:11" x14ac:dyDescent="0.2">
      <c r="B209" s="124"/>
      <c r="C209" s="124"/>
      <c r="D209" s="124"/>
      <c r="E209" s="124"/>
      <c r="F209" s="124"/>
    </row>
    <row r="210" spans="1:11" x14ac:dyDescent="0.2">
      <c r="B210" s="124"/>
      <c r="C210" s="124"/>
      <c r="D210" s="124"/>
      <c r="E210" s="124"/>
      <c r="F210" s="124"/>
    </row>
    <row r="211" spans="1:11" x14ac:dyDescent="0.2">
      <c r="B211" s="124"/>
      <c r="C211" s="124"/>
      <c r="D211" s="124"/>
      <c r="E211" s="124"/>
      <c r="F211" s="124"/>
    </row>
    <row r="212" spans="1:11" x14ac:dyDescent="0.2">
      <c r="B212" s="124"/>
      <c r="C212" s="124"/>
      <c r="D212" s="124"/>
      <c r="E212" s="124"/>
      <c r="F212" s="124"/>
    </row>
    <row r="213" spans="1:11" x14ac:dyDescent="0.2">
      <c r="B213" s="124"/>
      <c r="C213" s="124"/>
      <c r="D213" s="124"/>
      <c r="E213" s="124"/>
      <c r="F213" s="124"/>
    </row>
    <row r="214" spans="1:11" x14ac:dyDescent="0.2">
      <c r="B214" s="124"/>
      <c r="C214" s="124"/>
      <c r="D214" s="124"/>
      <c r="E214" s="124"/>
      <c r="F214" s="124"/>
    </row>
    <row r="215" spans="1:11" x14ac:dyDescent="0.2">
      <c r="B215" s="124"/>
      <c r="C215" s="124"/>
      <c r="D215" s="124"/>
      <c r="E215" s="124"/>
      <c r="F215" s="124"/>
    </row>
    <row r="216" spans="1:11" x14ac:dyDescent="0.2">
      <c r="B216" s="670" t="s">
        <v>890</v>
      </c>
      <c r="C216" s="124"/>
      <c r="D216" s="112" t="s">
        <v>891</v>
      </c>
      <c r="E216" s="124"/>
      <c r="F216" s="124"/>
    </row>
    <row r="217" spans="1:11" x14ac:dyDescent="0.2">
      <c r="B217" s="124"/>
      <c r="C217" s="124"/>
      <c r="D217" s="124"/>
      <c r="E217" s="124"/>
      <c r="F217" s="124"/>
    </row>
    <row r="218" spans="1:11" ht="15" x14ac:dyDescent="0.25">
      <c r="A218" s="141"/>
      <c r="B218" s="762"/>
      <c r="C218" s="762"/>
      <c r="D218" s="762"/>
      <c r="E218" s="762"/>
      <c r="F218" s="762"/>
      <c r="G218" s="762"/>
      <c r="H218" s="762"/>
      <c r="I218" s="762"/>
      <c r="J218" s="591"/>
      <c r="K218" s="591"/>
    </row>
    <row r="219" spans="1:11" ht="15" x14ac:dyDescent="0.25">
      <c r="A219" s="125"/>
      <c r="B219" s="696" t="s">
        <v>41</v>
      </c>
      <c r="C219" s="696"/>
      <c r="D219" s="696"/>
      <c r="E219" s="696"/>
      <c r="F219" s="696"/>
      <c r="G219" s="696"/>
      <c r="H219" s="696"/>
      <c r="I219" s="696"/>
      <c r="J219" s="136"/>
      <c r="K219" s="136"/>
    </row>
    <row r="220" spans="1:11" ht="15" x14ac:dyDescent="0.25">
      <c r="A220" s="125"/>
      <c r="B220" s="696" t="s">
        <v>1074</v>
      </c>
      <c r="C220" s="696"/>
      <c r="D220" s="696"/>
      <c r="E220" s="696"/>
      <c r="F220" s="696"/>
      <c r="G220" s="696"/>
      <c r="H220" s="696"/>
      <c r="I220" s="696"/>
      <c r="J220" s="136"/>
      <c r="K220" s="136"/>
    </row>
    <row r="221" spans="1:11" x14ac:dyDescent="0.2">
      <c r="A221" s="125"/>
      <c r="B221" s="124"/>
      <c r="C221" s="124"/>
      <c r="D221" s="124"/>
      <c r="E221" s="124"/>
      <c r="F221" s="124"/>
      <c r="J221" s="136"/>
      <c r="K221" s="136"/>
    </row>
    <row r="222" spans="1:11" x14ac:dyDescent="0.2">
      <c r="A222" s="125"/>
      <c r="B222" s="755" t="s">
        <v>38</v>
      </c>
      <c r="C222" s="756"/>
      <c r="D222" s="756"/>
      <c r="E222" s="757"/>
      <c r="F222" s="127"/>
      <c r="G222" s="201" t="s">
        <v>37</v>
      </c>
      <c r="H222" s="127"/>
      <c r="I222" s="201" t="s">
        <v>39</v>
      </c>
      <c r="J222" s="136"/>
      <c r="K222" s="136"/>
    </row>
    <row r="223" spans="1:11" x14ac:dyDescent="0.2">
      <c r="A223" s="125"/>
      <c r="B223" s="758"/>
      <c r="C223" s="759"/>
      <c r="D223" s="759"/>
      <c r="E223" s="760"/>
      <c r="F223" s="127"/>
      <c r="G223" s="202" t="s">
        <v>40</v>
      </c>
      <c r="H223" s="127"/>
      <c r="I223" s="202" t="s">
        <v>40</v>
      </c>
      <c r="J223" s="136"/>
      <c r="K223" s="136"/>
    </row>
    <row r="224" spans="1:11" x14ac:dyDescent="0.2">
      <c r="A224" s="125"/>
      <c r="B224" s="203" t="s">
        <v>43</v>
      </c>
      <c r="C224" s="128"/>
      <c r="D224" s="124"/>
      <c r="E224" s="124"/>
      <c r="F224" s="124"/>
      <c r="G224" s="204"/>
      <c r="H224" s="204"/>
      <c r="I224" s="204"/>
      <c r="J224" s="136"/>
      <c r="K224" s="136"/>
    </row>
    <row r="225" spans="1:11" x14ac:dyDescent="0.2">
      <c r="A225" s="125"/>
      <c r="B225" s="6"/>
      <c r="C225" s="124" t="s">
        <v>42</v>
      </c>
      <c r="D225" s="124"/>
      <c r="E225" s="124"/>
      <c r="F225" s="124"/>
      <c r="G225" s="204"/>
      <c r="H225" s="204"/>
      <c r="I225" s="204"/>
      <c r="J225" s="136"/>
      <c r="K225" s="136"/>
    </row>
    <row r="226" spans="1:11" x14ac:dyDescent="0.2">
      <c r="A226" s="125"/>
      <c r="B226" s="6"/>
      <c r="C226" s="124"/>
      <c r="D226" s="124" t="s">
        <v>44</v>
      </c>
      <c r="E226" s="124"/>
      <c r="F226" s="124"/>
      <c r="G226" s="204">
        <v>0</v>
      </c>
      <c r="H226" s="204"/>
      <c r="I226" s="204">
        <f>G226+I155</f>
        <v>0</v>
      </c>
      <c r="J226" s="136"/>
      <c r="K226" s="136"/>
    </row>
    <row r="227" spans="1:11" x14ac:dyDescent="0.2">
      <c r="A227" s="125"/>
      <c r="B227" s="6"/>
      <c r="C227" s="124"/>
      <c r="D227" s="124" t="s">
        <v>573</v>
      </c>
      <c r="E227" s="124"/>
      <c r="F227" s="124"/>
      <c r="G227" s="204">
        <v>0</v>
      </c>
      <c r="H227" s="204"/>
      <c r="I227" s="204">
        <f>G227+I156</f>
        <v>0</v>
      </c>
      <c r="J227" s="136"/>
      <c r="K227" s="136"/>
    </row>
    <row r="228" spans="1:11" x14ac:dyDescent="0.2">
      <c r="A228" s="125"/>
      <c r="B228" s="6"/>
      <c r="C228" s="124"/>
      <c r="D228" s="124" t="s">
        <v>591</v>
      </c>
      <c r="E228" s="124"/>
      <c r="F228" s="124"/>
      <c r="G228" s="204">
        <v>0</v>
      </c>
      <c r="H228" s="204"/>
      <c r="I228" s="204">
        <f>G228+I157</f>
        <v>0</v>
      </c>
      <c r="J228" s="136"/>
      <c r="K228" s="136"/>
    </row>
    <row r="229" spans="1:11" x14ac:dyDescent="0.2">
      <c r="A229" s="125"/>
      <c r="B229" s="6"/>
      <c r="C229" s="124"/>
      <c r="D229" s="124" t="s">
        <v>592</v>
      </c>
      <c r="E229" s="124"/>
      <c r="F229" s="124"/>
      <c r="G229" s="204"/>
      <c r="H229" s="204"/>
      <c r="I229" s="204">
        <f>G229</f>
        <v>0</v>
      </c>
      <c r="J229" s="136"/>
      <c r="K229" s="136"/>
    </row>
    <row r="230" spans="1:11" x14ac:dyDescent="0.2">
      <c r="A230" s="125"/>
      <c r="B230" s="6"/>
      <c r="C230" s="124"/>
      <c r="D230" s="124"/>
      <c r="E230" s="134" t="s">
        <v>51</v>
      </c>
      <c r="F230" s="124"/>
      <c r="G230" s="205">
        <f>SUM(G226:G229)</f>
        <v>0</v>
      </c>
      <c r="H230" s="204"/>
      <c r="I230" s="205">
        <f>SUM(I226:I229)</f>
        <v>0</v>
      </c>
      <c r="J230" s="136"/>
      <c r="K230" s="136"/>
    </row>
    <row r="231" spans="1:11" x14ac:dyDescent="0.2">
      <c r="A231" s="125"/>
      <c r="B231" s="6"/>
      <c r="C231" s="124"/>
      <c r="D231" s="124" t="s">
        <v>572</v>
      </c>
      <c r="E231" s="124"/>
      <c r="F231" s="124"/>
      <c r="G231" s="204"/>
      <c r="H231" s="204"/>
      <c r="I231" s="204"/>
      <c r="J231" s="136"/>
      <c r="K231" s="136"/>
    </row>
    <row r="232" spans="1:11" x14ac:dyDescent="0.2">
      <c r="A232" s="125"/>
      <c r="B232" s="6"/>
      <c r="C232" s="124"/>
      <c r="E232" s="206" t="s">
        <v>46</v>
      </c>
      <c r="F232" s="124"/>
      <c r="G232" s="204">
        <v>0</v>
      </c>
      <c r="H232" s="204"/>
      <c r="I232" s="204">
        <f>G232+I161</f>
        <v>0</v>
      </c>
      <c r="J232" s="136"/>
      <c r="K232" s="136"/>
    </row>
    <row r="233" spans="1:11" x14ac:dyDescent="0.2">
      <c r="A233" s="125"/>
      <c r="B233" s="6"/>
      <c r="C233" s="124"/>
      <c r="D233" s="124"/>
      <c r="E233" s="206" t="s">
        <v>47</v>
      </c>
      <c r="F233" s="124"/>
      <c r="G233" s="204">
        <v>0</v>
      </c>
      <c r="H233" s="204"/>
      <c r="I233" s="204">
        <f>G233+I162</f>
        <v>0</v>
      </c>
      <c r="J233" s="136"/>
      <c r="K233" s="136"/>
    </row>
    <row r="234" spans="1:11" x14ac:dyDescent="0.2">
      <c r="A234" s="125"/>
      <c r="B234" s="6"/>
      <c r="C234" s="124"/>
      <c r="D234" s="134"/>
      <c r="E234" s="207" t="s">
        <v>48</v>
      </c>
      <c r="F234" s="134"/>
      <c r="G234" s="204">
        <v>0</v>
      </c>
      <c r="H234" s="204"/>
      <c r="I234" s="204">
        <f>G234+I163</f>
        <v>0</v>
      </c>
      <c r="J234" s="136"/>
      <c r="K234" s="136"/>
    </row>
    <row r="235" spans="1:11" x14ac:dyDescent="0.2">
      <c r="A235" s="125"/>
      <c r="B235" s="6"/>
      <c r="C235" s="124"/>
      <c r="D235" s="124"/>
      <c r="E235" s="206" t="s">
        <v>49</v>
      </c>
      <c r="F235" s="124"/>
      <c r="G235" s="204">
        <v>0</v>
      </c>
      <c r="H235" s="204"/>
      <c r="I235" s="204">
        <f>G235+I164+[4]JU!$F$162</f>
        <v>0</v>
      </c>
      <c r="J235" s="136"/>
      <c r="K235" s="136"/>
    </row>
    <row r="236" spans="1:11" x14ac:dyDescent="0.2">
      <c r="A236" s="125"/>
      <c r="B236" s="6"/>
      <c r="C236" s="124"/>
      <c r="D236" s="134"/>
      <c r="E236" s="207" t="s">
        <v>682</v>
      </c>
      <c r="F236" s="134"/>
      <c r="G236" s="204">
        <v>0</v>
      </c>
      <c r="H236" s="204"/>
      <c r="I236" s="204">
        <f>G236+I165</f>
        <v>0</v>
      </c>
      <c r="J236" s="136"/>
      <c r="K236" s="136"/>
    </row>
    <row r="237" spans="1:11" x14ac:dyDescent="0.2">
      <c r="A237" s="125"/>
      <c r="B237" s="134"/>
      <c r="C237" s="128"/>
      <c r="D237" s="124"/>
      <c r="E237" s="206" t="s">
        <v>109</v>
      </c>
      <c r="F237" s="124"/>
      <c r="G237" s="204"/>
      <c r="H237" s="204"/>
      <c r="I237" s="204">
        <f>G237+I166</f>
        <v>0</v>
      </c>
      <c r="J237" s="136"/>
      <c r="K237" s="136"/>
    </row>
    <row r="238" spans="1:11" x14ac:dyDescent="0.2">
      <c r="A238" s="125"/>
      <c r="B238" s="6"/>
      <c r="C238" s="124"/>
      <c r="D238" s="208"/>
      <c r="E238" s="127" t="s">
        <v>52</v>
      </c>
      <c r="F238" s="208"/>
      <c r="G238" s="205">
        <f>SUM(G232:G237)</f>
        <v>0</v>
      </c>
      <c r="H238" s="204"/>
      <c r="I238" s="205">
        <f>SUM(I232:I237)</f>
        <v>0</v>
      </c>
      <c r="J238" s="136"/>
      <c r="K238" s="136"/>
    </row>
    <row r="239" spans="1:11" x14ac:dyDescent="0.2">
      <c r="A239" s="125"/>
      <c r="B239" s="6"/>
      <c r="C239" s="124"/>
      <c r="D239" s="124"/>
      <c r="E239" s="124"/>
      <c r="F239" s="124"/>
      <c r="G239" s="204"/>
      <c r="H239" s="204"/>
      <c r="I239" s="204"/>
      <c r="J239" s="136"/>
      <c r="K239" s="136"/>
    </row>
    <row r="240" spans="1:11" ht="15" thickBot="1" x14ac:dyDescent="0.25">
      <c r="A240" s="125"/>
      <c r="B240" s="6"/>
      <c r="C240" s="710" t="s">
        <v>66</v>
      </c>
      <c r="D240" s="710"/>
      <c r="E240" s="710"/>
      <c r="F240" s="124"/>
      <c r="G240" s="209">
        <f>G238+G230</f>
        <v>0</v>
      </c>
      <c r="H240" s="204"/>
      <c r="I240" s="209">
        <f>I238+I230</f>
        <v>0</v>
      </c>
      <c r="K240" s="136"/>
    </row>
    <row r="241" spans="1:12" ht="15" thickTop="1" x14ac:dyDescent="0.2">
      <c r="A241" s="125"/>
      <c r="B241" s="6"/>
      <c r="C241" s="124" t="s">
        <v>53</v>
      </c>
      <c r="D241" s="124"/>
      <c r="E241" s="124"/>
      <c r="F241" s="124"/>
      <c r="G241" s="204"/>
      <c r="H241" s="204"/>
      <c r="I241" s="204"/>
      <c r="J241" s="136"/>
      <c r="K241" s="136"/>
    </row>
    <row r="242" spans="1:12" x14ac:dyDescent="0.2">
      <c r="A242" s="125"/>
      <c r="B242" s="6"/>
      <c r="C242" s="151"/>
      <c r="D242" s="151" t="s">
        <v>54</v>
      </c>
      <c r="E242" s="134"/>
      <c r="F242" s="134"/>
      <c r="G242" s="204">
        <v>0</v>
      </c>
      <c r="H242" s="204"/>
      <c r="I242" s="204">
        <f>G242+I170</f>
        <v>0</v>
      </c>
      <c r="J242" s="136"/>
      <c r="K242" s="136"/>
    </row>
    <row r="243" spans="1:12" x14ac:dyDescent="0.2">
      <c r="A243" s="125"/>
      <c r="B243" s="134"/>
      <c r="C243" s="128"/>
      <c r="D243" s="124" t="s">
        <v>108</v>
      </c>
      <c r="E243" s="124"/>
      <c r="F243" s="124"/>
      <c r="G243" s="204"/>
      <c r="H243" s="204"/>
      <c r="I243" s="204">
        <f>G243+I171</f>
        <v>0</v>
      </c>
      <c r="J243" s="136"/>
      <c r="K243" s="136"/>
    </row>
    <row r="244" spans="1:12" x14ac:dyDescent="0.2">
      <c r="A244" s="125"/>
      <c r="B244" s="6"/>
      <c r="C244" s="124"/>
      <c r="D244" s="151" t="s">
        <v>1047</v>
      </c>
      <c r="E244" s="151"/>
      <c r="F244" s="151"/>
      <c r="G244" s="204"/>
      <c r="H244" s="204"/>
      <c r="I244" s="204">
        <f>G244+I172</f>
        <v>0</v>
      </c>
      <c r="J244" s="136"/>
      <c r="K244" s="136"/>
    </row>
    <row r="245" spans="1:12" ht="15" thickBot="1" x14ac:dyDescent="0.25">
      <c r="A245" s="125"/>
      <c r="B245" s="6"/>
      <c r="C245" s="694" t="s">
        <v>65</v>
      </c>
      <c r="D245" s="694"/>
      <c r="E245" s="694"/>
      <c r="F245" s="124"/>
      <c r="G245" s="209">
        <f>SUM(G242:G244)</f>
        <v>0</v>
      </c>
      <c r="H245" s="210"/>
      <c r="I245" s="209">
        <f>SUM(I242:I244)</f>
        <v>0</v>
      </c>
      <c r="J245" s="136"/>
      <c r="K245" s="136"/>
    </row>
    <row r="246" spans="1:12" ht="15" thickTop="1" x14ac:dyDescent="0.2">
      <c r="A246" s="125"/>
      <c r="B246" s="6"/>
      <c r="C246" s="124"/>
      <c r="D246" s="124"/>
      <c r="E246" s="124"/>
      <c r="F246" s="124"/>
      <c r="G246" s="210"/>
      <c r="H246" s="210"/>
      <c r="I246" s="210"/>
      <c r="J246" s="136"/>
      <c r="K246" s="136"/>
    </row>
    <row r="247" spans="1:12" x14ac:dyDescent="0.2">
      <c r="A247" s="125"/>
      <c r="B247" s="764" t="s">
        <v>55</v>
      </c>
      <c r="C247" s="764"/>
      <c r="D247" s="764"/>
      <c r="E247" s="764"/>
      <c r="F247" s="134"/>
      <c r="G247" s="211">
        <f>G245+G240</f>
        <v>0</v>
      </c>
      <c r="H247" s="204"/>
      <c r="I247" s="211">
        <f>I245+I240</f>
        <v>0</v>
      </c>
      <c r="J247" s="136"/>
      <c r="K247" s="136"/>
    </row>
    <row r="248" spans="1:12" x14ac:dyDescent="0.2">
      <c r="A248" s="125"/>
      <c r="B248" s="203" t="s">
        <v>56</v>
      </c>
      <c r="C248" s="124"/>
      <c r="D248" s="124"/>
      <c r="E248" s="124"/>
      <c r="F248" s="124"/>
      <c r="G248" s="204"/>
      <c r="H248" s="204"/>
      <c r="I248" s="204"/>
      <c r="J248" s="136"/>
      <c r="K248" s="136"/>
    </row>
    <row r="249" spans="1:12" x14ac:dyDescent="0.2">
      <c r="A249" s="125"/>
      <c r="B249" s="6"/>
      <c r="C249" s="124" t="s">
        <v>57</v>
      </c>
      <c r="D249" s="134"/>
      <c r="E249" s="134"/>
      <c r="F249" s="134"/>
      <c r="G249" s="204"/>
      <c r="H249" s="204"/>
      <c r="I249" s="204"/>
      <c r="J249" s="136"/>
      <c r="K249" s="136"/>
    </row>
    <row r="250" spans="1:12" x14ac:dyDescent="0.2">
      <c r="A250" s="125"/>
      <c r="B250" s="134"/>
      <c r="C250" s="128"/>
      <c r="D250" s="124" t="s">
        <v>58</v>
      </c>
      <c r="E250" s="124"/>
      <c r="F250" s="124"/>
      <c r="G250" s="212">
        <v>0</v>
      </c>
      <c r="H250" s="204"/>
      <c r="I250" s="204">
        <f>G250+I178</f>
        <v>0</v>
      </c>
      <c r="J250" s="136"/>
      <c r="K250" s="136"/>
      <c r="L250" s="595"/>
    </row>
    <row r="251" spans="1:12" x14ac:dyDescent="0.2">
      <c r="A251" s="125"/>
      <c r="B251" s="6"/>
      <c r="C251" s="124"/>
      <c r="D251" s="151" t="s">
        <v>59</v>
      </c>
      <c r="E251" s="151"/>
      <c r="F251" s="151"/>
      <c r="G251" s="593">
        <v>0</v>
      </c>
      <c r="H251" s="204"/>
      <c r="I251" s="204">
        <f>G251+I179</f>
        <v>0</v>
      </c>
      <c r="J251" s="136"/>
      <c r="K251" s="136"/>
    </row>
    <row r="252" spans="1:12" x14ac:dyDescent="0.2">
      <c r="A252" s="125"/>
      <c r="B252" s="6"/>
      <c r="C252" s="124"/>
      <c r="D252" s="124" t="s">
        <v>60</v>
      </c>
      <c r="E252" s="124"/>
      <c r="F252" s="124"/>
      <c r="G252" s="593">
        <v>0</v>
      </c>
      <c r="H252" s="204"/>
      <c r="I252" s="204">
        <f>G252+I180</f>
        <v>0</v>
      </c>
      <c r="J252" s="136"/>
      <c r="K252" s="136"/>
    </row>
    <row r="253" spans="1:12" ht="15" thickBot="1" x14ac:dyDescent="0.25">
      <c r="A253" s="125"/>
      <c r="B253" s="6"/>
      <c r="C253" s="694" t="s">
        <v>63</v>
      </c>
      <c r="D253" s="694"/>
      <c r="E253" s="694"/>
      <c r="F253" s="124"/>
      <c r="G253" s="213">
        <f>SUM(G250:G252)</f>
        <v>0</v>
      </c>
      <c r="H253" s="204"/>
      <c r="I253" s="213">
        <f>SUM(I250:I252)</f>
        <v>0</v>
      </c>
      <c r="J253" s="136"/>
      <c r="K253" s="136"/>
    </row>
    <row r="254" spans="1:12" ht="15" thickTop="1" x14ac:dyDescent="0.2">
      <c r="A254" s="125"/>
      <c r="B254" s="6"/>
      <c r="C254" s="124" t="s">
        <v>61</v>
      </c>
      <c r="D254" s="124"/>
      <c r="E254" s="124"/>
      <c r="F254" s="124"/>
      <c r="G254" s="204"/>
      <c r="H254" s="204"/>
      <c r="I254" s="204"/>
      <c r="J254" s="136"/>
      <c r="K254" s="136"/>
    </row>
    <row r="255" spans="1:12" x14ac:dyDescent="0.2">
      <c r="A255" s="125"/>
      <c r="B255" s="6"/>
      <c r="C255" s="124"/>
      <c r="D255" s="124" t="s">
        <v>71</v>
      </c>
      <c r="E255" s="124"/>
      <c r="F255" s="124"/>
      <c r="G255" s="204"/>
      <c r="H255" s="204"/>
      <c r="I255" s="204">
        <f>G255+I183</f>
        <v>0</v>
      </c>
      <c r="J255" s="136"/>
      <c r="K255" s="136"/>
    </row>
    <row r="256" spans="1:12" x14ac:dyDescent="0.2">
      <c r="A256" s="125"/>
      <c r="B256" s="6"/>
      <c r="C256" s="124"/>
      <c r="D256" s="124" t="s">
        <v>294</v>
      </c>
      <c r="E256" s="124"/>
      <c r="F256" s="124"/>
      <c r="G256" s="204"/>
      <c r="H256" s="204"/>
      <c r="I256" s="204">
        <f>G256+I184</f>
        <v>0</v>
      </c>
      <c r="J256" s="136"/>
      <c r="K256" s="136"/>
    </row>
    <row r="257" spans="1:12" x14ac:dyDescent="0.2">
      <c r="A257" s="125"/>
      <c r="B257" s="6"/>
      <c r="C257" s="124"/>
      <c r="D257" s="124" t="s">
        <v>62</v>
      </c>
      <c r="E257" s="124"/>
      <c r="F257" s="124"/>
      <c r="G257" s="204">
        <v>0</v>
      </c>
      <c r="H257" s="204"/>
      <c r="I257" s="204">
        <f>G257+I185</f>
        <v>0</v>
      </c>
      <c r="J257" s="136"/>
      <c r="K257" s="136"/>
    </row>
    <row r="258" spans="1:12" ht="15" thickBot="1" x14ac:dyDescent="0.25">
      <c r="A258" s="125"/>
      <c r="B258" s="6"/>
      <c r="C258" s="694" t="s">
        <v>64</v>
      </c>
      <c r="D258" s="694"/>
      <c r="E258" s="694"/>
      <c r="F258" s="134"/>
      <c r="G258" s="214">
        <f>SUM(G255:G257)</f>
        <v>0</v>
      </c>
      <c r="H258" s="204"/>
      <c r="I258" s="215">
        <f>SUM(I255:I257)</f>
        <v>0</v>
      </c>
      <c r="J258" s="136"/>
      <c r="K258" s="136"/>
    </row>
    <row r="259" spans="1:12" ht="15" thickTop="1" x14ac:dyDescent="0.2">
      <c r="A259" s="125"/>
      <c r="B259" s="6"/>
      <c r="C259" s="124"/>
      <c r="D259" s="124"/>
      <c r="E259" s="124"/>
      <c r="F259" s="124"/>
      <c r="G259" s="204"/>
      <c r="H259" s="204"/>
      <c r="I259" s="204"/>
      <c r="J259" s="136"/>
      <c r="K259" s="136"/>
    </row>
    <row r="260" spans="1:12" x14ac:dyDescent="0.2">
      <c r="A260" s="125"/>
      <c r="B260" s="764" t="s">
        <v>67</v>
      </c>
      <c r="C260" s="764"/>
      <c r="D260" s="764"/>
      <c r="E260" s="764"/>
      <c r="F260" s="134"/>
      <c r="G260" s="211">
        <f>G253+G258</f>
        <v>0</v>
      </c>
      <c r="H260" s="204"/>
      <c r="I260" s="211">
        <f>I258+I253</f>
        <v>0</v>
      </c>
      <c r="J260" s="136"/>
      <c r="K260" s="136"/>
    </row>
    <row r="261" spans="1:12" x14ac:dyDescent="0.2">
      <c r="A261" s="125"/>
      <c r="B261" s="124" t="s">
        <v>68</v>
      </c>
      <c r="C261" s="124"/>
      <c r="D261" s="124"/>
      <c r="E261" s="124"/>
      <c r="F261" s="124"/>
      <c r="G261" s="204">
        <f>G247-G260</f>
        <v>0</v>
      </c>
      <c r="H261" s="204"/>
      <c r="I261" s="204">
        <f>I247-I260</f>
        <v>0</v>
      </c>
      <c r="J261" s="136"/>
      <c r="K261" s="136"/>
    </row>
    <row r="262" spans="1:12" ht="15" thickBot="1" x14ac:dyDescent="0.25">
      <c r="A262" s="125"/>
      <c r="B262" s="124" t="s">
        <v>69</v>
      </c>
      <c r="C262" s="130"/>
      <c r="D262" s="130"/>
      <c r="E262" s="127"/>
      <c r="F262" s="127"/>
      <c r="G262" s="216">
        <f>G191</f>
        <v>0</v>
      </c>
      <c r="H262" s="216"/>
      <c r="I262" s="216">
        <f>I190</f>
        <v>0</v>
      </c>
      <c r="J262" s="136"/>
      <c r="K262" s="136"/>
    </row>
    <row r="263" spans="1:12" ht="15.75" thickBot="1" x14ac:dyDescent="0.25">
      <c r="A263" s="125"/>
      <c r="B263" s="765" t="s">
        <v>70</v>
      </c>
      <c r="C263" s="766"/>
      <c r="D263" s="766"/>
      <c r="E263" s="767"/>
      <c r="F263" s="142"/>
      <c r="G263" s="217">
        <f>G262+G261</f>
        <v>0</v>
      </c>
      <c r="H263" s="216"/>
      <c r="I263" s="217">
        <f>SUM(I261:I262)</f>
        <v>0</v>
      </c>
      <c r="J263" s="136"/>
      <c r="K263" s="136"/>
    </row>
    <row r="264" spans="1:12" ht="9.75" customHeight="1" x14ac:dyDescent="0.2">
      <c r="A264" s="120"/>
      <c r="B264" s="119"/>
      <c r="C264" s="119"/>
      <c r="D264" s="119"/>
      <c r="E264" s="119"/>
      <c r="F264" s="119"/>
      <c r="G264" s="218"/>
      <c r="H264" s="218"/>
      <c r="I264" s="218"/>
      <c r="J264" s="594"/>
      <c r="K264" s="594"/>
    </row>
    <row r="265" spans="1:12" ht="22.5" customHeight="1" x14ac:dyDescent="0.2">
      <c r="B265" s="124"/>
      <c r="C265" s="124"/>
      <c r="D265" s="124"/>
      <c r="E265" s="124"/>
      <c r="F265" s="124"/>
      <c r="G265" s="219">
        <f>'Neraca '!H176</f>
        <v>0</v>
      </c>
      <c r="H265" s="219"/>
      <c r="I265" s="219">
        <f>'Neraca '!H176</f>
        <v>0</v>
      </c>
      <c r="L265" s="592">
        <f>G263-G265</f>
        <v>0</v>
      </c>
    </row>
    <row r="266" spans="1:12" x14ac:dyDescent="0.2">
      <c r="A266" s="697" t="s">
        <v>579</v>
      </c>
      <c r="B266" s="697"/>
      <c r="C266" s="697"/>
      <c r="D266" s="697"/>
      <c r="E266" s="697"/>
      <c r="F266" s="697" t="s">
        <v>1062</v>
      </c>
      <c r="G266" s="697"/>
      <c r="H266" s="697"/>
      <c r="I266" s="697"/>
      <c r="J266" s="697"/>
      <c r="K266" s="697"/>
    </row>
    <row r="267" spans="1:12" x14ac:dyDescent="0.2">
      <c r="A267" s="697" t="s">
        <v>678</v>
      </c>
      <c r="B267" s="697"/>
      <c r="C267" s="697"/>
      <c r="D267" s="697"/>
      <c r="E267" s="697"/>
      <c r="F267" s="697" t="s">
        <v>681</v>
      </c>
      <c r="G267" s="697"/>
      <c r="H267" s="697"/>
      <c r="I267" s="697"/>
      <c r="J267" s="697"/>
      <c r="K267" s="697"/>
    </row>
    <row r="268" spans="1:12" x14ac:dyDescent="0.2">
      <c r="A268" s="697"/>
      <c r="B268" s="697"/>
      <c r="C268" s="697"/>
      <c r="D268" s="697"/>
      <c r="E268" s="697"/>
      <c r="F268" s="697"/>
      <c r="G268" s="697"/>
      <c r="H268" s="697"/>
      <c r="I268" s="697"/>
      <c r="J268" s="697"/>
      <c r="K268" s="697"/>
    </row>
    <row r="269" spans="1:12" x14ac:dyDescent="0.2">
      <c r="A269" s="697"/>
      <c r="B269" s="697"/>
      <c r="C269" s="697"/>
      <c r="D269" s="697"/>
      <c r="E269" s="697"/>
      <c r="F269" s="697"/>
      <c r="G269" s="697"/>
      <c r="H269" s="697"/>
      <c r="I269" s="697"/>
      <c r="J269" s="697"/>
      <c r="K269" s="697"/>
    </row>
    <row r="270" spans="1:12" x14ac:dyDescent="0.2">
      <c r="A270" s="697" t="s">
        <v>1061</v>
      </c>
      <c r="B270" s="697"/>
      <c r="C270" s="697"/>
      <c r="D270" s="697"/>
      <c r="E270" s="697"/>
      <c r="F270" s="697" t="s">
        <v>567</v>
      </c>
      <c r="G270" s="697"/>
      <c r="H270" s="697"/>
      <c r="I270" s="697"/>
      <c r="J270" s="697"/>
      <c r="K270" s="697"/>
    </row>
    <row r="271" spans="1:12" x14ac:dyDescent="0.2">
      <c r="A271" s="697"/>
      <c r="B271" s="697"/>
      <c r="C271" s="697"/>
      <c r="D271" s="697"/>
      <c r="E271" s="697"/>
      <c r="F271" s="697"/>
      <c r="G271" s="697"/>
      <c r="H271" s="697"/>
      <c r="I271" s="697"/>
      <c r="J271" s="697"/>
      <c r="K271" s="697"/>
    </row>
    <row r="272" spans="1:12" x14ac:dyDescent="0.2">
      <c r="A272" s="697"/>
      <c r="B272" s="697"/>
      <c r="C272" s="697"/>
      <c r="D272" s="697"/>
      <c r="E272" s="697"/>
      <c r="F272" s="697"/>
      <c r="G272" s="697"/>
      <c r="H272" s="697"/>
      <c r="I272" s="697"/>
      <c r="J272" s="697"/>
      <c r="K272" s="697"/>
    </row>
    <row r="273" spans="1:11" x14ac:dyDescent="0.2">
      <c r="A273" s="697"/>
      <c r="B273" s="697"/>
      <c r="C273" s="697"/>
      <c r="D273" s="697"/>
      <c r="E273" s="697"/>
      <c r="F273" s="697"/>
      <c r="G273" s="697"/>
      <c r="H273" s="697"/>
      <c r="I273" s="697"/>
      <c r="J273" s="697"/>
      <c r="K273" s="697"/>
    </row>
    <row r="274" spans="1:11" x14ac:dyDescent="0.2">
      <c r="A274" s="697"/>
      <c r="B274" s="697"/>
      <c r="C274" s="697"/>
      <c r="D274" s="697"/>
      <c r="E274" s="697"/>
      <c r="F274" s="697"/>
      <c r="G274" s="697"/>
      <c r="H274" s="697"/>
      <c r="I274" s="697"/>
      <c r="J274" s="697"/>
      <c r="K274" s="697"/>
    </row>
    <row r="275" spans="1:11" x14ac:dyDescent="0.2">
      <c r="A275" s="697"/>
      <c r="B275" s="697"/>
      <c r="C275" s="697"/>
      <c r="D275" s="697"/>
      <c r="E275" s="697"/>
      <c r="F275" s="697"/>
      <c r="G275" s="697"/>
      <c r="H275" s="697"/>
      <c r="I275" s="697"/>
      <c r="J275" s="697"/>
      <c r="K275" s="697"/>
    </row>
    <row r="277" spans="1:11" x14ac:dyDescent="0.2">
      <c r="B277" s="124"/>
      <c r="C277" s="124"/>
      <c r="D277" s="124"/>
      <c r="E277" s="124"/>
      <c r="F277" s="124"/>
      <c r="G277" s="200"/>
      <c r="H277" s="200"/>
      <c r="I277" s="200"/>
    </row>
    <row r="278" spans="1:11" x14ac:dyDescent="0.2">
      <c r="B278" s="124"/>
      <c r="C278" s="124"/>
      <c r="D278" s="124"/>
      <c r="E278" s="124"/>
      <c r="F278" s="124"/>
      <c r="G278" s="200"/>
      <c r="H278" s="200"/>
      <c r="I278" s="200"/>
    </row>
    <row r="279" spans="1:11" x14ac:dyDescent="0.2">
      <c r="B279" s="124"/>
      <c r="C279" s="124"/>
      <c r="D279" s="124"/>
      <c r="E279" s="124"/>
      <c r="F279" s="124"/>
      <c r="G279" s="200"/>
      <c r="H279" s="200"/>
      <c r="I279" s="200"/>
    </row>
    <row r="280" spans="1:11" x14ac:dyDescent="0.2">
      <c r="B280" s="124"/>
      <c r="C280" s="124"/>
      <c r="D280" s="124"/>
      <c r="E280" s="124"/>
      <c r="F280" s="124"/>
      <c r="G280" s="200"/>
      <c r="H280" s="200"/>
      <c r="I280" s="200"/>
    </row>
    <row r="281" spans="1:11" x14ac:dyDescent="0.2">
      <c r="B281" s="124"/>
      <c r="C281" s="124"/>
      <c r="D281" s="124"/>
      <c r="E281" s="124"/>
      <c r="F281" s="124"/>
      <c r="G281" s="200"/>
      <c r="H281" s="200"/>
      <c r="I281" s="200"/>
    </row>
    <row r="282" spans="1:11" x14ac:dyDescent="0.2">
      <c r="B282" s="124"/>
      <c r="C282" s="124"/>
      <c r="D282" s="124"/>
      <c r="E282" s="124"/>
      <c r="F282" s="124"/>
      <c r="G282" s="200"/>
      <c r="H282" s="200"/>
      <c r="I282" s="200"/>
    </row>
    <row r="283" spans="1:11" x14ac:dyDescent="0.2">
      <c r="B283" s="124"/>
      <c r="C283" s="124"/>
      <c r="D283" s="124"/>
      <c r="E283" s="124"/>
      <c r="F283" s="124"/>
      <c r="G283" s="200"/>
      <c r="H283" s="200"/>
      <c r="I283" s="200"/>
    </row>
    <row r="284" spans="1:11" x14ac:dyDescent="0.2">
      <c r="B284" s="124"/>
      <c r="C284" s="124"/>
      <c r="D284" s="124"/>
      <c r="E284" s="124"/>
      <c r="F284" s="124"/>
      <c r="G284" s="200"/>
      <c r="H284" s="200"/>
      <c r="I284" s="200"/>
    </row>
    <row r="285" spans="1:11" x14ac:dyDescent="0.2">
      <c r="C285" s="124"/>
      <c r="D285" s="124"/>
      <c r="E285" s="124"/>
      <c r="F285" s="124"/>
    </row>
    <row r="286" spans="1:11" x14ac:dyDescent="0.2">
      <c r="C286" s="124"/>
      <c r="D286" s="124"/>
      <c r="E286" s="124"/>
      <c r="F286" s="124"/>
    </row>
    <row r="287" spans="1:11" x14ac:dyDescent="0.2">
      <c r="C287" s="124"/>
      <c r="D287" s="124"/>
      <c r="E287" s="124"/>
      <c r="F287" s="124"/>
    </row>
    <row r="288" spans="1:11" x14ac:dyDescent="0.2">
      <c r="B288" s="124"/>
      <c r="C288" s="124"/>
      <c r="D288" s="124"/>
      <c r="E288" s="124"/>
      <c r="F288" s="124"/>
    </row>
    <row r="289" spans="1:11" ht="15" x14ac:dyDescent="0.25">
      <c r="A289" s="141"/>
      <c r="B289" s="762"/>
      <c r="C289" s="762"/>
      <c r="D289" s="762"/>
      <c r="E289" s="762"/>
      <c r="F289" s="762"/>
      <c r="G289" s="762"/>
      <c r="H289" s="762"/>
      <c r="I289" s="762"/>
      <c r="J289" s="591"/>
      <c r="K289" s="591"/>
    </row>
    <row r="290" spans="1:11" ht="15" x14ac:dyDescent="0.25">
      <c r="A290" s="125"/>
      <c r="B290" s="696" t="s">
        <v>41</v>
      </c>
      <c r="C290" s="696"/>
      <c r="D290" s="696"/>
      <c r="E290" s="696"/>
      <c r="F290" s="696"/>
      <c r="G290" s="696"/>
      <c r="H290" s="696"/>
      <c r="I290" s="696"/>
      <c r="J290" s="136"/>
      <c r="K290" s="136"/>
    </row>
    <row r="291" spans="1:11" ht="15" x14ac:dyDescent="0.25">
      <c r="A291" s="125"/>
      <c r="B291" s="696" t="s">
        <v>1018</v>
      </c>
      <c r="C291" s="696"/>
      <c r="D291" s="696"/>
      <c r="E291" s="696"/>
      <c r="F291" s="696"/>
      <c r="G291" s="696"/>
      <c r="H291" s="696"/>
      <c r="I291" s="696"/>
      <c r="J291" s="136"/>
      <c r="K291" s="136"/>
    </row>
    <row r="292" spans="1:11" x14ac:dyDescent="0.2">
      <c r="A292" s="125"/>
      <c r="B292" s="124"/>
      <c r="C292" s="124"/>
      <c r="D292" s="124"/>
      <c r="E292" s="124"/>
      <c r="F292" s="124"/>
      <c r="J292" s="136"/>
      <c r="K292" s="136"/>
    </row>
    <row r="293" spans="1:11" x14ac:dyDescent="0.2">
      <c r="A293" s="125"/>
      <c r="B293" s="755" t="s">
        <v>38</v>
      </c>
      <c r="C293" s="756"/>
      <c r="D293" s="756"/>
      <c r="E293" s="757"/>
      <c r="F293" s="127"/>
      <c r="G293" s="201" t="s">
        <v>37</v>
      </c>
      <c r="H293" s="127"/>
      <c r="I293" s="201" t="s">
        <v>39</v>
      </c>
      <c r="J293" s="136"/>
      <c r="K293" s="136"/>
    </row>
    <row r="294" spans="1:11" x14ac:dyDescent="0.2">
      <c r="A294" s="125"/>
      <c r="B294" s="758"/>
      <c r="C294" s="759"/>
      <c r="D294" s="759"/>
      <c r="E294" s="760"/>
      <c r="F294" s="127"/>
      <c r="G294" s="202" t="s">
        <v>40</v>
      </c>
      <c r="H294" s="127"/>
      <c r="I294" s="202" t="s">
        <v>40</v>
      </c>
      <c r="J294" s="136"/>
      <c r="K294" s="136"/>
    </row>
    <row r="295" spans="1:11" x14ac:dyDescent="0.2">
      <c r="A295" s="125"/>
      <c r="B295" s="203" t="s">
        <v>43</v>
      </c>
      <c r="C295" s="128"/>
      <c r="D295" s="124"/>
      <c r="E295" s="124"/>
      <c r="F295" s="124"/>
      <c r="G295" s="204"/>
      <c r="H295" s="204"/>
      <c r="I295" s="204"/>
      <c r="J295" s="136"/>
      <c r="K295" s="136"/>
    </row>
    <row r="296" spans="1:11" x14ac:dyDescent="0.2">
      <c r="A296" s="125"/>
      <c r="B296" s="6"/>
      <c r="C296" s="124" t="s">
        <v>42</v>
      </c>
      <c r="D296" s="124"/>
      <c r="E296" s="124"/>
      <c r="F296" s="124"/>
      <c r="G296" s="204"/>
      <c r="H296" s="204"/>
      <c r="I296" s="204"/>
      <c r="J296" s="136"/>
      <c r="K296" s="136"/>
    </row>
    <row r="297" spans="1:11" x14ac:dyDescent="0.2">
      <c r="A297" s="125"/>
      <c r="B297" s="6"/>
      <c r="C297" s="124"/>
      <c r="D297" s="124" t="s">
        <v>44</v>
      </c>
      <c r="E297" s="124"/>
      <c r="F297" s="124"/>
      <c r="G297" s="204">
        <v>0</v>
      </c>
      <c r="H297" s="204"/>
      <c r="I297" s="204">
        <f>G297+I226</f>
        <v>0</v>
      </c>
      <c r="J297" s="136"/>
      <c r="K297" s="136"/>
    </row>
    <row r="298" spans="1:11" x14ac:dyDescent="0.2">
      <c r="A298" s="125"/>
      <c r="B298" s="6"/>
      <c r="C298" s="124"/>
      <c r="D298" s="124" t="s">
        <v>573</v>
      </c>
      <c r="E298" s="124"/>
      <c r="F298" s="124"/>
      <c r="G298" s="204">
        <v>0</v>
      </c>
      <c r="H298" s="204"/>
      <c r="I298" s="204">
        <f t="shared" ref="I298:I299" si="4">G298+I227</f>
        <v>0</v>
      </c>
      <c r="J298" s="136"/>
      <c r="K298" s="136"/>
    </row>
    <row r="299" spans="1:11" x14ac:dyDescent="0.2">
      <c r="A299" s="125"/>
      <c r="B299" s="6"/>
      <c r="C299" s="124"/>
      <c r="D299" s="124" t="s">
        <v>591</v>
      </c>
      <c r="E299" s="124"/>
      <c r="F299" s="124"/>
      <c r="G299" s="204"/>
      <c r="H299" s="204"/>
      <c r="I299" s="204">
        <f t="shared" si="4"/>
        <v>0</v>
      </c>
      <c r="J299" s="136"/>
      <c r="K299" s="136"/>
    </row>
    <row r="300" spans="1:11" x14ac:dyDescent="0.2">
      <c r="A300" s="125"/>
      <c r="B300" s="6"/>
      <c r="C300" s="124"/>
      <c r="D300" s="124" t="s">
        <v>593</v>
      </c>
      <c r="E300" s="124"/>
      <c r="F300" s="124"/>
      <c r="G300" s="204">
        <v>0</v>
      </c>
      <c r="H300" s="204"/>
      <c r="I300" s="204">
        <f>I229+G300</f>
        <v>0</v>
      </c>
      <c r="J300" s="136"/>
      <c r="K300" s="136"/>
    </row>
    <row r="301" spans="1:11" x14ac:dyDescent="0.2">
      <c r="A301" s="125"/>
      <c r="B301" s="6"/>
      <c r="C301" s="124"/>
      <c r="D301" s="124"/>
      <c r="E301" s="134" t="s">
        <v>51</v>
      </c>
      <c r="F301" s="124"/>
      <c r="G301" s="205">
        <f>SUM(G297:G300)</f>
        <v>0</v>
      </c>
      <c r="H301" s="204"/>
      <c r="I301" s="205">
        <f>SUM(I297:I300)</f>
        <v>0</v>
      </c>
      <c r="J301" s="136"/>
      <c r="K301" s="136"/>
    </row>
    <row r="302" spans="1:11" x14ac:dyDescent="0.2">
      <c r="A302" s="125"/>
      <c r="B302" s="6"/>
      <c r="C302" s="124"/>
      <c r="D302" s="124" t="s">
        <v>572</v>
      </c>
      <c r="E302" s="124"/>
      <c r="F302" s="124"/>
      <c r="G302" s="204"/>
      <c r="H302" s="204"/>
      <c r="I302" s="204"/>
      <c r="J302" s="136"/>
      <c r="K302" s="136"/>
    </row>
    <row r="303" spans="1:11" x14ac:dyDescent="0.2">
      <c r="A303" s="125"/>
      <c r="B303" s="6"/>
      <c r="C303" s="124"/>
      <c r="E303" s="206" t="s">
        <v>46</v>
      </c>
      <c r="F303" s="124"/>
      <c r="G303" s="204">
        <v>0</v>
      </c>
      <c r="H303" s="204"/>
      <c r="I303" s="204">
        <f t="shared" ref="I303:I308" si="5">G303+I232</f>
        <v>0</v>
      </c>
      <c r="J303" s="136"/>
      <c r="K303" s="136"/>
    </row>
    <row r="304" spans="1:11" x14ac:dyDescent="0.2">
      <c r="A304" s="125"/>
      <c r="B304" s="6"/>
      <c r="C304" s="124"/>
      <c r="D304" s="124"/>
      <c r="E304" s="206" t="s">
        <v>47</v>
      </c>
      <c r="F304" s="124"/>
      <c r="G304" s="204"/>
      <c r="H304" s="204"/>
      <c r="I304" s="204">
        <f t="shared" si="5"/>
        <v>0</v>
      </c>
      <c r="J304" s="136"/>
      <c r="K304" s="136"/>
    </row>
    <row r="305" spans="1:13" x14ac:dyDescent="0.2">
      <c r="A305" s="125"/>
      <c r="B305" s="6"/>
      <c r="C305" s="124"/>
      <c r="D305" s="134"/>
      <c r="E305" s="207" t="s">
        <v>48</v>
      </c>
      <c r="F305" s="134"/>
      <c r="G305" s="204"/>
      <c r="H305" s="204"/>
      <c r="I305" s="204">
        <f t="shared" si="5"/>
        <v>0</v>
      </c>
      <c r="J305" s="136"/>
      <c r="K305" s="136"/>
    </row>
    <row r="306" spans="1:13" x14ac:dyDescent="0.2">
      <c r="A306" s="125"/>
      <c r="B306" s="6"/>
      <c r="C306" s="124"/>
      <c r="D306" s="124"/>
      <c r="E306" s="206" t="s">
        <v>49</v>
      </c>
      <c r="F306" s="124"/>
      <c r="G306" s="204">
        <v>0</v>
      </c>
      <c r="H306" s="204"/>
      <c r="I306" s="204">
        <f t="shared" si="5"/>
        <v>0</v>
      </c>
      <c r="J306" s="136"/>
      <c r="K306" s="136"/>
    </row>
    <row r="307" spans="1:13" x14ac:dyDescent="0.2">
      <c r="A307" s="125"/>
      <c r="B307" s="6"/>
      <c r="C307" s="124"/>
      <c r="D307" s="134"/>
      <c r="E307" s="207" t="s">
        <v>654</v>
      </c>
      <c r="F307" s="134"/>
      <c r="G307" s="204"/>
      <c r="H307" s="204"/>
      <c r="I307" s="204">
        <f t="shared" si="5"/>
        <v>0</v>
      </c>
      <c r="J307" s="136"/>
      <c r="K307" s="136"/>
    </row>
    <row r="308" spans="1:13" x14ac:dyDescent="0.2">
      <c r="A308" s="125"/>
      <c r="B308" s="134"/>
      <c r="C308" s="128"/>
      <c r="D308" s="124"/>
      <c r="E308" s="206" t="s">
        <v>50</v>
      </c>
      <c r="F308" s="124"/>
      <c r="G308" s="204"/>
      <c r="H308" s="204"/>
      <c r="I308" s="204">
        <f t="shared" si="5"/>
        <v>0</v>
      </c>
      <c r="J308" s="136"/>
      <c r="K308" s="136"/>
    </row>
    <row r="309" spans="1:13" x14ac:dyDescent="0.2">
      <c r="A309" s="125"/>
      <c r="B309" s="6"/>
      <c r="C309" s="124"/>
      <c r="D309" s="208"/>
      <c r="E309" s="127" t="s">
        <v>52</v>
      </c>
      <c r="F309" s="208"/>
      <c r="G309" s="205">
        <f>SUM(G303:G308)</f>
        <v>0</v>
      </c>
      <c r="H309" s="204"/>
      <c r="I309" s="205">
        <f>SUM(I303:I308)</f>
        <v>0</v>
      </c>
      <c r="J309" s="136"/>
      <c r="K309" s="136"/>
    </row>
    <row r="310" spans="1:13" x14ac:dyDescent="0.2">
      <c r="A310" s="125"/>
      <c r="B310" s="6"/>
      <c r="C310" s="124"/>
      <c r="D310" s="124"/>
      <c r="E310" s="124"/>
      <c r="F310" s="124"/>
      <c r="G310" s="204"/>
      <c r="H310" s="204"/>
      <c r="I310" s="204"/>
      <c r="J310" s="136"/>
      <c r="K310" s="136"/>
    </row>
    <row r="311" spans="1:13" ht="15" thickBot="1" x14ac:dyDescent="0.25">
      <c r="A311" s="125"/>
      <c r="B311" s="6"/>
      <c r="C311" s="710" t="s">
        <v>66</v>
      </c>
      <c r="D311" s="710"/>
      <c r="E311" s="710"/>
      <c r="F311" s="124"/>
      <c r="G311" s="209">
        <f>G309+G301</f>
        <v>0</v>
      </c>
      <c r="H311" s="204"/>
      <c r="I311" s="209">
        <f>I309+I301</f>
        <v>0</v>
      </c>
      <c r="K311" s="136"/>
    </row>
    <row r="312" spans="1:13" ht="15" thickTop="1" x14ac:dyDescent="0.2">
      <c r="A312" s="125"/>
      <c r="B312" s="6"/>
      <c r="C312" s="124" t="s">
        <v>53</v>
      </c>
      <c r="D312" s="124"/>
      <c r="E312" s="124"/>
      <c r="F312" s="124"/>
      <c r="G312" s="204"/>
      <c r="H312" s="204"/>
      <c r="I312" s="204"/>
      <c r="J312" s="136"/>
      <c r="K312" s="136"/>
    </row>
    <row r="313" spans="1:13" x14ac:dyDescent="0.2">
      <c r="A313" s="125"/>
      <c r="B313" s="6"/>
      <c r="C313" s="151"/>
      <c r="D313" s="151" t="s">
        <v>574</v>
      </c>
      <c r="E313" s="134"/>
      <c r="F313" s="134"/>
      <c r="G313" s="204">
        <v>0</v>
      </c>
      <c r="H313" s="204"/>
      <c r="I313" s="204">
        <f>G313+I242</f>
        <v>0</v>
      </c>
      <c r="J313" s="136"/>
      <c r="K313" s="136"/>
    </row>
    <row r="314" spans="1:13" x14ac:dyDescent="0.2">
      <c r="A314" s="125"/>
      <c r="B314" s="134"/>
      <c r="C314" s="128"/>
      <c r="D314" s="124" t="s">
        <v>108</v>
      </c>
      <c r="E314" s="124"/>
      <c r="F314" s="124"/>
      <c r="G314" s="204"/>
      <c r="H314" s="204"/>
      <c r="I314" s="204">
        <f t="shared" ref="I314:I315" si="6">G314+I243</f>
        <v>0</v>
      </c>
      <c r="J314" s="136"/>
      <c r="K314" s="136"/>
    </row>
    <row r="315" spans="1:13" x14ac:dyDescent="0.2">
      <c r="A315" s="125"/>
      <c r="B315" s="6"/>
      <c r="C315" s="124"/>
      <c r="D315" s="151" t="s">
        <v>1047</v>
      </c>
      <c r="E315" s="151"/>
      <c r="F315" s="151"/>
      <c r="G315" s="204"/>
      <c r="H315" s="204"/>
      <c r="I315" s="204">
        <f t="shared" si="6"/>
        <v>0</v>
      </c>
      <c r="J315" s="136"/>
      <c r="K315" s="136"/>
    </row>
    <row r="316" spans="1:13" ht="15" thickBot="1" x14ac:dyDescent="0.25">
      <c r="A316" s="125"/>
      <c r="B316" s="6"/>
      <c r="C316" s="694" t="s">
        <v>65</v>
      </c>
      <c r="D316" s="694"/>
      <c r="E316" s="694"/>
      <c r="F316" s="124"/>
      <c r="G316" s="209">
        <f>SUM(G313:G315)</f>
        <v>0</v>
      </c>
      <c r="H316" s="210"/>
      <c r="I316" s="209">
        <f>SUM(I313:I315)</f>
        <v>0</v>
      </c>
      <c r="J316" s="136"/>
      <c r="K316" s="136"/>
    </row>
    <row r="317" spans="1:13" ht="15" thickTop="1" x14ac:dyDescent="0.2">
      <c r="A317" s="125"/>
      <c r="B317" s="6"/>
      <c r="C317" s="124"/>
      <c r="D317" s="124"/>
      <c r="E317" s="124"/>
      <c r="F317" s="124"/>
      <c r="G317" s="210"/>
      <c r="H317" s="210"/>
      <c r="I317" s="210"/>
      <c r="J317" s="136"/>
      <c r="K317" s="136"/>
    </row>
    <row r="318" spans="1:13" x14ac:dyDescent="0.2">
      <c r="A318" s="125"/>
      <c r="B318" s="764" t="s">
        <v>55</v>
      </c>
      <c r="C318" s="764"/>
      <c r="D318" s="764"/>
      <c r="E318" s="764"/>
      <c r="F318" s="134"/>
      <c r="G318" s="211">
        <f>G316+G311</f>
        <v>0</v>
      </c>
      <c r="H318" s="204"/>
      <c r="I318" s="211">
        <f>I316+I311</f>
        <v>0</v>
      </c>
      <c r="J318" s="136"/>
      <c r="K318" s="136"/>
      <c r="M318" s="431"/>
    </row>
    <row r="319" spans="1:13" x14ac:dyDescent="0.2">
      <c r="A319" s="125"/>
      <c r="B319" s="203" t="s">
        <v>56</v>
      </c>
      <c r="C319" s="124"/>
      <c r="D319" s="124"/>
      <c r="E319" s="124"/>
      <c r="F319" s="124"/>
      <c r="G319" s="204"/>
      <c r="H319" s="204"/>
      <c r="I319" s="204"/>
      <c r="J319" s="136"/>
      <c r="K319" s="136"/>
    </row>
    <row r="320" spans="1:13" x14ac:dyDescent="0.2">
      <c r="A320" s="125"/>
      <c r="B320" s="6"/>
      <c r="C320" s="124" t="s">
        <v>57</v>
      </c>
      <c r="D320" s="134"/>
      <c r="E320" s="134"/>
      <c r="F320" s="134"/>
      <c r="G320" s="204"/>
      <c r="H320" s="204"/>
      <c r="I320" s="204"/>
      <c r="J320" s="136"/>
      <c r="K320" s="136"/>
    </row>
    <row r="321" spans="1:13" x14ac:dyDescent="0.2">
      <c r="A321" s="125"/>
      <c r="B321" s="134"/>
      <c r="C321" s="128"/>
      <c r="D321" s="124" t="s">
        <v>58</v>
      </c>
      <c r="E321" s="124"/>
      <c r="F321" s="124"/>
      <c r="G321" s="212">
        <f>'RINCIAN B. LANGSUNG USAHA'!H58+'RINCIAN B. LANGSUNG USAHA'!H20+'RINCIAN B. LANGSUNG USAHA'!H86+'RINCIAN B. LANGSUNG USAHA'!H87+'RINCIAN B. LANGSUNG USAHA'!H19+'RINCIAN B. LANGSUNG USAHA'!H29+'RINCIAN B. LANGSUNG USAHA'!H65+'RINCIAN B. LANGSUNG USAHA'!H96+'RINCIAN B. TDK LANGSUNG'!H44+'RINCIAN B. TDK LANGSUNG'!H49+'RINCIAN B. TDK LANGSUNG'!H59</f>
        <v>0</v>
      </c>
      <c r="H321" s="204"/>
      <c r="I321" s="204">
        <f>G321+I250</f>
        <v>0</v>
      </c>
      <c r="J321" s="136"/>
      <c r="K321" s="136"/>
    </row>
    <row r="322" spans="1:13" x14ac:dyDescent="0.2">
      <c r="A322" s="125"/>
      <c r="B322" s="6"/>
      <c r="C322" s="124"/>
      <c r="D322" s="151" t="s">
        <v>59</v>
      </c>
      <c r="E322" s="151"/>
      <c r="F322" s="151"/>
      <c r="G322" s="593">
        <f>'RINCIAN B. LANGSUNG USAHA'!H37+'RINCIAN B. LANGSUNG USAHA'!H44+'RINCIAN B. LANGSUNG USAHA'!H50+'RINCIAN B. LANGSUNG USAHA'!H51+'RINCIAN B. LANGSUNG USAHA'!H52+'RINCIAN B. LANGSUNG USAHA'!H77+'RINCIAN B. LANGSUNG USAHA'!H83+'RINCIAN B. LANGSUNG USAHA'!H84+'RINCIAN B. LANGSUNG USAHA'!H85+'RINCIAN B. LANGSUNG USAHA'!H73+'RINCIAN B. TDK LANGSUNG'!H29+'RINCIAN B. TDK LANGSUNG'!H63</f>
        <v>0</v>
      </c>
      <c r="H322" s="204"/>
      <c r="I322" s="204">
        <f>G322+I251</f>
        <v>0</v>
      </c>
      <c r="J322" s="136"/>
      <c r="K322" s="136"/>
    </row>
    <row r="323" spans="1:13" x14ac:dyDescent="0.2">
      <c r="A323" s="125"/>
      <c r="B323" s="6"/>
      <c r="C323" s="124"/>
      <c r="D323" s="124" t="s">
        <v>60</v>
      </c>
      <c r="E323" s="124"/>
      <c r="F323" s="124"/>
      <c r="G323" s="593">
        <v>0</v>
      </c>
      <c r="H323" s="204"/>
      <c r="I323" s="204">
        <f>G323+I252</f>
        <v>0</v>
      </c>
      <c r="J323" s="136"/>
      <c r="K323" s="136"/>
    </row>
    <row r="324" spans="1:13" ht="15" thickBot="1" x14ac:dyDescent="0.25">
      <c r="A324" s="125"/>
      <c r="B324" s="6"/>
      <c r="C324" s="694" t="s">
        <v>63</v>
      </c>
      <c r="D324" s="694"/>
      <c r="E324" s="694"/>
      <c r="F324" s="124"/>
      <c r="G324" s="213">
        <f>SUM(G321:G323)</f>
        <v>0</v>
      </c>
      <c r="H324" s="204"/>
      <c r="I324" s="213">
        <f>SUM(I321:I323)</f>
        <v>0</v>
      </c>
      <c r="J324" s="136"/>
      <c r="K324" s="136"/>
    </row>
    <row r="325" spans="1:13" ht="15" thickTop="1" x14ac:dyDescent="0.2">
      <c r="A325" s="125"/>
      <c r="B325" s="6"/>
      <c r="C325" s="124" t="s">
        <v>61</v>
      </c>
      <c r="D325" s="124"/>
      <c r="E325" s="124"/>
      <c r="F325" s="124"/>
      <c r="G325" s="204"/>
      <c r="H325" s="204"/>
      <c r="I325" s="204"/>
      <c r="J325" s="136"/>
      <c r="K325" s="136"/>
    </row>
    <row r="326" spans="1:13" x14ac:dyDescent="0.2">
      <c r="A326" s="125"/>
      <c r="B326" s="6"/>
      <c r="C326" s="124"/>
      <c r="D326" s="124" t="s">
        <v>71</v>
      </c>
      <c r="E326" s="124"/>
      <c r="F326" s="124"/>
      <c r="G326" s="204"/>
      <c r="H326" s="204"/>
      <c r="I326" s="204">
        <f>G326+I255</f>
        <v>0</v>
      </c>
      <c r="J326" s="136"/>
      <c r="K326" s="136"/>
    </row>
    <row r="327" spans="1:13" x14ac:dyDescent="0.2">
      <c r="A327" s="125"/>
      <c r="B327" s="6"/>
      <c r="C327" s="124"/>
      <c r="D327" s="124" t="s">
        <v>294</v>
      </c>
      <c r="E327" s="124"/>
      <c r="F327" s="124"/>
      <c r="G327" s="204">
        <v>0</v>
      </c>
      <c r="H327" s="204"/>
      <c r="I327" s="204">
        <f>G327+I256</f>
        <v>0</v>
      </c>
      <c r="J327" s="136"/>
      <c r="K327" s="136"/>
    </row>
    <row r="328" spans="1:13" x14ac:dyDescent="0.2">
      <c r="A328" s="125"/>
      <c r="B328" s="6"/>
      <c r="C328" s="124"/>
      <c r="D328" s="124" t="s">
        <v>62</v>
      </c>
      <c r="E328" s="124"/>
      <c r="F328" s="124"/>
      <c r="G328" s="204">
        <f>-'B. NON OPERASIONAL'!F12</f>
        <v>0</v>
      </c>
      <c r="H328" s="204"/>
      <c r="I328" s="204">
        <f>G328+I257</f>
        <v>0</v>
      </c>
      <c r="J328" s="136"/>
      <c r="K328" s="136"/>
    </row>
    <row r="329" spans="1:13" ht="15" thickBot="1" x14ac:dyDescent="0.25">
      <c r="A329" s="125"/>
      <c r="B329" s="6"/>
      <c r="C329" s="694" t="s">
        <v>64</v>
      </c>
      <c r="D329" s="694"/>
      <c r="E329" s="694"/>
      <c r="F329" s="134"/>
      <c r="G329" s="214">
        <f>SUM(G326:G328)</f>
        <v>0</v>
      </c>
      <c r="H329" s="204"/>
      <c r="I329" s="215">
        <f>SUM(I326:I328)</f>
        <v>0</v>
      </c>
      <c r="J329" s="136"/>
      <c r="K329" s="136"/>
    </row>
    <row r="330" spans="1:13" ht="15" thickTop="1" x14ac:dyDescent="0.2">
      <c r="A330" s="125"/>
      <c r="B330" s="6"/>
      <c r="C330" s="124"/>
      <c r="D330" s="124"/>
      <c r="E330" s="124"/>
      <c r="F330" s="124"/>
      <c r="G330" s="204"/>
      <c r="H330" s="204"/>
      <c r="I330" s="204"/>
      <c r="J330" s="136"/>
      <c r="K330" s="136"/>
    </row>
    <row r="331" spans="1:13" x14ac:dyDescent="0.2">
      <c r="A331" s="125"/>
      <c r="B331" s="764" t="s">
        <v>67</v>
      </c>
      <c r="C331" s="764"/>
      <c r="D331" s="764"/>
      <c r="E331" s="764"/>
      <c r="F331" s="134"/>
      <c r="G331" s="211">
        <f>G324+G329</f>
        <v>0</v>
      </c>
      <c r="H331" s="204"/>
      <c r="I331" s="211">
        <f>I329+I324</f>
        <v>0</v>
      </c>
      <c r="J331" s="136"/>
      <c r="K331" s="136"/>
    </row>
    <row r="332" spans="1:13" x14ac:dyDescent="0.2">
      <c r="A332" s="125"/>
      <c r="B332" s="124" t="s">
        <v>68</v>
      </c>
      <c r="C332" s="124"/>
      <c r="D332" s="124"/>
      <c r="E332" s="124"/>
      <c r="F332" s="124"/>
      <c r="G332" s="204">
        <f>G318-G331</f>
        <v>0</v>
      </c>
      <c r="H332" s="204"/>
      <c r="I332" s="204">
        <f>I318-I331</f>
        <v>0</v>
      </c>
      <c r="J332" s="136"/>
      <c r="K332" s="136"/>
    </row>
    <row r="333" spans="1:13" ht="15" thickBot="1" x14ac:dyDescent="0.25">
      <c r="A333" s="125"/>
      <c r="B333" s="124" t="s">
        <v>69</v>
      </c>
      <c r="C333" s="130"/>
      <c r="D333" s="130"/>
      <c r="E333" s="127"/>
      <c r="F333" s="127"/>
      <c r="G333" s="216">
        <f>G263</f>
        <v>0</v>
      </c>
      <c r="H333" s="216"/>
      <c r="I333" s="216">
        <f>I262</f>
        <v>0</v>
      </c>
      <c r="J333" s="136"/>
      <c r="K333" s="136"/>
    </row>
    <row r="334" spans="1:13" ht="22.5" customHeight="1" thickBot="1" x14ac:dyDescent="0.25">
      <c r="A334" s="125"/>
      <c r="B334" s="765" t="s">
        <v>70</v>
      </c>
      <c r="C334" s="766"/>
      <c r="D334" s="766"/>
      <c r="E334" s="767"/>
      <c r="F334" s="142"/>
      <c r="G334" s="217">
        <f>G333+G332</f>
        <v>0</v>
      </c>
      <c r="H334" s="216"/>
      <c r="I334" s="217">
        <f>SUM(I332:I333)</f>
        <v>0</v>
      </c>
      <c r="J334" s="136"/>
      <c r="K334" s="136"/>
    </row>
    <row r="335" spans="1:13" x14ac:dyDescent="0.2">
      <c r="A335" s="120"/>
      <c r="B335" s="119"/>
      <c r="C335" s="119"/>
      <c r="D335" s="119"/>
      <c r="E335" s="119"/>
      <c r="F335" s="119"/>
      <c r="G335" s="218"/>
      <c r="H335" s="218"/>
      <c r="I335" s="218"/>
      <c r="J335" s="594"/>
      <c r="K335" s="594"/>
    </row>
    <row r="336" spans="1:13" x14ac:dyDescent="0.2">
      <c r="B336" s="124"/>
      <c r="C336" s="124"/>
      <c r="D336" s="124"/>
      <c r="E336" s="124"/>
      <c r="F336" s="124"/>
      <c r="G336" s="219">
        <f>'[5]11.01-12.01'!$F$16</f>
        <v>1247854500.8000002</v>
      </c>
      <c r="H336" s="219"/>
      <c r="I336" s="219"/>
      <c r="M336" s="431">
        <f>G334-G336</f>
        <v>-1247854500.8000002</v>
      </c>
    </row>
    <row r="337" spans="1:11" x14ac:dyDescent="0.2">
      <c r="A337" s="697" t="s">
        <v>579</v>
      </c>
      <c r="B337" s="697"/>
      <c r="C337" s="697"/>
      <c r="D337" s="697"/>
      <c r="E337" s="697"/>
      <c r="F337" s="697" t="s">
        <v>566</v>
      </c>
      <c r="G337" s="697"/>
      <c r="H337" s="697"/>
      <c r="I337" s="697"/>
      <c r="J337" s="697"/>
      <c r="K337" s="697"/>
    </row>
    <row r="338" spans="1:11" x14ac:dyDescent="0.2">
      <c r="A338" s="697" t="s">
        <v>678</v>
      </c>
      <c r="B338" s="697"/>
      <c r="C338" s="697"/>
      <c r="D338" s="697"/>
      <c r="E338" s="697"/>
      <c r="F338" s="697" t="s">
        <v>681</v>
      </c>
      <c r="G338" s="697"/>
      <c r="H338" s="697"/>
      <c r="I338" s="697"/>
      <c r="J338" s="697"/>
      <c r="K338" s="697"/>
    </row>
    <row r="339" spans="1:11" x14ac:dyDescent="0.2">
      <c r="A339" s="697"/>
      <c r="B339" s="697"/>
      <c r="C339" s="697"/>
      <c r="D339" s="697"/>
      <c r="E339" s="697"/>
      <c r="F339" s="697"/>
      <c r="G339" s="697"/>
      <c r="H339" s="697"/>
      <c r="I339" s="697"/>
      <c r="J339" s="697"/>
      <c r="K339" s="697"/>
    </row>
    <row r="340" spans="1:11" x14ac:dyDescent="0.2">
      <c r="A340" s="697"/>
      <c r="B340" s="697"/>
      <c r="C340" s="697"/>
      <c r="D340" s="697"/>
      <c r="E340" s="697"/>
      <c r="F340" s="697"/>
      <c r="G340" s="697"/>
      <c r="H340" s="697"/>
      <c r="I340" s="697"/>
      <c r="J340" s="697"/>
      <c r="K340" s="697"/>
    </row>
    <row r="341" spans="1:11" x14ac:dyDescent="0.2">
      <c r="A341" s="697" t="s">
        <v>684</v>
      </c>
      <c r="B341" s="697"/>
      <c r="C341" s="697"/>
      <c r="D341" s="697"/>
      <c r="E341" s="697"/>
      <c r="F341" s="697" t="s">
        <v>567</v>
      </c>
      <c r="G341" s="697"/>
      <c r="H341" s="697"/>
      <c r="I341" s="697"/>
      <c r="J341" s="697"/>
      <c r="K341" s="697"/>
    </row>
    <row r="342" spans="1:11" x14ac:dyDescent="0.2">
      <c r="A342" s="697"/>
      <c r="B342" s="697"/>
      <c r="C342" s="697"/>
      <c r="D342" s="697"/>
      <c r="E342" s="697"/>
      <c r="F342" s="697"/>
      <c r="G342" s="697"/>
      <c r="H342" s="697"/>
      <c r="I342" s="697"/>
      <c r="J342" s="697"/>
      <c r="K342" s="697"/>
    </row>
    <row r="343" spans="1:11" x14ac:dyDescent="0.2">
      <c r="A343" s="697"/>
      <c r="B343" s="697"/>
      <c r="C343" s="697"/>
      <c r="D343" s="697"/>
      <c r="E343" s="697"/>
      <c r="F343" s="697"/>
      <c r="G343" s="697"/>
      <c r="H343" s="697"/>
      <c r="I343" s="697"/>
      <c r="J343" s="697"/>
      <c r="K343" s="697"/>
    </row>
    <row r="344" spans="1:11" x14ac:dyDescent="0.2">
      <c r="A344" s="697"/>
      <c r="B344" s="697"/>
      <c r="C344" s="697"/>
      <c r="D344" s="697"/>
      <c r="E344" s="697"/>
      <c r="F344" s="697"/>
      <c r="G344" s="697"/>
      <c r="H344" s="697"/>
      <c r="I344" s="697"/>
      <c r="J344" s="697"/>
      <c r="K344" s="697"/>
    </row>
    <row r="345" spans="1:11" x14ac:dyDescent="0.2">
      <c r="A345" s="697"/>
      <c r="B345" s="697"/>
      <c r="C345" s="697"/>
      <c r="D345" s="697"/>
      <c r="E345" s="697"/>
      <c r="F345" s="697"/>
      <c r="G345" s="697"/>
      <c r="H345" s="697"/>
      <c r="I345" s="697"/>
      <c r="J345" s="697"/>
      <c r="K345" s="697"/>
    </row>
    <row r="346" spans="1:11" x14ac:dyDescent="0.2">
      <c r="A346" s="697"/>
      <c r="B346" s="697"/>
      <c r="C346" s="697"/>
      <c r="D346" s="697"/>
      <c r="E346" s="697"/>
      <c r="F346" s="697"/>
      <c r="G346" s="697"/>
      <c r="H346" s="697"/>
      <c r="I346" s="697"/>
      <c r="J346" s="697"/>
      <c r="K346" s="697"/>
    </row>
    <row r="348" spans="1:11" x14ac:dyDescent="0.2">
      <c r="B348" s="124"/>
      <c r="C348" s="124"/>
      <c r="D348" s="124"/>
      <c r="E348" s="124"/>
      <c r="F348" s="124"/>
      <c r="G348" s="200"/>
      <c r="H348" s="200"/>
      <c r="I348" s="200"/>
    </row>
    <row r="349" spans="1:11" x14ac:dyDescent="0.2">
      <c r="B349" s="124"/>
      <c r="C349" s="124"/>
      <c r="D349" s="124"/>
      <c r="E349" s="124"/>
      <c r="F349" s="124"/>
      <c r="G349" s="200"/>
      <c r="H349" s="200"/>
      <c r="I349" s="200"/>
    </row>
    <row r="350" spans="1:11" x14ac:dyDescent="0.2">
      <c r="B350" s="124"/>
      <c r="C350" s="124"/>
      <c r="D350" s="124"/>
      <c r="E350" s="124"/>
      <c r="F350" s="124"/>
      <c r="G350" s="200"/>
      <c r="H350" s="200"/>
      <c r="I350" s="200"/>
    </row>
    <row r="351" spans="1:11" x14ac:dyDescent="0.2">
      <c r="B351" s="124"/>
      <c r="C351" s="124"/>
      <c r="D351" s="124"/>
      <c r="E351" s="124"/>
      <c r="F351" s="124"/>
      <c r="G351" s="200"/>
      <c r="H351" s="200"/>
      <c r="I351" s="200"/>
    </row>
    <row r="352" spans="1:11" x14ac:dyDescent="0.2">
      <c r="B352" s="124"/>
      <c r="C352" s="124"/>
      <c r="D352" s="124"/>
      <c r="E352" s="124"/>
      <c r="F352" s="124"/>
      <c r="G352" s="200"/>
      <c r="H352" s="200"/>
      <c r="I352" s="200"/>
    </row>
    <row r="353" spans="1:11" x14ac:dyDescent="0.2">
      <c r="B353" s="124"/>
      <c r="C353" s="124"/>
      <c r="D353" s="124"/>
      <c r="E353" s="124"/>
      <c r="F353" s="124"/>
      <c r="G353" s="200"/>
      <c r="H353" s="200"/>
      <c r="I353" s="200"/>
    </row>
    <row r="354" spans="1:11" x14ac:dyDescent="0.2">
      <c r="B354" s="124"/>
      <c r="C354" s="124"/>
      <c r="D354" s="124"/>
      <c r="E354" s="124"/>
      <c r="F354" s="124"/>
      <c r="G354" s="200"/>
      <c r="H354" s="200"/>
      <c r="I354" s="200"/>
    </row>
    <row r="355" spans="1:11" x14ac:dyDescent="0.2">
      <c r="B355" s="124"/>
      <c r="C355" s="124"/>
      <c r="D355" s="124"/>
      <c r="E355" s="124"/>
      <c r="F355" s="124"/>
      <c r="G355" s="200"/>
      <c r="H355" s="200"/>
      <c r="I355" s="200"/>
    </row>
    <row r="356" spans="1:11" x14ac:dyDescent="0.2">
      <c r="A356" s="112" t="s">
        <v>34</v>
      </c>
      <c r="C356" s="124"/>
      <c r="D356" s="124"/>
      <c r="E356" s="124"/>
      <c r="F356" s="124"/>
    </row>
    <row r="357" spans="1:11" x14ac:dyDescent="0.2">
      <c r="A357" s="112" t="s">
        <v>35</v>
      </c>
      <c r="C357" s="124"/>
      <c r="D357" s="124"/>
      <c r="E357" s="124"/>
      <c r="F357" s="124"/>
    </row>
    <row r="358" spans="1:11" x14ac:dyDescent="0.2">
      <c r="A358" s="112" t="s">
        <v>36</v>
      </c>
      <c r="C358" s="124"/>
      <c r="D358" s="124"/>
      <c r="E358" s="124"/>
      <c r="F358" s="124"/>
    </row>
    <row r="359" spans="1:11" x14ac:dyDescent="0.2">
      <c r="B359" s="124"/>
      <c r="C359" s="124"/>
      <c r="D359" s="124"/>
      <c r="E359" s="124"/>
      <c r="F359" s="124"/>
    </row>
    <row r="360" spans="1:11" ht="15" x14ac:dyDescent="0.25">
      <c r="A360" s="141"/>
      <c r="B360" s="762"/>
      <c r="C360" s="762"/>
      <c r="D360" s="762"/>
      <c r="E360" s="762"/>
      <c r="F360" s="762"/>
      <c r="G360" s="762"/>
      <c r="H360" s="762"/>
      <c r="I360" s="762"/>
      <c r="J360" s="591"/>
      <c r="K360" s="591"/>
    </row>
    <row r="361" spans="1:11" ht="15" x14ac:dyDescent="0.25">
      <c r="A361" s="125"/>
      <c r="B361" s="696" t="s">
        <v>41</v>
      </c>
      <c r="C361" s="696"/>
      <c r="D361" s="696"/>
      <c r="E361" s="696"/>
      <c r="F361" s="696"/>
      <c r="G361" s="696"/>
      <c r="H361" s="696"/>
      <c r="I361" s="696"/>
      <c r="J361" s="136"/>
      <c r="K361" s="136"/>
    </row>
    <row r="362" spans="1:11" ht="15" x14ac:dyDescent="0.25">
      <c r="A362" s="125"/>
      <c r="B362" s="696" t="s">
        <v>1021</v>
      </c>
      <c r="C362" s="696"/>
      <c r="D362" s="696"/>
      <c r="E362" s="696"/>
      <c r="F362" s="696"/>
      <c r="G362" s="696"/>
      <c r="H362" s="696"/>
      <c r="I362" s="696"/>
      <c r="J362" s="136"/>
      <c r="K362" s="136"/>
    </row>
    <row r="363" spans="1:11" x14ac:dyDescent="0.2">
      <c r="A363" s="125"/>
      <c r="B363" s="124"/>
      <c r="C363" s="124"/>
      <c r="D363" s="124"/>
      <c r="E363" s="124"/>
      <c r="F363" s="124"/>
      <c r="J363" s="136"/>
      <c r="K363" s="136"/>
    </row>
    <row r="364" spans="1:11" x14ac:dyDescent="0.2">
      <c r="A364" s="125"/>
      <c r="B364" s="755" t="s">
        <v>38</v>
      </c>
      <c r="C364" s="756"/>
      <c r="D364" s="756"/>
      <c r="E364" s="757"/>
      <c r="F364" s="127"/>
      <c r="G364" s="201" t="s">
        <v>37</v>
      </c>
      <c r="H364" s="127"/>
      <c r="I364" s="201" t="s">
        <v>39</v>
      </c>
      <c r="J364" s="136"/>
      <c r="K364" s="136"/>
    </row>
    <row r="365" spans="1:11" x14ac:dyDescent="0.2">
      <c r="A365" s="125"/>
      <c r="B365" s="758"/>
      <c r="C365" s="759"/>
      <c r="D365" s="759"/>
      <c r="E365" s="760"/>
      <c r="F365" s="127"/>
      <c r="G365" s="202" t="s">
        <v>40</v>
      </c>
      <c r="H365" s="127"/>
      <c r="I365" s="202" t="s">
        <v>40</v>
      </c>
      <c r="J365" s="136"/>
      <c r="K365" s="136"/>
    </row>
    <row r="366" spans="1:11" x14ac:dyDescent="0.2">
      <c r="A366" s="125"/>
      <c r="B366" s="203" t="s">
        <v>43</v>
      </c>
      <c r="C366" s="128"/>
      <c r="D366" s="124"/>
      <c r="E366" s="124"/>
      <c r="F366" s="124"/>
      <c r="G366" s="204"/>
      <c r="H366" s="204"/>
      <c r="I366" s="204"/>
      <c r="J366" s="136"/>
      <c r="K366" s="136"/>
    </row>
    <row r="367" spans="1:11" x14ac:dyDescent="0.2">
      <c r="A367" s="125"/>
      <c r="B367" s="6"/>
      <c r="C367" s="124" t="s">
        <v>42</v>
      </c>
      <c r="D367" s="124"/>
      <c r="E367" s="124"/>
      <c r="F367" s="124"/>
      <c r="G367" s="204"/>
      <c r="H367" s="204"/>
      <c r="I367" s="204"/>
      <c r="J367" s="136"/>
      <c r="K367" s="136"/>
    </row>
    <row r="368" spans="1:11" x14ac:dyDescent="0.2">
      <c r="A368" s="125"/>
      <c r="B368" s="6"/>
      <c r="C368" s="124"/>
      <c r="D368" s="124" t="s">
        <v>44</v>
      </c>
      <c r="E368" s="124"/>
      <c r="F368" s="124"/>
      <c r="G368" s="204">
        <v>0</v>
      </c>
      <c r="H368" s="204"/>
      <c r="I368" s="204">
        <f>G368+I297</f>
        <v>0</v>
      </c>
      <c r="J368" s="136"/>
      <c r="K368" s="136"/>
    </row>
    <row r="369" spans="1:11" x14ac:dyDescent="0.2">
      <c r="A369" s="125"/>
      <c r="B369" s="6"/>
      <c r="C369" s="124"/>
      <c r="D369" s="124" t="s">
        <v>573</v>
      </c>
      <c r="E369" s="124"/>
      <c r="F369" s="124"/>
      <c r="G369" s="204">
        <v>0</v>
      </c>
      <c r="H369" s="204"/>
      <c r="I369" s="204">
        <f>G369+I298</f>
        <v>0</v>
      </c>
      <c r="J369" s="136"/>
      <c r="K369" s="136"/>
    </row>
    <row r="370" spans="1:11" x14ac:dyDescent="0.2">
      <c r="A370" s="125"/>
      <c r="B370" s="6"/>
      <c r="C370" s="124"/>
      <c r="D370" s="124" t="s">
        <v>591</v>
      </c>
      <c r="E370" s="124"/>
      <c r="F370" s="124"/>
      <c r="G370" s="204">
        <v>0</v>
      </c>
      <c r="H370" s="204"/>
      <c r="I370" s="204">
        <f t="shared" ref="I370:I371" si="7">G370+I299</f>
        <v>0</v>
      </c>
      <c r="J370" s="136"/>
      <c r="K370" s="136"/>
    </row>
    <row r="371" spans="1:11" x14ac:dyDescent="0.2">
      <c r="A371" s="125"/>
      <c r="B371" s="6"/>
      <c r="C371" s="124"/>
      <c r="D371" s="124" t="s">
        <v>592</v>
      </c>
      <c r="E371" s="124"/>
      <c r="F371" s="124"/>
      <c r="G371" s="204">
        <f>[4]JU!$E$301</f>
        <v>0</v>
      </c>
      <c r="H371" s="204"/>
      <c r="I371" s="204">
        <f t="shared" si="7"/>
        <v>0</v>
      </c>
      <c r="J371" s="136"/>
      <c r="K371" s="136"/>
    </row>
    <row r="372" spans="1:11" x14ac:dyDescent="0.2">
      <c r="A372" s="125"/>
      <c r="B372" s="6"/>
      <c r="C372" s="124"/>
      <c r="D372" s="124"/>
      <c r="E372" s="134" t="s">
        <v>51</v>
      </c>
      <c r="F372" s="124"/>
      <c r="G372" s="205">
        <f>SUM(G368:G371)</f>
        <v>0</v>
      </c>
      <c r="H372" s="204"/>
      <c r="I372" s="205">
        <f>SUM(I368:I371)</f>
        <v>0</v>
      </c>
      <c r="J372" s="136"/>
      <c r="K372" s="136"/>
    </row>
    <row r="373" spans="1:11" x14ac:dyDescent="0.2">
      <c r="A373" s="125"/>
      <c r="B373" s="6"/>
      <c r="C373" s="124"/>
      <c r="D373" s="124" t="s">
        <v>572</v>
      </c>
      <c r="E373" s="124"/>
      <c r="F373" s="124"/>
      <c r="G373" s="204"/>
      <c r="H373" s="204"/>
      <c r="I373" s="204"/>
      <c r="J373" s="136"/>
      <c r="K373" s="136"/>
    </row>
    <row r="374" spans="1:11" x14ac:dyDescent="0.2">
      <c r="A374" s="125"/>
      <c r="B374" s="6"/>
      <c r="C374" s="124"/>
      <c r="E374" s="206" t="s">
        <v>46</v>
      </c>
      <c r="F374" s="124"/>
      <c r="G374" s="204">
        <v>0</v>
      </c>
      <c r="H374" s="204"/>
      <c r="I374" s="204">
        <f t="shared" ref="I374:I379" si="8">G374+I303</f>
        <v>0</v>
      </c>
      <c r="J374" s="136"/>
      <c r="K374" s="136"/>
    </row>
    <row r="375" spans="1:11" x14ac:dyDescent="0.2">
      <c r="A375" s="125"/>
      <c r="B375" s="6"/>
      <c r="C375" s="124"/>
      <c r="D375" s="124"/>
      <c r="E375" s="206" t="s">
        <v>47</v>
      </c>
      <c r="F375" s="124"/>
      <c r="G375" s="204"/>
      <c r="H375" s="204"/>
      <c r="I375" s="204">
        <f t="shared" si="8"/>
        <v>0</v>
      </c>
      <c r="J375" s="136"/>
      <c r="K375" s="136"/>
    </row>
    <row r="376" spans="1:11" x14ac:dyDescent="0.2">
      <c r="A376" s="125"/>
      <c r="B376" s="6"/>
      <c r="C376" s="124"/>
      <c r="D376" s="134"/>
      <c r="E376" s="207" t="s">
        <v>48</v>
      </c>
      <c r="F376" s="134"/>
      <c r="G376" s="204"/>
      <c r="H376" s="204"/>
      <c r="I376" s="204">
        <f t="shared" si="8"/>
        <v>0</v>
      </c>
      <c r="J376" s="136"/>
      <c r="K376" s="136"/>
    </row>
    <row r="377" spans="1:11" x14ac:dyDescent="0.2">
      <c r="A377" s="125"/>
      <c r="B377" s="6"/>
      <c r="C377" s="124"/>
      <c r="D377" s="124"/>
      <c r="E377" s="206" t="s">
        <v>49</v>
      </c>
      <c r="F377" s="124"/>
      <c r="G377" s="204">
        <v>0</v>
      </c>
      <c r="H377" s="204"/>
      <c r="I377" s="204">
        <f t="shared" si="8"/>
        <v>0</v>
      </c>
      <c r="J377" s="136"/>
      <c r="K377" s="136"/>
    </row>
    <row r="378" spans="1:11" x14ac:dyDescent="0.2">
      <c r="A378" s="125"/>
      <c r="B378" s="6"/>
      <c r="C378" s="124"/>
      <c r="D378" s="134"/>
      <c r="E378" s="207" t="s">
        <v>45</v>
      </c>
      <c r="F378" s="134"/>
      <c r="G378" s="204"/>
      <c r="H378" s="204"/>
      <c r="I378" s="204">
        <f t="shared" si="8"/>
        <v>0</v>
      </c>
      <c r="J378" s="136"/>
      <c r="K378" s="136"/>
    </row>
    <row r="379" spans="1:11" x14ac:dyDescent="0.2">
      <c r="A379" s="125"/>
      <c r="B379" s="134"/>
      <c r="C379" s="128"/>
      <c r="D379" s="124"/>
      <c r="E379" s="206" t="s">
        <v>50</v>
      </c>
      <c r="F379" s="124"/>
      <c r="G379" s="204">
        <v>0</v>
      </c>
      <c r="H379" s="204"/>
      <c r="I379" s="204">
        <f t="shared" si="8"/>
        <v>0</v>
      </c>
      <c r="J379" s="136"/>
      <c r="K379" s="136"/>
    </row>
    <row r="380" spans="1:11" x14ac:dyDescent="0.2">
      <c r="A380" s="125"/>
      <c r="B380" s="6"/>
      <c r="C380" s="124"/>
      <c r="D380" s="208"/>
      <c r="E380" s="127" t="s">
        <v>52</v>
      </c>
      <c r="F380" s="208"/>
      <c r="G380" s="205">
        <f>SUM(G374:G379)</f>
        <v>0</v>
      </c>
      <c r="H380" s="204"/>
      <c r="I380" s="205">
        <f>SUM(I374:I379)</f>
        <v>0</v>
      </c>
      <c r="J380" s="136"/>
      <c r="K380" s="136"/>
    </row>
    <row r="381" spans="1:11" x14ac:dyDescent="0.2">
      <c r="A381" s="125"/>
      <c r="B381" s="6"/>
      <c r="C381" s="124"/>
      <c r="D381" s="124"/>
      <c r="E381" s="124"/>
      <c r="F381" s="124"/>
      <c r="G381" s="204"/>
      <c r="H381" s="204"/>
      <c r="I381" s="204"/>
      <c r="J381" s="136"/>
      <c r="K381" s="136"/>
    </row>
    <row r="382" spans="1:11" ht="15" thickBot="1" x14ac:dyDescent="0.25">
      <c r="A382" s="125"/>
      <c r="B382" s="6"/>
      <c r="C382" s="710" t="s">
        <v>66</v>
      </c>
      <c r="D382" s="710"/>
      <c r="E382" s="710"/>
      <c r="F382" s="124"/>
      <c r="G382" s="209">
        <f>G380+G372</f>
        <v>0</v>
      </c>
      <c r="H382" s="204"/>
      <c r="I382" s="209">
        <f>I380+I372</f>
        <v>0</v>
      </c>
      <c r="K382" s="136"/>
    </row>
    <row r="383" spans="1:11" ht="15" thickTop="1" x14ac:dyDescent="0.2">
      <c r="A383" s="125"/>
      <c r="B383" s="6"/>
      <c r="C383" s="124" t="s">
        <v>53</v>
      </c>
      <c r="D383" s="124"/>
      <c r="E383" s="124"/>
      <c r="F383" s="124"/>
      <c r="G383" s="204"/>
      <c r="H383" s="204"/>
      <c r="I383" s="204"/>
      <c r="J383" s="136"/>
      <c r="K383" s="136"/>
    </row>
    <row r="384" spans="1:11" x14ac:dyDescent="0.2">
      <c r="A384" s="125"/>
      <c r="B384" s="6"/>
      <c r="C384" s="151"/>
      <c r="D384" s="151" t="s">
        <v>574</v>
      </c>
      <c r="E384" s="134"/>
      <c r="F384" s="134"/>
      <c r="G384" s="204">
        <v>0</v>
      </c>
      <c r="H384" s="204"/>
      <c r="I384" s="204">
        <f>G384+I313</f>
        <v>0</v>
      </c>
      <c r="J384" s="136"/>
      <c r="K384" s="136"/>
    </row>
    <row r="385" spans="1:11" x14ac:dyDescent="0.2">
      <c r="A385" s="125"/>
      <c r="B385" s="134"/>
      <c r="C385" s="128"/>
      <c r="D385" s="124" t="s">
        <v>108</v>
      </c>
      <c r="E385" s="124"/>
      <c r="F385" s="124"/>
      <c r="G385" s="204"/>
      <c r="H385" s="204"/>
      <c r="I385" s="204">
        <f t="shared" ref="I385:I386" si="9">G385+I314</f>
        <v>0</v>
      </c>
      <c r="J385" s="136"/>
      <c r="K385" s="136"/>
    </row>
    <row r="386" spans="1:11" x14ac:dyDescent="0.2">
      <c r="A386" s="125"/>
      <c r="B386" s="6"/>
      <c r="C386" s="124"/>
      <c r="D386" s="151" t="s">
        <v>1047</v>
      </c>
      <c r="E386" s="151"/>
      <c r="F386" s="151"/>
      <c r="G386" s="204">
        <v>0</v>
      </c>
      <c r="H386" s="204"/>
      <c r="I386" s="204">
        <f t="shared" si="9"/>
        <v>0</v>
      </c>
      <c r="J386" s="136"/>
      <c r="K386" s="136"/>
    </row>
    <row r="387" spans="1:11" ht="15" thickBot="1" x14ac:dyDescent="0.25">
      <c r="A387" s="125"/>
      <c r="B387" s="6"/>
      <c r="C387" s="694" t="s">
        <v>65</v>
      </c>
      <c r="D387" s="694"/>
      <c r="E387" s="694"/>
      <c r="F387" s="124"/>
      <c r="G387" s="209">
        <f>SUM(G384:G386)</f>
        <v>0</v>
      </c>
      <c r="H387" s="210"/>
      <c r="I387" s="209">
        <f>SUM(I384:I386)</f>
        <v>0</v>
      </c>
      <c r="J387" s="136"/>
      <c r="K387" s="136"/>
    </row>
    <row r="388" spans="1:11" ht="15" thickTop="1" x14ac:dyDescent="0.2">
      <c r="A388" s="125"/>
      <c r="B388" s="6"/>
      <c r="C388" s="124"/>
      <c r="D388" s="124"/>
      <c r="E388" s="124"/>
      <c r="F388" s="124"/>
      <c r="G388" s="210"/>
      <c r="H388" s="210"/>
      <c r="I388" s="210"/>
      <c r="J388" s="136"/>
      <c r="K388" s="136"/>
    </row>
    <row r="389" spans="1:11" x14ac:dyDescent="0.2">
      <c r="A389" s="125"/>
      <c r="B389" s="764" t="s">
        <v>55</v>
      </c>
      <c r="C389" s="764"/>
      <c r="D389" s="764"/>
      <c r="E389" s="764"/>
      <c r="F389" s="134"/>
      <c r="G389" s="211">
        <f>G387+G382</f>
        <v>0</v>
      </c>
      <c r="H389" s="204"/>
      <c r="I389" s="211">
        <f>I387+I382</f>
        <v>0</v>
      </c>
      <c r="J389" s="136"/>
      <c r="K389" s="136"/>
    </row>
    <row r="390" spans="1:11" x14ac:dyDescent="0.2">
      <c r="A390" s="125"/>
      <c r="B390" s="203" t="s">
        <v>56</v>
      </c>
      <c r="C390" s="124"/>
      <c r="D390" s="124"/>
      <c r="E390" s="124"/>
      <c r="F390" s="124"/>
      <c r="G390" s="204"/>
      <c r="H390" s="204"/>
      <c r="I390" s="204"/>
      <c r="J390" s="136"/>
      <c r="K390" s="136"/>
    </row>
    <row r="391" spans="1:11" x14ac:dyDescent="0.2">
      <c r="A391" s="125"/>
      <c r="B391" s="6"/>
      <c r="C391" s="124" t="s">
        <v>57</v>
      </c>
      <c r="D391" s="134"/>
      <c r="E391" s="134"/>
      <c r="F391" s="134"/>
      <c r="G391" s="204"/>
      <c r="H391" s="204"/>
      <c r="I391" s="204"/>
      <c r="J391" s="136"/>
      <c r="K391" s="136"/>
    </row>
    <row r="392" spans="1:11" x14ac:dyDescent="0.2">
      <c r="A392" s="125"/>
      <c r="B392" s="134"/>
      <c r="C392" s="128"/>
      <c r="D392" s="124" t="s">
        <v>58</v>
      </c>
      <c r="E392" s="124"/>
      <c r="F392" s="124"/>
      <c r="G392" s="212">
        <v>0</v>
      </c>
      <c r="H392" s="204"/>
      <c r="I392" s="204">
        <f>G392+I321</f>
        <v>0</v>
      </c>
      <c r="J392" s="136"/>
      <c r="K392" s="136"/>
    </row>
    <row r="393" spans="1:11" x14ac:dyDescent="0.2">
      <c r="A393" s="125"/>
      <c r="B393" s="6"/>
      <c r="C393" s="124"/>
      <c r="D393" s="151" t="s">
        <v>59</v>
      </c>
      <c r="E393" s="151"/>
      <c r="F393" s="151"/>
      <c r="G393" s="593">
        <f>'RINCIAN B. LANGSUNG USAHA'!I37+'RINCIAN B. LANGSUNG USAHA'!I44+'RINCIAN B. LANGSUNG USAHA'!I50+'RINCIAN B. LANGSUNG USAHA'!I51+'RINCIAN B. LANGSUNG USAHA'!I52+'RINCIAN B. LANGSUNG USAHA'!I77+'RINCIAN B. LANGSUNG USAHA'!I83+'RINCIAN B. LANGSUNG USAHA'!I84+'RINCIAN B. LANGSUNG USAHA'!I85+'RINCIAN B. LANGSUNG USAHA'!I73+'RINCIAN B. TDK LANGSUNG'!I29+'RINCIAN B. TDK LANGSUNG'!I63</f>
        <v>0</v>
      </c>
      <c r="H393" s="204"/>
      <c r="I393" s="204">
        <f>G393+I322</f>
        <v>0</v>
      </c>
      <c r="J393" s="136"/>
      <c r="K393" s="136"/>
    </row>
    <row r="394" spans="1:11" x14ac:dyDescent="0.2">
      <c r="A394" s="125"/>
      <c r="B394" s="6"/>
      <c r="C394" s="124"/>
      <c r="D394" s="124" t="s">
        <v>60</v>
      </c>
      <c r="E394" s="124"/>
      <c r="F394" s="124"/>
      <c r="G394" s="593">
        <v>0</v>
      </c>
      <c r="H394" s="204"/>
      <c r="I394" s="204">
        <f>G394+I323</f>
        <v>0</v>
      </c>
      <c r="J394" s="136"/>
      <c r="K394" s="136"/>
    </row>
    <row r="395" spans="1:11" ht="15" thickBot="1" x14ac:dyDescent="0.25">
      <c r="A395" s="125"/>
      <c r="B395" s="6"/>
      <c r="C395" s="694" t="s">
        <v>63</v>
      </c>
      <c r="D395" s="694"/>
      <c r="E395" s="694"/>
      <c r="F395" s="124"/>
      <c r="G395" s="213">
        <f>SUM(G392:G394)</f>
        <v>0</v>
      </c>
      <c r="H395" s="204"/>
      <c r="I395" s="213">
        <f>SUM(I392:I394)</f>
        <v>0</v>
      </c>
      <c r="J395" s="136"/>
      <c r="K395" s="136"/>
    </row>
    <row r="396" spans="1:11" ht="15" thickTop="1" x14ac:dyDescent="0.2">
      <c r="A396" s="125"/>
      <c r="B396" s="6"/>
      <c r="C396" s="124" t="s">
        <v>61</v>
      </c>
      <c r="D396" s="124"/>
      <c r="E396" s="124"/>
      <c r="F396" s="124"/>
      <c r="G396" s="204"/>
      <c r="H396" s="204"/>
      <c r="I396" s="204"/>
      <c r="J396" s="136"/>
      <c r="K396" s="136"/>
    </row>
    <row r="397" spans="1:11" x14ac:dyDescent="0.2">
      <c r="A397" s="125"/>
      <c r="B397" s="6"/>
      <c r="C397" s="124"/>
      <c r="D397" s="124" t="s">
        <v>71</v>
      </c>
      <c r="E397" s="124"/>
      <c r="F397" s="124"/>
      <c r="G397" s="204">
        <v>0</v>
      </c>
      <c r="H397" s="204"/>
      <c r="I397" s="204">
        <f>G397+I326</f>
        <v>0</v>
      </c>
      <c r="J397" s="136"/>
      <c r="K397" s="136"/>
    </row>
    <row r="398" spans="1:11" x14ac:dyDescent="0.2">
      <c r="A398" s="125"/>
      <c r="B398" s="6"/>
      <c r="C398" s="124"/>
      <c r="D398" s="124" t="s">
        <v>294</v>
      </c>
      <c r="E398" s="124"/>
      <c r="F398" s="124"/>
      <c r="G398" s="204">
        <v>0</v>
      </c>
      <c r="H398" s="204"/>
      <c r="I398" s="204">
        <f>G398+I327</f>
        <v>0</v>
      </c>
      <c r="J398" s="136"/>
      <c r="K398" s="136"/>
    </row>
    <row r="399" spans="1:11" x14ac:dyDescent="0.2">
      <c r="A399" s="125"/>
      <c r="B399" s="6"/>
      <c r="C399" s="124"/>
      <c r="D399" s="124" t="s">
        <v>62</v>
      </c>
      <c r="E399" s="124"/>
      <c r="F399" s="124"/>
      <c r="G399" s="204">
        <v>0</v>
      </c>
      <c r="H399" s="204"/>
      <c r="I399" s="204">
        <f>G399+I328</f>
        <v>0</v>
      </c>
      <c r="J399" s="136"/>
      <c r="K399" s="136"/>
    </row>
    <row r="400" spans="1:11" ht="15" thickBot="1" x14ac:dyDescent="0.25">
      <c r="A400" s="125"/>
      <c r="B400" s="6"/>
      <c r="C400" s="694" t="s">
        <v>64</v>
      </c>
      <c r="D400" s="694"/>
      <c r="E400" s="694"/>
      <c r="F400" s="134"/>
      <c r="G400" s="214">
        <f>SUM(G397:G399)</f>
        <v>0</v>
      </c>
      <c r="H400" s="204"/>
      <c r="I400" s="215">
        <f>SUM(I397:I399)</f>
        <v>0</v>
      </c>
      <c r="J400" s="136"/>
      <c r="K400" s="136"/>
    </row>
    <row r="401" spans="1:12" ht="15" thickTop="1" x14ac:dyDescent="0.2">
      <c r="A401" s="125"/>
      <c r="B401" s="6"/>
      <c r="C401" s="124"/>
      <c r="D401" s="124"/>
      <c r="E401" s="124"/>
      <c r="F401" s="124"/>
      <c r="G401" s="204"/>
      <c r="H401" s="204"/>
      <c r="I401" s="204"/>
      <c r="J401" s="136"/>
      <c r="K401" s="136"/>
    </row>
    <row r="402" spans="1:12" x14ac:dyDescent="0.2">
      <c r="A402" s="125"/>
      <c r="B402" s="764" t="s">
        <v>67</v>
      </c>
      <c r="C402" s="764"/>
      <c r="D402" s="764"/>
      <c r="E402" s="764"/>
      <c r="F402" s="134"/>
      <c r="G402" s="211">
        <f>G395+G400</f>
        <v>0</v>
      </c>
      <c r="H402" s="204"/>
      <c r="I402" s="211">
        <f>I400+I395</f>
        <v>0</v>
      </c>
      <c r="J402" s="136"/>
      <c r="K402" s="136"/>
    </row>
    <row r="403" spans="1:12" x14ac:dyDescent="0.2">
      <c r="A403" s="125"/>
      <c r="B403" s="124" t="s">
        <v>68</v>
      </c>
      <c r="C403" s="124"/>
      <c r="D403" s="124"/>
      <c r="E403" s="124"/>
      <c r="F403" s="124"/>
      <c r="G403" s="204">
        <f>G389-G402</f>
        <v>0</v>
      </c>
      <c r="H403" s="204"/>
      <c r="I403" s="204">
        <f>I389-I402</f>
        <v>0</v>
      </c>
      <c r="J403" s="136"/>
      <c r="K403" s="136"/>
    </row>
    <row r="404" spans="1:12" ht="15" thickBot="1" x14ac:dyDescent="0.25">
      <c r="A404" s="125"/>
      <c r="B404" s="124" t="s">
        <v>69</v>
      </c>
      <c r="C404" s="130"/>
      <c r="D404" s="130"/>
      <c r="E404" s="127"/>
      <c r="F404" s="127"/>
      <c r="G404" s="216">
        <f>G334</f>
        <v>0</v>
      </c>
      <c r="H404" s="216"/>
      <c r="I404" s="216">
        <f>I333</f>
        <v>0</v>
      </c>
      <c r="J404" s="136"/>
      <c r="K404" s="136"/>
    </row>
    <row r="405" spans="1:12" ht="15.75" thickBot="1" x14ac:dyDescent="0.25">
      <c r="A405" s="125"/>
      <c r="B405" s="765" t="s">
        <v>70</v>
      </c>
      <c r="C405" s="766"/>
      <c r="D405" s="766"/>
      <c r="E405" s="767"/>
      <c r="F405" s="142"/>
      <c r="G405" s="217">
        <f>G404+G403</f>
        <v>0</v>
      </c>
      <c r="H405" s="216"/>
      <c r="I405" s="217">
        <f>SUM(I403:I404)</f>
        <v>0</v>
      </c>
      <c r="J405" s="136"/>
      <c r="K405" s="136"/>
    </row>
    <row r="406" spans="1:12" x14ac:dyDescent="0.2">
      <c r="A406" s="120"/>
      <c r="B406" s="119"/>
      <c r="C406" s="119"/>
      <c r="D406" s="119"/>
      <c r="E406" s="119"/>
      <c r="F406" s="119"/>
      <c r="G406" s="218"/>
      <c r="H406" s="218"/>
      <c r="I406" s="218"/>
      <c r="J406" s="594"/>
      <c r="K406" s="594"/>
    </row>
    <row r="407" spans="1:12" x14ac:dyDescent="0.2">
      <c r="B407" s="124"/>
      <c r="C407" s="124"/>
      <c r="D407" s="124"/>
      <c r="E407" s="124"/>
      <c r="F407" s="124"/>
      <c r="G407" s="219">
        <f>'ARUS KAS'!E289</f>
        <v>0</v>
      </c>
      <c r="H407" s="219"/>
      <c r="I407" s="219">
        <f>I405-G405</f>
        <v>0</v>
      </c>
      <c r="L407" s="592">
        <f>G405-G407</f>
        <v>0</v>
      </c>
    </row>
    <row r="408" spans="1:12" x14ac:dyDescent="0.2">
      <c r="A408" s="697" t="s">
        <v>579</v>
      </c>
      <c r="B408" s="697"/>
      <c r="C408" s="697"/>
      <c r="D408" s="697"/>
      <c r="E408" s="697"/>
      <c r="F408" s="697" t="s">
        <v>566</v>
      </c>
      <c r="G408" s="697"/>
      <c r="H408" s="697"/>
      <c r="I408" s="697"/>
      <c r="J408" s="697"/>
      <c r="K408" s="697"/>
    </row>
    <row r="409" spans="1:12" x14ac:dyDescent="0.2">
      <c r="A409" s="697" t="s">
        <v>568</v>
      </c>
      <c r="B409" s="697"/>
      <c r="C409" s="697"/>
      <c r="D409" s="697"/>
      <c r="E409" s="697"/>
      <c r="F409" s="697" t="s">
        <v>659</v>
      </c>
      <c r="G409" s="697"/>
      <c r="H409" s="697"/>
      <c r="I409" s="697"/>
      <c r="J409" s="697"/>
      <c r="K409" s="697"/>
    </row>
    <row r="410" spans="1:12" x14ac:dyDescent="0.2">
      <c r="A410" s="697"/>
      <c r="B410" s="697"/>
      <c r="C410" s="697"/>
      <c r="D410" s="697"/>
      <c r="E410" s="697"/>
      <c r="F410" s="697"/>
      <c r="G410" s="697"/>
      <c r="H410" s="697"/>
      <c r="I410" s="697"/>
      <c r="J410" s="697"/>
      <c r="K410" s="697"/>
    </row>
    <row r="411" spans="1:12" x14ac:dyDescent="0.2">
      <c r="A411" s="697"/>
      <c r="B411" s="697"/>
      <c r="C411" s="697"/>
      <c r="D411" s="697"/>
      <c r="E411" s="697"/>
      <c r="F411" s="697"/>
      <c r="G411" s="697"/>
      <c r="H411" s="697"/>
      <c r="I411" s="697"/>
      <c r="J411" s="697"/>
      <c r="K411" s="697"/>
    </row>
    <row r="412" spans="1:12" x14ac:dyDescent="0.2">
      <c r="A412" s="710" t="s">
        <v>655</v>
      </c>
      <c r="B412" s="710"/>
      <c r="C412" s="710"/>
      <c r="D412" s="710"/>
      <c r="E412" s="710"/>
      <c r="F412" s="710" t="s">
        <v>567</v>
      </c>
      <c r="G412" s="710"/>
      <c r="H412" s="710"/>
      <c r="I412" s="710"/>
      <c r="J412" s="710"/>
      <c r="K412" s="710"/>
    </row>
    <row r="413" spans="1:12" x14ac:dyDescent="0.2">
      <c r="A413" s="697"/>
      <c r="B413" s="697"/>
      <c r="C413" s="697"/>
      <c r="D413" s="697"/>
      <c r="E413" s="697"/>
      <c r="F413" s="697"/>
      <c r="G413" s="697"/>
      <c r="H413" s="697"/>
      <c r="I413" s="697"/>
      <c r="J413" s="697"/>
      <c r="K413" s="697"/>
    </row>
    <row r="414" spans="1:12" x14ac:dyDescent="0.2">
      <c r="A414" s="697"/>
      <c r="B414" s="697"/>
      <c r="C414" s="697"/>
      <c r="D414" s="697"/>
      <c r="E414" s="697"/>
      <c r="F414" s="697"/>
      <c r="G414" s="697"/>
      <c r="H414" s="697"/>
      <c r="I414" s="697"/>
      <c r="J414" s="697"/>
      <c r="K414" s="697"/>
    </row>
    <row r="415" spans="1:12" x14ac:dyDescent="0.2">
      <c r="A415" s="697"/>
      <c r="B415" s="697"/>
      <c r="C415" s="697"/>
      <c r="D415" s="697"/>
      <c r="E415" s="697"/>
      <c r="F415" s="697"/>
      <c r="G415" s="697"/>
      <c r="H415" s="697"/>
      <c r="I415" s="697"/>
      <c r="J415" s="697"/>
      <c r="K415" s="697"/>
    </row>
    <row r="416" spans="1:12" x14ac:dyDescent="0.2">
      <c r="A416" s="697"/>
      <c r="B416" s="697"/>
      <c r="C416" s="697"/>
      <c r="D416" s="697"/>
      <c r="E416" s="697"/>
      <c r="F416" s="697"/>
      <c r="G416" s="697"/>
      <c r="H416" s="697"/>
      <c r="I416" s="697"/>
      <c r="J416" s="697"/>
      <c r="K416" s="697"/>
    </row>
    <row r="417" spans="1:11" x14ac:dyDescent="0.2">
      <c r="A417" s="697"/>
      <c r="B417" s="697"/>
      <c r="C417" s="697"/>
      <c r="D417" s="697"/>
      <c r="E417" s="697"/>
      <c r="F417" s="697"/>
      <c r="G417" s="697"/>
      <c r="H417" s="697"/>
      <c r="I417" s="697"/>
      <c r="J417" s="697"/>
      <c r="K417" s="697"/>
    </row>
    <row r="419" spans="1:11" x14ac:dyDescent="0.2">
      <c r="B419" s="124"/>
      <c r="C419" s="124"/>
      <c r="D419" s="124"/>
      <c r="E419" s="124"/>
      <c r="F419" s="124"/>
      <c r="G419" s="200"/>
      <c r="H419" s="200"/>
      <c r="I419" s="200"/>
    </row>
    <row r="427" spans="1:11" x14ac:dyDescent="0.2">
      <c r="A427" s="112" t="s">
        <v>34</v>
      </c>
      <c r="C427" s="124"/>
      <c r="D427" s="124"/>
      <c r="E427" s="124"/>
      <c r="F427" s="124"/>
    </row>
    <row r="428" spans="1:11" x14ac:dyDescent="0.2">
      <c r="A428" s="112" t="s">
        <v>35</v>
      </c>
      <c r="C428" s="124"/>
      <c r="D428" s="124"/>
      <c r="E428" s="124"/>
      <c r="F428" s="124"/>
    </row>
    <row r="429" spans="1:11" x14ac:dyDescent="0.2">
      <c r="A429" s="112" t="s">
        <v>36</v>
      </c>
      <c r="C429" s="124"/>
      <c r="D429" s="124"/>
      <c r="E429" s="124"/>
      <c r="F429" s="124"/>
    </row>
    <row r="430" spans="1:11" x14ac:dyDescent="0.2">
      <c r="B430" s="124"/>
      <c r="C430" s="124"/>
      <c r="D430" s="124"/>
      <c r="E430" s="124"/>
      <c r="F430" s="124"/>
    </row>
    <row r="431" spans="1:11" ht="15" x14ac:dyDescent="0.25">
      <c r="A431" s="141"/>
      <c r="B431" s="762"/>
      <c r="C431" s="762"/>
      <c r="D431" s="762"/>
      <c r="E431" s="762"/>
      <c r="F431" s="762"/>
      <c r="G431" s="762"/>
      <c r="H431" s="762"/>
      <c r="I431" s="762"/>
      <c r="J431" s="591"/>
      <c r="K431" s="591"/>
    </row>
    <row r="432" spans="1:11" ht="15" x14ac:dyDescent="0.25">
      <c r="A432" s="125"/>
      <c r="B432" s="696" t="s">
        <v>41</v>
      </c>
      <c r="C432" s="696"/>
      <c r="D432" s="696"/>
      <c r="E432" s="696"/>
      <c r="F432" s="696"/>
      <c r="G432" s="696"/>
      <c r="H432" s="696"/>
      <c r="I432" s="696"/>
      <c r="J432" s="136"/>
      <c r="K432" s="136"/>
    </row>
    <row r="433" spans="1:12" ht="15" x14ac:dyDescent="0.25">
      <c r="A433" s="125"/>
      <c r="B433" s="696" t="s">
        <v>1024</v>
      </c>
      <c r="C433" s="696"/>
      <c r="D433" s="696"/>
      <c r="E433" s="696"/>
      <c r="F433" s="696"/>
      <c r="G433" s="696"/>
      <c r="H433" s="696"/>
      <c r="I433" s="696"/>
      <c r="J433" s="136"/>
      <c r="K433" s="136"/>
    </row>
    <row r="434" spans="1:12" x14ac:dyDescent="0.2">
      <c r="A434" s="125"/>
      <c r="B434" s="124"/>
      <c r="C434" s="124"/>
      <c r="D434" s="124"/>
      <c r="E434" s="124"/>
      <c r="F434" s="124"/>
      <c r="J434" s="136"/>
      <c r="K434" s="136"/>
    </row>
    <row r="435" spans="1:12" x14ac:dyDescent="0.2">
      <c r="A435" s="125"/>
      <c r="B435" s="755" t="s">
        <v>38</v>
      </c>
      <c r="C435" s="756"/>
      <c r="D435" s="756"/>
      <c r="E435" s="757"/>
      <c r="F435" s="127"/>
      <c r="G435" s="201" t="s">
        <v>37</v>
      </c>
      <c r="H435" s="127"/>
      <c r="I435" s="201" t="s">
        <v>39</v>
      </c>
      <c r="J435" s="136"/>
      <c r="K435" s="136"/>
    </row>
    <row r="436" spans="1:12" x14ac:dyDescent="0.2">
      <c r="A436" s="125"/>
      <c r="B436" s="758"/>
      <c r="C436" s="759"/>
      <c r="D436" s="759"/>
      <c r="E436" s="760"/>
      <c r="F436" s="127"/>
      <c r="G436" s="202" t="s">
        <v>40</v>
      </c>
      <c r="H436" s="127"/>
      <c r="I436" s="202" t="s">
        <v>40</v>
      </c>
      <c r="J436" s="136"/>
      <c r="K436" s="136"/>
    </row>
    <row r="437" spans="1:12" x14ac:dyDescent="0.2">
      <c r="A437" s="125"/>
      <c r="B437" s="203" t="s">
        <v>43</v>
      </c>
      <c r="C437" s="128"/>
      <c r="D437" s="124"/>
      <c r="E437" s="124"/>
      <c r="F437" s="124"/>
      <c r="G437" s="204"/>
      <c r="H437" s="204"/>
      <c r="I437" s="204"/>
      <c r="J437" s="136"/>
      <c r="K437" s="136"/>
    </row>
    <row r="438" spans="1:12" x14ac:dyDescent="0.2">
      <c r="A438" s="125"/>
      <c r="B438" s="6"/>
      <c r="C438" s="124" t="s">
        <v>42</v>
      </c>
      <c r="D438" s="124"/>
      <c r="E438" s="124"/>
      <c r="F438" s="124"/>
      <c r="G438" s="204"/>
      <c r="H438" s="204"/>
      <c r="I438" s="204"/>
      <c r="J438" s="136"/>
      <c r="K438" s="136"/>
    </row>
    <row r="439" spans="1:12" x14ac:dyDescent="0.2">
      <c r="A439" s="125"/>
      <c r="B439" s="6"/>
      <c r="C439" s="124"/>
      <c r="D439" s="124" t="s">
        <v>44</v>
      </c>
      <c r="E439" s="124"/>
      <c r="F439" s="124"/>
      <c r="G439" s="204">
        <v>0</v>
      </c>
      <c r="H439" s="204"/>
      <c r="I439" s="204">
        <f>G439+I368+G371</f>
        <v>0</v>
      </c>
      <c r="J439" s="136"/>
      <c r="K439" s="136"/>
      <c r="L439" s="595"/>
    </row>
    <row r="440" spans="1:12" x14ac:dyDescent="0.2">
      <c r="A440" s="125"/>
      <c r="B440" s="6"/>
      <c r="C440" s="124"/>
      <c r="D440" s="124" t="s">
        <v>573</v>
      </c>
      <c r="E440" s="124"/>
      <c r="F440" s="124"/>
      <c r="G440" s="204">
        <v>0</v>
      </c>
      <c r="H440" s="204"/>
      <c r="I440" s="204">
        <f>G440+I369</f>
        <v>0</v>
      </c>
      <c r="J440" s="136"/>
      <c r="K440" s="136"/>
    </row>
    <row r="441" spans="1:12" x14ac:dyDescent="0.2">
      <c r="A441" s="125"/>
      <c r="B441" s="6"/>
      <c r="C441" s="124"/>
      <c r="D441" s="124" t="s">
        <v>591</v>
      </c>
      <c r="E441" s="124"/>
      <c r="F441" s="124"/>
      <c r="G441" s="204">
        <v>0</v>
      </c>
      <c r="H441" s="204"/>
      <c r="I441" s="204">
        <f>G441+I370</f>
        <v>0</v>
      </c>
      <c r="J441" s="136"/>
      <c r="K441" s="136"/>
    </row>
    <row r="442" spans="1:12" x14ac:dyDescent="0.2">
      <c r="A442" s="125"/>
      <c r="B442" s="6"/>
      <c r="C442" s="124"/>
      <c r="D442" s="124" t="s">
        <v>592</v>
      </c>
      <c r="E442" s="124"/>
      <c r="F442" s="124"/>
      <c r="G442" s="204">
        <v>0</v>
      </c>
      <c r="H442" s="204"/>
      <c r="I442" s="204">
        <f>G442+I371</f>
        <v>0</v>
      </c>
      <c r="J442" s="136"/>
      <c r="K442" s="136"/>
    </row>
    <row r="443" spans="1:12" x14ac:dyDescent="0.2">
      <c r="A443" s="125"/>
      <c r="B443" s="6"/>
      <c r="C443" s="124"/>
      <c r="D443" s="124"/>
      <c r="E443" s="134" t="s">
        <v>51</v>
      </c>
      <c r="F443" s="124"/>
      <c r="G443" s="205">
        <f>SUM(G439:G442)</f>
        <v>0</v>
      </c>
      <c r="H443" s="204"/>
      <c r="I443" s="205">
        <f>SUM(I439:I442)</f>
        <v>0</v>
      </c>
      <c r="J443" s="136"/>
      <c r="K443" s="136"/>
    </row>
    <row r="444" spans="1:12" x14ac:dyDescent="0.2">
      <c r="A444" s="125"/>
      <c r="B444" s="6"/>
      <c r="C444" s="124"/>
      <c r="D444" s="124" t="s">
        <v>575</v>
      </c>
      <c r="E444" s="124"/>
      <c r="F444" s="124"/>
      <c r="G444" s="204"/>
      <c r="H444" s="204"/>
      <c r="I444" s="204"/>
      <c r="J444" s="136"/>
      <c r="K444" s="136"/>
    </row>
    <row r="445" spans="1:12" x14ac:dyDescent="0.2">
      <c r="A445" s="125"/>
      <c r="B445" s="6"/>
      <c r="C445" s="124"/>
      <c r="E445" s="206" t="s">
        <v>46</v>
      </c>
      <c r="F445" s="124"/>
      <c r="G445" s="204">
        <v>0</v>
      </c>
      <c r="H445" s="204"/>
      <c r="I445" s="204">
        <f t="shared" ref="I445:I450" si="10">G445+I374</f>
        <v>0</v>
      </c>
      <c r="J445" s="136"/>
      <c r="K445" s="136"/>
    </row>
    <row r="446" spans="1:12" x14ac:dyDescent="0.2">
      <c r="A446" s="125"/>
      <c r="B446" s="6"/>
      <c r="C446" s="124"/>
      <c r="D446" s="124"/>
      <c r="E446" s="206" t="s">
        <v>47</v>
      </c>
      <c r="F446" s="124"/>
      <c r="G446" s="204"/>
      <c r="H446" s="204"/>
      <c r="I446" s="204">
        <f t="shared" si="10"/>
        <v>0</v>
      </c>
      <c r="J446" s="136"/>
      <c r="K446" s="136"/>
    </row>
    <row r="447" spans="1:12" x14ac:dyDescent="0.2">
      <c r="A447" s="125"/>
      <c r="B447" s="6"/>
      <c r="C447" s="124"/>
      <c r="D447" s="134"/>
      <c r="E447" s="207" t="s">
        <v>48</v>
      </c>
      <c r="F447" s="134"/>
      <c r="G447" s="204"/>
      <c r="H447" s="204"/>
      <c r="I447" s="204">
        <f t="shared" si="10"/>
        <v>0</v>
      </c>
      <c r="J447" s="136"/>
      <c r="K447" s="136"/>
    </row>
    <row r="448" spans="1:12" x14ac:dyDescent="0.2">
      <c r="A448" s="125"/>
      <c r="B448" s="6"/>
      <c r="C448" s="124"/>
      <c r="D448" s="124"/>
      <c r="E448" s="206" t="s">
        <v>49</v>
      </c>
      <c r="F448" s="124"/>
      <c r="G448" s="204">
        <v>0</v>
      </c>
      <c r="H448" s="204"/>
      <c r="I448" s="204">
        <f t="shared" si="10"/>
        <v>0</v>
      </c>
      <c r="J448" s="136"/>
      <c r="K448" s="136"/>
    </row>
    <row r="449" spans="1:11" x14ac:dyDescent="0.2">
      <c r="A449" s="125"/>
      <c r="B449" s="6"/>
      <c r="C449" s="124"/>
      <c r="D449" s="134"/>
      <c r="E449" s="207" t="s">
        <v>45</v>
      </c>
      <c r="F449" s="134"/>
      <c r="G449" s="204"/>
      <c r="H449" s="204"/>
      <c r="I449" s="204">
        <f t="shared" si="10"/>
        <v>0</v>
      </c>
      <c r="J449" s="136"/>
      <c r="K449" s="136"/>
    </row>
    <row r="450" spans="1:11" x14ac:dyDescent="0.2">
      <c r="A450" s="125"/>
      <c r="B450" s="134"/>
      <c r="C450" s="128"/>
      <c r="D450" s="124"/>
      <c r="E450" s="206" t="s">
        <v>50</v>
      </c>
      <c r="F450" s="124"/>
      <c r="G450" s="204">
        <v>0</v>
      </c>
      <c r="H450" s="204"/>
      <c r="I450" s="204">
        <f t="shared" si="10"/>
        <v>0</v>
      </c>
      <c r="J450" s="136"/>
      <c r="K450" s="136"/>
    </row>
    <row r="451" spans="1:11" x14ac:dyDescent="0.2">
      <c r="A451" s="125"/>
      <c r="B451" s="6"/>
      <c r="C451" s="124"/>
      <c r="D451" s="208"/>
      <c r="E451" s="127" t="s">
        <v>52</v>
      </c>
      <c r="F451" s="208"/>
      <c r="G451" s="205">
        <f>SUM(G445:G450)</f>
        <v>0</v>
      </c>
      <c r="H451" s="204"/>
      <c r="I451" s="205">
        <f>SUM(I445:I450)</f>
        <v>0</v>
      </c>
      <c r="J451" s="136"/>
      <c r="K451" s="136"/>
    </row>
    <row r="452" spans="1:11" x14ac:dyDescent="0.2">
      <c r="A452" s="125"/>
      <c r="B452" s="6"/>
      <c r="C452" s="124"/>
      <c r="D452" s="124"/>
      <c r="E452" s="124"/>
      <c r="F452" s="124"/>
      <c r="G452" s="204"/>
      <c r="H452" s="204"/>
      <c r="I452" s="204"/>
      <c r="J452" s="136"/>
      <c r="K452" s="136"/>
    </row>
    <row r="453" spans="1:11" ht="15" thickBot="1" x14ac:dyDescent="0.25">
      <c r="A453" s="125"/>
      <c r="B453" s="6"/>
      <c r="C453" s="710" t="s">
        <v>66</v>
      </c>
      <c r="D453" s="710"/>
      <c r="E453" s="710"/>
      <c r="F453" s="124"/>
      <c r="G453" s="209">
        <f>G451+G443</f>
        <v>0</v>
      </c>
      <c r="H453" s="204"/>
      <c r="I453" s="209">
        <f>I451+I443</f>
        <v>0</v>
      </c>
      <c r="K453" s="136"/>
    </row>
    <row r="454" spans="1:11" ht="15" thickTop="1" x14ac:dyDescent="0.2">
      <c r="A454" s="125"/>
      <c r="B454" s="6"/>
      <c r="C454" s="124" t="s">
        <v>53</v>
      </c>
      <c r="D454" s="124"/>
      <c r="E454" s="124"/>
      <c r="F454" s="124"/>
      <c r="G454" s="204"/>
      <c r="H454" s="204"/>
      <c r="I454" s="204"/>
      <c r="J454" s="136"/>
      <c r="K454" s="136"/>
    </row>
    <row r="455" spans="1:11" x14ac:dyDescent="0.2">
      <c r="A455" s="125"/>
      <c r="B455" s="6"/>
      <c r="C455" s="151"/>
      <c r="D455" s="151" t="s">
        <v>574</v>
      </c>
      <c r="E455" s="134"/>
      <c r="F455" s="134"/>
      <c r="G455" s="204">
        <v>0</v>
      </c>
      <c r="H455" s="204"/>
      <c r="I455" s="204">
        <f>G455+I384</f>
        <v>0</v>
      </c>
      <c r="J455" s="136"/>
      <c r="K455" s="136"/>
    </row>
    <row r="456" spans="1:11" x14ac:dyDescent="0.2">
      <c r="A456" s="125"/>
      <c r="B456" s="134"/>
      <c r="C456" s="128"/>
      <c r="D456" s="124" t="s">
        <v>108</v>
      </c>
      <c r="E456" s="124"/>
      <c r="F456" s="124"/>
      <c r="G456" s="204"/>
      <c r="H456" s="204"/>
      <c r="I456" s="204">
        <f>G456+I385</f>
        <v>0</v>
      </c>
      <c r="J456" s="136"/>
      <c r="K456" s="136"/>
    </row>
    <row r="457" spans="1:11" x14ac:dyDescent="0.2">
      <c r="A457" s="125"/>
      <c r="B457" s="6"/>
      <c r="C457" s="124"/>
      <c r="D457" s="151" t="s">
        <v>576</v>
      </c>
      <c r="E457" s="151"/>
      <c r="F457" s="151"/>
      <c r="G457" s="204">
        <v>0</v>
      </c>
      <c r="H457" s="204"/>
      <c r="I457" s="204">
        <f>G457+I386</f>
        <v>0</v>
      </c>
      <c r="J457" s="136"/>
      <c r="K457" s="136"/>
    </row>
    <row r="458" spans="1:11" ht="15" thickBot="1" x14ac:dyDescent="0.25">
      <c r="A458" s="125"/>
      <c r="B458" s="6"/>
      <c r="C458" s="694" t="s">
        <v>65</v>
      </c>
      <c r="D458" s="694"/>
      <c r="E458" s="694"/>
      <c r="F458" s="124"/>
      <c r="G458" s="209">
        <f>SUM(G455:G457)</f>
        <v>0</v>
      </c>
      <c r="H458" s="210"/>
      <c r="I458" s="209">
        <f>SUM(I455:I457)</f>
        <v>0</v>
      </c>
      <c r="J458" s="136"/>
      <c r="K458" s="136"/>
    </row>
    <row r="459" spans="1:11" ht="15" thickTop="1" x14ac:dyDescent="0.2">
      <c r="A459" s="125"/>
      <c r="B459" s="6"/>
      <c r="C459" s="124"/>
      <c r="D459" s="124"/>
      <c r="E459" s="124"/>
      <c r="F459" s="124"/>
      <c r="G459" s="210"/>
      <c r="H459" s="210"/>
      <c r="I459" s="210"/>
      <c r="J459" s="136"/>
      <c r="K459" s="136"/>
    </row>
    <row r="460" spans="1:11" x14ac:dyDescent="0.2">
      <c r="A460" s="125"/>
      <c r="B460" s="764" t="s">
        <v>55</v>
      </c>
      <c r="C460" s="764"/>
      <c r="D460" s="764"/>
      <c r="E460" s="764"/>
      <c r="F460" s="134"/>
      <c r="G460" s="211">
        <f>G458+G453</f>
        <v>0</v>
      </c>
      <c r="H460" s="204"/>
      <c r="I460" s="211">
        <f>I458+I453</f>
        <v>0</v>
      </c>
      <c r="J460" s="136"/>
      <c r="K460" s="136"/>
    </row>
    <row r="461" spans="1:11" x14ac:dyDescent="0.2">
      <c r="A461" s="125"/>
      <c r="B461" s="203" t="s">
        <v>56</v>
      </c>
      <c r="C461" s="124"/>
      <c r="D461" s="124"/>
      <c r="E461" s="124"/>
      <c r="F461" s="124"/>
      <c r="G461" s="204"/>
      <c r="H461" s="204"/>
      <c r="I461" s="204"/>
      <c r="J461" s="136"/>
      <c r="K461" s="136"/>
    </row>
    <row r="462" spans="1:11" x14ac:dyDescent="0.2">
      <c r="A462" s="125"/>
      <c r="B462" s="6"/>
      <c r="C462" s="124" t="s">
        <v>57</v>
      </c>
      <c r="D462" s="134"/>
      <c r="E462" s="134"/>
      <c r="F462" s="134"/>
      <c r="G462" s="204"/>
      <c r="H462" s="204"/>
      <c r="I462" s="204"/>
      <c r="J462" s="136"/>
      <c r="K462" s="136"/>
    </row>
    <row r="463" spans="1:11" x14ac:dyDescent="0.2">
      <c r="A463" s="125"/>
      <c r="B463" s="134"/>
      <c r="C463" s="128"/>
      <c r="D463" s="124" t="s">
        <v>58</v>
      </c>
      <c r="E463" s="124"/>
      <c r="F463" s="124"/>
      <c r="G463" s="212">
        <v>0</v>
      </c>
      <c r="H463" s="204"/>
      <c r="I463" s="204">
        <f>G463+I392</f>
        <v>0</v>
      </c>
      <c r="J463" s="136"/>
      <c r="K463" s="136"/>
    </row>
    <row r="464" spans="1:11" x14ac:dyDescent="0.2">
      <c r="A464" s="125"/>
      <c r="B464" s="6"/>
      <c r="C464" s="124"/>
      <c r="D464" s="151" t="s">
        <v>59</v>
      </c>
      <c r="E464" s="151"/>
      <c r="F464" s="151"/>
      <c r="G464" s="593">
        <f>'RINCIAN B. LANGSUNG USAHA'!J37+'RINCIAN B. LANGSUNG USAHA'!J44+'RINCIAN B. LANGSUNG USAHA'!J50+'RINCIAN B. LANGSUNG USAHA'!J51+'RINCIAN B. LANGSUNG USAHA'!J52+'RINCIAN B. LANGSUNG USAHA'!J77+'RINCIAN B. LANGSUNG USAHA'!J83+'RINCIAN B. LANGSUNG USAHA'!J84+'RINCIAN B. LANGSUNG USAHA'!J85+'RINCIAN B. LANGSUNG USAHA'!J73+'RINCIAN B. TDK LANGSUNG'!J29+'RINCIAN B. TDK LANGSUNG'!J63</f>
        <v>0</v>
      </c>
      <c r="H464" s="204"/>
      <c r="I464" s="204">
        <f>G464+I393</f>
        <v>0</v>
      </c>
      <c r="J464" s="136"/>
      <c r="K464" s="136"/>
    </row>
    <row r="465" spans="1:12" x14ac:dyDescent="0.2">
      <c r="A465" s="125"/>
      <c r="B465" s="6"/>
      <c r="C465" s="124"/>
      <c r="D465" s="124" t="s">
        <v>60</v>
      </c>
      <c r="E465" s="124"/>
      <c r="F465" s="124"/>
      <c r="G465" s="593">
        <v>0</v>
      </c>
      <c r="H465" s="204"/>
      <c r="I465" s="204">
        <f>G465+I394</f>
        <v>0</v>
      </c>
      <c r="J465" s="136"/>
      <c r="K465" s="136"/>
    </row>
    <row r="466" spans="1:12" ht="15" thickBot="1" x14ac:dyDescent="0.25">
      <c r="A466" s="125"/>
      <c r="B466" s="6"/>
      <c r="C466" s="694" t="s">
        <v>63</v>
      </c>
      <c r="D466" s="694"/>
      <c r="E466" s="694"/>
      <c r="F466" s="124"/>
      <c r="G466" s="213">
        <f>SUM(G463:G465)</f>
        <v>0</v>
      </c>
      <c r="H466" s="204"/>
      <c r="I466" s="213">
        <f>SUM(I463:I465)</f>
        <v>0</v>
      </c>
      <c r="J466" s="136"/>
      <c r="K466" s="136"/>
    </row>
    <row r="467" spans="1:12" ht="15" thickTop="1" x14ac:dyDescent="0.2">
      <c r="A467" s="125"/>
      <c r="B467" s="6"/>
      <c r="C467" s="124" t="s">
        <v>61</v>
      </c>
      <c r="D467" s="124"/>
      <c r="E467" s="124"/>
      <c r="F467" s="124"/>
      <c r="G467" s="204"/>
      <c r="H467" s="204"/>
      <c r="I467" s="204"/>
      <c r="J467" s="136"/>
      <c r="K467" s="136"/>
    </row>
    <row r="468" spans="1:12" x14ac:dyDescent="0.2">
      <c r="A468" s="125"/>
      <c r="B468" s="6"/>
      <c r="C468" s="124"/>
      <c r="D468" s="124" t="s">
        <v>71</v>
      </c>
      <c r="E468" s="124"/>
      <c r="F468" s="124"/>
      <c r="G468" s="204"/>
      <c r="H468" s="204"/>
      <c r="I468" s="204">
        <f>G468+I397</f>
        <v>0</v>
      </c>
      <c r="J468" s="136"/>
      <c r="K468" s="136"/>
    </row>
    <row r="469" spans="1:12" x14ac:dyDescent="0.2">
      <c r="A469" s="125"/>
      <c r="B469" s="6"/>
      <c r="C469" s="124"/>
      <c r="D469" s="124" t="s">
        <v>294</v>
      </c>
      <c r="E469" s="124"/>
      <c r="F469" s="124"/>
      <c r="G469" s="204">
        <v>0</v>
      </c>
      <c r="H469" s="204"/>
      <c r="I469" s="204">
        <f>G469+I398</f>
        <v>0</v>
      </c>
      <c r="J469" s="136"/>
      <c r="K469" s="136"/>
    </row>
    <row r="470" spans="1:12" x14ac:dyDescent="0.2">
      <c r="A470" s="125"/>
      <c r="B470" s="6"/>
      <c r="C470" s="124"/>
      <c r="D470" s="124" t="s">
        <v>62</v>
      </c>
      <c r="E470" s="124"/>
      <c r="F470" s="124"/>
      <c r="G470" s="204">
        <f>'B. NON OPERASIONAL'!H14</f>
        <v>0</v>
      </c>
      <c r="H470" s="204"/>
      <c r="I470" s="204">
        <f>G470+I399</f>
        <v>0</v>
      </c>
      <c r="J470" s="136"/>
      <c r="K470" s="136"/>
    </row>
    <row r="471" spans="1:12" ht="15" thickBot="1" x14ac:dyDescent="0.25">
      <c r="A471" s="125"/>
      <c r="B471" s="6"/>
      <c r="C471" s="694" t="s">
        <v>64</v>
      </c>
      <c r="D471" s="694"/>
      <c r="E471" s="694"/>
      <c r="F471" s="134"/>
      <c r="G471" s="214">
        <f>SUM(G468:G470)</f>
        <v>0</v>
      </c>
      <c r="H471" s="204"/>
      <c r="I471" s="215">
        <f>SUM(I468:I470)</f>
        <v>0</v>
      </c>
      <c r="J471" s="136"/>
      <c r="K471" s="136"/>
    </row>
    <row r="472" spans="1:12" ht="15" thickTop="1" x14ac:dyDescent="0.2">
      <c r="A472" s="125"/>
      <c r="B472" s="6"/>
      <c r="C472" s="124"/>
      <c r="D472" s="124"/>
      <c r="E472" s="124"/>
      <c r="F472" s="124"/>
      <c r="G472" s="204"/>
      <c r="H472" s="204"/>
      <c r="I472" s="204"/>
      <c r="J472" s="136"/>
      <c r="K472" s="136"/>
    </row>
    <row r="473" spans="1:12" x14ac:dyDescent="0.2">
      <c r="A473" s="125"/>
      <c r="B473" s="764" t="s">
        <v>67</v>
      </c>
      <c r="C473" s="764"/>
      <c r="D473" s="764"/>
      <c r="E473" s="764"/>
      <c r="F473" s="134"/>
      <c r="G473" s="211">
        <f>G466+G471</f>
        <v>0</v>
      </c>
      <c r="H473" s="204"/>
      <c r="I473" s="211">
        <f>I471+I466</f>
        <v>0</v>
      </c>
      <c r="J473" s="136"/>
      <c r="K473" s="136"/>
    </row>
    <row r="474" spans="1:12" x14ac:dyDescent="0.2">
      <c r="A474" s="125"/>
      <c r="B474" s="124" t="s">
        <v>68</v>
      </c>
      <c r="C474" s="124"/>
      <c r="D474" s="124"/>
      <c r="E474" s="124"/>
      <c r="F474" s="124"/>
      <c r="G474" s="204">
        <f>G460-G473</f>
        <v>0</v>
      </c>
      <c r="H474" s="204"/>
      <c r="I474" s="204">
        <f>I460-I473</f>
        <v>0</v>
      </c>
      <c r="J474" s="136"/>
      <c r="K474" s="136"/>
    </row>
    <row r="475" spans="1:12" ht="15" thickBot="1" x14ac:dyDescent="0.25">
      <c r="A475" s="125"/>
      <c r="B475" s="124" t="s">
        <v>69</v>
      </c>
      <c r="C475" s="130"/>
      <c r="D475" s="130"/>
      <c r="E475" s="127"/>
      <c r="F475" s="127"/>
      <c r="G475" s="216">
        <f>G405</f>
        <v>0</v>
      </c>
      <c r="H475" s="216"/>
      <c r="I475" s="216">
        <f>I404</f>
        <v>0</v>
      </c>
      <c r="J475" s="136"/>
      <c r="K475" s="136"/>
    </row>
    <row r="476" spans="1:12" ht="15.75" thickBot="1" x14ac:dyDescent="0.25">
      <c r="A476" s="125"/>
      <c r="B476" s="765" t="s">
        <v>70</v>
      </c>
      <c r="C476" s="766"/>
      <c r="D476" s="766"/>
      <c r="E476" s="767"/>
      <c r="F476" s="142"/>
      <c r="G476" s="217">
        <f>G475+G474</f>
        <v>0</v>
      </c>
      <c r="H476" s="216"/>
      <c r="I476" s="217">
        <f>SUM(I474:I475)</f>
        <v>0</v>
      </c>
      <c r="J476" s="136"/>
      <c r="K476" s="136"/>
    </row>
    <row r="477" spans="1:12" x14ac:dyDescent="0.2">
      <c r="A477" s="120"/>
      <c r="B477" s="119"/>
      <c r="C477" s="119"/>
      <c r="D477" s="119"/>
      <c r="E477" s="119"/>
      <c r="F477" s="119"/>
      <c r="G477" s="218"/>
      <c r="H477" s="218"/>
      <c r="I477" s="218"/>
      <c r="J477" s="594"/>
      <c r="K477" s="594"/>
    </row>
    <row r="478" spans="1:12" ht="27.75" customHeight="1" x14ac:dyDescent="0.2">
      <c r="B478" s="124"/>
      <c r="C478" s="124"/>
      <c r="D478" s="124"/>
      <c r="E478" s="124"/>
      <c r="F478" s="124"/>
      <c r="G478" s="219">
        <f>'ARUS KAS'!E351</f>
        <v>0</v>
      </c>
      <c r="H478" s="219"/>
      <c r="I478" s="219"/>
      <c r="L478" s="592">
        <f>G476-G478</f>
        <v>0</v>
      </c>
    </row>
    <row r="479" spans="1:12" x14ac:dyDescent="0.2">
      <c r="A479" s="697" t="s">
        <v>579</v>
      </c>
      <c r="B479" s="697"/>
      <c r="C479" s="697"/>
      <c r="D479" s="697"/>
      <c r="E479" s="697"/>
      <c r="F479" s="697" t="s">
        <v>566</v>
      </c>
      <c r="G479" s="697"/>
      <c r="H479" s="697"/>
      <c r="I479" s="697"/>
      <c r="J479" s="697"/>
      <c r="K479" s="697"/>
      <c r="L479" s="592">
        <f>I476-G476</f>
        <v>0</v>
      </c>
    </row>
    <row r="480" spans="1:12" x14ac:dyDescent="0.2">
      <c r="A480" s="697" t="s">
        <v>678</v>
      </c>
      <c r="B480" s="697"/>
      <c r="C480" s="697"/>
      <c r="D480" s="697"/>
      <c r="E480" s="697"/>
      <c r="F480" s="697" t="s">
        <v>681</v>
      </c>
      <c r="G480" s="697"/>
      <c r="H480" s="697"/>
      <c r="I480" s="697"/>
      <c r="J480" s="697"/>
      <c r="K480" s="697"/>
    </row>
    <row r="481" spans="1:11" x14ac:dyDescent="0.2">
      <c r="A481" s="697"/>
      <c r="B481" s="697"/>
      <c r="C481" s="697"/>
      <c r="D481" s="697"/>
      <c r="E481" s="697"/>
      <c r="F481" s="697"/>
      <c r="G481" s="697"/>
      <c r="H481" s="697"/>
      <c r="I481" s="697"/>
      <c r="J481" s="697"/>
      <c r="K481" s="697"/>
    </row>
    <row r="482" spans="1:11" x14ac:dyDescent="0.2">
      <c r="A482" s="697"/>
      <c r="B482" s="697"/>
      <c r="C482" s="697"/>
      <c r="D482" s="697"/>
      <c r="E482" s="697"/>
      <c r="F482" s="697"/>
      <c r="G482" s="697"/>
      <c r="H482" s="697"/>
      <c r="I482" s="697"/>
      <c r="J482" s="697"/>
      <c r="K482" s="697"/>
    </row>
    <row r="483" spans="1:11" x14ac:dyDescent="0.2">
      <c r="A483" s="710" t="s">
        <v>655</v>
      </c>
      <c r="B483" s="710"/>
      <c r="C483" s="710"/>
      <c r="D483" s="710"/>
      <c r="E483" s="710"/>
      <c r="F483" s="697" t="s">
        <v>567</v>
      </c>
      <c r="G483" s="697"/>
      <c r="H483" s="697"/>
      <c r="I483" s="697"/>
      <c r="J483" s="697"/>
      <c r="K483" s="697"/>
    </row>
    <row r="484" spans="1:11" x14ac:dyDescent="0.2">
      <c r="A484" s="697"/>
      <c r="B484" s="697"/>
      <c r="C484" s="697"/>
      <c r="D484" s="697"/>
      <c r="E484" s="697"/>
      <c r="F484" s="697"/>
      <c r="G484" s="697"/>
      <c r="H484" s="697"/>
      <c r="I484" s="697"/>
      <c r="J484" s="697"/>
      <c r="K484" s="697"/>
    </row>
    <row r="485" spans="1:11" x14ac:dyDescent="0.2">
      <c r="A485" s="697"/>
      <c r="B485" s="697"/>
      <c r="C485" s="697"/>
      <c r="D485" s="697"/>
      <c r="E485" s="697"/>
      <c r="F485" s="697"/>
      <c r="G485" s="697"/>
      <c r="H485" s="697"/>
      <c r="I485" s="697"/>
      <c r="J485" s="697"/>
      <c r="K485" s="697"/>
    </row>
    <row r="486" spans="1:11" x14ac:dyDescent="0.2">
      <c r="A486" s="697"/>
      <c r="B486" s="697"/>
      <c r="C486" s="697"/>
      <c r="D486" s="697"/>
      <c r="E486" s="697"/>
      <c r="F486" s="697"/>
      <c r="G486" s="697"/>
      <c r="H486" s="697"/>
      <c r="I486" s="697"/>
      <c r="J486" s="697"/>
      <c r="K486" s="697"/>
    </row>
    <row r="487" spans="1:11" x14ac:dyDescent="0.2">
      <c r="A487" s="697"/>
      <c r="B487" s="697"/>
      <c r="C487" s="697"/>
      <c r="D487" s="697"/>
      <c r="E487" s="697"/>
      <c r="F487" s="697"/>
      <c r="G487" s="697"/>
      <c r="H487" s="697"/>
      <c r="I487" s="697"/>
      <c r="J487" s="697"/>
      <c r="K487" s="697"/>
    </row>
    <row r="488" spans="1:11" x14ac:dyDescent="0.2">
      <c r="A488" s="697"/>
      <c r="B488" s="697"/>
      <c r="C488" s="697"/>
      <c r="D488" s="697"/>
      <c r="E488" s="697"/>
      <c r="F488" s="697"/>
      <c r="G488" s="697"/>
      <c r="H488" s="697"/>
      <c r="I488" s="697"/>
      <c r="J488" s="697"/>
      <c r="K488" s="697"/>
    </row>
    <row r="490" spans="1:11" x14ac:dyDescent="0.2">
      <c r="I490" s="200"/>
    </row>
    <row r="497" spans="1:11" x14ac:dyDescent="0.2">
      <c r="A497" s="771" t="s">
        <v>583</v>
      </c>
      <c r="B497" s="771"/>
      <c r="C497" s="771"/>
      <c r="D497" s="771"/>
      <c r="E497" s="771"/>
      <c r="F497" s="771"/>
      <c r="G497" s="771"/>
      <c r="H497" s="771"/>
      <c r="I497" s="771"/>
      <c r="J497" s="771"/>
      <c r="K497" s="771"/>
    </row>
    <row r="498" spans="1:11" x14ac:dyDescent="0.2">
      <c r="A498" s="772"/>
      <c r="B498" s="772"/>
      <c r="C498" s="772"/>
      <c r="D498" s="772"/>
      <c r="E498" s="772"/>
      <c r="F498" s="772"/>
      <c r="G498" s="772"/>
      <c r="H498" s="772"/>
      <c r="I498" s="772"/>
      <c r="J498" s="772"/>
      <c r="K498" s="772"/>
    </row>
    <row r="499" spans="1:11" x14ac:dyDescent="0.2">
      <c r="A499" s="178"/>
      <c r="B499" s="773"/>
      <c r="C499" s="773"/>
      <c r="D499" s="773"/>
      <c r="E499" s="773"/>
      <c r="F499" s="773"/>
      <c r="G499" s="773"/>
      <c r="H499" s="773"/>
      <c r="I499" s="773"/>
      <c r="J499" s="220"/>
      <c r="K499" s="220"/>
    </row>
    <row r="500" spans="1:11" x14ac:dyDescent="0.2">
      <c r="A500" s="180"/>
      <c r="B500" s="710" t="s">
        <v>582</v>
      </c>
      <c r="C500" s="710"/>
      <c r="D500" s="710"/>
      <c r="E500" s="710"/>
      <c r="F500" s="710"/>
      <c r="G500" s="710"/>
      <c r="H500" s="710"/>
      <c r="I500" s="710"/>
      <c r="J500" s="135"/>
      <c r="K500" s="135"/>
    </row>
    <row r="501" spans="1:11" x14ac:dyDescent="0.2">
      <c r="A501" s="180"/>
      <c r="B501" s="710" t="s">
        <v>41</v>
      </c>
      <c r="C501" s="710"/>
      <c r="D501" s="710"/>
      <c r="E501" s="710"/>
      <c r="F501" s="710"/>
      <c r="G501" s="710"/>
      <c r="H501" s="710"/>
      <c r="I501" s="710"/>
      <c r="J501" s="135"/>
      <c r="K501" s="135"/>
    </row>
    <row r="502" spans="1:11" x14ac:dyDescent="0.2">
      <c r="A502" s="180"/>
      <c r="B502" s="710" t="s">
        <v>1027</v>
      </c>
      <c r="C502" s="710"/>
      <c r="D502" s="710"/>
      <c r="E502" s="710"/>
      <c r="F502" s="710"/>
      <c r="G502" s="710"/>
      <c r="H502" s="710"/>
      <c r="I502" s="710"/>
      <c r="J502" s="135"/>
      <c r="K502" s="135"/>
    </row>
    <row r="503" spans="1:11" x14ac:dyDescent="0.2">
      <c r="A503" s="180"/>
      <c r="B503" s="124"/>
      <c r="C503" s="124"/>
      <c r="D503" s="124"/>
      <c r="E503" s="124"/>
      <c r="F503" s="124"/>
      <c r="J503" s="135"/>
      <c r="K503" s="135"/>
    </row>
    <row r="504" spans="1:11" x14ac:dyDescent="0.2">
      <c r="A504" s="180"/>
      <c r="B504" s="755" t="s">
        <v>38</v>
      </c>
      <c r="C504" s="756"/>
      <c r="D504" s="756"/>
      <c r="E504" s="757"/>
      <c r="F504" s="127"/>
      <c r="G504" s="201" t="s">
        <v>37</v>
      </c>
      <c r="H504" s="127"/>
      <c r="I504" s="201" t="s">
        <v>39</v>
      </c>
      <c r="J504" s="135"/>
      <c r="K504" s="135"/>
    </row>
    <row r="505" spans="1:11" x14ac:dyDescent="0.2">
      <c r="A505" s="180"/>
      <c r="B505" s="758"/>
      <c r="C505" s="759"/>
      <c r="D505" s="759"/>
      <c r="E505" s="760"/>
      <c r="F505" s="127"/>
      <c r="G505" s="202" t="s">
        <v>40</v>
      </c>
      <c r="H505" s="127"/>
      <c r="I505" s="202" t="s">
        <v>40</v>
      </c>
      <c r="J505" s="135"/>
      <c r="K505" s="135"/>
    </row>
    <row r="506" spans="1:11" x14ac:dyDescent="0.2">
      <c r="A506" s="180"/>
      <c r="B506" s="203" t="s">
        <v>43</v>
      </c>
      <c r="C506" s="128"/>
      <c r="D506" s="124"/>
      <c r="E506" s="124"/>
      <c r="F506" s="124"/>
      <c r="G506" s="204"/>
      <c r="H506" s="204"/>
      <c r="I506" s="204"/>
      <c r="J506" s="135"/>
      <c r="K506" s="135"/>
    </row>
    <row r="507" spans="1:11" x14ac:dyDescent="0.2">
      <c r="A507" s="180"/>
      <c r="B507" s="6"/>
      <c r="C507" s="124" t="s">
        <v>42</v>
      </c>
      <c r="D507" s="124"/>
      <c r="E507" s="124"/>
      <c r="F507" s="124"/>
      <c r="G507" s="204"/>
      <c r="H507" s="204"/>
      <c r="I507" s="204"/>
      <c r="J507" s="135"/>
      <c r="K507" s="135"/>
    </row>
    <row r="508" spans="1:11" x14ac:dyDescent="0.2">
      <c r="A508" s="180"/>
      <c r="B508" s="6"/>
      <c r="C508" s="124"/>
      <c r="D508" s="124" t="s">
        <v>44</v>
      </c>
      <c r="E508" s="124"/>
      <c r="F508" s="124"/>
      <c r="G508" s="204">
        <v>0</v>
      </c>
      <c r="H508" s="204"/>
      <c r="I508" s="204">
        <f>G508+I439+G442</f>
        <v>0</v>
      </c>
      <c r="J508" s="135"/>
      <c r="K508" s="135"/>
    </row>
    <row r="509" spans="1:11" x14ac:dyDescent="0.2">
      <c r="A509" s="180"/>
      <c r="B509" s="6"/>
      <c r="C509" s="124"/>
      <c r="D509" s="124" t="s">
        <v>573</v>
      </c>
      <c r="E509" s="124"/>
      <c r="F509" s="124"/>
      <c r="G509" s="204">
        <v>0</v>
      </c>
      <c r="H509" s="204"/>
      <c r="I509" s="204">
        <f>G509+I440</f>
        <v>0</v>
      </c>
      <c r="J509" s="135"/>
      <c r="K509" s="135"/>
    </row>
    <row r="510" spans="1:11" x14ac:dyDescent="0.2">
      <c r="A510" s="180"/>
      <c r="B510" s="6"/>
      <c r="C510" s="124"/>
      <c r="D510" s="124" t="s">
        <v>591</v>
      </c>
      <c r="E510" s="124"/>
      <c r="F510" s="124"/>
      <c r="G510" s="204">
        <v>0</v>
      </c>
      <c r="H510" s="204"/>
      <c r="I510" s="204">
        <f>G510+I441</f>
        <v>0</v>
      </c>
      <c r="J510" s="135"/>
      <c r="K510" s="135"/>
    </row>
    <row r="511" spans="1:11" x14ac:dyDescent="0.2">
      <c r="A511" s="180"/>
      <c r="B511" s="6"/>
      <c r="C511" s="124"/>
      <c r="D511" s="124" t="s">
        <v>592</v>
      </c>
      <c r="E511" s="124"/>
      <c r="F511" s="124"/>
      <c r="G511" s="204">
        <v>0</v>
      </c>
      <c r="H511" s="204"/>
      <c r="I511" s="204">
        <f>I442-G442</f>
        <v>0</v>
      </c>
      <c r="J511" s="135"/>
      <c r="K511" s="135"/>
    </row>
    <row r="512" spans="1:11" x14ac:dyDescent="0.2">
      <c r="A512" s="180"/>
      <c r="B512" s="6"/>
      <c r="C512" s="124"/>
      <c r="D512" s="124"/>
      <c r="E512" s="134" t="s">
        <v>51</v>
      </c>
      <c r="F512" s="124"/>
      <c r="G512" s="205">
        <f>SUM(G508:G511)</f>
        <v>0</v>
      </c>
      <c r="H512" s="204"/>
      <c r="I512" s="205">
        <f>SUM(I508:I511)</f>
        <v>0</v>
      </c>
      <c r="J512" s="135"/>
      <c r="K512" s="135"/>
    </row>
    <row r="513" spans="1:11" x14ac:dyDescent="0.2">
      <c r="A513" s="180"/>
      <c r="B513" s="6"/>
      <c r="C513" s="124"/>
      <c r="D513" s="124" t="s">
        <v>575</v>
      </c>
      <c r="E513" s="124"/>
      <c r="F513" s="124"/>
      <c r="G513" s="204"/>
      <c r="H513" s="204"/>
      <c r="I513" s="204"/>
      <c r="J513" s="135"/>
      <c r="K513" s="135"/>
    </row>
    <row r="514" spans="1:11" x14ac:dyDescent="0.2">
      <c r="A514" s="180"/>
      <c r="B514" s="6"/>
      <c r="C514" s="124"/>
      <c r="D514" s="124"/>
      <c r="E514" s="206" t="s">
        <v>46</v>
      </c>
      <c r="F514" s="124"/>
      <c r="G514" s="204">
        <v>0</v>
      </c>
      <c r="H514" s="204"/>
      <c r="I514" s="204">
        <f t="shared" ref="I514:I519" si="11">G514+I445</f>
        <v>0</v>
      </c>
      <c r="J514" s="135"/>
      <c r="K514" s="135"/>
    </row>
    <row r="515" spans="1:11" x14ac:dyDescent="0.2">
      <c r="A515" s="180"/>
      <c r="B515" s="6"/>
      <c r="C515" s="124"/>
      <c r="D515" s="124"/>
      <c r="E515" s="206" t="s">
        <v>47</v>
      </c>
      <c r="F515" s="124"/>
      <c r="G515" s="204"/>
      <c r="H515" s="204"/>
      <c r="I515" s="204">
        <f t="shared" si="11"/>
        <v>0</v>
      </c>
      <c r="J515" s="135"/>
      <c r="K515" s="135"/>
    </row>
    <row r="516" spans="1:11" x14ac:dyDescent="0.2">
      <c r="A516" s="180"/>
      <c r="B516" s="6"/>
      <c r="C516" s="124"/>
      <c r="D516" s="134"/>
      <c r="E516" s="207" t="s">
        <v>48</v>
      </c>
      <c r="F516" s="134"/>
      <c r="G516" s="204"/>
      <c r="H516" s="204"/>
      <c r="I516" s="204">
        <f t="shared" si="11"/>
        <v>0</v>
      </c>
      <c r="J516" s="135"/>
      <c r="K516" s="135"/>
    </row>
    <row r="517" spans="1:11" x14ac:dyDescent="0.2">
      <c r="A517" s="180"/>
      <c r="B517" s="6"/>
      <c r="C517" s="124"/>
      <c r="D517" s="124"/>
      <c r="E517" s="206" t="s">
        <v>49</v>
      </c>
      <c r="F517" s="124"/>
      <c r="G517" s="204">
        <v>0</v>
      </c>
      <c r="H517" s="204"/>
      <c r="I517" s="204">
        <f t="shared" si="11"/>
        <v>0</v>
      </c>
      <c r="J517" s="135"/>
      <c r="K517" s="135"/>
    </row>
    <row r="518" spans="1:11" x14ac:dyDescent="0.2">
      <c r="A518" s="180"/>
      <c r="B518" s="6"/>
      <c r="C518" s="124"/>
      <c r="D518" s="134"/>
      <c r="E518" s="207" t="s">
        <v>45</v>
      </c>
      <c r="F518" s="134"/>
      <c r="G518" s="204"/>
      <c r="H518" s="204"/>
      <c r="I518" s="204">
        <f t="shared" si="11"/>
        <v>0</v>
      </c>
      <c r="J518" s="135"/>
      <c r="K518" s="135"/>
    </row>
    <row r="519" spans="1:11" x14ac:dyDescent="0.2">
      <c r="A519" s="180"/>
      <c r="B519" s="134"/>
      <c r="C519" s="128"/>
      <c r="D519" s="124"/>
      <c r="E519" s="206" t="s">
        <v>50</v>
      </c>
      <c r="F519" s="124"/>
      <c r="G519" s="204">
        <v>0</v>
      </c>
      <c r="H519" s="204"/>
      <c r="I519" s="204">
        <f t="shared" si="11"/>
        <v>0</v>
      </c>
      <c r="J519" s="135"/>
      <c r="K519" s="135"/>
    </row>
    <row r="520" spans="1:11" x14ac:dyDescent="0.2">
      <c r="A520" s="180"/>
      <c r="B520" s="6"/>
      <c r="C520" s="124"/>
      <c r="D520" s="208"/>
      <c r="E520" s="127" t="s">
        <v>52</v>
      </c>
      <c r="F520" s="208"/>
      <c r="G520" s="205">
        <f>SUM(G514:G519)</f>
        <v>0</v>
      </c>
      <c r="H520" s="204"/>
      <c r="I520" s="205">
        <f>SUM(I514:I519)</f>
        <v>0</v>
      </c>
      <c r="J520" s="135"/>
      <c r="K520" s="135"/>
    </row>
    <row r="521" spans="1:11" x14ac:dyDescent="0.2">
      <c r="A521" s="180"/>
      <c r="B521" s="6"/>
      <c r="C521" s="124"/>
      <c r="D521" s="124"/>
      <c r="E521" s="124"/>
      <c r="F521" s="124"/>
      <c r="G521" s="204"/>
      <c r="H521" s="204"/>
      <c r="I521" s="204"/>
      <c r="J521" s="135"/>
      <c r="K521" s="135"/>
    </row>
    <row r="522" spans="1:11" ht="15" thickBot="1" x14ac:dyDescent="0.25">
      <c r="A522" s="180"/>
      <c r="B522" s="6"/>
      <c r="C522" s="710" t="s">
        <v>66</v>
      </c>
      <c r="D522" s="710"/>
      <c r="E522" s="710"/>
      <c r="F522" s="124"/>
      <c r="G522" s="209">
        <f>G520+G512</f>
        <v>0</v>
      </c>
      <c r="H522" s="204"/>
      <c r="I522" s="209">
        <f>I520+I512</f>
        <v>0</v>
      </c>
      <c r="J522" s="124"/>
      <c r="K522" s="135"/>
    </row>
    <row r="523" spans="1:11" ht="15" thickTop="1" x14ac:dyDescent="0.2">
      <c r="A523" s="180"/>
      <c r="B523" s="6"/>
      <c r="C523" s="124" t="s">
        <v>53</v>
      </c>
      <c r="D523" s="124"/>
      <c r="E523" s="124"/>
      <c r="F523" s="124"/>
      <c r="G523" s="204"/>
      <c r="H523" s="204"/>
      <c r="I523" s="204"/>
      <c r="J523" s="135"/>
      <c r="K523" s="135"/>
    </row>
    <row r="524" spans="1:11" x14ac:dyDescent="0.2">
      <c r="A524" s="180"/>
      <c r="B524" s="6"/>
      <c r="C524" s="151"/>
      <c r="D524" s="151" t="s">
        <v>574</v>
      </c>
      <c r="E524" s="134"/>
      <c r="F524" s="134"/>
      <c r="G524" s="204">
        <v>0</v>
      </c>
      <c r="H524" s="204"/>
      <c r="I524" s="204">
        <f>G524+I455</f>
        <v>0</v>
      </c>
      <c r="J524" s="135"/>
      <c r="K524" s="135"/>
    </row>
    <row r="525" spans="1:11" x14ac:dyDescent="0.2">
      <c r="A525" s="180"/>
      <c r="B525" s="134"/>
      <c r="C525" s="128"/>
      <c r="D525" s="124" t="s">
        <v>590</v>
      </c>
      <c r="E525" s="124"/>
      <c r="F525" s="124"/>
      <c r="G525" s="204"/>
      <c r="H525" s="204"/>
      <c r="I525" s="204">
        <f t="shared" ref="I525:I526" si="12">G525+I456</f>
        <v>0</v>
      </c>
      <c r="J525" s="135"/>
      <c r="K525" s="135"/>
    </row>
    <row r="526" spans="1:11" x14ac:dyDescent="0.2">
      <c r="A526" s="180"/>
      <c r="B526" s="6"/>
      <c r="C526" s="124"/>
      <c r="D526" s="151" t="s">
        <v>576</v>
      </c>
      <c r="E526" s="151"/>
      <c r="F526" s="151"/>
      <c r="G526" s="204">
        <v>0</v>
      </c>
      <c r="H526" s="204"/>
      <c r="I526" s="204">
        <f t="shared" si="12"/>
        <v>0</v>
      </c>
      <c r="J526" s="135"/>
      <c r="K526" s="135"/>
    </row>
    <row r="527" spans="1:11" ht="15" thickBot="1" x14ac:dyDescent="0.25">
      <c r="A527" s="180"/>
      <c r="B527" s="6"/>
      <c r="C527" s="694" t="s">
        <v>65</v>
      </c>
      <c r="D527" s="694"/>
      <c r="E527" s="694"/>
      <c r="F527" s="124"/>
      <c r="G527" s="209">
        <f>SUM(G524:G526)</f>
        <v>0</v>
      </c>
      <c r="H527" s="210"/>
      <c r="I527" s="209">
        <f>SUM(I524:I526)</f>
        <v>0</v>
      </c>
      <c r="J527" s="135"/>
      <c r="K527" s="135"/>
    </row>
    <row r="528" spans="1:11" ht="15" thickTop="1" x14ac:dyDescent="0.2">
      <c r="A528" s="180"/>
      <c r="B528" s="6"/>
      <c r="C528" s="124"/>
      <c r="D528" s="124"/>
      <c r="E528" s="124"/>
      <c r="F528" s="124"/>
      <c r="G528" s="210"/>
      <c r="H528" s="210"/>
      <c r="I528" s="210"/>
      <c r="J528" s="135"/>
      <c r="K528" s="135"/>
    </row>
    <row r="529" spans="1:11" x14ac:dyDescent="0.2">
      <c r="A529" s="180"/>
      <c r="B529" s="694" t="s">
        <v>55</v>
      </c>
      <c r="C529" s="694"/>
      <c r="D529" s="694"/>
      <c r="E529" s="694"/>
      <c r="F529" s="134"/>
      <c r="G529" s="211">
        <f>G527+G522</f>
        <v>0</v>
      </c>
      <c r="H529" s="204"/>
      <c r="I529" s="211">
        <f>I527+I522</f>
        <v>0</v>
      </c>
      <c r="J529" s="135"/>
      <c r="K529" s="135"/>
    </row>
    <row r="530" spans="1:11" x14ac:dyDescent="0.2">
      <c r="A530" s="180"/>
      <c r="B530" s="203" t="s">
        <v>56</v>
      </c>
      <c r="C530" s="124"/>
      <c r="D530" s="124"/>
      <c r="E530" s="124"/>
      <c r="F530" s="124"/>
      <c r="G530" s="204"/>
      <c r="H530" s="204"/>
      <c r="I530" s="204"/>
      <c r="J530" s="135"/>
      <c r="K530" s="135"/>
    </row>
    <row r="531" spans="1:11" x14ac:dyDescent="0.2">
      <c r="A531" s="180"/>
      <c r="B531" s="6"/>
      <c r="C531" s="124" t="s">
        <v>57</v>
      </c>
      <c r="D531" s="134"/>
      <c r="E531" s="134"/>
      <c r="F531" s="134"/>
      <c r="G531" s="204"/>
      <c r="H531" s="204"/>
      <c r="I531" s="204"/>
      <c r="J531" s="135"/>
      <c r="K531" s="135"/>
    </row>
    <row r="532" spans="1:11" x14ac:dyDescent="0.2">
      <c r="A532" s="180"/>
      <c r="B532" s="134"/>
      <c r="C532" s="128"/>
      <c r="D532" s="124" t="s">
        <v>58</v>
      </c>
      <c r="E532" s="124"/>
      <c r="F532" s="124"/>
      <c r="G532" s="212">
        <v>0</v>
      </c>
      <c r="H532" s="204"/>
      <c r="I532" s="204">
        <f>G532+I463</f>
        <v>0</v>
      </c>
      <c r="J532" s="135"/>
      <c r="K532" s="135"/>
    </row>
    <row r="533" spans="1:11" x14ac:dyDescent="0.2">
      <c r="A533" s="180"/>
      <c r="B533" s="6"/>
      <c r="C533" s="124"/>
      <c r="D533" s="151" t="s">
        <v>59</v>
      </c>
      <c r="E533" s="151"/>
      <c r="F533" s="151"/>
      <c r="G533" s="593">
        <f>'RINCIAN B. LANGSUNG USAHA'!K37+'RINCIAN B. LANGSUNG USAHA'!K44+'RINCIAN B. LANGSUNG USAHA'!K50+'RINCIAN B. LANGSUNG USAHA'!K51+'RINCIAN B. LANGSUNG USAHA'!K52+'RINCIAN B. LANGSUNG USAHA'!K77+'RINCIAN B. LANGSUNG USAHA'!K83+'RINCIAN B. LANGSUNG USAHA'!K84+'RINCIAN B. LANGSUNG USAHA'!K85+'RINCIAN B. LANGSUNG USAHA'!K73+'RINCIAN B. TDK LANGSUNG'!K29+'RINCIAN B. TDK LANGSUNG'!K63</f>
        <v>0</v>
      </c>
      <c r="H533" s="204"/>
      <c r="I533" s="204">
        <f>G533+I464</f>
        <v>0</v>
      </c>
      <c r="J533" s="135"/>
      <c r="K533" s="135"/>
    </row>
    <row r="534" spans="1:11" x14ac:dyDescent="0.2">
      <c r="A534" s="180"/>
      <c r="B534" s="6"/>
      <c r="C534" s="124"/>
      <c r="D534" s="124" t="s">
        <v>60</v>
      </c>
      <c r="E534" s="124"/>
      <c r="F534" s="124"/>
      <c r="G534" s="593">
        <v>0</v>
      </c>
      <c r="H534" s="204"/>
      <c r="I534" s="204">
        <f>G534+I465</f>
        <v>0</v>
      </c>
      <c r="J534" s="135"/>
      <c r="K534" s="135"/>
    </row>
    <row r="535" spans="1:11" ht="15" thickBot="1" x14ac:dyDescent="0.25">
      <c r="A535" s="180"/>
      <c r="B535" s="6"/>
      <c r="C535" s="694" t="s">
        <v>63</v>
      </c>
      <c r="D535" s="694"/>
      <c r="E535" s="694"/>
      <c r="F535" s="124"/>
      <c r="G535" s="213">
        <f>SUM(G532:G534)</f>
        <v>0</v>
      </c>
      <c r="H535" s="204"/>
      <c r="I535" s="213">
        <f>SUM(I532:I534)</f>
        <v>0</v>
      </c>
      <c r="J535" s="135"/>
      <c r="K535" s="135"/>
    </row>
    <row r="536" spans="1:11" ht="15" thickTop="1" x14ac:dyDescent="0.2">
      <c r="A536" s="180"/>
      <c r="B536" s="6"/>
      <c r="C536" s="124" t="s">
        <v>61</v>
      </c>
      <c r="D536" s="124"/>
      <c r="E536" s="124"/>
      <c r="F536" s="124"/>
      <c r="G536" s="204"/>
      <c r="H536" s="204"/>
      <c r="I536" s="204"/>
      <c r="J536" s="135"/>
      <c r="K536" s="135"/>
    </row>
    <row r="537" spans="1:11" x14ac:dyDescent="0.2">
      <c r="A537" s="180"/>
      <c r="B537" s="6"/>
      <c r="C537" s="124"/>
      <c r="D537" s="124" t="s">
        <v>71</v>
      </c>
      <c r="E537" s="124"/>
      <c r="F537" s="124"/>
      <c r="G537" s="204"/>
      <c r="H537" s="204"/>
      <c r="I537" s="204">
        <f>G537+I468</f>
        <v>0</v>
      </c>
      <c r="J537" s="135"/>
      <c r="K537" s="135"/>
    </row>
    <row r="538" spans="1:11" x14ac:dyDescent="0.2">
      <c r="A538" s="180"/>
      <c r="B538" s="6"/>
      <c r="C538" s="124"/>
      <c r="D538" s="124" t="s">
        <v>294</v>
      </c>
      <c r="E538" s="124"/>
      <c r="F538" s="124"/>
      <c r="G538" s="204">
        <v>0</v>
      </c>
      <c r="H538" s="204"/>
      <c r="I538" s="204">
        <f>G538+I469</f>
        <v>0</v>
      </c>
      <c r="J538" s="135"/>
      <c r="K538" s="135"/>
    </row>
    <row r="539" spans="1:11" x14ac:dyDescent="0.2">
      <c r="A539" s="180"/>
      <c r="B539" s="6"/>
      <c r="C539" s="124"/>
      <c r="D539" s="124" t="s">
        <v>62</v>
      </c>
      <c r="E539" s="124"/>
      <c r="F539" s="124"/>
      <c r="G539" s="204">
        <f>'B. NON OPERASIONAL'!I14</f>
        <v>0</v>
      </c>
      <c r="H539" s="204"/>
      <c r="I539" s="204">
        <f>G539+I470</f>
        <v>0</v>
      </c>
      <c r="J539" s="135"/>
      <c r="K539" s="135"/>
    </row>
    <row r="540" spans="1:11" ht="15" thickBot="1" x14ac:dyDescent="0.25">
      <c r="A540" s="180"/>
      <c r="B540" s="6"/>
      <c r="C540" s="694" t="s">
        <v>64</v>
      </c>
      <c r="D540" s="694"/>
      <c r="E540" s="694"/>
      <c r="F540" s="134"/>
      <c r="G540" s="214">
        <f>SUM(G537:G539)</f>
        <v>0</v>
      </c>
      <c r="H540" s="204"/>
      <c r="I540" s="215">
        <f>SUM(I537:I539)</f>
        <v>0</v>
      </c>
      <c r="J540" s="135"/>
      <c r="K540" s="135"/>
    </row>
    <row r="541" spans="1:11" ht="15" thickTop="1" x14ac:dyDescent="0.2">
      <c r="A541" s="180"/>
      <c r="B541" s="6"/>
      <c r="C541" s="124"/>
      <c r="D541" s="124"/>
      <c r="E541" s="124"/>
      <c r="F541" s="124"/>
      <c r="G541" s="204"/>
      <c r="H541" s="204"/>
      <c r="I541" s="204"/>
      <c r="J541" s="135"/>
      <c r="K541" s="135"/>
    </row>
    <row r="542" spans="1:11" x14ac:dyDescent="0.2">
      <c r="A542" s="180"/>
      <c r="B542" s="694" t="s">
        <v>67</v>
      </c>
      <c r="C542" s="694"/>
      <c r="D542" s="694"/>
      <c r="E542" s="694"/>
      <c r="F542" s="134"/>
      <c r="G542" s="211">
        <f>G535+G540</f>
        <v>0</v>
      </c>
      <c r="H542" s="204"/>
      <c r="I542" s="211">
        <f>I540+I535</f>
        <v>0</v>
      </c>
      <c r="J542" s="135"/>
      <c r="K542" s="135"/>
    </row>
    <row r="543" spans="1:11" x14ac:dyDescent="0.2">
      <c r="A543" s="180"/>
      <c r="B543" s="124" t="s">
        <v>68</v>
      </c>
      <c r="C543" s="124"/>
      <c r="D543" s="124"/>
      <c r="E543" s="124"/>
      <c r="F543" s="124"/>
      <c r="G543" s="204">
        <f>G529-G542</f>
        <v>0</v>
      </c>
      <c r="H543" s="204"/>
      <c r="I543" s="204">
        <f>I529-I542</f>
        <v>0</v>
      </c>
      <c r="J543" s="135"/>
      <c r="K543" s="135"/>
    </row>
    <row r="544" spans="1:11" ht="15" thickBot="1" x14ac:dyDescent="0.25">
      <c r="A544" s="180"/>
      <c r="B544" s="124" t="s">
        <v>69</v>
      </c>
      <c r="C544" s="130"/>
      <c r="D544" s="130"/>
      <c r="E544" s="127"/>
      <c r="F544" s="127"/>
      <c r="G544" s="216">
        <f>G476</f>
        <v>0</v>
      </c>
      <c r="H544" s="216"/>
      <c r="I544" s="216">
        <f>I475</f>
        <v>0</v>
      </c>
      <c r="J544" s="135"/>
      <c r="K544" s="135"/>
    </row>
    <row r="545" spans="1:12" ht="22.5" customHeight="1" thickBot="1" x14ac:dyDescent="0.25">
      <c r="A545" s="180"/>
      <c r="B545" s="768" t="s">
        <v>70</v>
      </c>
      <c r="C545" s="769"/>
      <c r="D545" s="769"/>
      <c r="E545" s="770"/>
      <c r="F545" s="142"/>
      <c r="G545" s="217">
        <f>G544+G543</f>
        <v>0</v>
      </c>
      <c r="H545" s="216"/>
      <c r="I545" s="217">
        <f>SUM(I543:I544)</f>
        <v>0</v>
      </c>
      <c r="J545" s="135"/>
      <c r="K545" s="135"/>
    </row>
    <row r="546" spans="1:12" x14ac:dyDescent="0.2">
      <c r="A546" s="198"/>
      <c r="B546" s="119"/>
      <c r="C546" s="119"/>
      <c r="D546" s="119"/>
      <c r="E546" s="119"/>
      <c r="F546" s="119"/>
      <c r="G546" s="218"/>
      <c r="H546" s="218"/>
      <c r="I546" s="218"/>
      <c r="J546" s="221"/>
      <c r="K546" s="221"/>
    </row>
    <row r="547" spans="1:12" x14ac:dyDescent="0.2">
      <c r="A547" s="124"/>
      <c r="B547" s="124"/>
      <c r="C547" s="124"/>
      <c r="D547" s="124"/>
      <c r="E547" s="124"/>
      <c r="F547" s="124"/>
      <c r="G547" s="204"/>
      <c r="H547" s="204"/>
      <c r="I547" s="204"/>
      <c r="J547" s="124"/>
      <c r="K547" s="124"/>
    </row>
    <row r="548" spans="1:12" x14ac:dyDescent="0.2">
      <c r="A548" s="124"/>
      <c r="B548" s="124"/>
      <c r="C548" s="124"/>
      <c r="D548" s="124"/>
      <c r="E548" s="124"/>
      <c r="F548" s="124"/>
      <c r="G548" s="219"/>
      <c r="H548" s="219"/>
      <c r="I548" s="219">
        <f>'ARUS KAS'!E411</f>
        <v>0</v>
      </c>
      <c r="J548" s="124"/>
      <c r="K548" s="124"/>
      <c r="L548" s="592">
        <f>G545-I548</f>
        <v>0</v>
      </c>
    </row>
    <row r="549" spans="1:12" x14ac:dyDescent="0.2">
      <c r="A549" s="697" t="s">
        <v>579</v>
      </c>
      <c r="B549" s="697"/>
      <c r="C549" s="697"/>
      <c r="D549" s="697"/>
      <c r="E549" s="697"/>
      <c r="F549" s="697" t="s">
        <v>566</v>
      </c>
      <c r="G549" s="697"/>
      <c r="H549" s="697"/>
      <c r="I549" s="697"/>
      <c r="J549" s="697"/>
      <c r="K549" s="697"/>
    </row>
    <row r="550" spans="1:12" x14ac:dyDescent="0.2">
      <c r="A550" s="697" t="s">
        <v>678</v>
      </c>
      <c r="B550" s="697"/>
      <c r="C550" s="697"/>
      <c r="D550" s="697"/>
      <c r="E550" s="697"/>
      <c r="F550" s="697" t="s">
        <v>679</v>
      </c>
      <c r="G550" s="697"/>
      <c r="H550" s="697"/>
      <c r="I550" s="697"/>
      <c r="J550" s="697"/>
      <c r="K550" s="697"/>
    </row>
    <row r="551" spans="1:12" x14ac:dyDescent="0.2">
      <c r="A551" s="697"/>
      <c r="B551" s="697"/>
      <c r="C551" s="697"/>
      <c r="D551" s="697"/>
      <c r="E551" s="697"/>
      <c r="F551" s="697"/>
      <c r="G551" s="697"/>
      <c r="H551" s="697"/>
      <c r="I551" s="697"/>
      <c r="J551" s="697"/>
      <c r="K551" s="697"/>
    </row>
    <row r="552" spans="1:12" x14ac:dyDescent="0.2">
      <c r="A552" s="697"/>
      <c r="B552" s="697"/>
      <c r="C552" s="697"/>
      <c r="D552" s="697"/>
      <c r="E552" s="697"/>
      <c r="F552" s="697"/>
      <c r="G552" s="697"/>
      <c r="H552" s="697"/>
      <c r="I552" s="697"/>
      <c r="J552" s="697"/>
      <c r="K552" s="697"/>
    </row>
    <row r="553" spans="1:12" x14ac:dyDescent="0.2">
      <c r="A553" s="710" t="s">
        <v>655</v>
      </c>
      <c r="B553" s="710"/>
      <c r="C553" s="710"/>
      <c r="D553" s="710"/>
      <c r="E553" s="710"/>
      <c r="F553" s="697" t="s">
        <v>567</v>
      </c>
      <c r="G553" s="697"/>
      <c r="H553" s="697"/>
      <c r="I553" s="697"/>
      <c r="J553" s="697"/>
      <c r="K553" s="697"/>
    </row>
    <row r="554" spans="1:12" x14ac:dyDescent="0.2">
      <c r="A554" s="697"/>
      <c r="B554" s="697"/>
      <c r="C554" s="697"/>
      <c r="D554" s="697"/>
      <c r="E554" s="697"/>
      <c r="F554" s="697"/>
      <c r="G554" s="697"/>
      <c r="H554" s="697"/>
      <c r="I554" s="697"/>
      <c r="J554" s="697"/>
      <c r="K554" s="697"/>
    </row>
    <row r="555" spans="1:12" x14ac:dyDescent="0.2">
      <c r="A555" s="697"/>
      <c r="B555" s="697"/>
      <c r="C555" s="697"/>
      <c r="D555" s="697"/>
      <c r="E555" s="697"/>
      <c r="F555" s="697"/>
      <c r="G555" s="697"/>
      <c r="H555" s="697"/>
      <c r="I555" s="697"/>
      <c r="J555" s="697"/>
      <c r="K555" s="697"/>
    </row>
    <row r="556" spans="1:12" x14ac:dyDescent="0.2">
      <c r="A556" s="697"/>
      <c r="B556" s="697"/>
      <c r="C556" s="697"/>
      <c r="D556" s="697"/>
      <c r="E556" s="697"/>
      <c r="F556" s="697"/>
      <c r="G556" s="697"/>
      <c r="H556" s="697"/>
      <c r="I556" s="697"/>
      <c r="J556" s="697"/>
      <c r="K556" s="697"/>
    </row>
    <row r="557" spans="1:12" x14ac:dyDescent="0.2">
      <c r="A557" s="697"/>
      <c r="B557" s="697"/>
      <c r="C557" s="697"/>
      <c r="D557" s="697"/>
      <c r="E557" s="697"/>
      <c r="F557" s="697"/>
      <c r="G557" s="697"/>
      <c r="H557" s="697"/>
      <c r="I557" s="697"/>
      <c r="J557" s="697"/>
      <c r="K557" s="697"/>
    </row>
    <row r="558" spans="1:12" x14ac:dyDescent="0.2">
      <c r="A558" s="697"/>
      <c r="B558" s="697"/>
      <c r="C558" s="697"/>
      <c r="D558" s="697"/>
      <c r="E558" s="697"/>
      <c r="F558" s="697"/>
      <c r="G558" s="697"/>
      <c r="H558" s="697"/>
      <c r="I558" s="697"/>
      <c r="J558" s="697"/>
      <c r="K558" s="697"/>
    </row>
    <row r="568" spans="1:11" x14ac:dyDescent="0.2">
      <c r="A568" s="771" t="s">
        <v>583</v>
      </c>
      <c r="B568" s="771"/>
      <c r="C568" s="771"/>
      <c r="D568" s="771"/>
      <c r="E568" s="771"/>
      <c r="F568" s="771"/>
      <c r="G568" s="771"/>
      <c r="H568" s="771"/>
      <c r="I568" s="771"/>
      <c r="J568" s="771"/>
      <c r="K568" s="771"/>
    </row>
    <row r="569" spans="1:11" x14ac:dyDescent="0.2">
      <c r="A569" s="772"/>
      <c r="B569" s="772"/>
      <c r="C569" s="772"/>
      <c r="D569" s="772"/>
      <c r="E569" s="772"/>
      <c r="F569" s="772"/>
      <c r="G569" s="772"/>
      <c r="H569" s="772"/>
      <c r="I569" s="772"/>
      <c r="J569" s="772"/>
      <c r="K569" s="772"/>
    </row>
    <row r="570" spans="1:11" ht="8.25" customHeight="1" x14ac:dyDescent="0.2">
      <c r="A570" s="178"/>
      <c r="B570" s="773"/>
      <c r="C570" s="773"/>
      <c r="D570" s="773"/>
      <c r="E570" s="773"/>
      <c r="F570" s="773"/>
      <c r="G570" s="773"/>
      <c r="H570" s="773"/>
      <c r="I570" s="773"/>
      <c r="J570" s="220"/>
      <c r="K570" s="220"/>
    </row>
    <row r="571" spans="1:11" x14ac:dyDescent="0.2">
      <c r="A571" s="180"/>
      <c r="B571" s="710" t="s">
        <v>582</v>
      </c>
      <c r="C571" s="710"/>
      <c r="D571" s="710"/>
      <c r="E571" s="710"/>
      <c r="F571" s="710"/>
      <c r="G571" s="710"/>
      <c r="H571" s="710"/>
      <c r="I571" s="710"/>
      <c r="J571" s="135"/>
      <c r="K571" s="135"/>
    </row>
    <row r="572" spans="1:11" x14ac:dyDescent="0.2">
      <c r="A572" s="180"/>
      <c r="B572" s="710" t="s">
        <v>41</v>
      </c>
      <c r="C572" s="710"/>
      <c r="D572" s="710"/>
      <c r="E572" s="710"/>
      <c r="F572" s="710"/>
      <c r="G572" s="710"/>
      <c r="H572" s="710"/>
      <c r="I572" s="710"/>
      <c r="J572" s="135"/>
      <c r="K572" s="135"/>
    </row>
    <row r="573" spans="1:11" x14ac:dyDescent="0.2">
      <c r="A573" s="180"/>
      <c r="B573" s="710" t="s">
        <v>1030</v>
      </c>
      <c r="C573" s="710"/>
      <c r="D573" s="710"/>
      <c r="E573" s="710"/>
      <c r="F573" s="710"/>
      <c r="G573" s="710"/>
      <c r="H573" s="710"/>
      <c r="I573" s="710"/>
      <c r="J573" s="135"/>
      <c r="K573" s="135"/>
    </row>
    <row r="574" spans="1:11" ht="6.75" customHeight="1" x14ac:dyDescent="0.2">
      <c r="A574" s="180"/>
      <c r="B574" s="124"/>
      <c r="C574" s="124"/>
      <c r="D574" s="124"/>
      <c r="E574" s="124"/>
      <c r="F574" s="124"/>
      <c r="J574" s="135"/>
      <c r="K574" s="135"/>
    </row>
    <row r="575" spans="1:11" x14ac:dyDescent="0.2">
      <c r="A575" s="180"/>
      <c r="B575" s="755" t="s">
        <v>38</v>
      </c>
      <c r="C575" s="756"/>
      <c r="D575" s="756"/>
      <c r="E575" s="757"/>
      <c r="F575" s="127"/>
      <c r="G575" s="201" t="s">
        <v>37</v>
      </c>
      <c r="H575" s="127"/>
      <c r="I575" s="201" t="s">
        <v>39</v>
      </c>
      <c r="J575" s="135"/>
      <c r="K575" s="135"/>
    </row>
    <row r="576" spans="1:11" x14ac:dyDescent="0.2">
      <c r="A576" s="180"/>
      <c r="B576" s="758"/>
      <c r="C576" s="759"/>
      <c r="D576" s="759"/>
      <c r="E576" s="760"/>
      <c r="F576" s="127"/>
      <c r="G576" s="202" t="s">
        <v>40</v>
      </c>
      <c r="H576" s="127"/>
      <c r="I576" s="202" t="s">
        <v>40</v>
      </c>
      <c r="J576" s="135"/>
      <c r="K576" s="135"/>
    </row>
    <row r="577" spans="1:11" x14ac:dyDescent="0.2">
      <c r="A577" s="180"/>
      <c r="B577" s="203" t="s">
        <v>43</v>
      </c>
      <c r="C577" s="128"/>
      <c r="D577" s="124"/>
      <c r="E577" s="124"/>
      <c r="F577" s="124"/>
      <c r="G577" s="204"/>
      <c r="H577" s="204"/>
      <c r="I577" s="204"/>
      <c r="J577" s="135"/>
      <c r="K577" s="135"/>
    </row>
    <row r="578" spans="1:11" x14ac:dyDescent="0.2">
      <c r="A578" s="180"/>
      <c r="B578" s="6"/>
      <c r="C578" s="124" t="s">
        <v>42</v>
      </c>
      <c r="D578" s="124"/>
      <c r="E578" s="124"/>
      <c r="F578" s="124"/>
      <c r="G578" s="210"/>
      <c r="H578" s="210"/>
      <c r="I578" s="210"/>
      <c r="J578" s="135"/>
      <c r="K578" s="135"/>
    </row>
    <row r="579" spans="1:11" x14ac:dyDescent="0.2">
      <c r="A579" s="180"/>
      <c r="B579" s="6"/>
      <c r="C579" s="124"/>
      <c r="D579" s="124" t="s">
        <v>44</v>
      </c>
      <c r="E579" s="124"/>
      <c r="F579" s="124"/>
      <c r="G579" s="210">
        <v>0</v>
      </c>
      <c r="H579" s="210"/>
      <c r="I579" s="210">
        <f>G579+I508</f>
        <v>0</v>
      </c>
      <c r="J579" s="135"/>
      <c r="K579" s="135"/>
    </row>
    <row r="580" spans="1:11" x14ac:dyDescent="0.2">
      <c r="A580" s="180"/>
      <c r="B580" s="6"/>
      <c r="C580" s="124"/>
      <c r="D580" s="124" t="s">
        <v>573</v>
      </c>
      <c r="E580" s="124"/>
      <c r="F580" s="124"/>
      <c r="G580" s="210">
        <v>0</v>
      </c>
      <c r="H580" s="210"/>
      <c r="I580" s="210">
        <f>G580+I509</f>
        <v>0</v>
      </c>
      <c r="J580" s="135"/>
      <c r="K580" s="135"/>
    </row>
    <row r="581" spans="1:11" x14ac:dyDescent="0.2">
      <c r="A581" s="180"/>
      <c r="B581" s="6"/>
      <c r="C581" s="124"/>
      <c r="D581" s="124" t="s">
        <v>591</v>
      </c>
      <c r="E581" s="124"/>
      <c r="F581" s="124"/>
      <c r="G581" s="210">
        <v>0</v>
      </c>
      <c r="H581" s="210"/>
      <c r="I581" s="210">
        <f>G581+I510</f>
        <v>0</v>
      </c>
      <c r="J581" s="135"/>
      <c r="K581" s="135"/>
    </row>
    <row r="582" spans="1:11" x14ac:dyDescent="0.2">
      <c r="A582" s="180"/>
      <c r="B582" s="6"/>
      <c r="C582" s="124"/>
      <c r="D582" s="124" t="s">
        <v>592</v>
      </c>
      <c r="E582" s="124"/>
      <c r="F582" s="124"/>
      <c r="G582" s="210">
        <v>0</v>
      </c>
      <c r="H582" s="210"/>
      <c r="I582" s="210">
        <f>I511+G582</f>
        <v>0</v>
      </c>
      <c r="J582" s="135"/>
      <c r="K582" s="135"/>
    </row>
    <row r="583" spans="1:11" x14ac:dyDescent="0.2">
      <c r="A583" s="180"/>
      <c r="B583" s="6"/>
      <c r="C583" s="124"/>
      <c r="D583" s="124"/>
      <c r="E583" s="134" t="s">
        <v>51</v>
      </c>
      <c r="F583" s="124"/>
      <c r="G583" s="488">
        <f>SUM(G579:G582)</f>
        <v>0</v>
      </c>
      <c r="H583" s="210"/>
      <c r="I583" s="488">
        <f>SUM(I579:I582)</f>
        <v>0</v>
      </c>
      <c r="J583" s="135"/>
      <c r="K583" s="135"/>
    </row>
    <row r="584" spans="1:11" x14ac:dyDescent="0.2">
      <c r="A584" s="180"/>
      <c r="B584" s="6"/>
      <c r="C584" s="124"/>
      <c r="D584" s="124" t="s">
        <v>575</v>
      </c>
      <c r="E584" s="124"/>
      <c r="F584" s="124"/>
      <c r="G584" s="210"/>
      <c r="H584" s="210"/>
      <c r="I584" s="210"/>
      <c r="J584" s="135"/>
      <c r="K584" s="135"/>
    </row>
    <row r="585" spans="1:11" x14ac:dyDescent="0.2">
      <c r="A585" s="180"/>
      <c r="B585" s="6"/>
      <c r="C585" s="124"/>
      <c r="D585" s="124"/>
      <c r="E585" s="206" t="s">
        <v>46</v>
      </c>
      <c r="F585" s="124"/>
      <c r="G585" s="210">
        <v>0</v>
      </c>
      <c r="H585" s="210"/>
      <c r="I585" s="210">
        <f t="shared" ref="I585:I590" si="13">G585+I514</f>
        <v>0</v>
      </c>
      <c r="J585" s="135"/>
      <c r="K585" s="135"/>
    </row>
    <row r="586" spans="1:11" x14ac:dyDescent="0.2">
      <c r="A586" s="180"/>
      <c r="B586" s="6"/>
      <c r="C586" s="124"/>
      <c r="D586" s="124"/>
      <c r="E586" s="206" t="s">
        <v>47</v>
      </c>
      <c r="F586" s="124"/>
      <c r="G586" s="210"/>
      <c r="H586" s="210"/>
      <c r="I586" s="210">
        <f t="shared" si="13"/>
        <v>0</v>
      </c>
      <c r="J586" s="135"/>
      <c r="K586" s="135"/>
    </row>
    <row r="587" spans="1:11" x14ac:dyDescent="0.2">
      <c r="A587" s="180"/>
      <c r="B587" s="6"/>
      <c r="C587" s="124"/>
      <c r="D587" s="134"/>
      <c r="E587" s="207" t="s">
        <v>48</v>
      </c>
      <c r="F587" s="134"/>
      <c r="G587" s="210"/>
      <c r="H587" s="210"/>
      <c r="I587" s="210">
        <f t="shared" si="13"/>
        <v>0</v>
      </c>
      <c r="J587" s="135"/>
      <c r="K587" s="135"/>
    </row>
    <row r="588" spans="1:11" x14ac:dyDescent="0.2">
      <c r="A588" s="180"/>
      <c r="B588" s="6"/>
      <c r="C588" s="124"/>
      <c r="D588" s="124"/>
      <c r="E588" s="206" t="s">
        <v>49</v>
      </c>
      <c r="F588" s="124"/>
      <c r="G588" s="210">
        <v>0</v>
      </c>
      <c r="H588" s="210"/>
      <c r="I588" s="210">
        <f t="shared" si="13"/>
        <v>0</v>
      </c>
      <c r="J588" s="135"/>
      <c r="K588" s="135"/>
    </row>
    <row r="589" spans="1:11" x14ac:dyDescent="0.2">
      <c r="A589" s="180"/>
      <c r="B589" s="6"/>
      <c r="C589" s="124"/>
      <c r="D589" s="134"/>
      <c r="E589" s="207" t="s">
        <v>45</v>
      </c>
      <c r="F589" s="134"/>
      <c r="G589" s="210"/>
      <c r="H589" s="210"/>
      <c r="I589" s="210">
        <f t="shared" si="13"/>
        <v>0</v>
      </c>
      <c r="J589" s="135"/>
      <c r="K589" s="135"/>
    </row>
    <row r="590" spans="1:11" x14ac:dyDescent="0.2">
      <c r="A590" s="180"/>
      <c r="B590" s="134"/>
      <c r="C590" s="128"/>
      <c r="D590" s="124"/>
      <c r="E590" s="206" t="s">
        <v>50</v>
      </c>
      <c r="F590" s="124"/>
      <c r="G590" s="210">
        <v>0</v>
      </c>
      <c r="H590" s="210"/>
      <c r="I590" s="210">
        <f t="shared" si="13"/>
        <v>0</v>
      </c>
      <c r="J590" s="135"/>
      <c r="K590" s="135"/>
    </row>
    <row r="591" spans="1:11" x14ac:dyDescent="0.2">
      <c r="A591" s="180"/>
      <c r="B591" s="6"/>
      <c r="C591" s="124"/>
      <c r="D591" s="208"/>
      <c r="E591" s="127" t="s">
        <v>52</v>
      </c>
      <c r="F591" s="208"/>
      <c r="G591" s="488">
        <f>SUM(G585:G590)</f>
        <v>0</v>
      </c>
      <c r="H591" s="210"/>
      <c r="I591" s="488">
        <f>SUM(I585:I590)</f>
        <v>0</v>
      </c>
      <c r="J591" s="135"/>
      <c r="K591" s="135"/>
    </row>
    <row r="592" spans="1:11" x14ac:dyDescent="0.2">
      <c r="A592" s="180"/>
      <c r="B592" s="6"/>
      <c r="C592" s="124"/>
      <c r="D592" s="124"/>
      <c r="E592" s="124"/>
      <c r="F592" s="124"/>
      <c r="G592" s="210"/>
      <c r="H592" s="210"/>
      <c r="I592" s="210"/>
      <c r="J592" s="135"/>
      <c r="K592" s="135"/>
    </row>
    <row r="593" spans="1:11" ht="15" thickBot="1" x14ac:dyDescent="0.25">
      <c r="A593" s="180"/>
      <c r="B593" s="6"/>
      <c r="C593" s="710" t="s">
        <v>66</v>
      </c>
      <c r="D593" s="710"/>
      <c r="E593" s="710"/>
      <c r="F593" s="124"/>
      <c r="G593" s="209">
        <f>G591+G583</f>
        <v>0</v>
      </c>
      <c r="H593" s="210"/>
      <c r="I593" s="209">
        <f>I591+I583</f>
        <v>0</v>
      </c>
      <c r="J593" s="124"/>
      <c r="K593" s="135"/>
    </row>
    <row r="594" spans="1:11" ht="15" thickTop="1" x14ac:dyDescent="0.2">
      <c r="A594" s="180"/>
      <c r="B594" s="6"/>
      <c r="C594" s="124" t="s">
        <v>53</v>
      </c>
      <c r="D594" s="124"/>
      <c r="E594" s="124"/>
      <c r="F594" s="124"/>
      <c r="G594" s="210"/>
      <c r="H594" s="210"/>
      <c r="I594" s="210"/>
      <c r="J594" s="135"/>
      <c r="K594" s="135"/>
    </row>
    <row r="595" spans="1:11" x14ac:dyDescent="0.2">
      <c r="A595" s="180"/>
      <c r="B595" s="6"/>
      <c r="C595" s="151"/>
      <c r="D595" s="151" t="s">
        <v>574</v>
      </c>
      <c r="E595" s="134"/>
      <c r="F595" s="134"/>
      <c r="G595" s="210">
        <v>0</v>
      </c>
      <c r="H595" s="210"/>
      <c r="I595" s="210">
        <f>G595+I524</f>
        <v>0</v>
      </c>
      <c r="J595" s="135"/>
      <c r="K595" s="135"/>
    </row>
    <row r="596" spans="1:11" x14ac:dyDescent="0.2">
      <c r="A596" s="180"/>
      <c r="B596" s="134"/>
      <c r="C596" s="128"/>
      <c r="D596" s="124" t="s">
        <v>590</v>
      </c>
      <c r="E596" s="124"/>
      <c r="F596" s="124"/>
      <c r="G596" s="210"/>
      <c r="H596" s="210"/>
      <c r="I596" s="210">
        <f>G596+I525</f>
        <v>0</v>
      </c>
      <c r="J596" s="135"/>
      <c r="K596" s="135"/>
    </row>
    <row r="597" spans="1:11" x14ac:dyDescent="0.2">
      <c r="A597" s="180"/>
      <c r="B597" s="6"/>
      <c r="C597" s="124"/>
      <c r="D597" s="151" t="s">
        <v>576</v>
      </c>
      <c r="E597" s="151"/>
      <c r="F597" s="151"/>
      <c r="G597" s="210"/>
      <c r="H597" s="210"/>
      <c r="I597" s="210">
        <f>G597+I526</f>
        <v>0</v>
      </c>
      <c r="J597" s="135"/>
      <c r="K597" s="135"/>
    </row>
    <row r="598" spans="1:11" ht="15" thickBot="1" x14ac:dyDescent="0.25">
      <c r="A598" s="180"/>
      <c r="B598" s="6"/>
      <c r="C598" s="694" t="s">
        <v>65</v>
      </c>
      <c r="D598" s="694"/>
      <c r="E598" s="694"/>
      <c r="F598" s="124"/>
      <c r="G598" s="209">
        <f>SUM(G595:G597)</f>
        <v>0</v>
      </c>
      <c r="H598" s="210"/>
      <c r="I598" s="209">
        <f>SUM(I595:I597)</f>
        <v>0</v>
      </c>
      <c r="J598" s="135"/>
      <c r="K598" s="135"/>
    </row>
    <row r="599" spans="1:11" ht="15" thickTop="1" x14ac:dyDescent="0.2">
      <c r="A599" s="180"/>
      <c r="B599" s="6"/>
      <c r="C599" s="124"/>
      <c r="D599" s="124"/>
      <c r="E599" s="124"/>
      <c r="F599" s="124"/>
      <c r="G599" s="210"/>
      <c r="H599" s="210"/>
      <c r="I599" s="210"/>
      <c r="J599" s="135"/>
      <c r="K599" s="135"/>
    </row>
    <row r="600" spans="1:11" x14ac:dyDescent="0.2">
      <c r="A600" s="180"/>
      <c r="B600" s="694" t="s">
        <v>55</v>
      </c>
      <c r="C600" s="694"/>
      <c r="D600" s="694"/>
      <c r="E600" s="694"/>
      <c r="F600" s="134"/>
      <c r="G600" s="489">
        <f>G598+G593</f>
        <v>0</v>
      </c>
      <c r="H600" s="210"/>
      <c r="I600" s="489">
        <f>I598+I593</f>
        <v>0</v>
      </c>
      <c r="J600" s="135"/>
      <c r="K600" s="135"/>
    </row>
    <row r="601" spans="1:11" x14ac:dyDescent="0.2">
      <c r="A601" s="180"/>
      <c r="B601" s="203" t="s">
        <v>56</v>
      </c>
      <c r="C601" s="124"/>
      <c r="D601" s="124"/>
      <c r="E601" s="124"/>
      <c r="F601" s="124"/>
      <c r="G601" s="210"/>
      <c r="H601" s="210"/>
      <c r="I601" s="210"/>
      <c r="J601" s="135"/>
      <c r="K601" s="135"/>
    </row>
    <row r="602" spans="1:11" x14ac:dyDescent="0.2">
      <c r="A602" s="180"/>
      <c r="B602" s="6"/>
      <c r="C602" s="124" t="s">
        <v>57</v>
      </c>
      <c r="D602" s="134"/>
      <c r="E602" s="134"/>
      <c r="F602" s="134"/>
      <c r="G602" s="210"/>
      <c r="H602" s="210"/>
      <c r="I602" s="210"/>
      <c r="J602" s="135"/>
      <c r="K602" s="135"/>
    </row>
    <row r="603" spans="1:11" x14ac:dyDescent="0.2">
      <c r="A603" s="180"/>
      <c r="B603" s="134"/>
      <c r="C603" s="128"/>
      <c r="D603" s="124" t="s">
        <v>58</v>
      </c>
      <c r="E603" s="124"/>
      <c r="F603" s="124"/>
      <c r="G603" s="212">
        <f>'RINCIAN B. LANGSUNG USAHA'!L58+'RINCIAN B. LANGSUNG USAHA'!L20+'RINCIAN B. LANGSUNG USAHA'!L86+'RINCIAN B. LANGSUNG USAHA'!L87+'RINCIAN B. LANGSUNG USAHA'!L19+'RINCIAN B. LANGSUNG USAHA'!L29+'RINCIAN B. LANGSUNG USAHA'!L65+'RINCIAN B. LANGSUNG USAHA'!L96+'RINCIAN B. TDK LANGSUNG'!L44+'RINCIAN B. TDK LANGSUNG'!L49+'RINCIAN B. TDK LANGSUNG'!L59</f>
        <v>0</v>
      </c>
      <c r="H603" s="210"/>
      <c r="I603" s="210">
        <f>G603+I532</f>
        <v>0</v>
      </c>
      <c r="J603" s="135"/>
      <c r="K603" s="135"/>
    </row>
    <row r="604" spans="1:11" x14ac:dyDescent="0.2">
      <c r="A604" s="180"/>
      <c r="B604" s="6"/>
      <c r="C604" s="124"/>
      <c r="D604" s="151" t="s">
        <v>59</v>
      </c>
      <c r="E604" s="151"/>
      <c r="F604" s="151"/>
      <c r="G604" s="593">
        <f>'RINCIAN B. LANGSUNG USAHA'!L37+'RINCIAN B. LANGSUNG USAHA'!L44+'RINCIAN B. LANGSUNG USAHA'!L50+'RINCIAN B. LANGSUNG USAHA'!L51+'RINCIAN B. LANGSUNG USAHA'!L52+'RINCIAN B. LANGSUNG USAHA'!L77+'RINCIAN B. LANGSUNG USAHA'!L83+'RINCIAN B. LANGSUNG USAHA'!L84+'RINCIAN B. LANGSUNG USAHA'!L85+'RINCIAN B. LANGSUNG USAHA'!L73+'RINCIAN B. TDK LANGSUNG'!L29+'RINCIAN B. TDK LANGSUNG'!L63</f>
        <v>0</v>
      </c>
      <c r="H604" s="210"/>
      <c r="I604" s="210">
        <f>G604+I533</f>
        <v>0</v>
      </c>
      <c r="J604" s="135"/>
      <c r="K604" s="135"/>
    </row>
    <row r="605" spans="1:11" x14ac:dyDescent="0.2">
      <c r="A605" s="180"/>
      <c r="B605" s="6"/>
      <c r="C605" s="124"/>
      <c r="D605" s="124" t="s">
        <v>60</v>
      </c>
      <c r="E605" s="124"/>
      <c r="F605" s="124"/>
      <c r="G605" s="593">
        <v>0</v>
      </c>
      <c r="H605" s="210"/>
      <c r="I605" s="210">
        <f>G605+I534</f>
        <v>0</v>
      </c>
      <c r="J605" s="135"/>
      <c r="K605" s="135"/>
    </row>
    <row r="606" spans="1:11" ht="15" thickBot="1" x14ac:dyDescent="0.25">
      <c r="A606" s="180"/>
      <c r="B606" s="6"/>
      <c r="C606" s="694" t="s">
        <v>63</v>
      </c>
      <c r="D606" s="694"/>
      <c r="E606" s="694"/>
      <c r="F606" s="124"/>
      <c r="G606" s="209">
        <f>SUM(G603:G605)</f>
        <v>0</v>
      </c>
      <c r="H606" s="210"/>
      <c r="I606" s="209">
        <f>SUM(I603:I605)</f>
        <v>0</v>
      </c>
      <c r="J606" s="135"/>
      <c r="K606" s="135"/>
    </row>
    <row r="607" spans="1:11" ht="15" thickTop="1" x14ac:dyDescent="0.2">
      <c r="A607" s="180"/>
      <c r="B607" s="6"/>
      <c r="C607" s="124" t="s">
        <v>61</v>
      </c>
      <c r="D607" s="124"/>
      <c r="E607" s="124"/>
      <c r="F607" s="124"/>
      <c r="G607" s="210"/>
      <c r="H607" s="210"/>
      <c r="I607" s="210"/>
      <c r="J607" s="135"/>
      <c r="K607" s="135"/>
    </row>
    <row r="608" spans="1:11" x14ac:dyDescent="0.2">
      <c r="A608" s="180"/>
      <c r="B608" s="6"/>
      <c r="C608" s="124"/>
      <c r="D608" s="124" t="s">
        <v>71</v>
      </c>
      <c r="E608" s="124"/>
      <c r="F608" s="124"/>
      <c r="G608" s="210"/>
      <c r="H608" s="210"/>
      <c r="I608" s="210">
        <f>G608+I537</f>
        <v>0</v>
      </c>
      <c r="J608" s="135"/>
      <c r="K608" s="135"/>
    </row>
    <row r="609" spans="1:12" x14ac:dyDescent="0.2">
      <c r="A609" s="180"/>
      <c r="B609" s="6"/>
      <c r="C609" s="124"/>
      <c r="D609" s="124" t="s">
        <v>294</v>
      </c>
      <c r="E609" s="124"/>
      <c r="F609" s="124"/>
      <c r="G609" s="210"/>
      <c r="H609" s="210"/>
      <c r="I609" s="210">
        <f>G609+I538</f>
        <v>0</v>
      </c>
      <c r="J609" s="135"/>
      <c r="K609" s="135"/>
    </row>
    <row r="610" spans="1:12" x14ac:dyDescent="0.2">
      <c r="A610" s="180"/>
      <c r="B610" s="6"/>
      <c r="C610" s="124"/>
      <c r="D610" s="124" t="s">
        <v>62</v>
      </c>
      <c r="E610" s="124"/>
      <c r="F610" s="124"/>
      <c r="G610" s="210"/>
      <c r="H610" s="210"/>
      <c r="I610" s="210">
        <f>G610+I539</f>
        <v>0</v>
      </c>
      <c r="J610" s="135"/>
      <c r="K610" s="135"/>
    </row>
    <row r="611" spans="1:12" ht="15" thickBot="1" x14ac:dyDescent="0.25">
      <c r="A611" s="180"/>
      <c r="B611" s="6"/>
      <c r="C611" s="694" t="s">
        <v>64</v>
      </c>
      <c r="D611" s="694"/>
      <c r="E611" s="694"/>
      <c r="F611" s="134"/>
      <c r="G611" s="490">
        <f>SUM(G608:G610)</f>
        <v>0</v>
      </c>
      <c r="H611" s="210"/>
      <c r="I611" s="491">
        <f>SUM(I608:I610)</f>
        <v>0</v>
      </c>
      <c r="J611" s="135"/>
      <c r="K611" s="135"/>
    </row>
    <row r="612" spans="1:12" ht="15" thickTop="1" x14ac:dyDescent="0.2">
      <c r="A612" s="180"/>
      <c r="B612" s="6"/>
      <c r="C612" s="124"/>
      <c r="D612" s="124"/>
      <c r="E612" s="124"/>
      <c r="F612" s="124"/>
      <c r="G612" s="210"/>
      <c r="H612" s="210"/>
      <c r="I612" s="210"/>
      <c r="J612" s="135"/>
      <c r="K612" s="135"/>
    </row>
    <row r="613" spans="1:12" x14ac:dyDescent="0.2">
      <c r="A613" s="180"/>
      <c r="B613" s="694" t="s">
        <v>67</v>
      </c>
      <c r="C613" s="694"/>
      <c r="D613" s="694"/>
      <c r="E613" s="694"/>
      <c r="F613" s="134"/>
      <c r="G613" s="489">
        <f>G606+G611</f>
        <v>0</v>
      </c>
      <c r="H613" s="210"/>
      <c r="I613" s="489">
        <f>I611+I606</f>
        <v>0</v>
      </c>
      <c r="J613" s="135"/>
      <c r="K613" s="135"/>
    </row>
    <row r="614" spans="1:12" x14ac:dyDescent="0.2">
      <c r="A614" s="180"/>
      <c r="B614" s="124" t="s">
        <v>68</v>
      </c>
      <c r="C614" s="124"/>
      <c r="D614" s="124"/>
      <c r="E614" s="124"/>
      <c r="F614" s="124"/>
      <c r="G614" s="210">
        <f>G600-G613</f>
        <v>0</v>
      </c>
      <c r="H614" s="210"/>
      <c r="I614" s="210">
        <f>I600-I613</f>
        <v>0</v>
      </c>
      <c r="J614" s="135"/>
      <c r="K614" s="135"/>
    </row>
    <row r="615" spans="1:12" ht="15" thickBot="1" x14ac:dyDescent="0.25">
      <c r="A615" s="180"/>
      <c r="B615" s="124" t="s">
        <v>69</v>
      </c>
      <c r="C615" s="130"/>
      <c r="D615" s="130"/>
      <c r="E615" s="127"/>
      <c r="F615" s="127"/>
      <c r="G615" s="437">
        <f>I545</f>
        <v>0</v>
      </c>
      <c r="H615" s="437"/>
      <c r="I615" s="437">
        <f>I544</f>
        <v>0</v>
      </c>
      <c r="J615" s="135"/>
      <c r="K615" s="135"/>
    </row>
    <row r="616" spans="1:12" ht="15" thickBot="1" x14ac:dyDescent="0.25">
      <c r="A616" s="180"/>
      <c r="B616" s="774" t="s">
        <v>70</v>
      </c>
      <c r="C616" s="775"/>
      <c r="D616" s="775"/>
      <c r="E616" s="776"/>
      <c r="F616" s="142"/>
      <c r="G616" s="492">
        <f>G615+G614</f>
        <v>0</v>
      </c>
      <c r="H616" s="437"/>
      <c r="I616" s="492">
        <f>SUM(I614:I615)</f>
        <v>0</v>
      </c>
      <c r="J616" s="135"/>
      <c r="K616" s="135"/>
    </row>
    <row r="617" spans="1:12" x14ac:dyDescent="0.2">
      <c r="A617" s="198"/>
      <c r="B617" s="119"/>
      <c r="C617" s="119"/>
      <c r="D617" s="119"/>
      <c r="E617" s="119"/>
      <c r="F617" s="119"/>
      <c r="G617" s="218"/>
      <c r="H617" s="218"/>
      <c r="I617" s="218"/>
      <c r="J617" s="221"/>
      <c r="K617" s="221"/>
    </row>
    <row r="618" spans="1:12" x14ac:dyDescent="0.2">
      <c r="A618" s="124"/>
      <c r="B618" s="124"/>
      <c r="C618" s="124"/>
      <c r="D618" s="124"/>
      <c r="E618" s="124"/>
      <c r="F618" s="124"/>
      <c r="G618" s="204"/>
      <c r="H618" s="204"/>
      <c r="I618" s="204"/>
      <c r="J618" s="124"/>
      <c r="K618" s="124"/>
      <c r="L618" s="592">
        <f>I616-I619</f>
        <v>0</v>
      </c>
    </row>
    <row r="619" spans="1:12" x14ac:dyDescent="0.2">
      <c r="A619" s="124"/>
      <c r="B619" s="124"/>
      <c r="C619" s="124"/>
      <c r="D619" s="124"/>
      <c r="E619" s="124"/>
      <c r="F619" s="124"/>
      <c r="G619" s="219">
        <f>'ARUS KAS'!E472</f>
        <v>0</v>
      </c>
      <c r="H619" s="219"/>
      <c r="I619" s="219">
        <f>'Neraca '!H588</f>
        <v>0</v>
      </c>
      <c r="J619" s="124"/>
      <c r="K619" s="124"/>
      <c r="L619" s="592">
        <f>G616-I619</f>
        <v>0</v>
      </c>
    </row>
    <row r="620" spans="1:12" x14ac:dyDescent="0.2">
      <c r="A620" s="697" t="s">
        <v>579</v>
      </c>
      <c r="B620" s="697"/>
      <c r="C620" s="697"/>
      <c r="D620" s="697"/>
      <c r="E620" s="697"/>
      <c r="F620" s="697" t="s">
        <v>566</v>
      </c>
      <c r="G620" s="697"/>
      <c r="H620" s="697"/>
      <c r="I620" s="697"/>
      <c r="J620" s="697"/>
      <c r="K620" s="697"/>
    </row>
    <row r="621" spans="1:12" x14ac:dyDescent="0.2">
      <c r="A621" s="697" t="s">
        <v>678</v>
      </c>
      <c r="B621" s="697"/>
      <c r="C621" s="697"/>
      <c r="D621" s="697"/>
      <c r="E621" s="697"/>
      <c r="F621" s="697" t="s">
        <v>681</v>
      </c>
      <c r="G621" s="697"/>
      <c r="H621" s="697"/>
      <c r="I621" s="697"/>
      <c r="J621" s="697"/>
      <c r="K621" s="697"/>
    </row>
    <row r="622" spans="1:12" x14ac:dyDescent="0.2">
      <c r="A622" s="697"/>
      <c r="B622" s="697"/>
      <c r="C622" s="697"/>
      <c r="D622" s="697"/>
      <c r="E622" s="697"/>
      <c r="F622" s="697"/>
      <c r="G622" s="697"/>
      <c r="H622" s="697"/>
      <c r="I622" s="697"/>
      <c r="J622" s="697"/>
      <c r="K622" s="697"/>
    </row>
    <row r="623" spans="1:12" x14ac:dyDescent="0.2">
      <c r="A623" s="697"/>
      <c r="B623" s="697"/>
      <c r="C623" s="697"/>
      <c r="D623" s="697"/>
      <c r="E623" s="697"/>
      <c r="F623" s="697"/>
      <c r="G623" s="697"/>
      <c r="H623" s="697"/>
      <c r="I623" s="697"/>
      <c r="J623" s="697"/>
      <c r="K623" s="697"/>
    </row>
    <row r="624" spans="1:12" x14ac:dyDescent="0.2">
      <c r="A624" s="697" t="s">
        <v>569</v>
      </c>
      <c r="B624" s="697"/>
      <c r="C624" s="697"/>
      <c r="D624" s="697"/>
      <c r="E624" s="697"/>
      <c r="F624" s="697" t="s">
        <v>567</v>
      </c>
      <c r="G624" s="697"/>
      <c r="H624" s="697"/>
      <c r="I624" s="697"/>
      <c r="J624" s="697"/>
      <c r="K624" s="697"/>
    </row>
    <row r="625" spans="1:11" x14ac:dyDescent="0.2">
      <c r="A625" s="697"/>
      <c r="B625" s="697"/>
      <c r="C625" s="697"/>
      <c r="D625" s="697"/>
      <c r="E625" s="697"/>
      <c r="F625" s="697"/>
      <c r="G625" s="697"/>
      <c r="H625" s="697"/>
      <c r="I625" s="697"/>
      <c r="J625" s="697"/>
      <c r="K625" s="697"/>
    </row>
    <row r="640" spans="1:11" x14ac:dyDescent="0.2">
      <c r="A640" s="771" t="s">
        <v>583</v>
      </c>
      <c r="B640" s="771"/>
      <c r="C640" s="771"/>
      <c r="D640" s="771"/>
      <c r="E640" s="771"/>
      <c r="F640" s="771"/>
      <c r="G640" s="771"/>
      <c r="H640" s="771"/>
      <c r="I640" s="771"/>
      <c r="J640" s="771"/>
      <c r="K640" s="771"/>
    </row>
    <row r="641" spans="1:11" x14ac:dyDescent="0.2">
      <c r="A641" s="772"/>
      <c r="B641" s="772"/>
      <c r="C641" s="772"/>
      <c r="D641" s="772"/>
      <c r="E641" s="772"/>
      <c r="F641" s="772"/>
      <c r="G641" s="772"/>
      <c r="H641" s="772"/>
      <c r="I641" s="772"/>
      <c r="J641" s="772"/>
      <c r="K641" s="772"/>
    </row>
    <row r="642" spans="1:11" x14ac:dyDescent="0.2">
      <c r="A642" s="178"/>
      <c r="B642" s="773"/>
      <c r="C642" s="773"/>
      <c r="D642" s="773"/>
      <c r="E642" s="773"/>
      <c r="F642" s="773"/>
      <c r="G642" s="773"/>
      <c r="H642" s="773"/>
      <c r="I642" s="773"/>
      <c r="J642" s="220"/>
      <c r="K642" s="220"/>
    </row>
    <row r="643" spans="1:11" x14ac:dyDescent="0.2">
      <c r="A643" s="180"/>
      <c r="B643" s="710" t="s">
        <v>582</v>
      </c>
      <c r="C643" s="710"/>
      <c r="D643" s="710"/>
      <c r="E643" s="710"/>
      <c r="F643" s="710"/>
      <c r="G643" s="710"/>
      <c r="H643" s="710"/>
      <c r="I643" s="710"/>
      <c r="J643" s="135"/>
      <c r="K643" s="135"/>
    </row>
    <row r="644" spans="1:11" x14ac:dyDescent="0.2">
      <c r="A644" s="180"/>
      <c r="B644" s="710" t="s">
        <v>41</v>
      </c>
      <c r="C644" s="710"/>
      <c r="D644" s="710"/>
      <c r="E644" s="710"/>
      <c r="F644" s="710"/>
      <c r="G644" s="710"/>
      <c r="H644" s="710"/>
      <c r="I644" s="710"/>
      <c r="J644" s="135"/>
      <c r="K644" s="135"/>
    </row>
    <row r="645" spans="1:11" x14ac:dyDescent="0.2">
      <c r="A645" s="180"/>
      <c r="B645" s="710" t="s">
        <v>1033</v>
      </c>
      <c r="C645" s="710"/>
      <c r="D645" s="710"/>
      <c r="E645" s="710"/>
      <c r="F645" s="710"/>
      <c r="G645" s="710"/>
      <c r="H645" s="710"/>
      <c r="I645" s="710"/>
      <c r="J645" s="135"/>
      <c r="K645" s="135"/>
    </row>
    <row r="646" spans="1:11" x14ac:dyDescent="0.2">
      <c r="A646" s="180"/>
      <c r="B646" s="124"/>
      <c r="C646" s="124"/>
      <c r="D646" s="124"/>
      <c r="E646" s="124"/>
      <c r="F646" s="124"/>
      <c r="J646" s="135"/>
      <c r="K646" s="135"/>
    </row>
    <row r="647" spans="1:11" x14ac:dyDescent="0.2">
      <c r="A647" s="180"/>
      <c r="B647" s="755" t="s">
        <v>38</v>
      </c>
      <c r="C647" s="756"/>
      <c r="D647" s="756"/>
      <c r="E647" s="757"/>
      <c r="F647" s="127"/>
      <c r="G647" s="201" t="s">
        <v>37</v>
      </c>
      <c r="H647" s="127"/>
      <c r="I647" s="201" t="s">
        <v>39</v>
      </c>
      <c r="J647" s="135"/>
      <c r="K647" s="135"/>
    </row>
    <row r="648" spans="1:11" x14ac:dyDescent="0.2">
      <c r="A648" s="180"/>
      <c r="B648" s="758"/>
      <c r="C648" s="759"/>
      <c r="D648" s="759"/>
      <c r="E648" s="760"/>
      <c r="F648" s="127"/>
      <c r="G648" s="202" t="s">
        <v>40</v>
      </c>
      <c r="H648" s="127"/>
      <c r="I648" s="202" t="s">
        <v>40</v>
      </c>
      <c r="J648" s="135"/>
      <c r="K648" s="135"/>
    </row>
    <row r="649" spans="1:11" x14ac:dyDescent="0.2">
      <c r="A649" s="180"/>
      <c r="B649" s="203" t="s">
        <v>43</v>
      </c>
      <c r="C649" s="128"/>
      <c r="D649" s="124"/>
      <c r="E649" s="124"/>
      <c r="F649" s="124"/>
      <c r="G649" s="204"/>
      <c r="H649" s="204"/>
      <c r="I649" s="204"/>
      <c r="J649" s="135"/>
      <c r="K649" s="135"/>
    </row>
    <row r="650" spans="1:11" x14ac:dyDescent="0.2">
      <c r="A650" s="180"/>
      <c r="B650" s="6"/>
      <c r="C650" s="124" t="s">
        <v>42</v>
      </c>
      <c r="D650" s="124"/>
      <c r="E650" s="124"/>
      <c r="F650" s="124"/>
      <c r="G650" s="204"/>
      <c r="H650" s="204"/>
      <c r="I650" s="204"/>
      <c r="J650" s="135"/>
      <c r="K650" s="135"/>
    </row>
    <row r="651" spans="1:11" x14ac:dyDescent="0.2">
      <c r="A651" s="180"/>
      <c r="B651" s="6"/>
      <c r="C651" s="124"/>
      <c r="D651" s="124" t="s">
        <v>44</v>
      </c>
      <c r="E651" s="124"/>
      <c r="F651" s="124"/>
      <c r="G651" s="204">
        <v>0</v>
      </c>
      <c r="H651" s="204"/>
      <c r="I651" s="204">
        <f>G651+I579+I582</f>
        <v>0</v>
      </c>
      <c r="J651" s="135"/>
      <c r="K651" s="135"/>
    </row>
    <row r="652" spans="1:11" x14ac:dyDescent="0.2">
      <c r="A652" s="180"/>
      <c r="B652" s="6"/>
      <c r="C652" s="124"/>
      <c r="D652" s="124" t="s">
        <v>573</v>
      </c>
      <c r="E652" s="124"/>
      <c r="F652" s="124"/>
      <c r="G652" s="204">
        <v>0</v>
      </c>
      <c r="H652" s="204"/>
      <c r="I652" s="204">
        <f>G652+I580</f>
        <v>0</v>
      </c>
      <c r="J652" s="135"/>
      <c r="K652" s="135"/>
    </row>
    <row r="653" spans="1:11" x14ac:dyDescent="0.2">
      <c r="A653" s="180"/>
      <c r="B653" s="6"/>
      <c r="C653" s="124"/>
      <c r="D653" s="124" t="s">
        <v>591</v>
      </c>
      <c r="E653" s="124"/>
      <c r="F653" s="124"/>
      <c r="G653" s="204">
        <v>0</v>
      </c>
      <c r="H653" s="204"/>
      <c r="I653" s="204">
        <f>G653+I581</f>
        <v>0</v>
      </c>
      <c r="J653" s="135"/>
      <c r="K653" s="135"/>
    </row>
    <row r="654" spans="1:11" x14ac:dyDescent="0.2">
      <c r="A654" s="180"/>
      <c r="B654" s="6"/>
      <c r="C654" s="124"/>
      <c r="D654" s="124" t="s">
        <v>592</v>
      </c>
      <c r="E654" s="124"/>
      <c r="F654" s="124"/>
      <c r="G654" s="204">
        <f>[4]JU!$E$675</f>
        <v>0</v>
      </c>
      <c r="H654" s="204"/>
      <c r="I654" s="204">
        <f>G654</f>
        <v>0</v>
      </c>
      <c r="J654" s="135"/>
      <c r="K654" s="135"/>
    </row>
    <row r="655" spans="1:11" x14ac:dyDescent="0.2">
      <c r="A655" s="180"/>
      <c r="B655" s="6"/>
      <c r="C655" s="124"/>
      <c r="D655" s="124"/>
      <c r="E655" s="134" t="s">
        <v>51</v>
      </c>
      <c r="F655" s="124"/>
      <c r="G655" s="205">
        <f>SUM(G651:G654)</f>
        <v>0</v>
      </c>
      <c r="H655" s="204"/>
      <c r="I655" s="205">
        <f>SUM(I651:I654)</f>
        <v>0</v>
      </c>
      <c r="J655" s="135"/>
      <c r="K655" s="135"/>
    </row>
    <row r="656" spans="1:11" x14ac:dyDescent="0.2">
      <c r="A656" s="180"/>
      <c r="B656" s="6"/>
      <c r="C656" s="124"/>
      <c r="D656" s="124" t="s">
        <v>575</v>
      </c>
      <c r="E656" s="124"/>
      <c r="F656" s="124"/>
      <c r="G656" s="204"/>
      <c r="H656" s="204"/>
      <c r="I656" s="204"/>
      <c r="J656" s="135"/>
      <c r="K656" s="135"/>
    </row>
    <row r="657" spans="1:11" x14ac:dyDescent="0.2">
      <c r="A657" s="180"/>
      <c r="B657" s="6"/>
      <c r="C657" s="124"/>
      <c r="D657" s="124"/>
      <c r="E657" s="206" t="s">
        <v>46</v>
      </c>
      <c r="F657" s="124"/>
      <c r="G657" s="204">
        <v>0</v>
      </c>
      <c r="H657" s="204"/>
      <c r="I657" s="204">
        <f t="shared" ref="I657:I662" si="14">G657+I585</f>
        <v>0</v>
      </c>
      <c r="J657" s="135"/>
      <c r="K657" s="135"/>
    </row>
    <row r="658" spans="1:11" x14ac:dyDescent="0.2">
      <c r="A658" s="180"/>
      <c r="B658" s="6"/>
      <c r="C658" s="124"/>
      <c r="D658" s="124"/>
      <c r="E658" s="206" t="s">
        <v>47</v>
      </c>
      <c r="F658" s="124"/>
      <c r="G658" s="204"/>
      <c r="H658" s="204"/>
      <c r="I658" s="204">
        <f t="shared" si="14"/>
        <v>0</v>
      </c>
      <c r="J658" s="135"/>
      <c r="K658" s="135"/>
    </row>
    <row r="659" spans="1:11" x14ac:dyDescent="0.2">
      <c r="A659" s="180"/>
      <c r="B659" s="6"/>
      <c r="C659" s="124"/>
      <c r="D659" s="134"/>
      <c r="E659" s="207" t="s">
        <v>48</v>
      </c>
      <c r="F659" s="134"/>
      <c r="G659" s="204"/>
      <c r="H659" s="204"/>
      <c r="I659" s="204">
        <f t="shared" si="14"/>
        <v>0</v>
      </c>
      <c r="J659" s="135"/>
      <c r="K659" s="135"/>
    </row>
    <row r="660" spans="1:11" x14ac:dyDescent="0.2">
      <c r="A660" s="180"/>
      <c r="B660" s="6"/>
      <c r="C660" s="124"/>
      <c r="D660" s="124"/>
      <c r="E660" s="206" t="s">
        <v>49</v>
      </c>
      <c r="F660" s="124"/>
      <c r="G660" s="204">
        <v>0</v>
      </c>
      <c r="H660" s="204"/>
      <c r="I660" s="204">
        <f t="shared" si="14"/>
        <v>0</v>
      </c>
      <c r="J660" s="135"/>
      <c r="K660" s="135"/>
    </row>
    <row r="661" spans="1:11" x14ac:dyDescent="0.2">
      <c r="A661" s="180"/>
      <c r="B661" s="6"/>
      <c r="C661" s="124"/>
      <c r="D661" s="134"/>
      <c r="E661" s="207" t="s">
        <v>45</v>
      </c>
      <c r="F661" s="134"/>
      <c r="G661" s="204"/>
      <c r="H661" s="204"/>
      <c r="I661" s="204">
        <f t="shared" si="14"/>
        <v>0</v>
      </c>
      <c r="J661" s="135"/>
      <c r="K661" s="135"/>
    </row>
    <row r="662" spans="1:11" x14ac:dyDescent="0.2">
      <c r="A662" s="180"/>
      <c r="B662" s="134"/>
      <c r="C662" s="128"/>
      <c r="D662" s="124"/>
      <c r="E662" s="206" t="s">
        <v>50</v>
      </c>
      <c r="F662" s="124"/>
      <c r="G662" s="204">
        <v>0</v>
      </c>
      <c r="H662" s="204"/>
      <c r="I662" s="204">
        <f t="shared" si="14"/>
        <v>0</v>
      </c>
      <c r="J662" s="135"/>
      <c r="K662" s="135"/>
    </row>
    <row r="663" spans="1:11" x14ac:dyDescent="0.2">
      <c r="A663" s="180"/>
      <c r="B663" s="6"/>
      <c r="C663" s="124"/>
      <c r="D663" s="208"/>
      <c r="E663" s="127" t="s">
        <v>52</v>
      </c>
      <c r="F663" s="208"/>
      <c r="G663" s="205">
        <f>SUM(G657:G662)</f>
        <v>0</v>
      </c>
      <c r="H663" s="204"/>
      <c r="I663" s="205">
        <f>SUM(I657:I662)</f>
        <v>0</v>
      </c>
      <c r="J663" s="135"/>
      <c r="K663" s="135"/>
    </row>
    <row r="664" spans="1:11" x14ac:dyDescent="0.2">
      <c r="A664" s="180"/>
      <c r="B664" s="6"/>
      <c r="C664" s="124"/>
      <c r="D664" s="124"/>
      <c r="E664" s="124"/>
      <c r="F664" s="124"/>
      <c r="G664" s="204"/>
      <c r="H664" s="204"/>
      <c r="I664" s="204"/>
      <c r="J664" s="135"/>
      <c r="K664" s="135"/>
    </row>
    <row r="665" spans="1:11" ht="15" thickBot="1" x14ac:dyDescent="0.25">
      <c r="A665" s="180"/>
      <c r="B665" s="6"/>
      <c r="C665" s="710" t="s">
        <v>66</v>
      </c>
      <c r="D665" s="710"/>
      <c r="E665" s="710"/>
      <c r="F665" s="124"/>
      <c r="G665" s="209">
        <f>G663+G655</f>
        <v>0</v>
      </c>
      <c r="H665" s="204"/>
      <c r="I665" s="209">
        <f>I663+I655</f>
        <v>0</v>
      </c>
      <c r="J665" s="124"/>
      <c r="K665" s="135"/>
    </row>
    <row r="666" spans="1:11" ht="15" thickTop="1" x14ac:dyDescent="0.2">
      <c r="A666" s="180"/>
      <c r="B666" s="6"/>
      <c r="C666" s="124" t="s">
        <v>53</v>
      </c>
      <c r="D666" s="124"/>
      <c r="E666" s="124"/>
      <c r="F666" s="124"/>
      <c r="G666" s="204"/>
      <c r="H666" s="204"/>
      <c r="I666" s="204"/>
      <c r="J666" s="135"/>
      <c r="K666" s="135"/>
    </row>
    <row r="667" spans="1:11" x14ac:dyDescent="0.2">
      <c r="A667" s="180"/>
      <c r="B667" s="6"/>
      <c r="C667" s="151"/>
      <c r="D667" s="151" t="s">
        <v>574</v>
      </c>
      <c r="E667" s="134"/>
      <c r="F667" s="134"/>
      <c r="G667" s="204">
        <v>0</v>
      </c>
      <c r="H667" s="204"/>
      <c r="I667" s="204">
        <f>G667+I595</f>
        <v>0</v>
      </c>
      <c r="J667" s="135"/>
      <c r="K667" s="135"/>
    </row>
    <row r="668" spans="1:11" x14ac:dyDescent="0.2">
      <c r="A668" s="180"/>
      <c r="B668" s="134"/>
      <c r="C668" s="128"/>
      <c r="D668" s="124" t="s">
        <v>590</v>
      </c>
      <c r="E668" s="124"/>
      <c r="F668" s="124"/>
      <c r="G668" s="204"/>
      <c r="H668" s="204"/>
      <c r="I668" s="204">
        <f t="shared" ref="I668:I669" si="15">G668+I596</f>
        <v>0</v>
      </c>
      <c r="J668" s="135"/>
      <c r="K668" s="135"/>
    </row>
    <row r="669" spans="1:11" x14ac:dyDescent="0.2">
      <c r="A669" s="180"/>
      <c r="B669" s="6"/>
      <c r="C669" s="124"/>
      <c r="D669" s="151" t="s">
        <v>576</v>
      </c>
      <c r="E669" s="151"/>
      <c r="F669" s="151"/>
      <c r="G669" s="204">
        <v>0</v>
      </c>
      <c r="H669" s="204"/>
      <c r="I669" s="204">
        <f t="shared" si="15"/>
        <v>0</v>
      </c>
      <c r="J669" s="135"/>
      <c r="K669" s="135"/>
    </row>
    <row r="670" spans="1:11" ht="15" thickBot="1" x14ac:dyDescent="0.25">
      <c r="A670" s="180"/>
      <c r="B670" s="6"/>
      <c r="C670" s="694" t="s">
        <v>65</v>
      </c>
      <c r="D670" s="694"/>
      <c r="E670" s="694"/>
      <c r="F670" s="124"/>
      <c r="G670" s="209">
        <f>SUM(G667:G669)</f>
        <v>0</v>
      </c>
      <c r="H670" s="210"/>
      <c r="I670" s="209">
        <f>SUM(I667:I669)</f>
        <v>0</v>
      </c>
      <c r="J670" s="135"/>
      <c r="K670" s="135"/>
    </row>
    <row r="671" spans="1:11" ht="15" thickTop="1" x14ac:dyDescent="0.2">
      <c r="A671" s="180"/>
      <c r="B671" s="6"/>
      <c r="C671" s="124"/>
      <c r="D671" s="124"/>
      <c r="E671" s="124"/>
      <c r="F671" s="124"/>
      <c r="G671" s="210"/>
      <c r="H671" s="210"/>
      <c r="I671" s="210"/>
      <c r="J671" s="135"/>
      <c r="K671" s="135"/>
    </row>
    <row r="672" spans="1:11" x14ac:dyDescent="0.2">
      <c r="A672" s="180"/>
      <c r="B672" s="694" t="s">
        <v>55</v>
      </c>
      <c r="C672" s="694"/>
      <c r="D672" s="694"/>
      <c r="E672" s="694"/>
      <c r="F672" s="134"/>
      <c r="G672" s="211">
        <f>G670+G665</f>
        <v>0</v>
      </c>
      <c r="H672" s="204"/>
      <c r="I672" s="211">
        <f>I670+I665</f>
        <v>0</v>
      </c>
      <c r="J672" s="135"/>
      <c r="K672" s="135"/>
    </row>
    <row r="673" spans="1:11" x14ac:dyDescent="0.2">
      <c r="A673" s="180"/>
      <c r="B673" s="203" t="s">
        <v>56</v>
      </c>
      <c r="C673" s="124"/>
      <c r="D673" s="124"/>
      <c r="E673" s="124"/>
      <c r="F673" s="124"/>
      <c r="G673" s="204"/>
      <c r="H673" s="204"/>
      <c r="I673" s="204"/>
      <c r="J673" s="135"/>
      <c r="K673" s="135"/>
    </row>
    <row r="674" spans="1:11" x14ac:dyDescent="0.2">
      <c r="A674" s="180"/>
      <c r="B674" s="6"/>
      <c r="C674" s="124" t="s">
        <v>57</v>
      </c>
      <c r="D674" s="134"/>
      <c r="E674" s="134"/>
      <c r="F674" s="134"/>
      <c r="G674" s="204"/>
      <c r="H674" s="204"/>
      <c r="I674" s="204"/>
      <c r="J674" s="135"/>
      <c r="K674" s="135"/>
    </row>
    <row r="675" spans="1:11" x14ac:dyDescent="0.2">
      <c r="A675" s="180"/>
      <c r="B675" s="134"/>
      <c r="C675" s="128"/>
      <c r="D675" s="124" t="s">
        <v>58</v>
      </c>
      <c r="E675" s="124"/>
      <c r="F675" s="124"/>
      <c r="G675" s="212">
        <f>'RINCIAN B. LANGSUNG USAHA'!M58+'RINCIAN B. LANGSUNG USAHA'!M20+'RINCIAN B. LANGSUNG USAHA'!M86+'RINCIAN B. LANGSUNG USAHA'!M87+'RINCIAN B. LANGSUNG USAHA'!M19+'RINCIAN B. LANGSUNG USAHA'!M29+'RINCIAN B. LANGSUNG USAHA'!M65+'RINCIAN B. LANGSUNG USAHA'!M96+'RINCIAN B. TDK LANGSUNG'!M44+'RINCIAN B. TDK LANGSUNG'!M49+'RINCIAN B. TDK LANGSUNG'!M59</f>
        <v>0</v>
      </c>
      <c r="H675" s="204"/>
      <c r="I675" s="204">
        <f>G675+I603</f>
        <v>0</v>
      </c>
      <c r="J675" s="135"/>
      <c r="K675" s="135"/>
    </row>
    <row r="676" spans="1:11" x14ac:dyDescent="0.2">
      <c r="A676" s="180"/>
      <c r="B676" s="6"/>
      <c r="C676" s="124"/>
      <c r="D676" s="151" t="s">
        <v>59</v>
      </c>
      <c r="E676" s="151"/>
      <c r="F676" s="151"/>
      <c r="G676" s="593">
        <f>'RINCIAN B. LANGSUNG USAHA'!M37+'RINCIAN B. LANGSUNG USAHA'!M44+'RINCIAN B. LANGSUNG USAHA'!M50+'RINCIAN B. LANGSUNG USAHA'!M51+'RINCIAN B. LANGSUNG USAHA'!M52+'RINCIAN B. LANGSUNG USAHA'!M77+'RINCIAN B. LANGSUNG USAHA'!M83+'RINCIAN B. LANGSUNG USAHA'!M84+'RINCIAN B. LANGSUNG USAHA'!M85+'RINCIAN B. LANGSUNG USAHA'!M73+'RINCIAN B. TDK LANGSUNG'!M29+'RINCIAN B. TDK LANGSUNG'!M63</f>
        <v>0</v>
      </c>
      <c r="H676" s="204"/>
      <c r="I676" s="204">
        <f>G676+I604</f>
        <v>0</v>
      </c>
      <c r="J676" s="135"/>
      <c r="K676" s="135"/>
    </row>
    <row r="677" spans="1:11" x14ac:dyDescent="0.2">
      <c r="A677" s="180"/>
      <c r="B677" s="6"/>
      <c r="C677" s="124"/>
      <c r="D677" s="124" t="s">
        <v>60</v>
      </c>
      <c r="E677" s="124"/>
      <c r="F677" s="124"/>
      <c r="G677" s="593">
        <v>0</v>
      </c>
      <c r="H677" s="204"/>
      <c r="I677" s="204">
        <f>G677+I605</f>
        <v>0</v>
      </c>
      <c r="J677" s="135"/>
      <c r="K677" s="135"/>
    </row>
    <row r="678" spans="1:11" ht="15" thickBot="1" x14ac:dyDescent="0.25">
      <c r="A678" s="180"/>
      <c r="B678" s="6"/>
      <c r="C678" s="694" t="s">
        <v>63</v>
      </c>
      <c r="D678" s="694"/>
      <c r="E678" s="694"/>
      <c r="F678" s="124"/>
      <c r="G678" s="213">
        <f>SUM(G675:G677)</f>
        <v>0</v>
      </c>
      <c r="H678" s="204"/>
      <c r="I678" s="213">
        <f>SUM(I675:I677)</f>
        <v>0</v>
      </c>
      <c r="J678" s="135"/>
      <c r="K678" s="135"/>
    </row>
    <row r="679" spans="1:11" ht="15" thickTop="1" x14ac:dyDescent="0.2">
      <c r="A679" s="180"/>
      <c r="B679" s="6"/>
      <c r="C679" s="124" t="s">
        <v>61</v>
      </c>
      <c r="D679" s="124"/>
      <c r="E679" s="124"/>
      <c r="F679" s="124"/>
      <c r="G679" s="204"/>
      <c r="H679" s="204"/>
      <c r="I679" s="204"/>
      <c r="J679" s="135"/>
      <c r="K679" s="135"/>
    </row>
    <row r="680" spans="1:11" x14ac:dyDescent="0.2">
      <c r="A680" s="180"/>
      <c r="B680" s="6"/>
      <c r="C680" s="124"/>
      <c r="D680" s="124" t="s">
        <v>71</v>
      </c>
      <c r="E680" s="124"/>
      <c r="F680" s="124"/>
      <c r="G680" s="204"/>
      <c r="H680" s="204"/>
      <c r="I680" s="204">
        <f>G680+I608</f>
        <v>0</v>
      </c>
      <c r="J680" s="135"/>
      <c r="K680" s="135"/>
    </row>
    <row r="681" spans="1:11" x14ac:dyDescent="0.2">
      <c r="A681" s="180"/>
      <c r="B681" s="6"/>
      <c r="C681" s="124"/>
      <c r="D681" s="124" t="s">
        <v>294</v>
      </c>
      <c r="E681" s="124"/>
      <c r="F681" s="124"/>
      <c r="G681" s="204"/>
      <c r="H681" s="204"/>
      <c r="I681" s="204">
        <f>G681+I609</f>
        <v>0</v>
      </c>
      <c r="J681" s="135"/>
      <c r="K681" s="135"/>
    </row>
    <row r="682" spans="1:11" x14ac:dyDescent="0.2">
      <c r="A682" s="180"/>
      <c r="B682" s="6"/>
      <c r="C682" s="124"/>
      <c r="D682" s="124" t="s">
        <v>62</v>
      </c>
      <c r="E682" s="124"/>
      <c r="F682" s="124"/>
      <c r="G682" s="204">
        <f>'B. NON OPERASIONAL'!K12</f>
        <v>0</v>
      </c>
      <c r="H682" s="204"/>
      <c r="I682" s="204">
        <f>G682+I610</f>
        <v>0</v>
      </c>
      <c r="J682" s="135"/>
      <c r="K682" s="135"/>
    </row>
    <row r="683" spans="1:11" ht="15" thickBot="1" x14ac:dyDescent="0.25">
      <c r="A683" s="180"/>
      <c r="B683" s="6"/>
      <c r="C683" s="694" t="s">
        <v>64</v>
      </c>
      <c r="D683" s="694"/>
      <c r="E683" s="694"/>
      <c r="F683" s="134"/>
      <c r="G683" s="214">
        <f>SUM(G680:G682)</f>
        <v>0</v>
      </c>
      <c r="H683" s="204"/>
      <c r="I683" s="215">
        <f>SUM(I680:I682)</f>
        <v>0</v>
      </c>
      <c r="J683" s="135"/>
      <c r="K683" s="135"/>
    </row>
    <row r="684" spans="1:11" ht="15" thickTop="1" x14ac:dyDescent="0.2">
      <c r="A684" s="180"/>
      <c r="B684" s="6"/>
      <c r="C684" s="124"/>
      <c r="D684" s="124"/>
      <c r="E684" s="124"/>
      <c r="F684" s="124"/>
      <c r="G684" s="204"/>
      <c r="H684" s="204"/>
      <c r="I684" s="204"/>
      <c r="J684" s="135"/>
      <c r="K684" s="135"/>
    </row>
    <row r="685" spans="1:11" x14ac:dyDescent="0.2">
      <c r="A685" s="180"/>
      <c r="B685" s="694" t="s">
        <v>67</v>
      </c>
      <c r="C685" s="694"/>
      <c r="D685" s="694"/>
      <c r="E685" s="694"/>
      <c r="F685" s="134"/>
      <c r="G685" s="211">
        <f>G678+G683</f>
        <v>0</v>
      </c>
      <c r="H685" s="204"/>
      <c r="I685" s="211">
        <f>I683+I678</f>
        <v>0</v>
      </c>
      <c r="J685" s="135"/>
      <c r="K685" s="135"/>
    </row>
    <row r="686" spans="1:11" x14ac:dyDescent="0.2">
      <c r="A686" s="180"/>
      <c r="B686" s="124" t="s">
        <v>68</v>
      </c>
      <c r="C686" s="124"/>
      <c r="D686" s="124"/>
      <c r="E686" s="124"/>
      <c r="F686" s="124"/>
      <c r="G686" s="204">
        <f>G672-G685</f>
        <v>0</v>
      </c>
      <c r="H686" s="204"/>
      <c r="I686" s="204">
        <f>I672-I685</f>
        <v>0</v>
      </c>
      <c r="J686" s="135"/>
      <c r="K686" s="135"/>
    </row>
    <row r="687" spans="1:11" ht="15" thickBot="1" x14ac:dyDescent="0.25">
      <c r="A687" s="180"/>
      <c r="B687" s="124" t="s">
        <v>69</v>
      </c>
      <c r="C687" s="130"/>
      <c r="D687" s="130"/>
      <c r="E687" s="127"/>
      <c r="F687" s="127"/>
      <c r="G687" s="216">
        <f>G616</f>
        <v>0</v>
      </c>
      <c r="H687" s="216"/>
      <c r="I687" s="216">
        <f>I615</f>
        <v>0</v>
      </c>
      <c r="J687" s="135"/>
      <c r="K687" s="135"/>
    </row>
    <row r="688" spans="1:11" ht="24" customHeight="1" thickBot="1" x14ac:dyDescent="0.25">
      <c r="A688" s="180"/>
      <c r="B688" s="768" t="s">
        <v>70</v>
      </c>
      <c r="C688" s="769"/>
      <c r="D688" s="769"/>
      <c r="E688" s="770"/>
      <c r="F688" s="142"/>
      <c r="G688" s="217">
        <f>G687+G686</f>
        <v>0</v>
      </c>
      <c r="H688" s="216"/>
      <c r="I688" s="217">
        <f>SUM(I686:I687)</f>
        <v>0</v>
      </c>
      <c r="J688" s="135"/>
      <c r="K688" s="135"/>
    </row>
    <row r="689" spans="1:12" x14ac:dyDescent="0.2">
      <c r="A689" s="198"/>
      <c r="B689" s="119"/>
      <c r="C689" s="119"/>
      <c r="D689" s="119"/>
      <c r="E689" s="119"/>
      <c r="F689" s="119"/>
      <c r="G689" s="218"/>
      <c r="H689" s="218"/>
      <c r="I689" s="218"/>
      <c r="J689" s="221"/>
      <c r="K689" s="221"/>
    </row>
    <row r="690" spans="1:12" x14ac:dyDescent="0.2">
      <c r="A690" s="124"/>
      <c r="B690" s="124"/>
      <c r="C690" s="124"/>
      <c r="D690" s="124"/>
      <c r="E690" s="124"/>
      <c r="F690" s="124"/>
      <c r="G690" s="204">
        <f>'ARUS KAS'!E533</f>
        <v>0</v>
      </c>
      <c r="H690" s="204"/>
      <c r="I690" s="204"/>
      <c r="J690" s="124"/>
      <c r="K690" s="124"/>
      <c r="L690" s="592">
        <f>G688-G690</f>
        <v>0</v>
      </c>
    </row>
    <row r="691" spans="1:12" x14ac:dyDescent="0.2">
      <c r="A691" s="124"/>
      <c r="B691" s="124"/>
      <c r="C691" s="124"/>
      <c r="D691" s="124"/>
      <c r="E691" s="124"/>
      <c r="F691" s="124"/>
      <c r="G691" s="219"/>
      <c r="H691" s="219"/>
      <c r="I691" s="219"/>
      <c r="J691" s="124"/>
      <c r="K691" s="124"/>
    </row>
    <row r="692" spans="1:12" x14ac:dyDescent="0.2">
      <c r="A692" s="697" t="s">
        <v>579</v>
      </c>
      <c r="B692" s="697"/>
      <c r="C692" s="697"/>
      <c r="D692" s="697"/>
      <c r="E692" s="697"/>
      <c r="F692" s="697" t="s">
        <v>566</v>
      </c>
      <c r="G692" s="697"/>
      <c r="H692" s="697"/>
      <c r="I692" s="697"/>
      <c r="J692" s="697"/>
      <c r="K692" s="697"/>
    </row>
    <row r="693" spans="1:12" x14ac:dyDescent="0.2">
      <c r="A693" s="697" t="s">
        <v>678</v>
      </c>
      <c r="B693" s="697"/>
      <c r="C693" s="697"/>
      <c r="D693" s="697"/>
      <c r="E693" s="697"/>
      <c r="F693" s="697" t="s">
        <v>681</v>
      </c>
      <c r="G693" s="697"/>
      <c r="H693" s="697"/>
      <c r="I693" s="697"/>
      <c r="J693" s="697"/>
      <c r="K693" s="697"/>
    </row>
    <row r="694" spans="1:12" x14ac:dyDescent="0.2">
      <c r="A694" s="697"/>
      <c r="B694" s="697"/>
      <c r="C694" s="697"/>
      <c r="D694" s="697"/>
      <c r="E694" s="697"/>
      <c r="F694" s="697"/>
      <c r="G694" s="697"/>
      <c r="H694" s="697"/>
      <c r="I694" s="697"/>
      <c r="J694" s="697"/>
      <c r="K694" s="697"/>
    </row>
    <row r="695" spans="1:12" x14ac:dyDescent="0.2">
      <c r="A695" s="697"/>
      <c r="B695" s="697"/>
      <c r="C695" s="697"/>
      <c r="D695" s="697"/>
      <c r="E695" s="697"/>
      <c r="F695" s="697"/>
      <c r="G695" s="697"/>
      <c r="H695" s="697"/>
      <c r="I695" s="697"/>
      <c r="J695" s="697"/>
      <c r="K695" s="697"/>
    </row>
    <row r="696" spans="1:12" x14ac:dyDescent="0.2">
      <c r="A696" s="697" t="s">
        <v>655</v>
      </c>
      <c r="B696" s="697"/>
      <c r="C696" s="697"/>
      <c r="D696" s="697"/>
      <c r="E696" s="697"/>
      <c r="F696" s="697" t="s">
        <v>567</v>
      </c>
      <c r="G696" s="697"/>
      <c r="H696" s="697"/>
      <c r="I696" s="697"/>
      <c r="J696" s="697"/>
      <c r="K696" s="697"/>
    </row>
    <row r="697" spans="1:12" x14ac:dyDescent="0.2">
      <c r="A697" s="697"/>
      <c r="B697" s="697"/>
      <c r="C697" s="697"/>
      <c r="D697" s="697"/>
      <c r="E697" s="697"/>
      <c r="F697" s="697"/>
      <c r="G697" s="697"/>
      <c r="H697" s="697"/>
      <c r="I697" s="697"/>
      <c r="J697" s="697"/>
      <c r="K697" s="697"/>
    </row>
    <row r="700" spans="1:12" x14ac:dyDescent="0.2">
      <c r="I700" s="176">
        <f>'Neraca '!H672+'Neraca '!H673</f>
        <v>0</v>
      </c>
    </row>
    <row r="701" spans="1:12" x14ac:dyDescent="0.2">
      <c r="I701" s="200">
        <f>G688-I700</f>
        <v>0</v>
      </c>
    </row>
    <row r="711" spans="1:11" x14ac:dyDescent="0.2">
      <c r="A711" s="771" t="s">
        <v>583</v>
      </c>
      <c r="B711" s="771"/>
      <c r="C711" s="771"/>
      <c r="D711" s="771"/>
      <c r="E711" s="771"/>
      <c r="F711" s="771"/>
      <c r="G711" s="771"/>
      <c r="H711" s="771"/>
      <c r="I711" s="771"/>
      <c r="J711" s="771"/>
      <c r="K711" s="771"/>
    </row>
    <row r="712" spans="1:11" x14ac:dyDescent="0.2">
      <c r="A712" s="772"/>
      <c r="B712" s="772"/>
      <c r="C712" s="772"/>
      <c r="D712" s="772"/>
      <c r="E712" s="772"/>
      <c r="F712" s="772"/>
      <c r="G712" s="772"/>
      <c r="H712" s="772"/>
      <c r="I712" s="772"/>
      <c r="J712" s="772"/>
      <c r="K712" s="772"/>
    </row>
    <row r="713" spans="1:11" x14ac:dyDescent="0.2">
      <c r="A713" s="178"/>
      <c r="B713" s="773"/>
      <c r="C713" s="773"/>
      <c r="D713" s="773"/>
      <c r="E713" s="773"/>
      <c r="F713" s="773"/>
      <c r="G713" s="773"/>
      <c r="H713" s="773"/>
      <c r="I713" s="773"/>
      <c r="J713" s="220"/>
      <c r="K713" s="220"/>
    </row>
    <row r="714" spans="1:11" x14ac:dyDescent="0.2">
      <c r="A714" s="180"/>
      <c r="B714" s="710" t="s">
        <v>582</v>
      </c>
      <c r="C714" s="710"/>
      <c r="D714" s="710"/>
      <c r="E714" s="710"/>
      <c r="F714" s="710"/>
      <c r="G714" s="710"/>
      <c r="H714" s="710"/>
      <c r="I714" s="710"/>
      <c r="J714" s="135"/>
      <c r="K714" s="135"/>
    </row>
    <row r="715" spans="1:11" x14ac:dyDescent="0.2">
      <c r="A715" s="180"/>
      <c r="B715" s="710" t="s">
        <v>41</v>
      </c>
      <c r="C715" s="710"/>
      <c r="D715" s="710"/>
      <c r="E715" s="710"/>
      <c r="F715" s="710"/>
      <c r="G715" s="710"/>
      <c r="H715" s="710"/>
      <c r="I715" s="710"/>
      <c r="J715" s="135"/>
      <c r="K715" s="135"/>
    </row>
    <row r="716" spans="1:11" x14ac:dyDescent="0.2">
      <c r="A716" s="180"/>
      <c r="B716" s="710" t="s">
        <v>1036</v>
      </c>
      <c r="C716" s="710"/>
      <c r="D716" s="710"/>
      <c r="E716" s="710"/>
      <c r="F716" s="710"/>
      <c r="G716" s="710"/>
      <c r="H716" s="710"/>
      <c r="I716" s="710"/>
      <c r="J716" s="135"/>
      <c r="K716" s="135"/>
    </row>
    <row r="717" spans="1:11" x14ac:dyDescent="0.2">
      <c r="A717" s="180"/>
      <c r="B717" s="124"/>
      <c r="C717" s="124"/>
      <c r="D717" s="124"/>
      <c r="E717" s="124"/>
      <c r="F717" s="124"/>
      <c r="J717" s="135"/>
      <c r="K717" s="135"/>
    </row>
    <row r="718" spans="1:11" x14ac:dyDescent="0.2">
      <c r="A718" s="180"/>
      <c r="B718" s="755" t="s">
        <v>38</v>
      </c>
      <c r="C718" s="756"/>
      <c r="D718" s="756"/>
      <c r="E718" s="757"/>
      <c r="F718" s="127"/>
      <c r="G718" s="201" t="s">
        <v>37</v>
      </c>
      <c r="H718" s="127"/>
      <c r="I718" s="201" t="s">
        <v>39</v>
      </c>
      <c r="J718" s="135"/>
      <c r="K718" s="135"/>
    </row>
    <row r="719" spans="1:11" x14ac:dyDescent="0.2">
      <c r="A719" s="180"/>
      <c r="B719" s="758"/>
      <c r="C719" s="759"/>
      <c r="D719" s="759"/>
      <c r="E719" s="760"/>
      <c r="F719" s="127"/>
      <c r="G719" s="202" t="s">
        <v>40</v>
      </c>
      <c r="H719" s="127"/>
      <c r="I719" s="202" t="s">
        <v>40</v>
      </c>
      <c r="J719" s="135"/>
      <c r="K719" s="135"/>
    </row>
    <row r="720" spans="1:11" x14ac:dyDescent="0.2">
      <c r="A720" s="180"/>
      <c r="B720" s="203" t="s">
        <v>43</v>
      </c>
      <c r="C720" s="128"/>
      <c r="D720" s="124"/>
      <c r="E720" s="124"/>
      <c r="F720" s="124"/>
      <c r="G720" s="204"/>
      <c r="H720" s="204"/>
      <c r="I720" s="204"/>
      <c r="J720" s="135"/>
      <c r="K720" s="135"/>
    </row>
    <row r="721" spans="1:11" x14ac:dyDescent="0.2">
      <c r="A721" s="180"/>
      <c r="B721" s="6"/>
      <c r="C721" s="124" t="s">
        <v>42</v>
      </c>
      <c r="D721" s="124"/>
      <c r="E721" s="124"/>
      <c r="F721" s="124"/>
      <c r="G721" s="204"/>
      <c r="H721" s="204"/>
      <c r="I721" s="204"/>
      <c r="J721" s="135"/>
      <c r="K721" s="135"/>
    </row>
    <row r="722" spans="1:11" x14ac:dyDescent="0.2">
      <c r="A722" s="180"/>
      <c r="B722" s="6"/>
      <c r="C722" s="124"/>
      <c r="D722" s="124" t="s">
        <v>44</v>
      </c>
      <c r="E722" s="124"/>
      <c r="F722" s="124"/>
      <c r="G722" s="204">
        <v>0</v>
      </c>
      <c r="H722" s="204"/>
      <c r="I722" s="204">
        <f>G722+I651</f>
        <v>0</v>
      </c>
      <c r="J722" s="135"/>
      <c r="K722" s="135"/>
    </row>
    <row r="723" spans="1:11" x14ac:dyDescent="0.2">
      <c r="A723" s="180"/>
      <c r="B723" s="6"/>
      <c r="C723" s="124"/>
      <c r="D723" s="124" t="s">
        <v>573</v>
      </c>
      <c r="E723" s="124"/>
      <c r="F723" s="124"/>
      <c r="G723" s="204">
        <v>0</v>
      </c>
      <c r="H723" s="204"/>
      <c r="I723" s="204">
        <f>G723+I652</f>
        <v>0</v>
      </c>
      <c r="J723" s="135"/>
      <c r="K723" s="135"/>
    </row>
    <row r="724" spans="1:11" x14ac:dyDescent="0.2">
      <c r="A724" s="180"/>
      <c r="B724" s="6"/>
      <c r="C724" s="124"/>
      <c r="D724" s="124" t="s">
        <v>591</v>
      </c>
      <c r="E724" s="124"/>
      <c r="F724" s="124"/>
      <c r="G724" s="204"/>
      <c r="H724" s="204"/>
      <c r="I724" s="204">
        <f>G724+I653</f>
        <v>0</v>
      </c>
      <c r="J724" s="135"/>
      <c r="K724" s="135"/>
    </row>
    <row r="725" spans="1:11" x14ac:dyDescent="0.2">
      <c r="A725" s="180"/>
      <c r="B725" s="6"/>
      <c r="C725" s="124"/>
      <c r="D725" s="124" t="s">
        <v>592</v>
      </c>
      <c r="E725" s="124"/>
      <c r="F725" s="124"/>
      <c r="G725" s="204">
        <v>0</v>
      </c>
      <c r="H725" s="204"/>
      <c r="I725" s="204">
        <f>G725</f>
        <v>0</v>
      </c>
      <c r="J725" s="135"/>
      <c r="K725" s="135"/>
    </row>
    <row r="726" spans="1:11" x14ac:dyDescent="0.2">
      <c r="A726" s="180"/>
      <c r="B726" s="6"/>
      <c r="C726" s="124"/>
      <c r="D726" s="124" t="s">
        <v>575</v>
      </c>
      <c r="E726" s="124" t="s">
        <v>673</v>
      </c>
      <c r="F726" s="124"/>
      <c r="G726" s="204"/>
      <c r="H726" s="204"/>
      <c r="I726" s="204"/>
      <c r="J726" s="135"/>
      <c r="K726" s="135"/>
    </row>
    <row r="727" spans="1:11" x14ac:dyDescent="0.2">
      <c r="A727" s="180"/>
      <c r="B727" s="6"/>
      <c r="C727" s="124"/>
      <c r="D727" s="124"/>
      <c r="E727" s="134" t="s">
        <v>51</v>
      </c>
      <c r="F727" s="124"/>
      <c r="G727" s="205">
        <f>SUM(G722:G726)</f>
        <v>0</v>
      </c>
      <c r="H727" s="204"/>
      <c r="I727" s="205">
        <f>SUM(I722:I726)</f>
        <v>0</v>
      </c>
      <c r="J727" s="135"/>
      <c r="K727" s="135"/>
    </row>
    <row r="728" spans="1:11" x14ac:dyDescent="0.2">
      <c r="A728" s="180"/>
      <c r="B728" s="6"/>
      <c r="C728" s="124"/>
      <c r="D728" s="124" t="s">
        <v>575</v>
      </c>
      <c r="E728" s="124"/>
      <c r="F728" s="124"/>
      <c r="G728" s="204"/>
      <c r="H728" s="204"/>
      <c r="I728" s="204"/>
      <c r="J728" s="135"/>
      <c r="K728" s="135"/>
    </row>
    <row r="729" spans="1:11" x14ac:dyDescent="0.2">
      <c r="A729" s="180"/>
      <c r="B729" s="6"/>
      <c r="C729" s="124"/>
      <c r="D729" s="124"/>
      <c r="E729" s="206" t="s">
        <v>46</v>
      </c>
      <c r="F729" s="124"/>
      <c r="G729" s="204">
        <v>0</v>
      </c>
      <c r="H729" s="204"/>
      <c r="I729" s="204">
        <f t="shared" ref="I729:I734" si="16">G729+I657</f>
        <v>0</v>
      </c>
      <c r="J729" s="135"/>
      <c r="K729" s="135"/>
    </row>
    <row r="730" spans="1:11" x14ac:dyDescent="0.2">
      <c r="A730" s="180"/>
      <c r="B730" s="6"/>
      <c r="C730" s="124"/>
      <c r="D730" s="124"/>
      <c r="E730" s="206" t="s">
        <v>47</v>
      </c>
      <c r="F730" s="124"/>
      <c r="G730" s="204"/>
      <c r="H730" s="204"/>
      <c r="I730" s="204">
        <f t="shared" si="16"/>
        <v>0</v>
      </c>
      <c r="J730" s="135"/>
      <c r="K730" s="135"/>
    </row>
    <row r="731" spans="1:11" x14ac:dyDescent="0.2">
      <c r="A731" s="180"/>
      <c r="B731" s="6"/>
      <c r="C731" s="124"/>
      <c r="D731" s="134"/>
      <c r="E731" s="207" t="s">
        <v>48</v>
      </c>
      <c r="F731" s="134"/>
      <c r="G731" s="204"/>
      <c r="H731" s="204"/>
      <c r="I731" s="204">
        <f t="shared" si="16"/>
        <v>0</v>
      </c>
      <c r="J731" s="135"/>
      <c r="K731" s="135"/>
    </row>
    <row r="732" spans="1:11" x14ac:dyDescent="0.2">
      <c r="A732" s="180"/>
      <c r="B732" s="6"/>
      <c r="C732" s="124"/>
      <c r="D732" s="124"/>
      <c r="E732" s="206" t="s">
        <v>49</v>
      </c>
      <c r="F732" s="124"/>
      <c r="G732" s="204">
        <v>0</v>
      </c>
      <c r="H732" s="204"/>
      <c r="I732" s="204">
        <f t="shared" si="16"/>
        <v>0</v>
      </c>
      <c r="J732" s="135"/>
      <c r="K732" s="135"/>
    </row>
    <row r="733" spans="1:11" x14ac:dyDescent="0.2">
      <c r="A733" s="180"/>
      <c r="B733" s="6"/>
      <c r="C733" s="124"/>
      <c r="D733" s="134"/>
      <c r="E733" s="207" t="s">
        <v>45</v>
      </c>
      <c r="F733" s="134"/>
      <c r="G733" s="204"/>
      <c r="H733" s="204"/>
      <c r="I733" s="204">
        <f t="shared" si="16"/>
        <v>0</v>
      </c>
      <c r="J733" s="135"/>
      <c r="K733" s="135"/>
    </row>
    <row r="734" spans="1:11" x14ac:dyDescent="0.2">
      <c r="A734" s="180"/>
      <c r="B734" s="134"/>
      <c r="C734" s="128"/>
      <c r="D734" s="124"/>
      <c r="E734" s="206" t="s">
        <v>50</v>
      </c>
      <c r="F734" s="124"/>
      <c r="G734" s="204">
        <v>0</v>
      </c>
      <c r="H734" s="204"/>
      <c r="I734" s="204">
        <f t="shared" si="16"/>
        <v>0</v>
      </c>
      <c r="J734" s="135"/>
      <c r="K734" s="135"/>
    </row>
    <row r="735" spans="1:11" x14ac:dyDescent="0.2">
      <c r="A735" s="180"/>
      <c r="B735" s="6"/>
      <c r="C735" s="124"/>
      <c r="D735" s="208"/>
      <c r="E735" s="127" t="s">
        <v>52</v>
      </c>
      <c r="F735" s="208"/>
      <c r="G735" s="205">
        <f>SUM(G729:G734)</f>
        <v>0</v>
      </c>
      <c r="H735" s="204"/>
      <c r="I735" s="205">
        <f>SUM(I729:I734)</f>
        <v>0</v>
      </c>
      <c r="J735" s="135"/>
      <c r="K735" s="135"/>
    </row>
    <row r="736" spans="1:11" x14ac:dyDescent="0.2">
      <c r="A736" s="180"/>
      <c r="B736" s="6"/>
      <c r="C736" s="124"/>
      <c r="D736" s="124"/>
      <c r="E736" s="124"/>
      <c r="F736" s="124"/>
      <c r="G736" s="204"/>
      <c r="H736" s="204"/>
      <c r="I736" s="204"/>
      <c r="J736" s="135"/>
      <c r="K736" s="135"/>
    </row>
    <row r="737" spans="1:11" ht="15" thickBot="1" x14ac:dyDescent="0.25">
      <c r="A737" s="180"/>
      <c r="B737" s="6"/>
      <c r="C737" s="710" t="s">
        <v>66</v>
      </c>
      <c r="D737" s="710"/>
      <c r="E737" s="710"/>
      <c r="F737" s="124"/>
      <c r="G737" s="209">
        <f>G735+G727</f>
        <v>0</v>
      </c>
      <c r="H737" s="204"/>
      <c r="I737" s="209">
        <f>I735+I727</f>
        <v>0</v>
      </c>
      <c r="J737" s="124"/>
      <c r="K737" s="135"/>
    </row>
    <row r="738" spans="1:11" ht="15" thickTop="1" x14ac:dyDescent="0.2">
      <c r="A738" s="180"/>
      <c r="B738" s="6"/>
      <c r="C738" s="124" t="s">
        <v>53</v>
      </c>
      <c r="D738" s="124"/>
      <c r="E738" s="124"/>
      <c r="F738" s="124"/>
      <c r="G738" s="204"/>
      <c r="H738" s="204"/>
      <c r="I738" s="204"/>
      <c r="J738" s="135"/>
      <c r="K738" s="135"/>
    </row>
    <row r="739" spans="1:11" x14ac:dyDescent="0.2">
      <c r="A739" s="180"/>
      <c r="B739" s="6"/>
      <c r="C739" s="151"/>
      <c r="D739" s="151" t="s">
        <v>574</v>
      </c>
      <c r="E739" s="134"/>
      <c r="F739" s="134"/>
      <c r="G739" s="204">
        <v>0</v>
      </c>
      <c r="H739" s="204"/>
      <c r="I739" s="204">
        <f>G739+I667</f>
        <v>0</v>
      </c>
      <c r="J739" s="135"/>
      <c r="K739" s="135"/>
    </row>
    <row r="740" spans="1:11" x14ac:dyDescent="0.2">
      <c r="A740" s="180"/>
      <c r="B740" s="134"/>
      <c r="C740" s="128"/>
      <c r="D740" s="124" t="s">
        <v>590</v>
      </c>
      <c r="E740" s="124"/>
      <c r="F740" s="124"/>
      <c r="G740" s="204">
        <v>0</v>
      </c>
      <c r="H740" s="204"/>
      <c r="I740" s="204">
        <f>G740+I668</f>
        <v>0</v>
      </c>
      <c r="J740" s="135"/>
      <c r="K740" s="135"/>
    </row>
    <row r="741" spans="1:11" x14ac:dyDescent="0.2">
      <c r="A741" s="180"/>
      <c r="B741" s="6"/>
      <c r="C741" s="124"/>
      <c r="D741" s="151" t="s">
        <v>576</v>
      </c>
      <c r="E741" s="151"/>
      <c r="F741" s="151"/>
      <c r="G741" s="204">
        <v>0</v>
      </c>
      <c r="H741" s="204"/>
      <c r="I741" s="204">
        <f>G741+I669</f>
        <v>0</v>
      </c>
      <c r="J741" s="135"/>
      <c r="K741" s="135"/>
    </row>
    <row r="742" spans="1:11" ht="15" thickBot="1" x14ac:dyDescent="0.25">
      <c r="A742" s="180"/>
      <c r="B742" s="6"/>
      <c r="C742" s="694" t="s">
        <v>65</v>
      </c>
      <c r="D742" s="694"/>
      <c r="E742" s="694"/>
      <c r="F742" s="124"/>
      <c r="G742" s="209">
        <f>SUM(G739:G741)</f>
        <v>0</v>
      </c>
      <c r="H742" s="210"/>
      <c r="I742" s="209">
        <f>SUM(I739:I741)</f>
        <v>0</v>
      </c>
      <c r="J742" s="135"/>
      <c r="K742" s="135"/>
    </row>
    <row r="743" spans="1:11" ht="15" thickTop="1" x14ac:dyDescent="0.2">
      <c r="A743" s="180"/>
      <c r="B743" s="6"/>
      <c r="C743" s="124"/>
      <c r="D743" s="124"/>
      <c r="E743" s="124"/>
      <c r="F743" s="124"/>
      <c r="G743" s="210"/>
      <c r="H743" s="210"/>
      <c r="I743" s="210"/>
      <c r="J743" s="135"/>
      <c r="K743" s="135"/>
    </row>
    <row r="744" spans="1:11" x14ac:dyDescent="0.2">
      <c r="A744" s="180"/>
      <c r="B744" s="694" t="s">
        <v>55</v>
      </c>
      <c r="C744" s="694"/>
      <c r="D744" s="694"/>
      <c r="E744" s="694"/>
      <c r="F744" s="134"/>
      <c r="G744" s="211">
        <f>G742+G737</f>
        <v>0</v>
      </c>
      <c r="H744" s="204"/>
      <c r="I744" s="211">
        <f>I742+I737</f>
        <v>0</v>
      </c>
      <c r="J744" s="135"/>
      <c r="K744" s="135"/>
    </row>
    <row r="745" spans="1:11" x14ac:dyDescent="0.2">
      <c r="A745" s="180"/>
      <c r="B745" s="203" t="s">
        <v>56</v>
      </c>
      <c r="C745" s="124"/>
      <c r="D745" s="124"/>
      <c r="E745" s="124"/>
      <c r="F745" s="124"/>
      <c r="G745" s="204"/>
      <c r="H745" s="204"/>
      <c r="I745" s="204"/>
      <c r="J745" s="135"/>
      <c r="K745" s="135"/>
    </row>
    <row r="746" spans="1:11" x14ac:dyDescent="0.2">
      <c r="A746" s="180"/>
      <c r="B746" s="6"/>
      <c r="C746" s="124" t="s">
        <v>57</v>
      </c>
      <c r="D746" s="134"/>
      <c r="E746" s="134"/>
      <c r="F746" s="134"/>
      <c r="G746" s="204"/>
      <c r="H746" s="204"/>
      <c r="I746" s="204"/>
      <c r="J746" s="135"/>
      <c r="K746" s="135"/>
    </row>
    <row r="747" spans="1:11" x14ac:dyDescent="0.2">
      <c r="A747" s="180"/>
      <c r="B747" s="134"/>
      <c r="C747" s="128"/>
      <c r="D747" s="124" t="s">
        <v>58</v>
      </c>
      <c r="E747" s="124"/>
      <c r="F747" s="124"/>
      <c r="G747" s="212">
        <f>'RINCIAN B. LANGSUNG USAHA'!N58+'RINCIAN B. LANGSUNG USAHA'!N20+'RINCIAN B. LANGSUNG USAHA'!N86+'RINCIAN B. LANGSUNG USAHA'!N87+'RINCIAN B. LANGSUNG USAHA'!N19+'RINCIAN B. LANGSUNG USAHA'!N29+'RINCIAN B. LANGSUNG USAHA'!N65+'RINCIAN B. LANGSUNG USAHA'!N96+'RINCIAN B. TDK LANGSUNG'!N44+'RINCIAN B. TDK LANGSUNG'!N49+'RINCIAN B. TDK LANGSUNG'!N59</f>
        <v>0</v>
      </c>
      <c r="H747" s="204"/>
      <c r="I747" s="204">
        <f>G747+I675</f>
        <v>0</v>
      </c>
      <c r="J747" s="135"/>
      <c r="K747" s="135"/>
    </row>
    <row r="748" spans="1:11" x14ac:dyDescent="0.2">
      <c r="A748" s="180"/>
      <c r="B748" s="6"/>
      <c r="C748" s="124"/>
      <c r="D748" s="151" t="s">
        <v>59</v>
      </c>
      <c r="E748" s="151"/>
      <c r="F748" s="151"/>
      <c r="G748" s="593">
        <f>'RINCIAN B. LANGSUNG USAHA'!N37+'RINCIAN B. LANGSUNG USAHA'!N44+'RINCIAN B. LANGSUNG USAHA'!N50+'RINCIAN B. LANGSUNG USAHA'!N51+'RINCIAN B. LANGSUNG USAHA'!N52+'RINCIAN B. LANGSUNG USAHA'!N77+'RINCIAN B. LANGSUNG USAHA'!N83+'RINCIAN B. LANGSUNG USAHA'!N84+'RINCIAN B. LANGSUNG USAHA'!N85+'RINCIAN B. LANGSUNG USAHA'!N73+'RINCIAN B. TDK LANGSUNG'!N29+'RINCIAN B. TDK LANGSUNG'!N63</f>
        <v>0</v>
      </c>
      <c r="H748" s="204"/>
      <c r="I748" s="204">
        <f>G748+I676</f>
        <v>0</v>
      </c>
      <c r="J748" s="135"/>
      <c r="K748" s="135"/>
    </row>
    <row r="749" spans="1:11" x14ac:dyDescent="0.2">
      <c r="A749" s="180"/>
      <c r="B749" s="6"/>
      <c r="C749" s="124"/>
      <c r="D749" s="124" t="s">
        <v>60</v>
      </c>
      <c r="E749" s="124"/>
      <c r="F749" s="124"/>
      <c r="G749" s="593">
        <v>0</v>
      </c>
      <c r="H749" s="204"/>
      <c r="I749" s="204">
        <f>G749+I677</f>
        <v>0</v>
      </c>
      <c r="J749" s="135"/>
      <c r="K749" s="135"/>
    </row>
    <row r="750" spans="1:11" ht="15" thickBot="1" x14ac:dyDescent="0.25">
      <c r="A750" s="180"/>
      <c r="B750" s="6"/>
      <c r="C750" s="694" t="s">
        <v>63</v>
      </c>
      <c r="D750" s="694"/>
      <c r="E750" s="694"/>
      <c r="F750" s="124"/>
      <c r="G750" s="213">
        <f>SUM(G747:G749)</f>
        <v>0</v>
      </c>
      <c r="H750" s="204"/>
      <c r="I750" s="213">
        <f>SUM(I747:I749)</f>
        <v>0</v>
      </c>
      <c r="J750" s="135"/>
      <c r="K750" s="135"/>
    </row>
    <row r="751" spans="1:11" ht="15" thickTop="1" x14ac:dyDescent="0.2">
      <c r="A751" s="180"/>
      <c r="B751" s="6"/>
      <c r="C751" s="124" t="s">
        <v>61</v>
      </c>
      <c r="D751" s="124"/>
      <c r="E751" s="124"/>
      <c r="F751" s="124"/>
      <c r="G751" s="204"/>
      <c r="H751" s="204"/>
      <c r="I751" s="204"/>
      <c r="J751" s="135"/>
      <c r="K751" s="135"/>
    </row>
    <row r="752" spans="1:11" x14ac:dyDescent="0.2">
      <c r="A752" s="180"/>
      <c r="B752" s="6"/>
      <c r="C752" s="124"/>
      <c r="D752" s="124" t="s">
        <v>71</v>
      </c>
      <c r="E752" s="124"/>
      <c r="F752" s="124"/>
      <c r="G752" s="204"/>
      <c r="H752" s="204"/>
      <c r="I752" s="204">
        <f>G752+I680</f>
        <v>0</v>
      </c>
      <c r="J752" s="135"/>
      <c r="K752" s="135"/>
    </row>
    <row r="753" spans="1:11" x14ac:dyDescent="0.2">
      <c r="A753" s="180"/>
      <c r="B753" s="6"/>
      <c r="C753" s="124"/>
      <c r="D753" s="124" t="s">
        <v>294</v>
      </c>
      <c r="E753" s="124"/>
      <c r="F753" s="124"/>
      <c r="G753" s="204"/>
      <c r="H753" s="204"/>
      <c r="I753" s="204">
        <f>G753+I681</f>
        <v>0</v>
      </c>
      <c r="J753" s="135"/>
      <c r="K753" s="135"/>
    </row>
    <row r="754" spans="1:11" x14ac:dyDescent="0.2">
      <c r="A754" s="180"/>
      <c r="B754" s="6"/>
      <c r="C754" s="124"/>
      <c r="D754" s="124" t="s">
        <v>62</v>
      </c>
      <c r="E754" s="124"/>
      <c r="F754" s="124"/>
      <c r="G754" s="204"/>
      <c r="H754" s="204"/>
      <c r="I754" s="204">
        <f>G754+I682</f>
        <v>0</v>
      </c>
      <c r="J754" s="135"/>
      <c r="K754" s="135"/>
    </row>
    <row r="755" spans="1:11" ht="15" thickBot="1" x14ac:dyDescent="0.25">
      <c r="A755" s="180"/>
      <c r="B755" s="6"/>
      <c r="C755" s="694" t="s">
        <v>64</v>
      </c>
      <c r="D755" s="694"/>
      <c r="E755" s="694"/>
      <c r="F755" s="134"/>
      <c r="G755" s="214">
        <f>SUM(G752:G754)</f>
        <v>0</v>
      </c>
      <c r="H755" s="204"/>
      <c r="I755" s="215">
        <f>SUM(I752:I754)</f>
        <v>0</v>
      </c>
      <c r="J755" s="135"/>
      <c r="K755" s="135"/>
    </row>
    <row r="756" spans="1:11" ht="15" thickTop="1" x14ac:dyDescent="0.2">
      <c r="A756" s="180"/>
      <c r="B756" s="6"/>
      <c r="C756" s="124"/>
      <c r="D756" s="124"/>
      <c r="E756" s="124"/>
      <c r="F756" s="124"/>
      <c r="G756" s="204"/>
      <c r="H756" s="204"/>
      <c r="I756" s="204"/>
      <c r="J756" s="135"/>
      <c r="K756" s="135"/>
    </row>
    <row r="757" spans="1:11" x14ac:dyDescent="0.2">
      <c r="A757" s="180"/>
      <c r="B757" s="694" t="s">
        <v>67</v>
      </c>
      <c r="C757" s="694"/>
      <c r="D757" s="694"/>
      <c r="E757" s="694"/>
      <c r="F757" s="134"/>
      <c r="G757" s="211">
        <f>G750+G755</f>
        <v>0</v>
      </c>
      <c r="H757" s="204"/>
      <c r="I757" s="211">
        <f>I755+I750</f>
        <v>0</v>
      </c>
      <c r="J757" s="135"/>
      <c r="K757" s="135"/>
    </row>
    <row r="758" spans="1:11" x14ac:dyDescent="0.2">
      <c r="A758" s="180"/>
      <c r="B758" s="124" t="s">
        <v>68</v>
      </c>
      <c r="C758" s="124"/>
      <c r="D758" s="124"/>
      <c r="E758" s="124"/>
      <c r="F758" s="124"/>
      <c r="G758" s="204">
        <f>G744-G757</f>
        <v>0</v>
      </c>
      <c r="H758" s="204"/>
      <c r="I758" s="204">
        <f>I744-I757</f>
        <v>0</v>
      </c>
      <c r="J758" s="135"/>
      <c r="K758" s="135"/>
    </row>
    <row r="759" spans="1:11" ht="15" thickBot="1" x14ac:dyDescent="0.25">
      <c r="A759" s="180"/>
      <c r="B759" s="124" t="s">
        <v>69</v>
      </c>
      <c r="C759" s="130"/>
      <c r="D759" s="130"/>
      <c r="E759" s="127"/>
      <c r="F759" s="127"/>
      <c r="G759" s="216">
        <f>G688</f>
        <v>0</v>
      </c>
      <c r="H759" s="216"/>
      <c r="I759" s="216">
        <f>I687</f>
        <v>0</v>
      </c>
      <c r="J759" s="135"/>
      <c r="K759" s="135"/>
    </row>
    <row r="760" spans="1:11" ht="24.75" customHeight="1" thickBot="1" x14ac:dyDescent="0.25">
      <c r="A760" s="180"/>
      <c r="B760" s="768" t="s">
        <v>70</v>
      </c>
      <c r="C760" s="769"/>
      <c r="D760" s="769"/>
      <c r="E760" s="770"/>
      <c r="F760" s="142"/>
      <c r="G760" s="217">
        <f>G759+G758</f>
        <v>0</v>
      </c>
      <c r="H760" s="216"/>
      <c r="I760" s="217">
        <f>SUM(I758:I759)</f>
        <v>0</v>
      </c>
      <c r="J760" s="135"/>
      <c r="K760" s="135"/>
    </row>
    <row r="761" spans="1:11" x14ac:dyDescent="0.2">
      <c r="A761" s="198"/>
      <c r="B761" s="119"/>
      <c r="C761" s="119"/>
      <c r="D761" s="119"/>
      <c r="E761" s="119"/>
      <c r="F761" s="119"/>
      <c r="G761" s="218"/>
      <c r="H761" s="218"/>
      <c r="I761" s="218"/>
      <c r="J761" s="221"/>
      <c r="K761" s="221"/>
    </row>
    <row r="762" spans="1:11" x14ac:dyDescent="0.2">
      <c r="A762" s="124"/>
      <c r="B762" s="124"/>
      <c r="C762" s="124"/>
      <c r="D762" s="124"/>
      <c r="E762" s="124"/>
      <c r="F762" s="124"/>
      <c r="G762" s="204">
        <f>'ARUS KAS'!E596</f>
        <v>0</v>
      </c>
      <c r="H762" s="204"/>
      <c r="I762" s="204"/>
      <c r="J762" s="124"/>
      <c r="K762" s="124"/>
    </row>
    <row r="763" spans="1:11" x14ac:dyDescent="0.2">
      <c r="A763" s="124"/>
      <c r="B763" s="124"/>
      <c r="C763" s="124"/>
      <c r="D763" s="124"/>
      <c r="E763" s="124"/>
      <c r="F763" s="124"/>
      <c r="G763" s="219"/>
      <c r="H763" s="219"/>
      <c r="I763" s="219"/>
      <c r="J763" s="124"/>
      <c r="K763" s="124"/>
    </row>
    <row r="764" spans="1:11" x14ac:dyDescent="0.2">
      <c r="A764" s="697" t="s">
        <v>579</v>
      </c>
      <c r="B764" s="697"/>
      <c r="C764" s="697"/>
      <c r="D764" s="697"/>
      <c r="E764" s="697"/>
      <c r="F764" s="697" t="s">
        <v>566</v>
      </c>
      <c r="G764" s="697"/>
      <c r="H764" s="697"/>
      <c r="I764" s="697"/>
      <c r="J764" s="697"/>
      <c r="K764" s="697"/>
    </row>
    <row r="765" spans="1:11" x14ac:dyDescent="0.2">
      <c r="A765" s="697" t="s">
        <v>568</v>
      </c>
      <c r="B765" s="697"/>
      <c r="C765" s="697"/>
      <c r="D765" s="697"/>
      <c r="E765" s="697"/>
      <c r="F765" s="697" t="s">
        <v>571</v>
      </c>
      <c r="G765" s="697"/>
      <c r="H765" s="697"/>
      <c r="I765" s="697"/>
      <c r="J765" s="697"/>
      <c r="K765" s="697"/>
    </row>
    <row r="766" spans="1:11" x14ac:dyDescent="0.2">
      <c r="A766" s="697"/>
      <c r="B766" s="697"/>
      <c r="C766" s="697"/>
      <c r="D766" s="697"/>
      <c r="E766" s="697"/>
      <c r="F766" s="697"/>
      <c r="G766" s="697"/>
      <c r="H766" s="697"/>
      <c r="I766" s="697"/>
      <c r="J766" s="697"/>
      <c r="K766" s="697"/>
    </row>
    <row r="767" spans="1:11" x14ac:dyDescent="0.2">
      <c r="A767" s="697"/>
      <c r="B767" s="697"/>
      <c r="C767" s="697"/>
      <c r="D767" s="697"/>
      <c r="E767" s="697"/>
      <c r="F767" s="697"/>
      <c r="G767" s="697"/>
      <c r="H767" s="697"/>
      <c r="I767" s="697"/>
      <c r="J767" s="697"/>
      <c r="K767" s="697"/>
    </row>
    <row r="768" spans="1:11" x14ac:dyDescent="0.2">
      <c r="A768" s="697" t="s">
        <v>655</v>
      </c>
      <c r="B768" s="697"/>
      <c r="C768" s="697"/>
      <c r="D768" s="697"/>
      <c r="E768" s="697"/>
      <c r="F768" s="697" t="s">
        <v>567</v>
      </c>
      <c r="G768" s="697"/>
      <c r="H768" s="697"/>
      <c r="I768" s="697"/>
      <c r="J768" s="697"/>
      <c r="K768" s="697"/>
    </row>
    <row r="769" spans="1:11" x14ac:dyDescent="0.2">
      <c r="A769" s="697"/>
      <c r="B769" s="697"/>
      <c r="C769" s="697"/>
      <c r="D769" s="697"/>
      <c r="E769" s="697"/>
      <c r="F769" s="697"/>
      <c r="G769" s="697"/>
      <c r="H769" s="697"/>
      <c r="I769" s="697"/>
      <c r="J769" s="697"/>
      <c r="K769" s="697"/>
    </row>
    <row r="772" spans="1:11" x14ac:dyDescent="0.2">
      <c r="I772" s="176">
        <f>'Neraca '!H756+'Neraca '!H757</f>
        <v>0</v>
      </c>
    </row>
    <row r="773" spans="1:11" x14ac:dyDescent="0.2">
      <c r="I773" s="200">
        <f>G760-I772</f>
        <v>0</v>
      </c>
    </row>
    <row r="782" spans="1:11" x14ac:dyDescent="0.2">
      <c r="A782" s="771" t="s">
        <v>583</v>
      </c>
      <c r="B782" s="771"/>
      <c r="C782" s="771"/>
      <c r="D782" s="771"/>
      <c r="E782" s="771"/>
      <c r="F782" s="771"/>
      <c r="G782" s="771"/>
      <c r="H782" s="771"/>
      <c r="I782" s="771"/>
      <c r="J782" s="771"/>
      <c r="K782" s="771"/>
    </row>
    <row r="783" spans="1:11" x14ac:dyDescent="0.2">
      <c r="A783" s="772"/>
      <c r="B783" s="772"/>
      <c r="C783" s="772"/>
      <c r="D783" s="772"/>
      <c r="E783" s="772"/>
      <c r="F783" s="772"/>
      <c r="G783" s="772"/>
      <c r="H783" s="772"/>
      <c r="I783" s="772"/>
      <c r="J783" s="772"/>
      <c r="K783" s="772"/>
    </row>
    <row r="784" spans="1:11" x14ac:dyDescent="0.2">
      <c r="A784" s="178"/>
      <c r="B784" s="773"/>
      <c r="C784" s="773"/>
      <c r="D784" s="773"/>
      <c r="E784" s="773"/>
      <c r="F784" s="773"/>
      <c r="G784" s="773"/>
      <c r="H784" s="773"/>
      <c r="I784" s="773"/>
      <c r="J784" s="220"/>
      <c r="K784" s="220"/>
    </row>
    <row r="785" spans="1:11" x14ac:dyDescent="0.2">
      <c r="A785" s="180"/>
      <c r="B785" s="710" t="s">
        <v>582</v>
      </c>
      <c r="C785" s="710"/>
      <c r="D785" s="710"/>
      <c r="E785" s="710"/>
      <c r="F785" s="710"/>
      <c r="G785" s="710"/>
      <c r="H785" s="710"/>
      <c r="I785" s="710"/>
      <c r="J785" s="135"/>
      <c r="K785" s="135"/>
    </row>
    <row r="786" spans="1:11" x14ac:dyDescent="0.2">
      <c r="A786" s="180"/>
      <c r="B786" s="710" t="s">
        <v>41</v>
      </c>
      <c r="C786" s="710"/>
      <c r="D786" s="710"/>
      <c r="E786" s="710"/>
      <c r="F786" s="710"/>
      <c r="G786" s="710"/>
      <c r="H786" s="710"/>
      <c r="I786" s="710"/>
      <c r="J786" s="135"/>
      <c r="K786" s="135"/>
    </row>
    <row r="787" spans="1:11" x14ac:dyDescent="0.2">
      <c r="A787" s="180"/>
      <c r="B787" s="710" t="s">
        <v>1041</v>
      </c>
      <c r="C787" s="710"/>
      <c r="D787" s="710"/>
      <c r="E787" s="710"/>
      <c r="F787" s="710"/>
      <c r="G787" s="710"/>
      <c r="H787" s="710"/>
      <c r="I787" s="710"/>
      <c r="J787" s="135"/>
      <c r="K787" s="135"/>
    </row>
    <row r="788" spans="1:11" x14ac:dyDescent="0.2">
      <c r="A788" s="180"/>
      <c r="B788" s="124"/>
      <c r="C788" s="124"/>
      <c r="D788" s="124"/>
      <c r="E788" s="124"/>
      <c r="F788" s="124"/>
      <c r="J788" s="135"/>
      <c r="K788" s="135"/>
    </row>
    <row r="789" spans="1:11" x14ac:dyDescent="0.2">
      <c r="A789" s="180"/>
      <c r="B789" s="777" t="s">
        <v>38</v>
      </c>
      <c r="C789" s="778"/>
      <c r="D789" s="778"/>
      <c r="E789" s="779"/>
      <c r="F789" s="127"/>
      <c r="G789" s="486" t="s">
        <v>37</v>
      </c>
      <c r="H789" s="127"/>
      <c r="I789" s="486" t="s">
        <v>39</v>
      </c>
      <c r="J789" s="135"/>
      <c r="K789" s="135"/>
    </row>
    <row r="790" spans="1:11" x14ac:dyDescent="0.2">
      <c r="A790" s="180"/>
      <c r="B790" s="780"/>
      <c r="C790" s="781"/>
      <c r="D790" s="781"/>
      <c r="E790" s="782"/>
      <c r="F790" s="127"/>
      <c r="G790" s="487" t="s">
        <v>40</v>
      </c>
      <c r="H790" s="127"/>
      <c r="I790" s="487" t="s">
        <v>40</v>
      </c>
      <c r="J790" s="135"/>
      <c r="K790" s="135"/>
    </row>
    <row r="791" spans="1:11" x14ac:dyDescent="0.2">
      <c r="A791" s="180"/>
      <c r="B791" s="203" t="s">
        <v>43</v>
      </c>
      <c r="C791" s="128"/>
      <c r="D791" s="124"/>
      <c r="E791" s="124"/>
      <c r="F791" s="124"/>
      <c r="G791" s="210"/>
      <c r="H791" s="210"/>
      <c r="I791" s="210"/>
      <c r="J791" s="135"/>
      <c r="K791" s="135"/>
    </row>
    <row r="792" spans="1:11" x14ac:dyDescent="0.2">
      <c r="A792" s="180"/>
      <c r="B792" s="6"/>
      <c r="C792" s="124" t="s">
        <v>42</v>
      </c>
      <c r="D792" s="124"/>
      <c r="E792" s="124"/>
      <c r="F792" s="124"/>
      <c r="G792" s="210"/>
      <c r="H792" s="210"/>
      <c r="I792" s="210"/>
      <c r="J792" s="135"/>
      <c r="K792" s="135"/>
    </row>
    <row r="793" spans="1:11" x14ac:dyDescent="0.2">
      <c r="A793" s="180"/>
      <c r="B793" s="6"/>
      <c r="C793" s="124"/>
      <c r="D793" s="124" t="s">
        <v>44</v>
      </c>
      <c r="E793" s="124"/>
      <c r="F793" s="124"/>
      <c r="G793" s="210">
        <v>0</v>
      </c>
      <c r="H793" s="210"/>
      <c r="I793" s="210">
        <f>G793+I722+I725</f>
        <v>0</v>
      </c>
      <c r="J793" s="135"/>
      <c r="K793" s="135"/>
    </row>
    <row r="794" spans="1:11" x14ac:dyDescent="0.2">
      <c r="A794" s="180"/>
      <c r="B794" s="6"/>
      <c r="C794" s="124"/>
      <c r="D794" s="124" t="s">
        <v>573</v>
      </c>
      <c r="E794" s="124"/>
      <c r="F794" s="124"/>
      <c r="G794" s="210">
        <v>0</v>
      </c>
      <c r="H794" s="210"/>
      <c r="I794" s="210">
        <f>G794+I723</f>
        <v>0</v>
      </c>
      <c r="J794" s="135"/>
      <c r="K794" s="135"/>
    </row>
    <row r="795" spans="1:11" x14ac:dyDescent="0.2">
      <c r="A795" s="180"/>
      <c r="B795" s="6"/>
      <c r="C795" s="124"/>
      <c r="D795" s="124" t="s">
        <v>591</v>
      </c>
      <c r="E795" s="124"/>
      <c r="F795" s="124"/>
      <c r="G795" s="210"/>
      <c r="H795" s="210"/>
      <c r="I795" s="210"/>
      <c r="J795" s="135"/>
      <c r="K795" s="135"/>
    </row>
    <row r="796" spans="1:11" x14ac:dyDescent="0.2">
      <c r="A796" s="180"/>
      <c r="B796" s="6"/>
      <c r="C796" s="124"/>
      <c r="D796" s="124" t="s">
        <v>592</v>
      </c>
      <c r="E796" s="124"/>
      <c r="F796" s="124"/>
      <c r="G796" s="210"/>
      <c r="H796" s="210"/>
      <c r="I796" s="210"/>
      <c r="J796" s="135"/>
      <c r="K796" s="135"/>
    </row>
    <row r="797" spans="1:11" x14ac:dyDescent="0.2">
      <c r="A797" s="180"/>
      <c r="B797" s="6"/>
      <c r="C797" s="124"/>
      <c r="D797" s="124" t="s">
        <v>575</v>
      </c>
      <c r="E797" s="124" t="s">
        <v>673</v>
      </c>
      <c r="F797" s="124"/>
      <c r="G797" s="210">
        <v>0</v>
      </c>
      <c r="H797" s="210"/>
      <c r="I797" s="210">
        <v>0</v>
      </c>
      <c r="J797" s="135"/>
      <c r="K797" s="135"/>
    </row>
    <row r="798" spans="1:11" x14ac:dyDescent="0.2">
      <c r="A798" s="180"/>
      <c r="B798" s="6"/>
      <c r="C798" s="124"/>
      <c r="D798" s="124"/>
      <c r="E798" s="134" t="s">
        <v>51</v>
      </c>
      <c r="F798" s="124"/>
      <c r="G798" s="488">
        <f>SUM(G793:G797)</f>
        <v>0</v>
      </c>
      <c r="H798" s="210"/>
      <c r="I798" s="488">
        <f>SUM(I793:I797)</f>
        <v>0</v>
      </c>
      <c r="J798" s="135"/>
      <c r="K798" s="135"/>
    </row>
    <row r="799" spans="1:11" x14ac:dyDescent="0.2">
      <c r="A799" s="180"/>
      <c r="B799" s="6"/>
      <c r="C799" s="124"/>
      <c r="D799" s="124" t="s">
        <v>609</v>
      </c>
      <c r="E799" s="124"/>
      <c r="F799" s="124"/>
      <c r="G799" s="210"/>
      <c r="H799" s="210"/>
      <c r="I799" s="210"/>
      <c r="J799" s="135"/>
      <c r="K799" s="135"/>
    </row>
    <row r="800" spans="1:11" x14ac:dyDescent="0.2">
      <c r="A800" s="180"/>
      <c r="B800" s="6"/>
      <c r="C800" s="124"/>
      <c r="D800" s="124"/>
      <c r="E800" s="206" t="s">
        <v>46</v>
      </c>
      <c r="F800" s="124"/>
      <c r="G800" s="210">
        <v>0</v>
      </c>
      <c r="H800" s="210"/>
      <c r="I800" s="210">
        <f t="shared" ref="I800:I805" si="17">G800+I729</f>
        <v>0</v>
      </c>
      <c r="J800" s="135"/>
      <c r="K800" s="135"/>
    </row>
    <row r="801" spans="1:13" x14ac:dyDescent="0.2">
      <c r="A801" s="180"/>
      <c r="B801" s="6"/>
      <c r="C801" s="124"/>
      <c r="D801" s="124"/>
      <c r="E801" s="206" t="s">
        <v>47</v>
      </c>
      <c r="F801" s="124"/>
      <c r="G801" s="210"/>
      <c r="H801" s="210"/>
      <c r="I801" s="210">
        <f t="shared" si="17"/>
        <v>0</v>
      </c>
      <c r="J801" s="135"/>
      <c r="K801" s="135"/>
    </row>
    <row r="802" spans="1:13" x14ac:dyDescent="0.2">
      <c r="A802" s="180"/>
      <c r="B802" s="6"/>
      <c r="C802" s="124"/>
      <c r="D802" s="134"/>
      <c r="E802" s="207" t="s">
        <v>48</v>
      </c>
      <c r="F802" s="134"/>
      <c r="G802" s="210"/>
      <c r="H802" s="210"/>
      <c r="I802" s="210">
        <f t="shared" si="17"/>
        <v>0</v>
      </c>
      <c r="J802" s="135"/>
      <c r="K802" s="135"/>
    </row>
    <row r="803" spans="1:13" x14ac:dyDescent="0.2">
      <c r="A803" s="180"/>
      <c r="B803" s="6"/>
      <c r="C803" s="124"/>
      <c r="D803" s="124"/>
      <c r="E803" s="206" t="s">
        <v>49</v>
      </c>
      <c r="F803" s="124"/>
      <c r="G803" s="210">
        <v>0</v>
      </c>
      <c r="H803" s="210"/>
      <c r="I803" s="210">
        <f>G803+I732</f>
        <v>0</v>
      </c>
      <c r="J803" s="135"/>
      <c r="K803" s="135"/>
    </row>
    <row r="804" spans="1:13" x14ac:dyDescent="0.2">
      <c r="A804" s="180"/>
      <c r="B804" s="6"/>
      <c r="C804" s="124"/>
      <c r="D804" s="134"/>
      <c r="E804" s="207" t="s">
        <v>45</v>
      </c>
      <c r="F804" s="134"/>
      <c r="G804" s="210"/>
      <c r="H804" s="210"/>
      <c r="I804" s="210">
        <f t="shared" si="17"/>
        <v>0</v>
      </c>
      <c r="J804" s="135"/>
      <c r="K804" s="135"/>
    </row>
    <row r="805" spans="1:13" x14ac:dyDescent="0.2">
      <c r="A805" s="180"/>
      <c r="B805" s="134"/>
      <c r="C805" s="128"/>
      <c r="D805" s="124"/>
      <c r="E805" s="206" t="s">
        <v>50</v>
      </c>
      <c r="F805" s="124"/>
      <c r="G805" s="210"/>
      <c r="H805" s="210"/>
      <c r="I805" s="210">
        <f t="shared" si="17"/>
        <v>0</v>
      </c>
      <c r="J805" s="135"/>
      <c r="K805" s="135"/>
    </row>
    <row r="806" spans="1:13" x14ac:dyDescent="0.2">
      <c r="A806" s="180"/>
      <c r="B806" s="6"/>
      <c r="C806" s="124"/>
      <c r="D806" s="208"/>
      <c r="E806" s="127" t="s">
        <v>52</v>
      </c>
      <c r="F806" s="208"/>
      <c r="G806" s="488">
        <f>SUM(G800:G805)</f>
        <v>0</v>
      </c>
      <c r="H806" s="210"/>
      <c r="I806" s="488">
        <f>SUM(I800:I805)</f>
        <v>0</v>
      </c>
      <c r="J806" s="135"/>
      <c r="K806" s="135"/>
    </row>
    <row r="807" spans="1:13" x14ac:dyDescent="0.2">
      <c r="A807" s="180"/>
      <c r="B807" s="6"/>
      <c r="C807" s="124"/>
      <c r="D807" s="124"/>
      <c r="E807" s="124"/>
      <c r="F807" s="124"/>
      <c r="G807" s="210"/>
      <c r="H807" s="210"/>
      <c r="I807" s="210"/>
      <c r="J807" s="135"/>
      <c r="K807" s="135"/>
    </row>
    <row r="808" spans="1:13" ht="15" thickBot="1" x14ac:dyDescent="0.25">
      <c r="A808" s="180"/>
      <c r="B808" s="6"/>
      <c r="C808" s="710" t="s">
        <v>66</v>
      </c>
      <c r="D808" s="710"/>
      <c r="E808" s="710"/>
      <c r="F808" s="124"/>
      <c r="G808" s="209">
        <f>G806+G798</f>
        <v>0</v>
      </c>
      <c r="H808" s="210"/>
      <c r="I808" s="209">
        <f>I806+I798</f>
        <v>0</v>
      </c>
      <c r="J808" s="124"/>
      <c r="K808" s="135"/>
      <c r="M808" s="431"/>
    </row>
    <row r="809" spans="1:13" ht="15" thickTop="1" x14ac:dyDescent="0.2">
      <c r="A809" s="180"/>
      <c r="B809" s="6"/>
      <c r="C809" s="124" t="s">
        <v>53</v>
      </c>
      <c r="D809" s="124"/>
      <c r="E809" s="124"/>
      <c r="F809" s="124"/>
      <c r="G809" s="210"/>
      <c r="H809" s="210"/>
      <c r="I809" s="210"/>
      <c r="J809" s="135"/>
      <c r="K809" s="135"/>
      <c r="M809" s="431"/>
    </row>
    <row r="810" spans="1:13" x14ac:dyDescent="0.2">
      <c r="A810" s="180"/>
      <c r="B810" s="6"/>
      <c r="C810" s="151"/>
      <c r="D810" s="151" t="s">
        <v>574</v>
      </c>
      <c r="E810" s="134"/>
      <c r="F810" s="134"/>
      <c r="G810" s="210">
        <v>0</v>
      </c>
      <c r="H810" s="210"/>
      <c r="I810" s="210">
        <f>G810+I739</f>
        <v>0</v>
      </c>
      <c r="J810" s="135"/>
      <c r="K810" s="135"/>
    </row>
    <row r="811" spans="1:13" x14ac:dyDescent="0.2">
      <c r="A811" s="180"/>
      <c r="B811" s="134"/>
      <c r="C811" s="128"/>
      <c r="D811" s="124" t="s">
        <v>590</v>
      </c>
      <c r="E811" s="124"/>
      <c r="F811" s="124"/>
      <c r="G811" s="210"/>
      <c r="H811" s="210"/>
      <c r="I811" s="210">
        <f>G811+I740</f>
        <v>0</v>
      </c>
      <c r="J811" s="135"/>
      <c r="K811" s="135"/>
    </row>
    <row r="812" spans="1:13" x14ac:dyDescent="0.2">
      <c r="A812" s="180"/>
      <c r="B812" s="6"/>
      <c r="C812" s="124"/>
      <c r="D812" s="151" t="s">
        <v>576</v>
      </c>
      <c r="E812" s="151"/>
      <c r="F812" s="151"/>
      <c r="G812" s="210">
        <v>0</v>
      </c>
      <c r="H812" s="210"/>
      <c r="I812" s="210">
        <f>G812+I741</f>
        <v>0</v>
      </c>
      <c r="J812" s="135"/>
      <c r="K812" s="135"/>
    </row>
    <row r="813" spans="1:13" ht="15" thickBot="1" x14ac:dyDescent="0.25">
      <c r="A813" s="180"/>
      <c r="B813" s="6"/>
      <c r="C813" s="694" t="s">
        <v>65</v>
      </c>
      <c r="D813" s="694"/>
      <c r="E813" s="694"/>
      <c r="F813" s="124"/>
      <c r="G813" s="209">
        <f>SUM(G810:G812)</f>
        <v>0</v>
      </c>
      <c r="H813" s="210"/>
      <c r="I813" s="209">
        <f>SUM(I810:I812)</f>
        <v>0</v>
      </c>
      <c r="J813" s="135"/>
      <c r="K813" s="135"/>
    </row>
    <row r="814" spans="1:13" ht="15" thickTop="1" x14ac:dyDescent="0.2">
      <c r="A814" s="180"/>
      <c r="B814" s="6"/>
      <c r="C814" s="124"/>
      <c r="D814" s="124"/>
      <c r="E814" s="124"/>
      <c r="F814" s="124"/>
      <c r="G814" s="210"/>
      <c r="H814" s="210"/>
      <c r="I814" s="210"/>
      <c r="J814" s="135"/>
      <c r="K814" s="135"/>
    </row>
    <row r="815" spans="1:13" x14ac:dyDescent="0.2">
      <c r="A815" s="180"/>
      <c r="B815" s="694" t="s">
        <v>55</v>
      </c>
      <c r="C815" s="694"/>
      <c r="D815" s="694"/>
      <c r="E815" s="694"/>
      <c r="F815" s="134"/>
      <c r="G815" s="489">
        <f>G813+G808</f>
        <v>0</v>
      </c>
      <c r="H815" s="210"/>
      <c r="I815" s="489">
        <f>I813+I808</f>
        <v>0</v>
      </c>
      <c r="J815" s="135"/>
      <c r="K815" s="135"/>
    </row>
    <row r="816" spans="1:13" x14ac:dyDescent="0.2">
      <c r="A816" s="180"/>
      <c r="B816" s="203" t="s">
        <v>56</v>
      </c>
      <c r="C816" s="124"/>
      <c r="D816" s="124"/>
      <c r="E816" s="124"/>
      <c r="F816" s="124"/>
      <c r="G816" s="210"/>
      <c r="H816" s="210"/>
      <c r="I816" s="210"/>
      <c r="J816" s="135"/>
      <c r="K816" s="135"/>
    </row>
    <row r="817" spans="1:11" x14ac:dyDescent="0.2">
      <c r="A817" s="180"/>
      <c r="B817" s="6"/>
      <c r="C817" s="124" t="s">
        <v>57</v>
      </c>
      <c r="D817" s="134"/>
      <c r="E817" s="134"/>
      <c r="F817" s="134"/>
      <c r="G817" s="210"/>
      <c r="H817" s="210"/>
      <c r="I817" s="210"/>
      <c r="J817" s="135"/>
      <c r="K817" s="135"/>
    </row>
    <row r="818" spans="1:11" x14ac:dyDescent="0.2">
      <c r="A818" s="180"/>
      <c r="B818" s="134"/>
      <c r="C818" s="128"/>
      <c r="D818" s="124" t="s">
        <v>58</v>
      </c>
      <c r="E818" s="124"/>
      <c r="F818" s="124"/>
      <c r="G818" s="212">
        <v>0</v>
      </c>
      <c r="H818" s="210"/>
      <c r="I818" s="210">
        <f>G818+I747</f>
        <v>0</v>
      </c>
      <c r="J818" s="135"/>
      <c r="K818" s="135"/>
    </row>
    <row r="819" spans="1:11" x14ac:dyDescent="0.2">
      <c r="A819" s="180"/>
      <c r="B819" s="6"/>
      <c r="C819" s="124"/>
      <c r="D819" s="151" t="s">
        <v>59</v>
      </c>
      <c r="E819" s="151"/>
      <c r="F819" s="151"/>
      <c r="G819" s="593">
        <f>'RINCIAN B. LANGSUNG USAHA'!O37+'RINCIAN B. LANGSUNG USAHA'!O44+'RINCIAN B. LANGSUNG USAHA'!O50+'RINCIAN B. LANGSUNG USAHA'!O51+'RINCIAN B. LANGSUNG USAHA'!O52+'RINCIAN B. LANGSUNG USAHA'!O77+'RINCIAN B. LANGSUNG USAHA'!O83+'RINCIAN B. LANGSUNG USAHA'!O84+'RINCIAN B. LANGSUNG USAHA'!O85+'RINCIAN B. LANGSUNG USAHA'!O73+'RINCIAN B. TDK LANGSUNG'!O29+'RINCIAN B. TDK LANGSUNG'!O63</f>
        <v>0</v>
      </c>
      <c r="H819" s="210"/>
      <c r="I819" s="210">
        <f>G819+I748</f>
        <v>0</v>
      </c>
      <c r="J819" s="135"/>
      <c r="K819" s="135"/>
    </row>
    <row r="820" spans="1:11" x14ac:dyDescent="0.2">
      <c r="A820" s="180"/>
      <c r="B820" s="6"/>
      <c r="C820" s="124"/>
      <c r="D820" s="124" t="s">
        <v>60</v>
      </c>
      <c r="E820" s="124"/>
      <c r="F820" s="124"/>
      <c r="G820" s="593">
        <v>0</v>
      </c>
      <c r="H820" s="210"/>
      <c r="I820" s="210">
        <f>G820+I749</f>
        <v>0</v>
      </c>
      <c r="J820" s="135"/>
      <c r="K820" s="135"/>
    </row>
    <row r="821" spans="1:11" ht="15" thickBot="1" x14ac:dyDescent="0.25">
      <c r="A821" s="180"/>
      <c r="B821" s="6"/>
      <c r="C821" s="694" t="s">
        <v>63</v>
      </c>
      <c r="D821" s="694"/>
      <c r="E821" s="694"/>
      <c r="F821" s="124"/>
      <c r="G821" s="209">
        <f>SUM(G818:G820)</f>
        <v>0</v>
      </c>
      <c r="H821" s="210"/>
      <c r="I821" s="209">
        <f>SUM(I818:I820)</f>
        <v>0</v>
      </c>
      <c r="J821" s="135"/>
      <c r="K821" s="135"/>
    </row>
    <row r="822" spans="1:11" ht="15" thickTop="1" x14ac:dyDescent="0.2">
      <c r="A822" s="180"/>
      <c r="B822" s="6"/>
      <c r="C822" s="124" t="s">
        <v>61</v>
      </c>
      <c r="D822" s="124"/>
      <c r="E822" s="124"/>
      <c r="F822" s="124"/>
      <c r="G822" s="210"/>
      <c r="H822" s="210"/>
      <c r="I822" s="210"/>
      <c r="J822" s="135"/>
      <c r="K822" s="135"/>
    </row>
    <row r="823" spans="1:11" x14ac:dyDescent="0.2">
      <c r="A823" s="180"/>
      <c r="B823" s="6"/>
      <c r="C823" s="124"/>
      <c r="D823" s="124" t="s">
        <v>71</v>
      </c>
      <c r="E823" s="124"/>
      <c r="F823" s="124"/>
      <c r="G823" s="210"/>
      <c r="H823" s="210"/>
      <c r="I823" s="210">
        <f>G823+I752</f>
        <v>0</v>
      </c>
      <c r="J823" s="135"/>
      <c r="K823" s="135"/>
    </row>
    <row r="824" spans="1:11" x14ac:dyDescent="0.2">
      <c r="A824" s="180"/>
      <c r="B824" s="6"/>
      <c r="C824" s="124"/>
      <c r="D824" s="124" t="s">
        <v>294</v>
      </c>
      <c r="E824" s="124"/>
      <c r="F824" s="124"/>
      <c r="G824" s="210"/>
      <c r="H824" s="210"/>
      <c r="I824" s="210">
        <f>G824+I753</f>
        <v>0</v>
      </c>
      <c r="J824" s="135"/>
      <c r="K824" s="135"/>
    </row>
    <row r="825" spans="1:11" x14ac:dyDescent="0.2">
      <c r="A825" s="180"/>
      <c r="B825" s="6"/>
      <c r="C825" s="124"/>
      <c r="D825" s="124" t="s">
        <v>62</v>
      </c>
      <c r="E825" s="124"/>
      <c r="F825" s="124"/>
      <c r="G825" s="210">
        <f>'B. NON OPERASIONAL'!M14</f>
        <v>0</v>
      </c>
      <c r="H825" s="210"/>
      <c r="I825" s="210">
        <f>G825+I754</f>
        <v>0</v>
      </c>
      <c r="J825" s="135"/>
      <c r="K825" s="135"/>
    </row>
    <row r="826" spans="1:11" ht="15" thickBot="1" x14ac:dyDescent="0.25">
      <c r="A826" s="180"/>
      <c r="B826" s="6"/>
      <c r="C826" s="694" t="s">
        <v>64</v>
      </c>
      <c r="D826" s="694"/>
      <c r="E826" s="694"/>
      <c r="F826" s="134"/>
      <c r="G826" s="490">
        <f>SUM(G823:G825)</f>
        <v>0</v>
      </c>
      <c r="H826" s="210"/>
      <c r="I826" s="491">
        <f>SUM(I823:I825)</f>
        <v>0</v>
      </c>
      <c r="J826" s="135"/>
      <c r="K826" s="135"/>
    </row>
    <row r="827" spans="1:11" ht="15" thickTop="1" x14ac:dyDescent="0.2">
      <c r="A827" s="180"/>
      <c r="B827" s="6"/>
      <c r="C827" s="124"/>
      <c r="D827" s="124"/>
      <c r="E827" s="124"/>
      <c r="F827" s="124"/>
      <c r="G827" s="210"/>
      <c r="H827" s="210"/>
      <c r="I827" s="210"/>
      <c r="J827" s="135"/>
      <c r="K827" s="135"/>
    </row>
    <row r="828" spans="1:11" x14ac:dyDescent="0.2">
      <c r="A828" s="180"/>
      <c r="B828" s="694" t="s">
        <v>67</v>
      </c>
      <c r="C828" s="694"/>
      <c r="D828" s="694"/>
      <c r="E828" s="694"/>
      <c r="F828" s="134"/>
      <c r="G828" s="489">
        <f>G821+G826</f>
        <v>0</v>
      </c>
      <c r="H828" s="210"/>
      <c r="I828" s="489">
        <f>I826+I821</f>
        <v>0</v>
      </c>
      <c r="J828" s="135"/>
      <c r="K828" s="135"/>
    </row>
    <row r="829" spans="1:11" x14ac:dyDescent="0.2">
      <c r="A829" s="180"/>
      <c r="B829" s="124" t="s">
        <v>68</v>
      </c>
      <c r="C829" s="124"/>
      <c r="D829" s="124"/>
      <c r="E829" s="124"/>
      <c r="F829" s="124"/>
      <c r="G829" s="210">
        <f>G815-G828</f>
        <v>0</v>
      </c>
      <c r="H829" s="210"/>
      <c r="I829" s="210">
        <f>I815-I828</f>
        <v>0</v>
      </c>
      <c r="J829" s="135"/>
      <c r="K829" s="135"/>
    </row>
    <row r="830" spans="1:11" ht="15" thickBot="1" x14ac:dyDescent="0.25">
      <c r="A830" s="180"/>
      <c r="B830" s="124" t="s">
        <v>69</v>
      </c>
      <c r="C830" s="130"/>
      <c r="D830" s="130"/>
      <c r="E830" s="127"/>
      <c r="F830" s="127"/>
      <c r="G830" s="437">
        <f>G760</f>
        <v>0</v>
      </c>
      <c r="H830" s="437"/>
      <c r="I830" s="437">
        <f>I759</f>
        <v>0</v>
      </c>
      <c r="J830" s="135"/>
      <c r="K830" s="135"/>
    </row>
    <row r="831" spans="1:11" ht="15" thickBot="1" x14ac:dyDescent="0.25">
      <c r="A831" s="180"/>
      <c r="B831" s="774" t="s">
        <v>70</v>
      </c>
      <c r="C831" s="775"/>
      <c r="D831" s="775"/>
      <c r="E831" s="776"/>
      <c r="F831" s="142"/>
      <c r="G831" s="492">
        <f>G830+G829</f>
        <v>0</v>
      </c>
      <c r="H831" s="437"/>
      <c r="I831" s="492">
        <f>SUM(I829:I830)</f>
        <v>0</v>
      </c>
      <c r="J831" s="135"/>
      <c r="K831" s="135"/>
    </row>
    <row r="832" spans="1:11" x14ac:dyDescent="0.2">
      <c r="A832" s="198"/>
      <c r="B832" s="119"/>
      <c r="C832" s="119"/>
      <c r="D832" s="119"/>
      <c r="E832" s="119"/>
      <c r="F832" s="119"/>
      <c r="G832" s="493"/>
      <c r="H832" s="493"/>
      <c r="I832" s="493"/>
      <c r="J832" s="221"/>
      <c r="K832" s="221"/>
    </row>
    <row r="833" spans="1:12" x14ac:dyDescent="0.2">
      <c r="A833" s="124"/>
      <c r="B833" s="124"/>
      <c r="C833" s="124"/>
      <c r="D833" s="124"/>
      <c r="E833" s="124"/>
      <c r="F833" s="124"/>
      <c r="G833" s="210"/>
      <c r="H833" s="210"/>
      <c r="I833" s="210"/>
      <c r="J833" s="124"/>
      <c r="K833" s="124"/>
    </row>
    <row r="834" spans="1:12" x14ac:dyDescent="0.2">
      <c r="A834" s="124"/>
      <c r="B834" s="124"/>
      <c r="C834" s="124"/>
      <c r="D834" s="124"/>
      <c r="E834" s="124"/>
      <c r="F834" s="124"/>
      <c r="G834" s="219">
        <f>'Neraca '!H837</f>
        <v>0</v>
      </c>
      <c r="H834" s="219"/>
      <c r="I834" s="219">
        <f>G834</f>
        <v>0</v>
      </c>
      <c r="J834" s="124"/>
      <c r="K834" s="124"/>
      <c r="L834" s="592">
        <f>G831-G834</f>
        <v>0</v>
      </c>
    </row>
    <row r="835" spans="1:12" x14ac:dyDescent="0.2">
      <c r="A835" s="697" t="s">
        <v>579</v>
      </c>
      <c r="B835" s="697"/>
      <c r="C835" s="697"/>
      <c r="D835" s="697"/>
      <c r="E835" s="697"/>
      <c r="F835" s="697" t="s">
        <v>566</v>
      </c>
      <c r="G835" s="697"/>
      <c r="H835" s="697"/>
      <c r="I835" s="697"/>
      <c r="J835" s="697"/>
      <c r="K835" s="697"/>
      <c r="L835" s="592">
        <f>I831-I834</f>
        <v>0</v>
      </c>
    </row>
    <row r="836" spans="1:12" x14ac:dyDescent="0.2">
      <c r="A836" s="697" t="s">
        <v>678</v>
      </c>
      <c r="B836" s="697"/>
      <c r="C836" s="697"/>
      <c r="D836" s="697"/>
      <c r="E836" s="697"/>
      <c r="F836" s="697" t="s">
        <v>681</v>
      </c>
      <c r="G836" s="697"/>
      <c r="H836" s="697"/>
      <c r="I836" s="697"/>
      <c r="J836" s="697"/>
      <c r="K836" s="697"/>
    </row>
    <row r="837" spans="1:12" x14ac:dyDescent="0.2">
      <c r="A837" s="697"/>
      <c r="B837" s="697"/>
      <c r="C837" s="697"/>
      <c r="D837" s="697"/>
      <c r="E837" s="697"/>
      <c r="F837" s="697"/>
      <c r="G837" s="697"/>
      <c r="H837" s="697"/>
      <c r="I837" s="697"/>
      <c r="J837" s="697"/>
      <c r="K837" s="697"/>
    </row>
    <row r="838" spans="1:12" x14ac:dyDescent="0.2">
      <c r="A838" s="697"/>
      <c r="B838" s="697"/>
      <c r="C838" s="697"/>
      <c r="D838" s="697"/>
      <c r="E838" s="697"/>
      <c r="F838" s="697"/>
      <c r="G838" s="697"/>
      <c r="H838" s="697"/>
      <c r="I838" s="697"/>
      <c r="J838" s="697"/>
      <c r="K838" s="697"/>
    </row>
    <row r="839" spans="1:12" x14ac:dyDescent="0.2">
      <c r="A839" s="697" t="s">
        <v>655</v>
      </c>
      <c r="B839" s="697"/>
      <c r="C839" s="697"/>
      <c r="D839" s="697"/>
      <c r="E839" s="697"/>
      <c r="F839" s="697" t="s">
        <v>567</v>
      </c>
      <c r="G839" s="697"/>
      <c r="H839" s="697"/>
      <c r="I839" s="697"/>
      <c r="J839" s="697"/>
      <c r="K839" s="697"/>
    </row>
    <row r="840" spans="1:12" x14ac:dyDescent="0.2">
      <c r="A840" s="697"/>
      <c r="B840" s="697"/>
      <c r="C840" s="697"/>
      <c r="D840" s="697"/>
      <c r="E840" s="697"/>
      <c r="F840" s="697"/>
      <c r="G840" s="697"/>
      <c r="H840" s="697"/>
      <c r="I840" s="697"/>
      <c r="J840" s="697"/>
      <c r="K840" s="697"/>
    </row>
    <row r="842" spans="1:12" x14ac:dyDescent="0.2">
      <c r="G842" s="123"/>
    </row>
    <row r="843" spans="1:12" x14ac:dyDescent="0.2">
      <c r="I843" s="176"/>
    </row>
    <row r="844" spans="1:12" x14ac:dyDescent="0.2">
      <c r="I844" s="200"/>
    </row>
    <row r="853" spans="1:11" x14ac:dyDescent="0.2">
      <c r="A853" s="771" t="s">
        <v>1045</v>
      </c>
      <c r="B853" s="771"/>
      <c r="C853" s="771"/>
      <c r="D853" s="771"/>
      <c r="E853" s="771"/>
      <c r="F853" s="771"/>
      <c r="G853" s="771"/>
      <c r="H853" s="771"/>
      <c r="I853" s="771"/>
      <c r="J853" s="771"/>
      <c r="K853" s="771"/>
    </row>
    <row r="854" spans="1:11" x14ac:dyDescent="0.2">
      <c r="A854" s="772"/>
      <c r="B854" s="772"/>
      <c r="C854" s="772"/>
      <c r="D854" s="772"/>
      <c r="E854" s="772"/>
      <c r="F854" s="772"/>
      <c r="G854" s="772"/>
      <c r="H854" s="772"/>
      <c r="I854" s="772"/>
      <c r="J854" s="772"/>
      <c r="K854" s="772"/>
    </row>
    <row r="855" spans="1:11" x14ac:dyDescent="0.2">
      <c r="A855" s="178"/>
      <c r="B855" s="773"/>
      <c r="C855" s="773"/>
      <c r="D855" s="773"/>
      <c r="E855" s="773"/>
      <c r="F855" s="773"/>
      <c r="G855" s="773"/>
      <c r="H855" s="773"/>
      <c r="I855" s="773"/>
      <c r="J855" s="220"/>
      <c r="K855" s="220"/>
    </row>
    <row r="856" spans="1:11" x14ac:dyDescent="0.2">
      <c r="A856" s="180"/>
      <c r="B856" s="710" t="s">
        <v>582</v>
      </c>
      <c r="C856" s="710"/>
      <c r="D856" s="710"/>
      <c r="E856" s="710"/>
      <c r="F856" s="710"/>
      <c r="G856" s="710"/>
      <c r="H856" s="710"/>
      <c r="I856" s="710"/>
      <c r="J856" s="135"/>
      <c r="K856" s="135"/>
    </row>
    <row r="857" spans="1:11" x14ac:dyDescent="0.2">
      <c r="A857" s="180"/>
      <c r="B857" s="710" t="s">
        <v>41</v>
      </c>
      <c r="C857" s="710"/>
      <c r="D857" s="710"/>
      <c r="E857" s="710"/>
      <c r="F857" s="710"/>
      <c r="G857" s="710"/>
      <c r="H857" s="710"/>
      <c r="I857" s="710"/>
      <c r="J857" s="135"/>
      <c r="K857" s="135"/>
    </row>
    <row r="858" spans="1:11" x14ac:dyDescent="0.2">
      <c r="A858" s="180"/>
      <c r="B858" s="710" t="s">
        <v>1044</v>
      </c>
      <c r="C858" s="710"/>
      <c r="D858" s="710"/>
      <c r="E858" s="710"/>
      <c r="F858" s="710"/>
      <c r="G858" s="710"/>
      <c r="H858" s="710"/>
      <c r="I858" s="710"/>
      <c r="J858" s="135"/>
      <c r="K858" s="135"/>
    </row>
    <row r="859" spans="1:11" x14ac:dyDescent="0.2">
      <c r="A859" s="180"/>
      <c r="B859" s="124"/>
      <c r="C859" s="124"/>
      <c r="D859" s="124"/>
      <c r="E859" s="124"/>
      <c r="F859" s="124"/>
      <c r="J859" s="135"/>
      <c r="K859" s="135"/>
    </row>
    <row r="860" spans="1:11" x14ac:dyDescent="0.2">
      <c r="A860" s="180"/>
      <c r="B860" s="755" t="s">
        <v>38</v>
      </c>
      <c r="C860" s="756"/>
      <c r="D860" s="756"/>
      <c r="E860" s="757"/>
      <c r="F860" s="127"/>
      <c r="G860" s="201" t="s">
        <v>37</v>
      </c>
      <c r="H860" s="127"/>
      <c r="I860" s="201" t="s">
        <v>39</v>
      </c>
      <c r="J860" s="135"/>
      <c r="K860" s="135"/>
    </row>
    <row r="861" spans="1:11" x14ac:dyDescent="0.2">
      <c r="A861" s="180"/>
      <c r="B861" s="758"/>
      <c r="C861" s="759"/>
      <c r="D861" s="759"/>
      <c r="E861" s="760"/>
      <c r="F861" s="127"/>
      <c r="G861" s="202" t="s">
        <v>40</v>
      </c>
      <c r="H861" s="127"/>
      <c r="I861" s="202" t="s">
        <v>40</v>
      </c>
      <c r="J861" s="135"/>
      <c r="K861" s="135"/>
    </row>
    <row r="862" spans="1:11" x14ac:dyDescent="0.2">
      <c r="A862" s="180"/>
      <c r="B862" s="203" t="s">
        <v>43</v>
      </c>
      <c r="C862" s="128"/>
      <c r="D862" s="124"/>
      <c r="E862" s="124"/>
      <c r="F862" s="124"/>
      <c r="G862" s="204"/>
      <c r="H862" s="204"/>
      <c r="I862" s="204"/>
      <c r="J862" s="135"/>
      <c r="K862" s="135"/>
    </row>
    <row r="863" spans="1:11" x14ac:dyDescent="0.2">
      <c r="A863" s="180"/>
      <c r="B863" s="6"/>
      <c r="C863" s="124" t="s">
        <v>42</v>
      </c>
      <c r="D863" s="124"/>
      <c r="E863" s="124"/>
      <c r="F863" s="124"/>
      <c r="G863" s="204"/>
      <c r="H863" s="204"/>
      <c r="I863" s="204"/>
      <c r="J863" s="135"/>
      <c r="K863" s="135"/>
    </row>
    <row r="864" spans="1:11" x14ac:dyDescent="0.2">
      <c r="A864" s="180"/>
      <c r="B864" s="6"/>
      <c r="C864" s="124"/>
      <c r="D864" s="124" t="s">
        <v>44</v>
      </c>
      <c r="E864" s="124"/>
      <c r="F864" s="124"/>
      <c r="G864" s="204">
        <v>0</v>
      </c>
      <c r="H864" s="204"/>
      <c r="I864" s="204">
        <f>G864+I793+I797</f>
        <v>0</v>
      </c>
      <c r="J864" s="135"/>
      <c r="K864" s="135"/>
    </row>
    <row r="865" spans="1:11" x14ac:dyDescent="0.2">
      <c r="A865" s="180"/>
      <c r="B865" s="6"/>
      <c r="C865" s="124"/>
      <c r="D865" s="124" t="s">
        <v>573</v>
      </c>
      <c r="E865" s="124"/>
      <c r="F865" s="124"/>
      <c r="G865" s="204">
        <v>0</v>
      </c>
      <c r="H865" s="204"/>
      <c r="I865" s="204">
        <f>G865+I794</f>
        <v>0</v>
      </c>
      <c r="J865" s="135"/>
      <c r="K865" s="135"/>
    </row>
    <row r="866" spans="1:11" x14ac:dyDescent="0.2">
      <c r="A866" s="180"/>
      <c r="B866" s="6"/>
      <c r="C866" s="124"/>
      <c r="D866" s="124" t="s">
        <v>591</v>
      </c>
      <c r="E866" s="124"/>
      <c r="F866" s="124"/>
      <c r="G866" s="204"/>
      <c r="H866" s="204"/>
      <c r="I866" s="204"/>
      <c r="J866" s="135"/>
      <c r="K866" s="135"/>
    </row>
    <row r="867" spans="1:11" x14ac:dyDescent="0.2">
      <c r="A867" s="180"/>
      <c r="B867" s="6"/>
      <c r="C867" s="124"/>
      <c r="D867" s="124" t="s">
        <v>610</v>
      </c>
      <c r="E867" s="124"/>
      <c r="F867" s="124"/>
      <c r="G867" s="204"/>
      <c r="H867" s="204"/>
      <c r="I867" s="204"/>
      <c r="J867" s="135"/>
      <c r="K867" s="135"/>
    </row>
    <row r="868" spans="1:11" x14ac:dyDescent="0.2">
      <c r="A868" s="180"/>
      <c r="B868" s="6"/>
      <c r="C868" s="124"/>
      <c r="D868" s="124" t="s">
        <v>575</v>
      </c>
      <c r="E868" s="124" t="s">
        <v>673</v>
      </c>
      <c r="F868" s="124"/>
      <c r="G868" s="204"/>
      <c r="H868" s="204"/>
      <c r="I868" s="204"/>
      <c r="J868" s="135"/>
      <c r="K868" s="135"/>
    </row>
    <row r="869" spans="1:11" x14ac:dyDescent="0.2">
      <c r="A869" s="180"/>
      <c r="B869" s="6"/>
      <c r="C869" s="124"/>
      <c r="D869" s="124"/>
      <c r="E869" s="134" t="s">
        <v>51</v>
      </c>
      <c r="F869" s="124"/>
      <c r="G869" s="205">
        <f>SUM(G864:G868)</f>
        <v>0</v>
      </c>
      <c r="H869" s="204"/>
      <c r="I869" s="205">
        <f>SUM(I864:I868)</f>
        <v>0</v>
      </c>
      <c r="J869" s="135"/>
      <c r="K869" s="135"/>
    </row>
    <row r="870" spans="1:11" x14ac:dyDescent="0.2">
      <c r="A870" s="180"/>
      <c r="B870" s="6"/>
      <c r="C870" s="124"/>
      <c r="D870" s="124" t="s">
        <v>609</v>
      </c>
      <c r="E870" s="124"/>
      <c r="F870" s="124"/>
      <c r="G870" s="204"/>
      <c r="H870" s="204"/>
      <c r="I870" s="204"/>
      <c r="J870" s="135"/>
      <c r="K870" s="135"/>
    </row>
    <row r="871" spans="1:11" x14ac:dyDescent="0.2">
      <c r="A871" s="180"/>
      <c r="B871" s="6"/>
      <c r="C871" s="124"/>
      <c r="D871" s="124"/>
      <c r="E871" s="206" t="s">
        <v>46</v>
      </c>
      <c r="F871" s="124"/>
      <c r="G871" s="204">
        <v>0</v>
      </c>
      <c r="H871" s="204"/>
      <c r="I871" s="204">
        <f t="shared" ref="I871:I876" si="18">G871+I800</f>
        <v>0</v>
      </c>
      <c r="J871" s="135"/>
      <c r="K871" s="135"/>
    </row>
    <row r="872" spans="1:11" x14ac:dyDescent="0.2">
      <c r="A872" s="180"/>
      <c r="B872" s="6"/>
      <c r="C872" s="124"/>
      <c r="D872" s="124"/>
      <c r="E872" s="206" t="s">
        <v>47</v>
      </c>
      <c r="F872" s="124"/>
      <c r="G872" s="204"/>
      <c r="H872" s="204"/>
      <c r="I872" s="204">
        <f t="shared" si="18"/>
        <v>0</v>
      </c>
      <c r="J872" s="135"/>
      <c r="K872" s="135"/>
    </row>
    <row r="873" spans="1:11" x14ac:dyDescent="0.2">
      <c r="A873" s="180"/>
      <c r="B873" s="6"/>
      <c r="C873" s="124"/>
      <c r="D873" s="134"/>
      <c r="E873" s="207" t="s">
        <v>48</v>
      </c>
      <c r="F873" s="134"/>
      <c r="G873" s="204"/>
      <c r="H873" s="204"/>
      <c r="I873" s="204">
        <f t="shared" si="18"/>
        <v>0</v>
      </c>
      <c r="J873" s="135"/>
      <c r="K873" s="135"/>
    </row>
    <row r="874" spans="1:11" x14ac:dyDescent="0.2">
      <c r="A874" s="180"/>
      <c r="B874" s="6"/>
      <c r="C874" s="124"/>
      <c r="D874" s="124"/>
      <c r="E874" s="206" t="s">
        <v>49</v>
      </c>
      <c r="F874" s="124"/>
      <c r="G874" s="204">
        <v>0</v>
      </c>
      <c r="H874" s="204"/>
      <c r="I874" s="204">
        <f t="shared" si="18"/>
        <v>0</v>
      </c>
      <c r="J874" s="135"/>
      <c r="K874" s="135"/>
    </row>
    <row r="875" spans="1:11" x14ac:dyDescent="0.2">
      <c r="A875" s="180"/>
      <c r="B875" s="6"/>
      <c r="C875" s="124"/>
      <c r="D875" s="134"/>
      <c r="E875" s="207" t="s">
        <v>45</v>
      </c>
      <c r="F875" s="134"/>
      <c r="G875" s="204"/>
      <c r="H875" s="204"/>
      <c r="I875" s="204">
        <f t="shared" si="18"/>
        <v>0</v>
      </c>
      <c r="J875" s="135"/>
      <c r="K875" s="135"/>
    </row>
    <row r="876" spans="1:11" x14ac:dyDescent="0.2">
      <c r="A876" s="180"/>
      <c r="B876" s="134"/>
      <c r="C876" s="128"/>
      <c r="D876" s="124"/>
      <c r="E876" s="206" t="s">
        <v>50</v>
      </c>
      <c r="F876" s="124"/>
      <c r="G876" s="204"/>
      <c r="H876" s="204"/>
      <c r="I876" s="204">
        <f t="shared" si="18"/>
        <v>0</v>
      </c>
      <c r="J876" s="135"/>
      <c r="K876" s="135"/>
    </row>
    <row r="877" spans="1:11" x14ac:dyDescent="0.2">
      <c r="A877" s="180"/>
      <c r="B877" s="6"/>
      <c r="C877" s="124"/>
      <c r="D877" s="208"/>
      <c r="E877" s="127" t="s">
        <v>52</v>
      </c>
      <c r="F877" s="208"/>
      <c r="G877" s="205">
        <f>SUM(G871:G876)</f>
        <v>0</v>
      </c>
      <c r="H877" s="204"/>
      <c r="I877" s="205">
        <f>SUM(I871:I876)</f>
        <v>0</v>
      </c>
      <c r="J877" s="135"/>
      <c r="K877" s="135"/>
    </row>
    <row r="878" spans="1:11" x14ac:dyDescent="0.2">
      <c r="A878" s="180"/>
      <c r="B878" s="6"/>
      <c r="C878" s="124"/>
      <c r="D878" s="124"/>
      <c r="E878" s="124"/>
      <c r="F878" s="124"/>
      <c r="G878" s="204"/>
      <c r="H878" s="204"/>
      <c r="I878" s="204"/>
      <c r="J878" s="135"/>
      <c r="K878" s="135"/>
    </row>
    <row r="879" spans="1:11" ht="15" thickBot="1" x14ac:dyDescent="0.25">
      <c r="A879" s="180"/>
      <c r="B879" s="6"/>
      <c r="C879" s="710" t="s">
        <v>66</v>
      </c>
      <c r="D879" s="710"/>
      <c r="E879" s="710"/>
      <c r="F879" s="124"/>
      <c r="G879" s="209">
        <f>G877+G869</f>
        <v>0</v>
      </c>
      <c r="H879" s="204"/>
      <c r="I879" s="209">
        <f>I877+I869</f>
        <v>0</v>
      </c>
      <c r="J879" s="124"/>
      <c r="K879" s="135"/>
    </row>
    <row r="880" spans="1:11" ht="15" thickTop="1" x14ac:dyDescent="0.2">
      <c r="A880" s="180"/>
      <c r="B880" s="6"/>
      <c r="C880" s="124" t="s">
        <v>53</v>
      </c>
      <c r="D880" s="124"/>
      <c r="E880" s="124"/>
      <c r="F880" s="124"/>
      <c r="G880" s="204"/>
      <c r="H880" s="204"/>
      <c r="I880" s="204"/>
      <c r="J880" s="135"/>
      <c r="K880" s="135"/>
    </row>
    <row r="881" spans="1:13" x14ac:dyDescent="0.2">
      <c r="A881" s="180"/>
      <c r="B881" s="6"/>
      <c r="C881" s="151"/>
      <c r="D881" s="151" t="s">
        <v>574</v>
      </c>
      <c r="E881" s="134"/>
      <c r="F881" s="134"/>
      <c r="G881" s="204">
        <v>0</v>
      </c>
      <c r="H881" s="204"/>
      <c r="I881" s="204">
        <f>G881+I810</f>
        <v>0</v>
      </c>
      <c r="J881" s="135"/>
      <c r="K881" s="135"/>
      <c r="M881" s="431"/>
    </row>
    <row r="882" spans="1:13" x14ac:dyDescent="0.2">
      <c r="A882" s="180"/>
      <c r="B882" s="134"/>
      <c r="C882" s="128"/>
      <c r="D882" s="124" t="s">
        <v>590</v>
      </c>
      <c r="E882" s="124"/>
      <c r="F882" s="124"/>
      <c r="G882" s="204">
        <v>0</v>
      </c>
      <c r="H882" s="204"/>
      <c r="I882" s="204">
        <f>G882+I811</f>
        <v>0</v>
      </c>
      <c r="J882" s="135"/>
      <c r="K882" s="135"/>
    </row>
    <row r="883" spans="1:13" x14ac:dyDescent="0.2">
      <c r="A883" s="180"/>
      <c r="B883" s="6"/>
      <c r="C883" s="124"/>
      <c r="D883" s="151" t="s">
        <v>576</v>
      </c>
      <c r="E883" s="151"/>
      <c r="F883" s="151"/>
      <c r="G883" s="204">
        <v>0</v>
      </c>
      <c r="H883" s="204"/>
      <c r="I883" s="204">
        <f>G883+I812</f>
        <v>0</v>
      </c>
      <c r="J883" s="135"/>
      <c r="K883" s="135"/>
    </row>
    <row r="884" spans="1:13" ht="15" thickBot="1" x14ac:dyDescent="0.25">
      <c r="A884" s="180"/>
      <c r="B884" s="6"/>
      <c r="C884" s="694" t="s">
        <v>65</v>
      </c>
      <c r="D884" s="694"/>
      <c r="E884" s="694"/>
      <c r="F884" s="124"/>
      <c r="G884" s="209">
        <f>SUM(G881:G883)</f>
        <v>0</v>
      </c>
      <c r="H884" s="210"/>
      <c r="I884" s="209">
        <f>SUM(I881:I883)</f>
        <v>0</v>
      </c>
      <c r="J884" s="135"/>
      <c r="K884" s="135"/>
      <c r="M884" s="431"/>
    </row>
    <row r="885" spans="1:13" ht="15" thickTop="1" x14ac:dyDescent="0.2">
      <c r="A885" s="180"/>
      <c r="B885" s="6"/>
      <c r="C885" s="124"/>
      <c r="D885" s="124"/>
      <c r="E885" s="124"/>
      <c r="F885" s="124"/>
      <c r="G885" s="210"/>
      <c r="H885" s="210"/>
      <c r="I885" s="210"/>
      <c r="J885" s="135"/>
      <c r="K885" s="135"/>
      <c r="M885" s="592"/>
    </row>
    <row r="886" spans="1:13" x14ac:dyDescent="0.2">
      <c r="A886" s="180"/>
      <c r="B886" s="694" t="s">
        <v>55</v>
      </c>
      <c r="C886" s="694"/>
      <c r="D886" s="694"/>
      <c r="E886" s="694"/>
      <c r="F886" s="134"/>
      <c r="G886" s="211">
        <f>G884+G879</f>
        <v>0</v>
      </c>
      <c r="H886" s="204"/>
      <c r="I886" s="211">
        <f>I884+I879</f>
        <v>0</v>
      </c>
      <c r="J886" s="135"/>
      <c r="K886" s="135"/>
    </row>
    <row r="887" spans="1:13" x14ac:dyDescent="0.2">
      <c r="A887" s="180"/>
      <c r="B887" s="203" t="s">
        <v>56</v>
      </c>
      <c r="C887" s="124"/>
      <c r="D887" s="124"/>
      <c r="E887" s="124"/>
      <c r="F887" s="124"/>
      <c r="G887" s="204"/>
      <c r="H887" s="204"/>
      <c r="I887" s="204"/>
      <c r="J887" s="135"/>
      <c r="K887" s="135"/>
    </row>
    <row r="888" spans="1:13" x14ac:dyDescent="0.2">
      <c r="A888" s="180"/>
      <c r="B888" s="6"/>
      <c r="C888" s="124" t="s">
        <v>57</v>
      </c>
      <c r="D888" s="134"/>
      <c r="E888" s="134"/>
      <c r="F888" s="134"/>
      <c r="G888" s="204"/>
      <c r="H888" s="204"/>
      <c r="I888" s="204"/>
      <c r="J888" s="135"/>
      <c r="K888" s="135"/>
    </row>
    <row r="889" spans="1:13" x14ac:dyDescent="0.2">
      <c r="A889" s="180"/>
      <c r="B889" s="134"/>
      <c r="C889" s="128"/>
      <c r="D889" s="124" t="s">
        <v>58</v>
      </c>
      <c r="E889" s="124"/>
      <c r="F889" s="124"/>
      <c r="G889" s="212">
        <v>0</v>
      </c>
      <c r="H889" s="204"/>
      <c r="I889" s="204">
        <f>G889+I818</f>
        <v>0</v>
      </c>
      <c r="J889" s="135"/>
      <c r="K889" s="135"/>
      <c r="M889" s="592"/>
    </row>
    <row r="890" spans="1:13" x14ac:dyDescent="0.2">
      <c r="A890" s="180"/>
      <c r="B890" s="6"/>
      <c r="C890" s="124"/>
      <c r="D890" s="151" t="s">
        <v>59</v>
      </c>
      <c r="E890" s="151"/>
      <c r="F890" s="151"/>
      <c r="G890" s="593">
        <f>'RINCIAN B. LANGSUNG USAHA'!P37+'RINCIAN B. LANGSUNG USAHA'!P44+'RINCIAN B. LANGSUNG USAHA'!P50+'RINCIAN B. LANGSUNG USAHA'!P51+'RINCIAN B. LANGSUNG USAHA'!P52+'RINCIAN B. LANGSUNG USAHA'!P77+'RINCIAN B. LANGSUNG USAHA'!P83+'RINCIAN B. LANGSUNG USAHA'!P84+'RINCIAN B. LANGSUNG USAHA'!P85+'RINCIAN B. LANGSUNG USAHA'!P73+'RINCIAN B. TDK LANGSUNG'!P29+'RINCIAN B. TDK LANGSUNG'!P63</f>
        <v>0</v>
      </c>
      <c r="H890" s="204"/>
      <c r="I890" s="204">
        <f>G890+I819</f>
        <v>0</v>
      </c>
      <c r="J890" s="135"/>
      <c r="K890" s="135"/>
      <c r="M890" s="592"/>
    </row>
    <row r="891" spans="1:13" x14ac:dyDescent="0.2">
      <c r="A891" s="180"/>
      <c r="B891" s="6"/>
      <c r="C891" s="124"/>
      <c r="D891" s="124" t="s">
        <v>60</v>
      </c>
      <c r="E891" s="124"/>
      <c r="F891" s="124"/>
      <c r="G891" s="593">
        <v>0</v>
      </c>
      <c r="H891" s="204"/>
      <c r="I891" s="204">
        <f>G891+I820</f>
        <v>0</v>
      </c>
      <c r="J891" s="135"/>
      <c r="K891" s="135"/>
      <c r="L891" s="595"/>
    </row>
    <row r="892" spans="1:13" ht="15" thickBot="1" x14ac:dyDescent="0.25">
      <c r="A892" s="180"/>
      <c r="B892" s="6"/>
      <c r="C892" s="694" t="s">
        <v>63</v>
      </c>
      <c r="D892" s="694"/>
      <c r="E892" s="694"/>
      <c r="F892" s="124"/>
      <c r="G892" s="213">
        <f>SUM(G889:G891)</f>
        <v>0</v>
      </c>
      <c r="H892" s="204"/>
      <c r="I892" s="213">
        <f>SUM(I889:I891)</f>
        <v>0</v>
      </c>
      <c r="J892" s="135"/>
      <c r="K892" s="135"/>
    </row>
    <row r="893" spans="1:13" ht="15" thickTop="1" x14ac:dyDescent="0.2">
      <c r="A893" s="180"/>
      <c r="B893" s="6"/>
      <c r="C893" s="124" t="s">
        <v>61</v>
      </c>
      <c r="D893" s="124"/>
      <c r="E893" s="124"/>
      <c r="F893" s="124"/>
      <c r="G893" s="204"/>
      <c r="H893" s="204"/>
      <c r="I893" s="204"/>
      <c r="J893" s="135"/>
      <c r="K893" s="135"/>
    </row>
    <row r="894" spans="1:13" x14ac:dyDescent="0.2">
      <c r="A894" s="180"/>
      <c r="B894" s="6"/>
      <c r="C894" s="124"/>
      <c r="D894" s="124" t="s">
        <v>71</v>
      </c>
      <c r="E894" s="124"/>
      <c r="F894" s="124"/>
      <c r="G894" s="204"/>
      <c r="H894" s="204"/>
      <c r="I894" s="204">
        <f>G894+I823</f>
        <v>0</v>
      </c>
      <c r="J894" s="135"/>
      <c r="K894" s="135"/>
    </row>
    <row r="895" spans="1:13" x14ac:dyDescent="0.2">
      <c r="A895" s="180"/>
      <c r="B895" s="6"/>
      <c r="C895" s="124"/>
      <c r="D895" s="124" t="s">
        <v>294</v>
      </c>
      <c r="E895" s="124"/>
      <c r="F895" s="124"/>
      <c r="G895" s="204">
        <v>0</v>
      </c>
      <c r="H895" s="204"/>
      <c r="I895" s="204">
        <f>G895+I824</f>
        <v>0</v>
      </c>
      <c r="J895" s="135"/>
      <c r="K895" s="135"/>
    </row>
    <row r="896" spans="1:13" x14ac:dyDescent="0.2">
      <c r="A896" s="180"/>
      <c r="B896" s="6"/>
      <c r="C896" s="124"/>
      <c r="D896" s="124" t="s">
        <v>62</v>
      </c>
      <c r="E896" s="124"/>
      <c r="F896" s="124"/>
      <c r="G896" s="204">
        <v>0</v>
      </c>
      <c r="H896" s="204"/>
      <c r="I896" s="204">
        <f>G896+I825</f>
        <v>0</v>
      </c>
      <c r="J896" s="135"/>
      <c r="K896" s="135"/>
    </row>
    <row r="897" spans="1:12" ht="15" thickBot="1" x14ac:dyDescent="0.25">
      <c r="A897" s="180"/>
      <c r="B897" s="6"/>
      <c r="C897" s="694" t="s">
        <v>64</v>
      </c>
      <c r="D897" s="694"/>
      <c r="E897" s="694"/>
      <c r="F897" s="134"/>
      <c r="G897" s="214">
        <f>SUM(G894:G896)</f>
        <v>0</v>
      </c>
      <c r="H897" s="204"/>
      <c r="I897" s="215">
        <f>SUM(I894:I896)</f>
        <v>0</v>
      </c>
      <c r="J897" s="135"/>
      <c r="K897" s="135"/>
    </row>
    <row r="898" spans="1:12" ht="15" thickTop="1" x14ac:dyDescent="0.2">
      <c r="A898" s="180"/>
      <c r="B898" s="6"/>
      <c r="C898" s="124"/>
      <c r="D898" s="124"/>
      <c r="E898" s="124"/>
      <c r="F898" s="124"/>
      <c r="G898" s="204"/>
      <c r="H898" s="204"/>
      <c r="I898" s="204"/>
      <c r="J898" s="135"/>
      <c r="K898" s="135"/>
    </row>
    <row r="899" spans="1:12" x14ac:dyDescent="0.2">
      <c r="A899" s="180"/>
      <c r="B899" s="694" t="s">
        <v>67</v>
      </c>
      <c r="C899" s="694"/>
      <c r="D899" s="694"/>
      <c r="E899" s="694"/>
      <c r="F899" s="134"/>
      <c r="G899" s="211">
        <f>G892+G897</f>
        <v>0</v>
      </c>
      <c r="H899" s="204"/>
      <c r="I899" s="211">
        <f>I897+I892</f>
        <v>0</v>
      </c>
      <c r="J899" s="135"/>
      <c r="K899" s="135"/>
    </row>
    <row r="900" spans="1:12" x14ac:dyDescent="0.2">
      <c r="A900" s="180"/>
      <c r="B900" s="124" t="s">
        <v>68</v>
      </c>
      <c r="C900" s="124"/>
      <c r="D900" s="124"/>
      <c r="E900" s="124"/>
      <c r="F900" s="124"/>
      <c r="G900" s="204">
        <f>G886-G899</f>
        <v>0</v>
      </c>
      <c r="H900" s="204"/>
      <c r="I900" s="204">
        <f>I886-I899</f>
        <v>0</v>
      </c>
      <c r="J900" s="135"/>
      <c r="K900" s="135"/>
    </row>
    <row r="901" spans="1:12" ht="15" thickBot="1" x14ac:dyDescent="0.25">
      <c r="A901" s="180"/>
      <c r="B901" s="124" t="s">
        <v>69</v>
      </c>
      <c r="C901" s="130"/>
      <c r="D901" s="130"/>
      <c r="E901" s="127"/>
      <c r="F901" s="127"/>
      <c r="G901" s="216">
        <f>G831</f>
        <v>0</v>
      </c>
      <c r="H901" s="216"/>
      <c r="I901" s="216">
        <f>I830</f>
        <v>0</v>
      </c>
      <c r="J901" s="135"/>
      <c r="K901" s="135"/>
    </row>
    <row r="902" spans="1:12" ht="21" customHeight="1" thickBot="1" x14ac:dyDescent="0.25">
      <c r="A902" s="180"/>
      <c r="B902" s="768" t="s">
        <v>70</v>
      </c>
      <c r="C902" s="769"/>
      <c r="D902" s="769"/>
      <c r="E902" s="770"/>
      <c r="F902" s="142"/>
      <c r="G902" s="217">
        <f>G901+G900</f>
        <v>0</v>
      </c>
      <c r="H902" s="216"/>
      <c r="I902" s="217">
        <f>SUM(I900:I901)</f>
        <v>0</v>
      </c>
      <c r="J902" s="135"/>
      <c r="K902" s="135"/>
    </row>
    <row r="903" spans="1:12" x14ac:dyDescent="0.2">
      <c r="A903" s="198"/>
      <c r="B903" s="119"/>
      <c r="C903" s="119"/>
      <c r="D903" s="119"/>
      <c r="E903" s="119"/>
      <c r="F903" s="119"/>
      <c r="G903" s="218"/>
      <c r="H903" s="218"/>
      <c r="I903" s="218"/>
      <c r="J903" s="221"/>
      <c r="K903" s="221"/>
    </row>
    <row r="904" spans="1:12" x14ac:dyDescent="0.2">
      <c r="A904" s="124"/>
      <c r="B904" s="124"/>
      <c r="C904" s="124"/>
      <c r="D904" s="124"/>
      <c r="E904" s="124"/>
      <c r="F904" s="124"/>
      <c r="G904" s="204"/>
      <c r="H904" s="204"/>
      <c r="I904" s="204"/>
      <c r="J904" s="124"/>
      <c r="K904" s="124"/>
    </row>
    <row r="905" spans="1:12" x14ac:dyDescent="0.2">
      <c r="A905" s="124"/>
      <c r="B905" s="124"/>
      <c r="C905" s="124"/>
      <c r="D905" s="124"/>
      <c r="E905" s="124"/>
      <c r="F905" s="124"/>
      <c r="G905" s="219">
        <f>'Neraca '!H922</f>
        <v>0</v>
      </c>
      <c r="H905" s="219"/>
      <c r="I905" s="219">
        <f>I902-G905</f>
        <v>0</v>
      </c>
      <c r="J905" s="124"/>
      <c r="K905" s="124"/>
    </row>
    <row r="906" spans="1:12" x14ac:dyDescent="0.2">
      <c r="A906" s="697" t="s">
        <v>579</v>
      </c>
      <c r="B906" s="697"/>
      <c r="C906" s="697"/>
      <c r="D906" s="697"/>
      <c r="E906" s="697"/>
      <c r="F906" s="697" t="s">
        <v>566</v>
      </c>
      <c r="G906" s="697"/>
      <c r="H906" s="697"/>
      <c r="I906" s="697"/>
      <c r="J906" s="697"/>
      <c r="K906" s="697"/>
      <c r="L906" s="592">
        <f>G902-G905</f>
        <v>0</v>
      </c>
    </row>
    <row r="907" spans="1:12" x14ac:dyDescent="0.2">
      <c r="A907" s="697" t="s">
        <v>678</v>
      </c>
      <c r="B907" s="697"/>
      <c r="C907" s="697"/>
      <c r="D907" s="697"/>
      <c r="E907" s="697"/>
      <c r="F907" s="697" t="s">
        <v>681</v>
      </c>
      <c r="G907" s="697"/>
      <c r="H907" s="697"/>
      <c r="I907" s="697"/>
      <c r="J907" s="697"/>
      <c r="K907" s="697"/>
    </row>
    <row r="908" spans="1:12" x14ac:dyDescent="0.2">
      <c r="A908" s="697"/>
      <c r="B908" s="697"/>
      <c r="C908" s="697"/>
      <c r="D908" s="697"/>
      <c r="E908" s="697"/>
      <c r="F908" s="697"/>
      <c r="G908" s="697"/>
      <c r="H908" s="697"/>
      <c r="I908" s="697"/>
      <c r="J908" s="697"/>
      <c r="K908" s="697"/>
    </row>
    <row r="909" spans="1:12" x14ac:dyDescent="0.2">
      <c r="A909" s="697"/>
      <c r="B909" s="697"/>
      <c r="C909" s="697"/>
      <c r="D909" s="697"/>
      <c r="E909" s="697"/>
      <c r="F909" s="697"/>
      <c r="G909" s="697"/>
      <c r="H909" s="697"/>
      <c r="I909" s="697"/>
      <c r="J909" s="697"/>
      <c r="K909" s="697"/>
    </row>
    <row r="910" spans="1:12" x14ac:dyDescent="0.2">
      <c r="A910" s="697" t="s">
        <v>1038</v>
      </c>
      <c r="B910" s="697"/>
      <c r="C910" s="697"/>
      <c r="D910" s="697"/>
      <c r="E910" s="697"/>
      <c r="F910" s="697" t="s">
        <v>1039</v>
      </c>
      <c r="G910" s="697"/>
      <c r="H910" s="697"/>
      <c r="I910" s="697"/>
      <c r="J910" s="697"/>
      <c r="K910" s="697"/>
    </row>
    <row r="911" spans="1:12" x14ac:dyDescent="0.2">
      <c r="A911" s="697"/>
      <c r="B911" s="697"/>
      <c r="C911" s="697"/>
      <c r="D911" s="697"/>
      <c r="E911" s="697"/>
      <c r="F911" s="697"/>
      <c r="G911" s="697"/>
      <c r="H911" s="697"/>
      <c r="I911" s="697"/>
      <c r="J911" s="697"/>
      <c r="K911" s="697"/>
    </row>
  </sheetData>
  <mergeCells count="341">
    <mergeCell ref="A72:B72"/>
    <mergeCell ref="A271:K271"/>
    <mergeCell ref="A272:K272"/>
    <mergeCell ref="A273:K273"/>
    <mergeCell ref="A274:K274"/>
    <mergeCell ref="A275:K275"/>
    <mergeCell ref="A266:E266"/>
    <mergeCell ref="F266:K266"/>
    <mergeCell ref="A267:E267"/>
    <mergeCell ref="F267:K267"/>
    <mergeCell ref="A268:E268"/>
    <mergeCell ref="F268:K268"/>
    <mergeCell ref="A269:E269"/>
    <mergeCell ref="F269:K269"/>
    <mergeCell ref="A270:E270"/>
    <mergeCell ref="F270:K270"/>
    <mergeCell ref="A202:K202"/>
    <mergeCell ref="A203:K203"/>
    <mergeCell ref="A194:E194"/>
    <mergeCell ref="F194:K194"/>
    <mergeCell ref="A195:E195"/>
    <mergeCell ref="F195:K195"/>
    <mergeCell ref="A196:E196"/>
    <mergeCell ref="F196:K196"/>
    <mergeCell ref="A197:E197"/>
    <mergeCell ref="F197:K197"/>
    <mergeCell ref="A198:E198"/>
    <mergeCell ref="F198:K198"/>
    <mergeCell ref="M130:N130"/>
    <mergeCell ref="N201:O201"/>
    <mergeCell ref="A122:E122"/>
    <mergeCell ref="A123:E123"/>
    <mergeCell ref="A124:E124"/>
    <mergeCell ref="A125:E125"/>
    <mergeCell ref="A126:E126"/>
    <mergeCell ref="A127:E127"/>
    <mergeCell ref="F123:K123"/>
    <mergeCell ref="F124:K124"/>
    <mergeCell ref="F125:K125"/>
    <mergeCell ref="F126:K126"/>
    <mergeCell ref="F127:K127"/>
    <mergeCell ref="A128:K128"/>
    <mergeCell ref="B147:I147"/>
    <mergeCell ref="B191:E191"/>
    <mergeCell ref="A199:K199"/>
    <mergeCell ref="A200:K200"/>
    <mergeCell ref="A201:K201"/>
    <mergeCell ref="B334:E334"/>
    <mergeCell ref="C316:E316"/>
    <mergeCell ref="B318:E318"/>
    <mergeCell ref="C324:E324"/>
    <mergeCell ref="C329:E329"/>
    <mergeCell ref="B331:E331"/>
    <mergeCell ref="B289:I289"/>
    <mergeCell ref="B290:I290"/>
    <mergeCell ref="B291:I291"/>
    <mergeCell ref="B293:E294"/>
    <mergeCell ref="C311:E311"/>
    <mergeCell ref="B263:E263"/>
    <mergeCell ref="C245:E245"/>
    <mergeCell ref="B247:E247"/>
    <mergeCell ref="C253:E253"/>
    <mergeCell ref="C258:E258"/>
    <mergeCell ref="B260:E260"/>
    <mergeCell ref="B218:I218"/>
    <mergeCell ref="B219:I219"/>
    <mergeCell ref="B220:I220"/>
    <mergeCell ref="B222:E223"/>
    <mergeCell ref="C240:E240"/>
    <mergeCell ref="B74:I74"/>
    <mergeCell ref="B76:I76"/>
    <mergeCell ref="B77:I77"/>
    <mergeCell ref="B79:E80"/>
    <mergeCell ref="C97:E97"/>
    <mergeCell ref="C102:E102"/>
    <mergeCell ref="B104:E104"/>
    <mergeCell ref="C110:E110"/>
    <mergeCell ref="C115:E115"/>
    <mergeCell ref="B75:I75"/>
    <mergeCell ref="B117:E117"/>
    <mergeCell ref="B120:E120"/>
    <mergeCell ref="A129:K129"/>
    <mergeCell ref="A130:K130"/>
    <mergeCell ref="A131:K131"/>
    <mergeCell ref="A132:K132"/>
    <mergeCell ref="C181:E181"/>
    <mergeCell ref="C186:E186"/>
    <mergeCell ref="B188:E188"/>
    <mergeCell ref="B148:I148"/>
    <mergeCell ref="B149:I149"/>
    <mergeCell ref="B151:E152"/>
    <mergeCell ref="C168:E168"/>
    <mergeCell ref="C173:E173"/>
    <mergeCell ref="B175:E175"/>
    <mergeCell ref="B145:C145"/>
    <mergeCell ref="A342:K342"/>
    <mergeCell ref="A343:K343"/>
    <mergeCell ref="A344:K344"/>
    <mergeCell ref="A345:K345"/>
    <mergeCell ref="A346:K346"/>
    <mergeCell ref="A337:E337"/>
    <mergeCell ref="F337:K337"/>
    <mergeCell ref="A338:E338"/>
    <mergeCell ref="F338:K338"/>
    <mergeCell ref="A339:E339"/>
    <mergeCell ref="F339:K339"/>
    <mergeCell ref="A340:E340"/>
    <mergeCell ref="F340:K340"/>
    <mergeCell ref="A341:E341"/>
    <mergeCell ref="F341:K341"/>
    <mergeCell ref="B360:I360"/>
    <mergeCell ref="B361:I361"/>
    <mergeCell ref="B362:I362"/>
    <mergeCell ref="B364:E365"/>
    <mergeCell ref="C382:E382"/>
    <mergeCell ref="C387:E387"/>
    <mergeCell ref="B389:E389"/>
    <mergeCell ref="C395:E395"/>
    <mergeCell ref="C400:E400"/>
    <mergeCell ref="A412:E412"/>
    <mergeCell ref="F412:K412"/>
    <mergeCell ref="A413:K413"/>
    <mergeCell ref="A414:K414"/>
    <mergeCell ref="A415:K415"/>
    <mergeCell ref="A416:K416"/>
    <mergeCell ref="A417:K417"/>
    <mergeCell ref="B402:E402"/>
    <mergeCell ref="B405:E405"/>
    <mergeCell ref="A408:E408"/>
    <mergeCell ref="F408:K408"/>
    <mergeCell ref="A409:E409"/>
    <mergeCell ref="F409:K409"/>
    <mergeCell ref="A410:E410"/>
    <mergeCell ref="F410:K410"/>
    <mergeCell ref="A411:E411"/>
    <mergeCell ref="F411:K411"/>
    <mergeCell ref="B431:I431"/>
    <mergeCell ref="B432:I432"/>
    <mergeCell ref="B433:I433"/>
    <mergeCell ref="B435:E436"/>
    <mergeCell ref="C453:E453"/>
    <mergeCell ref="C458:E458"/>
    <mergeCell ref="B460:E460"/>
    <mergeCell ref="C466:E466"/>
    <mergeCell ref="C471:E471"/>
    <mergeCell ref="B473:E473"/>
    <mergeCell ref="B476:E476"/>
    <mergeCell ref="A479:E479"/>
    <mergeCell ref="F479:K479"/>
    <mergeCell ref="A480:E480"/>
    <mergeCell ref="F480:K480"/>
    <mergeCell ref="A481:E481"/>
    <mergeCell ref="F481:K481"/>
    <mergeCell ref="A482:E482"/>
    <mergeCell ref="F482:K482"/>
    <mergeCell ref="C527:E527"/>
    <mergeCell ref="B529:E529"/>
    <mergeCell ref="C535:E535"/>
    <mergeCell ref="C540:E540"/>
    <mergeCell ref="A483:E483"/>
    <mergeCell ref="F483:K483"/>
    <mergeCell ref="A484:K484"/>
    <mergeCell ref="A485:K485"/>
    <mergeCell ref="A486:K486"/>
    <mergeCell ref="A487:K487"/>
    <mergeCell ref="A488:K488"/>
    <mergeCell ref="A497:K497"/>
    <mergeCell ref="A553:E553"/>
    <mergeCell ref="F553:K553"/>
    <mergeCell ref="A554:K554"/>
    <mergeCell ref="A555:K555"/>
    <mergeCell ref="A556:K556"/>
    <mergeCell ref="A557:K557"/>
    <mergeCell ref="A558:K558"/>
    <mergeCell ref="B500:I500"/>
    <mergeCell ref="A498:K498"/>
    <mergeCell ref="B542:E542"/>
    <mergeCell ref="B545:E545"/>
    <mergeCell ref="A549:E549"/>
    <mergeCell ref="F549:K549"/>
    <mergeCell ref="A550:E550"/>
    <mergeCell ref="F550:K550"/>
    <mergeCell ref="A551:E551"/>
    <mergeCell ref="F551:K551"/>
    <mergeCell ref="A552:E552"/>
    <mergeCell ref="F552:K552"/>
    <mergeCell ref="B499:I499"/>
    <mergeCell ref="B501:I501"/>
    <mergeCell ref="B502:I502"/>
    <mergeCell ref="B504:E505"/>
    <mergeCell ref="C522:E522"/>
    <mergeCell ref="A568:K568"/>
    <mergeCell ref="A569:K569"/>
    <mergeCell ref="B570:I570"/>
    <mergeCell ref="B571:I571"/>
    <mergeCell ref="B572:I572"/>
    <mergeCell ref="B573:I573"/>
    <mergeCell ref="B575:E576"/>
    <mergeCell ref="C593:E593"/>
    <mergeCell ref="C598:E598"/>
    <mergeCell ref="A622:E622"/>
    <mergeCell ref="F622:K622"/>
    <mergeCell ref="A623:E623"/>
    <mergeCell ref="F623:K623"/>
    <mergeCell ref="A624:E624"/>
    <mergeCell ref="F624:K624"/>
    <mergeCell ref="A625:K625"/>
    <mergeCell ref="B600:E600"/>
    <mergeCell ref="C606:E606"/>
    <mergeCell ref="C611:E611"/>
    <mergeCell ref="B613:E613"/>
    <mergeCell ref="B616:E616"/>
    <mergeCell ref="A620:E620"/>
    <mergeCell ref="F620:K620"/>
    <mergeCell ref="A621:E621"/>
    <mergeCell ref="F621:K621"/>
    <mergeCell ref="A640:K640"/>
    <mergeCell ref="A641:K641"/>
    <mergeCell ref="B642:I642"/>
    <mergeCell ref="B643:I643"/>
    <mergeCell ref="B644:I644"/>
    <mergeCell ref="B645:I645"/>
    <mergeCell ref="B647:E648"/>
    <mergeCell ref="C665:E665"/>
    <mergeCell ref="C670:E670"/>
    <mergeCell ref="A694:E694"/>
    <mergeCell ref="F694:K694"/>
    <mergeCell ref="A695:E695"/>
    <mergeCell ref="F695:K695"/>
    <mergeCell ref="A696:E696"/>
    <mergeCell ref="F696:K696"/>
    <mergeCell ref="A697:K697"/>
    <mergeCell ref="B672:E672"/>
    <mergeCell ref="C678:E678"/>
    <mergeCell ref="C683:E683"/>
    <mergeCell ref="B685:E685"/>
    <mergeCell ref="B688:E688"/>
    <mergeCell ref="A692:E692"/>
    <mergeCell ref="F692:K692"/>
    <mergeCell ref="A693:E693"/>
    <mergeCell ref="F693:K693"/>
    <mergeCell ref="A711:K711"/>
    <mergeCell ref="A712:K712"/>
    <mergeCell ref="B713:I713"/>
    <mergeCell ref="B714:I714"/>
    <mergeCell ref="B715:I715"/>
    <mergeCell ref="B716:I716"/>
    <mergeCell ref="B718:E719"/>
    <mergeCell ref="C737:E737"/>
    <mergeCell ref="C742:E742"/>
    <mergeCell ref="A766:E766"/>
    <mergeCell ref="F766:K766"/>
    <mergeCell ref="A767:E767"/>
    <mergeCell ref="F767:K767"/>
    <mergeCell ref="A768:E768"/>
    <mergeCell ref="F768:K768"/>
    <mergeCell ref="A769:K769"/>
    <mergeCell ref="B744:E744"/>
    <mergeCell ref="C750:E750"/>
    <mergeCell ref="C755:E755"/>
    <mergeCell ref="B757:E757"/>
    <mergeCell ref="B760:E760"/>
    <mergeCell ref="A764:E764"/>
    <mergeCell ref="F764:K764"/>
    <mergeCell ref="A765:E765"/>
    <mergeCell ref="F765:K765"/>
    <mergeCell ref="A782:K782"/>
    <mergeCell ref="A783:K783"/>
    <mergeCell ref="B784:I784"/>
    <mergeCell ref="B785:I785"/>
    <mergeCell ref="B786:I786"/>
    <mergeCell ref="B787:I787"/>
    <mergeCell ref="B789:E790"/>
    <mergeCell ref="C808:E808"/>
    <mergeCell ref="C813:E813"/>
    <mergeCell ref="A837:E837"/>
    <mergeCell ref="F837:K837"/>
    <mergeCell ref="A838:E838"/>
    <mergeCell ref="F838:K838"/>
    <mergeCell ref="A839:E839"/>
    <mergeCell ref="F839:K839"/>
    <mergeCell ref="A840:K840"/>
    <mergeCell ref="B815:E815"/>
    <mergeCell ref="C821:E821"/>
    <mergeCell ref="C826:E826"/>
    <mergeCell ref="B828:E828"/>
    <mergeCell ref="B831:E831"/>
    <mergeCell ref="A835:E835"/>
    <mergeCell ref="F835:K835"/>
    <mergeCell ref="A836:E836"/>
    <mergeCell ref="F836:K836"/>
    <mergeCell ref="A853:K853"/>
    <mergeCell ref="A854:K854"/>
    <mergeCell ref="B855:I855"/>
    <mergeCell ref="B856:I856"/>
    <mergeCell ref="B857:I857"/>
    <mergeCell ref="B858:I858"/>
    <mergeCell ref="B860:E861"/>
    <mergeCell ref="C879:E879"/>
    <mergeCell ref="C884:E884"/>
    <mergeCell ref="A908:E908"/>
    <mergeCell ref="F908:K908"/>
    <mergeCell ref="A909:E909"/>
    <mergeCell ref="F909:K909"/>
    <mergeCell ref="A910:E910"/>
    <mergeCell ref="F910:K910"/>
    <mergeCell ref="A911:K911"/>
    <mergeCell ref="B886:E886"/>
    <mergeCell ref="C892:E892"/>
    <mergeCell ref="C897:E897"/>
    <mergeCell ref="B899:E899"/>
    <mergeCell ref="B902:E902"/>
    <mergeCell ref="A906:E906"/>
    <mergeCell ref="F906:K906"/>
    <mergeCell ref="A907:E907"/>
    <mergeCell ref="F907:K907"/>
    <mergeCell ref="A1:B1"/>
    <mergeCell ref="B3:I3"/>
    <mergeCell ref="B4:I4"/>
    <mergeCell ref="B5:I5"/>
    <mergeCell ref="B6:I6"/>
    <mergeCell ref="B8:E9"/>
    <mergeCell ref="C26:E26"/>
    <mergeCell ref="C31:E31"/>
    <mergeCell ref="B33:E33"/>
    <mergeCell ref="A54:E54"/>
    <mergeCell ref="F54:K54"/>
    <mergeCell ref="A55:E55"/>
    <mergeCell ref="F55:K55"/>
    <mergeCell ref="A56:E56"/>
    <mergeCell ref="F56:K56"/>
    <mergeCell ref="A57:K57"/>
    <mergeCell ref="C39:E39"/>
    <mergeCell ref="C44:E44"/>
    <mergeCell ref="B46:E46"/>
    <mergeCell ref="B49:E49"/>
    <mergeCell ref="A51:E51"/>
    <mergeCell ref="A52:E52"/>
    <mergeCell ref="F52:K52"/>
    <mergeCell ref="A53:E53"/>
    <mergeCell ref="F53:K53"/>
  </mergeCells>
  <pageMargins left="1.1811023622047245" right="0.43307086614173229" top="0.43307086614173229" bottom="0.51181102362204722" header="0.31496062992125984" footer="0.31496062992125984"/>
  <pageSetup paperSize="5" scale="95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98"/>
  <sheetViews>
    <sheetView view="pageLayout" topLeftCell="A70" workbookViewId="0">
      <selection activeCell="H86" sqref="H86"/>
    </sheetView>
  </sheetViews>
  <sheetFormatPr defaultColWidth="9.140625" defaultRowHeight="12" x14ac:dyDescent="0.2"/>
  <cols>
    <col min="1" max="1" width="4.7109375" style="7" customWidth="1"/>
    <col min="2" max="2" width="32.28515625" style="7" customWidth="1"/>
    <col min="3" max="4" width="16.5703125" style="7" customWidth="1"/>
    <col min="5" max="5" width="17.7109375" style="7" bestFit="1" customWidth="1"/>
    <col min="6" max="6" width="16.5703125" style="7" customWidth="1"/>
    <col min="7" max="7" width="21.7109375" style="7" customWidth="1"/>
    <col min="8" max="9" width="9.140625" style="7"/>
    <col min="10" max="10" width="11.28515625" style="7" bestFit="1" customWidth="1"/>
    <col min="11" max="16384" width="9.140625" style="7"/>
  </cols>
  <sheetData>
    <row r="1" spans="2:8" ht="15" x14ac:dyDescent="0.25">
      <c r="B1" s="112" t="s">
        <v>1082</v>
      </c>
      <c r="C1"/>
      <c r="D1"/>
      <c r="E1"/>
      <c r="F1"/>
      <c r="G1"/>
    </row>
    <row r="2" spans="2:8" ht="15" x14ac:dyDescent="0.25">
      <c r="B2"/>
      <c r="C2"/>
      <c r="D2"/>
      <c r="E2"/>
      <c r="F2"/>
      <c r="G2"/>
    </row>
    <row r="3" spans="2:8" ht="15" x14ac:dyDescent="0.25">
      <c r="B3" s="696" t="s">
        <v>650</v>
      </c>
      <c r="C3" s="696"/>
      <c r="D3" s="696"/>
      <c r="E3" s="696"/>
      <c r="F3" s="696"/>
      <c r="G3" s="696"/>
    </row>
    <row r="4" spans="2:8" ht="15" x14ac:dyDescent="0.25">
      <c r="B4" s="696" t="s">
        <v>265</v>
      </c>
      <c r="C4" s="696"/>
      <c r="D4" s="696"/>
      <c r="E4" s="696"/>
      <c r="F4" s="696"/>
      <c r="G4" s="696"/>
    </row>
    <row r="5" spans="2:8" ht="15" x14ac:dyDescent="0.25">
      <c r="B5" s="696" t="s">
        <v>1077</v>
      </c>
      <c r="C5" s="696"/>
      <c r="D5" s="696"/>
      <c r="E5" s="696"/>
      <c r="F5" s="696"/>
      <c r="G5" s="696"/>
    </row>
    <row r="6" spans="2:8" ht="20.25" customHeight="1" x14ac:dyDescent="0.2">
      <c r="B6" s="124"/>
      <c r="C6" s="124"/>
      <c r="D6" s="124"/>
      <c r="E6" s="124"/>
      <c r="F6" s="124"/>
      <c r="G6" s="124"/>
    </row>
    <row r="7" spans="2:8" ht="18" customHeight="1" x14ac:dyDescent="0.2">
      <c r="B7" s="784" t="s">
        <v>15</v>
      </c>
      <c r="C7" s="784" t="s">
        <v>11</v>
      </c>
      <c r="D7" s="787" t="s">
        <v>295</v>
      </c>
      <c r="E7" s="222" t="s">
        <v>296</v>
      </c>
      <c r="F7" s="222" t="s">
        <v>268</v>
      </c>
      <c r="G7" s="787" t="s">
        <v>298</v>
      </c>
    </row>
    <row r="8" spans="2:8" ht="23.25" customHeight="1" x14ac:dyDescent="0.2">
      <c r="B8" s="785"/>
      <c r="C8" s="786"/>
      <c r="D8" s="788"/>
      <c r="E8" s="223" t="s">
        <v>297</v>
      </c>
      <c r="F8" s="223" t="s">
        <v>269</v>
      </c>
      <c r="G8" s="788"/>
    </row>
    <row r="9" spans="2:8" x14ac:dyDescent="0.2">
      <c r="B9" s="224"/>
      <c r="C9" s="224"/>
      <c r="D9" s="224"/>
      <c r="E9" s="224"/>
      <c r="F9" s="224"/>
      <c r="G9" s="224"/>
    </row>
    <row r="10" spans="2:8" x14ac:dyDescent="0.2">
      <c r="B10" s="225" t="s">
        <v>1046</v>
      </c>
      <c r="C10" s="226">
        <f>'Neraca '!J49</f>
        <v>0</v>
      </c>
      <c r="D10" s="226">
        <f>'Neraca '!J48</f>
        <v>0</v>
      </c>
      <c r="E10" s="226">
        <f>'Neraca '!J50</f>
        <v>0</v>
      </c>
      <c r="F10" s="226">
        <f>'Neraca '!J51</f>
        <v>0</v>
      </c>
      <c r="G10" s="226">
        <f>SUM(+C10+D10+E10+F10)</f>
        <v>0</v>
      </c>
      <c r="H10" s="97"/>
    </row>
    <row r="11" spans="2:8" x14ac:dyDescent="0.2">
      <c r="B11" s="225"/>
      <c r="C11" s="227"/>
      <c r="D11" s="227"/>
      <c r="E11" s="227"/>
      <c r="F11" s="227"/>
      <c r="G11" s="227"/>
      <c r="H11" s="97"/>
    </row>
    <row r="12" spans="2:8" x14ac:dyDescent="0.2">
      <c r="B12" s="228" t="s">
        <v>270</v>
      </c>
      <c r="C12" s="227">
        <v>0</v>
      </c>
      <c r="D12" s="227">
        <v>0</v>
      </c>
      <c r="E12" s="227">
        <v>0</v>
      </c>
      <c r="F12" s="227">
        <v>0</v>
      </c>
      <c r="G12" s="227">
        <f>SUM(+C12+D12+E12+F12)</f>
        <v>0</v>
      </c>
      <c r="H12" s="97"/>
    </row>
    <row r="13" spans="2:8" x14ac:dyDescent="0.2">
      <c r="B13" s="228"/>
      <c r="C13" s="227"/>
      <c r="D13" s="227"/>
      <c r="E13" s="227"/>
      <c r="F13" s="227"/>
      <c r="G13" s="227"/>
      <c r="H13" s="97"/>
    </row>
    <row r="14" spans="2:8" x14ac:dyDescent="0.2">
      <c r="B14" s="228" t="s">
        <v>271</v>
      </c>
      <c r="C14" s="227">
        <v>0</v>
      </c>
      <c r="D14" s="227">
        <v>0</v>
      </c>
      <c r="E14" s="227">
        <f>F10</f>
        <v>0</v>
      </c>
      <c r="F14" s="227">
        <f>-F10</f>
        <v>0</v>
      </c>
      <c r="G14" s="227">
        <f>SUM(+C14+D14+E14+F14)</f>
        <v>0</v>
      </c>
      <c r="H14" s="97"/>
    </row>
    <row r="15" spans="2:8" x14ac:dyDescent="0.2">
      <c r="B15" s="228"/>
      <c r="C15" s="227"/>
      <c r="D15" s="227"/>
      <c r="E15" s="227"/>
      <c r="F15" s="227"/>
      <c r="G15" s="227"/>
      <c r="H15" s="97"/>
    </row>
    <row r="16" spans="2:8" x14ac:dyDescent="0.2">
      <c r="B16" s="228" t="s">
        <v>272</v>
      </c>
      <c r="C16" s="227">
        <v>0</v>
      </c>
      <c r="D16" s="227">
        <v>0</v>
      </c>
      <c r="E16" s="200"/>
      <c r="F16" s="227">
        <f>'Laba-ETAP '!F168</f>
        <v>0</v>
      </c>
      <c r="G16" s="227">
        <f>SUM(+C16+D16+E16+F16)</f>
        <v>0</v>
      </c>
      <c r="H16" s="97"/>
    </row>
    <row r="17" spans="2:8" x14ac:dyDescent="0.2">
      <c r="B17" s="228"/>
      <c r="C17" s="229"/>
      <c r="D17" s="229"/>
      <c r="E17" s="229"/>
      <c r="F17" s="229"/>
      <c r="G17" s="229"/>
      <c r="H17" s="97"/>
    </row>
    <row r="18" spans="2:8" ht="27.75" customHeight="1" x14ac:dyDescent="0.2">
      <c r="B18" s="230" t="s">
        <v>1079</v>
      </c>
      <c r="C18" s="231">
        <f>SUM(C10:C17)</f>
        <v>0</v>
      </c>
      <c r="D18" s="231">
        <f>SUM(D10:D17)</f>
        <v>0</v>
      </c>
      <c r="E18" s="231">
        <f>SUM(E10:E17)</f>
        <v>0</v>
      </c>
      <c r="F18" s="231">
        <f>SUM(F10:F17)</f>
        <v>0</v>
      </c>
      <c r="G18" s="231">
        <f>SUM(G10:G17)</f>
        <v>0</v>
      </c>
    </row>
    <row r="19" spans="2:8" ht="28.5" customHeight="1" x14ac:dyDescent="0.2">
      <c r="B19" s="124"/>
      <c r="C19" s="124"/>
      <c r="D19" s="124"/>
      <c r="E19" s="200"/>
      <c r="F19" s="124"/>
      <c r="G19" s="656">
        <f>'Neraca '!H960</f>
        <v>0</v>
      </c>
    </row>
    <row r="20" spans="2:8" x14ac:dyDescent="0.2">
      <c r="B20" s="697" t="s">
        <v>579</v>
      </c>
      <c r="C20" s="697"/>
      <c r="D20" s="697"/>
      <c r="E20" s="697"/>
      <c r="F20" s="697" t="s">
        <v>1062</v>
      </c>
      <c r="G20" s="697"/>
    </row>
    <row r="21" spans="2:8" x14ac:dyDescent="0.2">
      <c r="B21" s="697" t="s">
        <v>678</v>
      </c>
      <c r="C21" s="697"/>
      <c r="D21" s="697"/>
      <c r="E21" s="697"/>
      <c r="F21" s="697" t="s">
        <v>680</v>
      </c>
      <c r="G21" s="697"/>
    </row>
    <row r="22" spans="2:8" ht="21" customHeight="1" x14ac:dyDescent="0.2">
      <c r="B22" s="697"/>
      <c r="C22" s="697"/>
      <c r="D22" s="697"/>
      <c r="E22" s="697"/>
      <c r="F22" s="697"/>
      <c r="G22" s="697"/>
    </row>
    <row r="23" spans="2:8" x14ac:dyDescent="0.2">
      <c r="B23" s="697"/>
      <c r="C23" s="697"/>
      <c r="D23" s="763"/>
      <c r="E23" s="697"/>
      <c r="F23" s="697"/>
      <c r="G23" s="697"/>
    </row>
    <row r="24" spans="2:8" x14ac:dyDescent="0.2">
      <c r="B24" s="697" t="s">
        <v>1038</v>
      </c>
      <c r="C24" s="697"/>
      <c r="F24" s="697" t="s">
        <v>1039</v>
      </c>
      <c r="G24" s="697"/>
    </row>
    <row r="25" spans="2:8" x14ac:dyDescent="0.2">
      <c r="B25" s="697"/>
      <c r="C25" s="697"/>
      <c r="D25" s="697"/>
      <c r="E25" s="697"/>
      <c r="F25" s="124"/>
      <c r="G25" s="124"/>
    </row>
    <row r="27" spans="2:8" x14ac:dyDescent="0.2">
      <c r="G27" s="657">
        <f>G18-G19</f>
        <v>0</v>
      </c>
    </row>
    <row r="31" spans="2:8" ht="15" x14ac:dyDescent="0.25">
      <c r="B31" s="112" t="s">
        <v>1082</v>
      </c>
      <c r="C31"/>
      <c r="D31"/>
      <c r="E31"/>
      <c r="F31"/>
      <c r="G31"/>
    </row>
    <row r="32" spans="2:8" ht="15" x14ac:dyDescent="0.25">
      <c r="B32"/>
      <c r="C32"/>
      <c r="D32"/>
      <c r="E32"/>
      <c r="F32"/>
      <c r="G32"/>
    </row>
    <row r="33" spans="2:7" ht="15" x14ac:dyDescent="0.25">
      <c r="B33" s="696" t="s">
        <v>650</v>
      </c>
      <c r="C33" s="696"/>
      <c r="D33" s="696"/>
      <c r="E33" s="696"/>
      <c r="F33" s="696"/>
      <c r="G33" s="696"/>
    </row>
    <row r="34" spans="2:7" ht="15" x14ac:dyDescent="0.25">
      <c r="B34" s="696" t="s">
        <v>265</v>
      </c>
      <c r="C34" s="696"/>
      <c r="D34" s="696"/>
      <c r="E34" s="696"/>
      <c r="F34" s="696"/>
      <c r="G34" s="696"/>
    </row>
    <row r="35" spans="2:7" ht="15" x14ac:dyDescent="0.25">
      <c r="B35" s="696" t="s">
        <v>1072</v>
      </c>
      <c r="C35" s="696"/>
      <c r="D35" s="696"/>
      <c r="E35" s="696"/>
      <c r="F35" s="696"/>
      <c r="G35" s="696"/>
    </row>
    <row r="36" spans="2:7" ht="20.100000000000001" customHeight="1" x14ac:dyDescent="0.2">
      <c r="B36" s="124"/>
      <c r="C36" s="124"/>
      <c r="D36" s="124"/>
      <c r="E36" s="124"/>
      <c r="F36" s="124"/>
      <c r="G36" s="124"/>
    </row>
    <row r="37" spans="2:7" ht="18" customHeight="1" x14ac:dyDescent="0.2">
      <c r="B37" s="784" t="s">
        <v>15</v>
      </c>
      <c r="C37" s="784" t="s">
        <v>11</v>
      </c>
      <c r="D37" s="787" t="s">
        <v>295</v>
      </c>
      <c r="E37" s="222" t="s">
        <v>296</v>
      </c>
      <c r="F37" s="222" t="s">
        <v>268</v>
      </c>
      <c r="G37" s="787" t="s">
        <v>298</v>
      </c>
    </row>
    <row r="38" spans="2:7" ht="25.35" customHeight="1" x14ac:dyDescent="0.2">
      <c r="B38" s="785"/>
      <c r="C38" s="786"/>
      <c r="D38" s="788"/>
      <c r="E38" s="223" t="s">
        <v>297</v>
      </c>
      <c r="F38" s="223" t="s">
        <v>269</v>
      </c>
      <c r="G38" s="788"/>
    </row>
    <row r="39" spans="2:7" x14ac:dyDescent="0.2">
      <c r="B39" s="224"/>
      <c r="C39" s="224"/>
      <c r="D39" s="224"/>
      <c r="E39" s="224"/>
      <c r="F39" s="224"/>
      <c r="G39" s="224"/>
    </row>
    <row r="40" spans="2:7" x14ac:dyDescent="0.2">
      <c r="B40" s="225" t="s">
        <v>1046</v>
      </c>
      <c r="C40" s="226">
        <f>'Neraca '!J49</f>
        <v>0</v>
      </c>
      <c r="D40" s="226">
        <f>'Neraca '!J48</f>
        <v>0</v>
      </c>
      <c r="E40" s="226">
        <f>'Neraca '!J50</f>
        <v>0</v>
      </c>
      <c r="F40" s="226">
        <f>'Neraca '!J51</f>
        <v>0</v>
      </c>
      <c r="G40" s="226">
        <f>SUM(+C40+D40+E40+F40)</f>
        <v>0</v>
      </c>
    </row>
    <row r="41" spans="2:7" x14ac:dyDescent="0.2">
      <c r="B41" s="225"/>
      <c r="C41" s="227"/>
      <c r="D41" s="227"/>
      <c r="E41" s="227"/>
      <c r="F41" s="227"/>
      <c r="G41" s="227"/>
    </row>
    <row r="42" spans="2:7" x14ac:dyDescent="0.2">
      <c r="B42" s="228" t="s">
        <v>270</v>
      </c>
      <c r="C42" s="227">
        <v>0</v>
      </c>
      <c r="D42" s="227">
        <v>0</v>
      </c>
      <c r="E42" s="227">
        <v>0</v>
      </c>
      <c r="F42" s="227">
        <v>0</v>
      </c>
      <c r="G42" s="227">
        <f>SUM(+C42+D42+E42+F42)</f>
        <v>0</v>
      </c>
    </row>
    <row r="43" spans="2:7" x14ac:dyDescent="0.2">
      <c r="B43" s="228"/>
      <c r="C43" s="227"/>
      <c r="D43" s="227"/>
      <c r="E43" s="227"/>
      <c r="F43" s="227"/>
      <c r="G43" s="227"/>
    </row>
    <row r="44" spans="2:7" x14ac:dyDescent="0.2">
      <c r="B44" s="228" t="s">
        <v>271</v>
      </c>
      <c r="C44" s="227">
        <v>0</v>
      </c>
      <c r="D44" s="227">
        <v>0</v>
      </c>
      <c r="E44" s="227">
        <f>F40</f>
        <v>0</v>
      </c>
      <c r="F44" s="227">
        <f>-F40</f>
        <v>0</v>
      </c>
      <c r="G44" s="227">
        <f>SUM(+C44+D44+E44+F44)</f>
        <v>0</v>
      </c>
    </row>
    <row r="45" spans="2:7" x14ac:dyDescent="0.2">
      <c r="B45" s="228"/>
      <c r="C45" s="227"/>
      <c r="D45" s="227"/>
      <c r="E45" s="227"/>
      <c r="F45" s="227"/>
      <c r="G45" s="227"/>
    </row>
    <row r="46" spans="2:7" x14ac:dyDescent="0.2">
      <c r="B46" s="228" t="s">
        <v>272</v>
      </c>
      <c r="C46" s="227">
        <v>0</v>
      </c>
      <c r="D46" s="227">
        <v>0</v>
      </c>
      <c r="E46" s="200"/>
      <c r="F46" s="227"/>
      <c r="G46" s="227">
        <f>SUM(+C46+D46+E46+F46)</f>
        <v>0</v>
      </c>
    </row>
    <row r="47" spans="2:7" x14ac:dyDescent="0.2">
      <c r="B47" s="228"/>
      <c r="C47" s="229"/>
      <c r="D47" s="229"/>
      <c r="E47" s="229"/>
      <c r="F47" s="229"/>
      <c r="G47" s="229"/>
    </row>
    <row r="48" spans="2:7" ht="27.95" customHeight="1" x14ac:dyDescent="0.2">
      <c r="B48" s="230" t="s">
        <v>1081</v>
      </c>
      <c r="C48" s="231">
        <f>SUM(C40:C47)</f>
        <v>0</v>
      </c>
      <c r="D48" s="231">
        <f>SUM(D40:D47)</f>
        <v>0</v>
      </c>
      <c r="E48" s="231">
        <f>SUM(E40:E47)</f>
        <v>0</v>
      </c>
      <c r="F48" s="231">
        <f>SUM(F40:F47)</f>
        <v>0</v>
      </c>
      <c r="G48" s="231">
        <f>SUM(G40:G47)</f>
        <v>0</v>
      </c>
    </row>
    <row r="49" spans="2:10" ht="28.7" customHeight="1" x14ac:dyDescent="0.2">
      <c r="B49" s="124"/>
      <c r="C49" s="124"/>
      <c r="D49" s="124"/>
      <c r="E49" s="200"/>
      <c r="F49" s="124"/>
      <c r="G49" s="656">
        <f>'Neraca '!H995</f>
        <v>0</v>
      </c>
    </row>
    <row r="50" spans="2:10" x14ac:dyDescent="0.2">
      <c r="B50" s="697" t="s">
        <v>579</v>
      </c>
      <c r="C50" s="697"/>
      <c r="D50" s="697"/>
      <c r="E50" s="697"/>
      <c r="F50" s="697" t="s">
        <v>1062</v>
      </c>
      <c r="G50" s="697"/>
      <c r="J50" s="111">
        <f>'Neraca '!H132</f>
        <v>0</v>
      </c>
    </row>
    <row r="51" spans="2:10" x14ac:dyDescent="0.2">
      <c r="B51" s="697" t="s">
        <v>678</v>
      </c>
      <c r="C51" s="697"/>
      <c r="D51" s="697"/>
      <c r="E51" s="697"/>
      <c r="F51" s="697" t="s">
        <v>680</v>
      </c>
      <c r="G51" s="697"/>
    </row>
    <row r="52" spans="2:10" ht="20.85" customHeight="1" x14ac:dyDescent="0.2">
      <c r="B52" s="697"/>
      <c r="C52" s="697"/>
      <c r="D52" s="697"/>
      <c r="E52" s="697"/>
      <c r="F52" s="697"/>
      <c r="G52" s="697"/>
    </row>
    <row r="53" spans="2:10" x14ac:dyDescent="0.2">
      <c r="B53" s="697"/>
      <c r="C53" s="697"/>
      <c r="D53" s="763"/>
      <c r="E53" s="697"/>
      <c r="F53" s="697"/>
      <c r="G53" s="697"/>
    </row>
    <row r="54" spans="2:10" x14ac:dyDescent="0.2">
      <c r="B54" s="697" t="s">
        <v>1038</v>
      </c>
      <c r="C54" s="697"/>
      <c r="F54" s="697" t="s">
        <v>1039</v>
      </c>
      <c r="G54" s="697"/>
    </row>
    <row r="55" spans="2:10" x14ac:dyDescent="0.2">
      <c r="B55" s="697"/>
      <c r="C55" s="697"/>
      <c r="D55" s="697"/>
      <c r="E55" s="697"/>
      <c r="F55" s="124"/>
      <c r="G55" s="124"/>
    </row>
    <row r="57" spans="2:10" x14ac:dyDescent="0.2">
      <c r="G57" s="657">
        <f>G48-G49</f>
        <v>0</v>
      </c>
    </row>
    <row r="72" spans="2:7" ht="15" x14ac:dyDescent="0.25">
      <c r="B72" s="112" t="s">
        <v>1082</v>
      </c>
      <c r="C72"/>
      <c r="D72"/>
      <c r="E72"/>
      <c r="F72"/>
      <c r="G72"/>
    </row>
    <row r="73" spans="2:7" ht="15" x14ac:dyDescent="0.25">
      <c r="B73"/>
      <c r="C73"/>
      <c r="D73"/>
      <c r="E73"/>
      <c r="F73"/>
      <c r="G73"/>
    </row>
    <row r="74" spans="2:7" ht="15" x14ac:dyDescent="0.25">
      <c r="B74" s="696" t="s">
        <v>650</v>
      </c>
      <c r="C74" s="696"/>
      <c r="D74" s="696"/>
      <c r="E74" s="696"/>
      <c r="F74" s="696"/>
      <c r="G74" s="696"/>
    </row>
    <row r="75" spans="2:7" ht="15" x14ac:dyDescent="0.25">
      <c r="B75" s="696" t="s">
        <v>265</v>
      </c>
      <c r="C75" s="696"/>
      <c r="D75" s="696"/>
      <c r="E75" s="696"/>
      <c r="F75" s="696"/>
      <c r="G75" s="696"/>
    </row>
    <row r="76" spans="2:7" ht="15" x14ac:dyDescent="0.25">
      <c r="B76" s="696" t="s">
        <v>1073</v>
      </c>
      <c r="C76" s="696"/>
      <c r="D76" s="696"/>
      <c r="E76" s="696"/>
      <c r="F76" s="696"/>
      <c r="G76" s="696"/>
    </row>
    <row r="77" spans="2:7" x14ac:dyDescent="0.2">
      <c r="B77" s="124"/>
      <c r="C77" s="124"/>
      <c r="D77" s="124"/>
      <c r="E77" s="124"/>
      <c r="F77" s="124"/>
      <c r="G77" s="124"/>
    </row>
    <row r="78" spans="2:7" x14ac:dyDescent="0.2">
      <c r="B78" s="784" t="s">
        <v>15</v>
      </c>
      <c r="C78" s="784" t="s">
        <v>11</v>
      </c>
      <c r="D78" s="787" t="s">
        <v>295</v>
      </c>
      <c r="E78" s="222" t="s">
        <v>296</v>
      </c>
      <c r="F78" s="222" t="s">
        <v>268</v>
      </c>
      <c r="G78" s="787" t="s">
        <v>298</v>
      </c>
    </row>
    <row r="79" spans="2:7" x14ac:dyDescent="0.2">
      <c r="B79" s="785"/>
      <c r="C79" s="786"/>
      <c r="D79" s="788"/>
      <c r="E79" s="223" t="s">
        <v>297</v>
      </c>
      <c r="F79" s="223" t="s">
        <v>269</v>
      </c>
      <c r="G79" s="788"/>
    </row>
    <row r="80" spans="2:7" x14ac:dyDescent="0.2">
      <c r="B80" s="224"/>
      <c r="C80" s="224"/>
      <c r="D80" s="224"/>
      <c r="E80" s="224"/>
      <c r="F80" s="224"/>
      <c r="G80" s="224"/>
    </row>
    <row r="81" spans="2:10" x14ac:dyDescent="0.2">
      <c r="B81" s="225" t="s">
        <v>1046</v>
      </c>
      <c r="C81" s="226">
        <f>'Neraca '!J130</f>
        <v>0</v>
      </c>
      <c r="D81" s="226">
        <f>'Neraca '!J129</f>
        <v>0</v>
      </c>
      <c r="E81" s="226">
        <f>'Neraca '!J131</f>
        <v>0</v>
      </c>
      <c r="F81" s="226">
        <f>'Neraca '!J132</f>
        <v>0</v>
      </c>
      <c r="G81" s="226">
        <f>SUM(+C81+D81+E81+F81)</f>
        <v>0</v>
      </c>
    </row>
    <row r="82" spans="2:10" x14ac:dyDescent="0.2">
      <c r="B82" s="225"/>
      <c r="C82" s="227"/>
      <c r="D82" s="227"/>
      <c r="E82" s="227"/>
      <c r="F82" s="227"/>
      <c r="G82" s="227"/>
    </row>
    <row r="83" spans="2:10" x14ac:dyDescent="0.2">
      <c r="B83" s="228" t="s">
        <v>270</v>
      </c>
      <c r="C83" s="227">
        <v>0</v>
      </c>
      <c r="D83" s="227">
        <v>0</v>
      </c>
      <c r="E83" s="227">
        <v>0</v>
      </c>
      <c r="F83" s="227">
        <v>0</v>
      </c>
      <c r="G83" s="227">
        <f>SUM(+C83+D83+E83+F83)</f>
        <v>0</v>
      </c>
    </row>
    <row r="84" spans="2:10" x14ac:dyDescent="0.2">
      <c r="B84" s="228"/>
      <c r="C84" s="227"/>
      <c r="D84" s="227"/>
      <c r="E84" s="227"/>
      <c r="F84" s="227"/>
      <c r="G84" s="227"/>
    </row>
    <row r="85" spans="2:10" x14ac:dyDescent="0.2">
      <c r="B85" s="228" t="s">
        <v>271</v>
      </c>
      <c r="C85" s="227">
        <v>0</v>
      </c>
      <c r="D85" s="227">
        <v>0</v>
      </c>
      <c r="E85" s="227">
        <f>'Neraca '!J132</f>
        <v>0</v>
      </c>
      <c r="F85" s="227">
        <f>-F81</f>
        <v>0</v>
      </c>
      <c r="G85" s="227">
        <f>SUM(+C85+D85+E85+F85)</f>
        <v>0</v>
      </c>
    </row>
    <row r="86" spans="2:10" x14ac:dyDescent="0.2">
      <c r="B86" s="228"/>
      <c r="C86" s="227"/>
      <c r="D86" s="227"/>
      <c r="E86" s="227"/>
      <c r="F86" s="227"/>
      <c r="G86" s="227"/>
    </row>
    <row r="87" spans="2:10" x14ac:dyDescent="0.2">
      <c r="B87" s="228" t="s">
        <v>272</v>
      </c>
      <c r="C87" s="227">
        <v>0</v>
      </c>
      <c r="D87" s="227">
        <v>0</v>
      </c>
      <c r="E87" s="200"/>
      <c r="F87" s="227"/>
      <c r="G87" s="227">
        <f>SUM(+C87+D87+E87+F87)</f>
        <v>0</v>
      </c>
    </row>
    <row r="88" spans="2:10" x14ac:dyDescent="0.2">
      <c r="B88" s="228"/>
      <c r="C88" s="229"/>
      <c r="D88" s="229"/>
      <c r="E88" s="229"/>
      <c r="F88" s="229"/>
      <c r="G88" s="229"/>
    </row>
    <row r="89" spans="2:10" x14ac:dyDescent="0.2">
      <c r="B89" s="230" t="s">
        <v>1080</v>
      </c>
      <c r="C89" s="231">
        <f>SUM(C81:C88)</f>
        <v>0</v>
      </c>
      <c r="D89" s="231">
        <f>SUM(D81:D88)</f>
        <v>0</v>
      </c>
      <c r="E89" s="231">
        <f>SUM(E81:E88)</f>
        <v>0</v>
      </c>
      <c r="F89" s="231">
        <f>SUM(F81:F88)</f>
        <v>0</v>
      </c>
      <c r="G89" s="231">
        <f>SUM(G81:G88)</f>
        <v>0</v>
      </c>
    </row>
    <row r="90" spans="2:10" x14ac:dyDescent="0.2">
      <c r="B90" s="124"/>
      <c r="C90" s="124"/>
      <c r="D90" s="124"/>
      <c r="E90" s="200"/>
      <c r="F90" s="124"/>
      <c r="G90" s="656">
        <f>'Neraca '!H1036</f>
        <v>0</v>
      </c>
    </row>
    <row r="91" spans="2:10" x14ac:dyDescent="0.2">
      <c r="B91" s="697" t="s">
        <v>579</v>
      </c>
      <c r="C91" s="697"/>
      <c r="D91" s="697"/>
      <c r="E91" s="697"/>
      <c r="F91" s="697" t="s">
        <v>1062</v>
      </c>
      <c r="G91" s="697"/>
    </row>
    <row r="92" spans="2:10" x14ac:dyDescent="0.2">
      <c r="B92" s="697" t="s">
        <v>678</v>
      </c>
      <c r="C92" s="697"/>
      <c r="D92" s="697"/>
      <c r="E92" s="697"/>
      <c r="F92" s="697" t="s">
        <v>680</v>
      </c>
      <c r="G92" s="697"/>
    </row>
    <row r="93" spans="2:10" x14ac:dyDescent="0.2">
      <c r="B93" s="697"/>
      <c r="C93" s="697"/>
      <c r="D93" s="697"/>
      <c r="E93" s="697"/>
      <c r="F93" s="697"/>
      <c r="G93" s="697"/>
    </row>
    <row r="94" spans="2:10" x14ac:dyDescent="0.2">
      <c r="B94" s="697"/>
      <c r="C94" s="697"/>
      <c r="D94" s="763"/>
      <c r="E94" s="697"/>
      <c r="F94" s="697"/>
      <c r="G94" s="697"/>
    </row>
    <row r="95" spans="2:10" x14ac:dyDescent="0.2">
      <c r="B95" s="697" t="s">
        <v>1038</v>
      </c>
      <c r="C95" s="697"/>
      <c r="F95" s="697" t="s">
        <v>1039</v>
      </c>
      <c r="G95" s="697"/>
      <c r="J95" s="111">
        <f>'Neraca '!H215</f>
        <v>0</v>
      </c>
    </row>
    <row r="96" spans="2:10" x14ac:dyDescent="0.2">
      <c r="B96" s="697"/>
      <c r="C96" s="697"/>
      <c r="D96" s="697"/>
      <c r="E96" s="697"/>
      <c r="F96" s="124"/>
      <c r="G96" s="124"/>
    </row>
    <row r="98" spans="7:7" x14ac:dyDescent="0.2">
      <c r="G98" s="657">
        <f>G89-G90</f>
        <v>0</v>
      </c>
    </row>
  </sheetData>
  <mergeCells count="69">
    <mergeCell ref="F20:G20"/>
    <mergeCell ref="F21:G21"/>
    <mergeCell ref="F22:G22"/>
    <mergeCell ref="F23:G23"/>
    <mergeCell ref="F24:G24"/>
    <mergeCell ref="B25:C25"/>
    <mergeCell ref="D20:E20"/>
    <mergeCell ref="D21:E21"/>
    <mergeCell ref="D22:E22"/>
    <mergeCell ref="D23:E23"/>
    <mergeCell ref="D25:E25"/>
    <mergeCell ref="B20:C20"/>
    <mergeCell ref="B21:C21"/>
    <mergeCell ref="B22:C22"/>
    <mergeCell ref="B23:C23"/>
    <mergeCell ref="B24:C24"/>
    <mergeCell ref="B3:G3"/>
    <mergeCell ref="B4:G4"/>
    <mergeCell ref="B5:G5"/>
    <mergeCell ref="B7:B8"/>
    <mergeCell ref="C7:C8"/>
    <mergeCell ref="D7:D8"/>
    <mergeCell ref="G7:G8"/>
    <mergeCell ref="B33:G33"/>
    <mergeCell ref="B34:G34"/>
    <mergeCell ref="B35:G35"/>
    <mergeCell ref="B37:B38"/>
    <mergeCell ref="C37:C38"/>
    <mergeCell ref="D37:D38"/>
    <mergeCell ref="G37:G38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F54:G54"/>
    <mergeCell ref="B55:C55"/>
    <mergeCell ref="D55:E55"/>
    <mergeCell ref="B74:G74"/>
    <mergeCell ref="B75:G75"/>
    <mergeCell ref="B76:G76"/>
    <mergeCell ref="B78:B79"/>
    <mergeCell ref="C78:C79"/>
    <mergeCell ref="D78:D79"/>
    <mergeCell ref="G78:G79"/>
    <mergeCell ref="B91:C91"/>
    <mergeCell ref="D91:E91"/>
    <mergeCell ref="F91:G91"/>
    <mergeCell ref="B92:C92"/>
    <mergeCell ref="D92:E92"/>
    <mergeCell ref="F92:G92"/>
    <mergeCell ref="B95:C95"/>
    <mergeCell ref="F95:G95"/>
    <mergeCell ref="B96:C96"/>
    <mergeCell ref="D96:E96"/>
    <mergeCell ref="B93:C93"/>
    <mergeCell ref="D93:E93"/>
    <mergeCell ref="F93:G93"/>
    <mergeCell ref="B94:C94"/>
    <mergeCell ref="D94:E94"/>
    <mergeCell ref="F94:G94"/>
  </mergeCells>
  <printOptions horizontalCentered="1"/>
  <pageMargins left="0.27" right="0" top="0.74803149606299202" bottom="0.74803149606299202" header="0.31496062992126" footer="0.31496062992126"/>
  <pageSetup paperSize="9" scale="115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1"/>
  <sheetViews>
    <sheetView view="pageLayout" topLeftCell="A4" workbookViewId="0">
      <selection activeCell="E7" sqref="E7"/>
    </sheetView>
  </sheetViews>
  <sheetFormatPr defaultRowHeight="10.5" customHeight="1" x14ac:dyDescent="0.25"/>
  <cols>
    <col min="1" max="1" width="2.140625" customWidth="1"/>
    <col min="2" max="2" width="1.7109375" customWidth="1"/>
    <col min="3" max="3" width="2" customWidth="1"/>
    <col min="4" max="4" width="29" customWidth="1"/>
    <col min="5" max="5" width="16.7109375" customWidth="1"/>
    <col min="6" max="6" width="16.85546875" customWidth="1"/>
    <col min="7" max="7" width="17.85546875" customWidth="1"/>
  </cols>
  <sheetData>
    <row r="1" spans="1:7" ht="10.5" customHeight="1" x14ac:dyDescent="0.25">
      <c r="A1" s="789" t="s">
        <v>111</v>
      </c>
      <c r="B1" s="789"/>
      <c r="C1" s="789"/>
      <c r="D1" s="789"/>
      <c r="E1" s="789"/>
      <c r="F1" s="789"/>
      <c r="G1" s="789"/>
    </row>
    <row r="2" spans="1:7" ht="10.5" customHeight="1" x14ac:dyDescent="0.25">
      <c r="A2" s="789" t="s">
        <v>112</v>
      </c>
      <c r="B2" s="789"/>
      <c r="C2" s="789"/>
      <c r="D2" s="789"/>
      <c r="E2" s="789"/>
      <c r="F2" s="789"/>
      <c r="G2" s="789"/>
    </row>
    <row r="3" spans="1:7" ht="10.5" customHeight="1" x14ac:dyDescent="0.25">
      <c r="A3" s="789" t="s">
        <v>278</v>
      </c>
      <c r="B3" s="789"/>
      <c r="C3" s="789"/>
      <c r="D3" s="789"/>
      <c r="E3" s="789"/>
      <c r="F3" s="789"/>
      <c r="G3" s="789"/>
    </row>
    <row r="4" spans="1:7" ht="10.5" customHeight="1" x14ac:dyDescent="0.25">
      <c r="A4" s="45"/>
      <c r="B4" s="45"/>
      <c r="C4" s="45"/>
      <c r="D4" s="45"/>
      <c r="E4" s="46"/>
      <c r="F4" s="46"/>
      <c r="G4" s="46"/>
    </row>
    <row r="5" spans="1:7" ht="10.5" customHeight="1" x14ac:dyDescent="0.25">
      <c r="A5" s="790" t="s">
        <v>23</v>
      </c>
      <c r="B5" s="790"/>
      <c r="C5" s="790"/>
      <c r="D5" s="790"/>
      <c r="E5" s="790"/>
      <c r="F5" s="790"/>
      <c r="G5" s="790"/>
    </row>
    <row r="6" spans="1:7" ht="18" customHeight="1" x14ac:dyDescent="0.25">
      <c r="A6" s="791" t="s">
        <v>30</v>
      </c>
      <c r="B6" s="792"/>
      <c r="C6" s="792"/>
      <c r="D6" s="792"/>
      <c r="E6" s="791" t="s">
        <v>277</v>
      </c>
      <c r="F6" s="793"/>
      <c r="G6" s="794"/>
    </row>
    <row r="7" spans="1:7" ht="10.5" customHeight="1" x14ac:dyDescent="0.25">
      <c r="A7" s="47"/>
      <c r="B7" s="48"/>
      <c r="C7" s="48"/>
      <c r="D7" s="49"/>
      <c r="E7" s="50"/>
      <c r="F7" s="12"/>
      <c r="G7" s="12"/>
    </row>
    <row r="8" spans="1:7" ht="10.5" customHeight="1" x14ac:dyDescent="0.25">
      <c r="A8" s="51" t="s">
        <v>113</v>
      </c>
      <c r="B8" s="52"/>
      <c r="C8" s="52"/>
      <c r="D8" s="53"/>
      <c r="E8" s="54"/>
      <c r="F8" s="54"/>
      <c r="G8" s="55">
        <f>F9+F15+F18+F19+F22</f>
        <v>1143105885.4663019</v>
      </c>
    </row>
    <row r="9" spans="1:7" ht="10.5" customHeight="1" x14ac:dyDescent="0.25">
      <c r="A9" s="56"/>
      <c r="B9" s="52" t="s">
        <v>114</v>
      </c>
      <c r="C9" s="52"/>
      <c r="D9" s="53"/>
      <c r="E9" s="54"/>
      <c r="F9" s="54">
        <f>E10+E11</f>
        <v>796043898.70000005</v>
      </c>
      <c r="G9" s="54"/>
    </row>
    <row r="10" spans="1:7" ht="10.5" customHeight="1" x14ac:dyDescent="0.25">
      <c r="A10" s="56"/>
      <c r="B10" s="52"/>
      <c r="C10" s="52" t="s">
        <v>115</v>
      </c>
      <c r="D10" s="53"/>
      <c r="E10" s="54">
        <v>589885</v>
      </c>
      <c r="F10" s="54"/>
      <c r="G10" s="54"/>
    </row>
    <row r="11" spans="1:7" ht="10.5" customHeight="1" x14ac:dyDescent="0.25">
      <c r="A11" s="56"/>
      <c r="B11" s="52"/>
      <c r="C11" s="52" t="s">
        <v>116</v>
      </c>
      <c r="D11" s="53"/>
      <c r="E11" s="54">
        <f>[6]Kas!$G$33-E10</f>
        <v>795454013.70000005</v>
      </c>
      <c r="F11" s="54"/>
      <c r="G11" s="54"/>
    </row>
    <row r="12" spans="1:7" ht="10.5" customHeight="1" x14ac:dyDescent="0.25">
      <c r="A12" s="56"/>
      <c r="B12" s="52" t="s">
        <v>117</v>
      </c>
      <c r="C12" s="52"/>
      <c r="D12" s="53"/>
      <c r="E12" s="54"/>
      <c r="F12" s="54">
        <f>0</f>
        <v>0</v>
      </c>
      <c r="G12" s="54"/>
    </row>
    <row r="13" spans="1:7" ht="10.5" customHeight="1" x14ac:dyDescent="0.25">
      <c r="A13" s="56"/>
      <c r="B13" s="52"/>
      <c r="C13" s="52" t="s">
        <v>118</v>
      </c>
      <c r="D13" s="53"/>
      <c r="E13" s="54">
        <f>0</f>
        <v>0</v>
      </c>
      <c r="F13" s="54"/>
      <c r="G13" s="54"/>
    </row>
    <row r="14" spans="1:7" ht="10.5" customHeight="1" x14ac:dyDescent="0.25">
      <c r="A14" s="56"/>
      <c r="B14" s="52"/>
      <c r="C14" s="52" t="s">
        <v>119</v>
      </c>
      <c r="D14" s="53"/>
      <c r="E14" s="54">
        <f>0</f>
        <v>0</v>
      </c>
      <c r="F14" s="54"/>
      <c r="G14" s="54"/>
    </row>
    <row r="15" spans="1:7" ht="10.5" customHeight="1" x14ac:dyDescent="0.25">
      <c r="A15" s="56"/>
      <c r="B15" s="52" t="s">
        <v>120</v>
      </c>
      <c r="C15" s="52"/>
      <c r="D15" s="53"/>
      <c r="E15" s="54"/>
      <c r="F15" s="54">
        <f>E16</f>
        <v>108725960</v>
      </c>
      <c r="G15" s="54"/>
    </row>
    <row r="16" spans="1:7" ht="10.5" customHeight="1" x14ac:dyDescent="0.25">
      <c r="A16" s="56"/>
      <c r="B16" s="52"/>
      <c r="C16" s="52" t="s">
        <v>121</v>
      </c>
      <c r="D16" s="53"/>
      <c r="E16" s="54">
        <f>[6]Piutang!$F$32</f>
        <v>108725960</v>
      </c>
      <c r="F16" s="54"/>
      <c r="G16" s="54"/>
    </row>
    <row r="17" spans="1:7" ht="10.5" customHeight="1" x14ac:dyDescent="0.25">
      <c r="A17" s="56"/>
      <c r="B17" s="52"/>
      <c r="C17" s="52" t="s">
        <v>122</v>
      </c>
      <c r="D17" s="53"/>
      <c r="E17" s="54">
        <f>0</f>
        <v>0</v>
      </c>
      <c r="F17" s="54"/>
      <c r="G17" s="54"/>
    </row>
    <row r="18" spans="1:7" ht="10.5" customHeight="1" x14ac:dyDescent="0.25">
      <c r="A18" s="56"/>
      <c r="B18" s="52" t="s">
        <v>123</v>
      </c>
      <c r="C18" s="52"/>
      <c r="D18" s="53"/>
      <c r="E18" s="54"/>
      <c r="F18" s="54">
        <f>-[6]Piutang!$F$50</f>
        <v>-29241801.582698062</v>
      </c>
      <c r="G18" s="54"/>
    </row>
    <row r="19" spans="1:7" ht="10.5" customHeight="1" x14ac:dyDescent="0.25">
      <c r="A19" s="56"/>
      <c r="B19" s="52" t="s">
        <v>124</v>
      </c>
      <c r="C19" s="52"/>
      <c r="D19" s="53"/>
      <c r="E19" s="54"/>
      <c r="F19" s="54">
        <f>E20+E21</f>
        <v>17713535</v>
      </c>
      <c r="G19" s="54"/>
    </row>
    <row r="20" spans="1:7" ht="10.5" customHeight="1" x14ac:dyDescent="0.25">
      <c r="A20" s="56"/>
      <c r="B20" s="52"/>
      <c r="C20" s="52" t="s">
        <v>85</v>
      </c>
      <c r="D20" s="53"/>
      <c r="E20" s="54">
        <f>[6]Piutang!$D$60</f>
        <v>87535</v>
      </c>
      <c r="F20" s="54"/>
      <c r="G20" s="54"/>
    </row>
    <row r="21" spans="1:7" ht="10.5" customHeight="1" x14ac:dyDescent="0.25">
      <c r="A21" s="56"/>
      <c r="B21" s="52"/>
      <c r="C21" s="52" t="s">
        <v>125</v>
      </c>
      <c r="D21" s="53"/>
      <c r="E21" s="54">
        <f>[6]Piutang!$F$97</f>
        <v>17626000</v>
      </c>
      <c r="F21" s="54"/>
      <c r="G21" s="54"/>
    </row>
    <row r="22" spans="1:7" ht="10.5" customHeight="1" x14ac:dyDescent="0.25">
      <c r="A22" s="56"/>
      <c r="B22" s="52" t="s">
        <v>126</v>
      </c>
      <c r="C22" s="52"/>
      <c r="D22" s="53"/>
      <c r="E22" s="54"/>
      <c r="F22" s="54">
        <f>E23+E24+E25</f>
        <v>249864293.34900004</v>
      </c>
      <c r="G22" s="54"/>
    </row>
    <row r="23" spans="1:7" ht="10.5" customHeight="1" x14ac:dyDescent="0.25">
      <c r="A23" s="56"/>
      <c r="B23" s="52"/>
      <c r="C23" s="52" t="s">
        <v>127</v>
      </c>
      <c r="D23" s="53"/>
      <c r="E23" s="54">
        <f>[6]Persediaan!$F$21+[6]Persediaan!$F$39+[6]Persediaan!$F$57</f>
        <v>125608580</v>
      </c>
      <c r="F23" s="54"/>
      <c r="G23" s="54"/>
    </row>
    <row r="24" spans="1:7" ht="10.5" customHeight="1" x14ac:dyDescent="0.25">
      <c r="A24" s="56"/>
      <c r="B24" s="52"/>
      <c r="C24" s="52" t="s">
        <v>128</v>
      </c>
      <c r="D24" s="53"/>
      <c r="E24" s="54">
        <f>[6]Persediaan!$F$98</f>
        <v>2097500</v>
      </c>
      <c r="F24" s="54"/>
      <c r="G24" s="54"/>
    </row>
    <row r="25" spans="1:7" ht="10.5" customHeight="1" x14ac:dyDescent="0.25">
      <c r="A25" s="56"/>
      <c r="B25" s="52"/>
      <c r="C25" s="52" t="s">
        <v>129</v>
      </c>
      <c r="D25" s="53"/>
      <c r="E25" s="54">
        <f>[6]Persediaan!$F$80</f>
        <v>122158213.34900002</v>
      </c>
      <c r="F25" s="54"/>
      <c r="G25" s="54"/>
    </row>
    <row r="26" spans="1:7" ht="10.5" customHeight="1" x14ac:dyDescent="0.25">
      <c r="A26" s="56"/>
      <c r="B26" s="52" t="s">
        <v>130</v>
      </c>
      <c r="C26" s="52"/>
      <c r="D26" s="53"/>
      <c r="E26" s="54"/>
      <c r="F26" s="54">
        <f>0</f>
        <v>0</v>
      </c>
      <c r="G26" s="54"/>
    </row>
    <row r="27" spans="1:7" ht="10.5" customHeight="1" x14ac:dyDescent="0.25">
      <c r="A27" s="56"/>
      <c r="B27" s="52"/>
      <c r="C27" s="52" t="s">
        <v>131</v>
      </c>
      <c r="D27" s="53"/>
      <c r="E27" s="54">
        <f>0</f>
        <v>0</v>
      </c>
      <c r="F27" s="54"/>
      <c r="G27" s="54"/>
    </row>
    <row r="28" spans="1:7" ht="10.5" customHeight="1" x14ac:dyDescent="0.25">
      <c r="A28" s="56"/>
      <c r="B28" s="52" t="s">
        <v>132</v>
      </c>
      <c r="C28" s="52"/>
      <c r="D28" s="53"/>
      <c r="E28" s="54"/>
      <c r="F28" s="54"/>
      <c r="G28" s="54"/>
    </row>
    <row r="29" spans="1:7" ht="10.5" customHeight="1" x14ac:dyDescent="0.25">
      <c r="A29" s="56"/>
      <c r="B29" s="52"/>
      <c r="C29" s="52" t="s">
        <v>133</v>
      </c>
      <c r="D29" s="53"/>
      <c r="E29" s="54">
        <f>0</f>
        <v>0</v>
      </c>
      <c r="F29" s="54"/>
      <c r="G29" s="54"/>
    </row>
    <row r="30" spans="1:7" ht="10.5" customHeight="1" x14ac:dyDescent="0.25">
      <c r="A30" s="56"/>
      <c r="B30" s="52"/>
      <c r="C30" s="52" t="s">
        <v>134</v>
      </c>
      <c r="D30" s="53"/>
      <c r="E30" s="54">
        <f>0</f>
        <v>0</v>
      </c>
      <c r="F30" s="54"/>
      <c r="G30" s="54"/>
    </row>
    <row r="31" spans="1:7" ht="10.5" customHeight="1" x14ac:dyDescent="0.25">
      <c r="A31" s="56"/>
      <c r="B31" s="52"/>
      <c r="C31" s="52" t="s">
        <v>135</v>
      </c>
      <c r="D31" s="53"/>
      <c r="E31" s="54">
        <f>0</f>
        <v>0</v>
      </c>
      <c r="F31" s="54"/>
      <c r="G31" s="54"/>
    </row>
    <row r="32" spans="1:7" ht="10.5" customHeight="1" x14ac:dyDescent="0.25">
      <c r="A32" s="56"/>
      <c r="B32" s="52"/>
      <c r="C32" s="52" t="s">
        <v>136</v>
      </c>
      <c r="D32" s="53"/>
      <c r="E32" s="54">
        <f>0</f>
        <v>0</v>
      </c>
      <c r="F32" s="54"/>
      <c r="G32" s="54"/>
    </row>
    <row r="33" spans="1:7" ht="10.5" customHeight="1" x14ac:dyDescent="0.25">
      <c r="A33" s="51" t="s">
        <v>137</v>
      </c>
      <c r="B33" s="57"/>
      <c r="C33" s="57"/>
      <c r="D33" s="58"/>
      <c r="E33" s="55"/>
      <c r="F33" s="55"/>
      <c r="G33" s="55">
        <f>F34+F44</f>
        <v>4120016027.4175</v>
      </c>
    </row>
    <row r="34" spans="1:7" ht="10.5" customHeight="1" x14ac:dyDescent="0.25">
      <c r="A34" s="56"/>
      <c r="B34" s="52" t="s">
        <v>138</v>
      </c>
      <c r="C34" s="52"/>
      <c r="D34" s="53"/>
      <c r="E34" s="54"/>
      <c r="F34" s="54">
        <f>SUM(E35:E43)</f>
        <v>6529174835.415</v>
      </c>
      <c r="G34" s="59"/>
    </row>
    <row r="35" spans="1:7" ht="10.5" customHeight="1" x14ac:dyDescent="0.25">
      <c r="A35" s="56"/>
      <c r="B35" s="52"/>
      <c r="C35" s="52" t="s">
        <v>139</v>
      </c>
      <c r="D35" s="53"/>
      <c r="E35" s="54">
        <f>'[6]Aktiva Tetap'!$D$9</f>
        <v>232450000</v>
      </c>
      <c r="F35" s="54"/>
      <c r="G35" s="54"/>
    </row>
    <row r="36" spans="1:7" ht="10.5" customHeight="1" x14ac:dyDescent="0.25">
      <c r="A36" s="56"/>
      <c r="B36" s="52"/>
      <c r="C36" s="52" t="s">
        <v>140</v>
      </c>
      <c r="D36" s="53"/>
      <c r="E36" s="54">
        <f>'[6]Aktiva Tetap'!$F$20</f>
        <v>510559191</v>
      </c>
      <c r="F36" s="54"/>
      <c r="G36" s="54"/>
    </row>
    <row r="37" spans="1:7" ht="10.5" customHeight="1" x14ac:dyDescent="0.25">
      <c r="A37" s="56"/>
      <c r="B37" s="52"/>
      <c r="C37" s="52" t="s">
        <v>141</v>
      </c>
      <c r="D37" s="53"/>
      <c r="E37" s="60">
        <f>'[6]Aktiva Tetap'!$F$30</f>
        <v>117602561</v>
      </c>
      <c r="F37" s="54"/>
      <c r="G37" s="54"/>
    </row>
    <row r="38" spans="1:7" ht="10.5" customHeight="1" x14ac:dyDescent="0.25">
      <c r="A38" s="56"/>
      <c r="B38" s="52"/>
      <c r="C38" s="52" t="s">
        <v>142</v>
      </c>
      <c r="D38" s="53"/>
      <c r="E38" s="54">
        <f>'[6]Aktiva Tetap'!$F$39</f>
        <v>2528466809</v>
      </c>
      <c r="F38" s="54"/>
      <c r="G38" s="54"/>
    </row>
    <row r="39" spans="1:7" ht="10.5" customHeight="1" x14ac:dyDescent="0.25">
      <c r="A39" s="56"/>
      <c r="B39" s="52"/>
      <c r="C39" s="52" t="s">
        <v>143</v>
      </c>
      <c r="D39" s="53"/>
      <c r="E39" s="54">
        <f>'[6]Aktiva Tetap'!$F$59</f>
        <v>2333421966.415</v>
      </c>
      <c r="F39" s="54"/>
      <c r="G39" s="54"/>
    </row>
    <row r="40" spans="1:7" ht="10.5" customHeight="1" x14ac:dyDescent="0.25">
      <c r="A40" s="56"/>
      <c r="B40" s="52"/>
      <c r="C40" s="52" t="s">
        <v>144</v>
      </c>
      <c r="D40" s="53"/>
      <c r="E40" s="54">
        <f>'[6]Aktiva Tetap'!$F$76</f>
        <v>409862308</v>
      </c>
      <c r="F40" s="54"/>
      <c r="G40" s="54"/>
    </row>
    <row r="41" spans="1:7" ht="10.5" customHeight="1" x14ac:dyDescent="0.25">
      <c r="A41" s="56"/>
      <c r="B41" s="52"/>
      <c r="C41" s="52" t="s">
        <v>145</v>
      </c>
      <c r="D41" s="53"/>
      <c r="E41" s="54">
        <f>'[6]Aktiva Tetap'!$D$90</f>
        <v>10182000</v>
      </c>
      <c r="F41" s="54"/>
      <c r="G41" s="54"/>
    </row>
    <row r="42" spans="1:7" ht="10.5" customHeight="1" x14ac:dyDescent="0.25">
      <c r="A42" s="56"/>
      <c r="B42" s="52"/>
      <c r="C42" s="52" t="s">
        <v>146</v>
      </c>
      <c r="D42" s="53"/>
      <c r="E42" s="54">
        <f>'[6]Aktiva Tetap'!$F$100</f>
        <v>284050000</v>
      </c>
      <c r="F42" s="54"/>
      <c r="G42" s="54"/>
    </row>
    <row r="43" spans="1:7" ht="10.5" customHeight="1" x14ac:dyDescent="0.25">
      <c r="A43" s="56"/>
      <c r="B43" s="52"/>
      <c r="C43" s="52" t="s">
        <v>147</v>
      </c>
      <c r="D43" s="53"/>
      <c r="E43" s="54">
        <f>'[6]Aktiva Tetap'!$F$115</f>
        <v>102580000</v>
      </c>
      <c r="F43" s="54"/>
      <c r="G43" s="54"/>
    </row>
    <row r="44" spans="1:7" ht="10.5" customHeight="1" x14ac:dyDescent="0.25">
      <c r="A44" s="56"/>
      <c r="B44" s="52"/>
      <c r="C44" s="52" t="s">
        <v>148</v>
      </c>
      <c r="D44" s="53"/>
      <c r="E44" s="54"/>
      <c r="F44" s="54">
        <f>SUM(E45:E52)</f>
        <v>-2409158807.9974999</v>
      </c>
      <c r="G44" s="54"/>
    </row>
    <row r="45" spans="1:7" ht="10.5" customHeight="1" x14ac:dyDescent="0.25">
      <c r="A45" s="56"/>
      <c r="B45" s="52"/>
      <c r="C45" s="52"/>
      <c r="D45" s="53" t="s">
        <v>149</v>
      </c>
      <c r="E45" s="54">
        <f>-'[6]Akum. Ak. Tetap'!$F$10</f>
        <v>-108966265</v>
      </c>
      <c r="F45" s="54"/>
      <c r="G45" s="54"/>
    </row>
    <row r="46" spans="1:7" ht="10.5" customHeight="1" x14ac:dyDescent="0.25">
      <c r="A46" s="56"/>
      <c r="B46" s="52"/>
      <c r="C46" s="52"/>
      <c r="D46" s="53" t="s">
        <v>150</v>
      </c>
      <c r="E46" s="54">
        <f>-'[6]Akum. Ak. Tetap'!$F$19</f>
        <v>-56154756</v>
      </c>
      <c r="F46" s="54"/>
      <c r="G46" s="54"/>
    </row>
    <row r="47" spans="1:7" ht="10.5" customHeight="1" x14ac:dyDescent="0.25">
      <c r="A47" s="56"/>
      <c r="B47" s="52"/>
      <c r="C47" s="52"/>
      <c r="D47" s="53" t="s">
        <v>151</v>
      </c>
      <c r="E47" s="54">
        <f>-'[6]Akum. Ak. Tetap'!$F$28</f>
        <v>-886392270</v>
      </c>
      <c r="F47" s="54"/>
      <c r="G47" s="54"/>
    </row>
    <row r="48" spans="1:7" ht="10.5" customHeight="1" x14ac:dyDescent="0.25">
      <c r="A48" s="56"/>
      <c r="B48" s="52"/>
      <c r="C48" s="52"/>
      <c r="D48" s="53" t="s">
        <v>152</v>
      </c>
      <c r="E48" s="54">
        <f>-'[6]Akum. Ak. Tetap'!$F$36</f>
        <v>-917685149</v>
      </c>
      <c r="F48" s="54"/>
      <c r="G48" s="54"/>
    </row>
    <row r="49" spans="1:7" ht="10.5" customHeight="1" x14ac:dyDescent="0.25">
      <c r="A49" s="56"/>
      <c r="B49" s="52"/>
      <c r="C49" s="52"/>
      <c r="D49" s="53" t="s">
        <v>153</v>
      </c>
      <c r="E49" s="54">
        <f>-'[7]Aktiva Tetap'!$E$84</f>
        <v>-85012500</v>
      </c>
      <c r="F49" s="54"/>
      <c r="G49" s="54"/>
    </row>
    <row r="50" spans="1:7" ht="10.5" customHeight="1" x14ac:dyDescent="0.25">
      <c r="A50" s="56"/>
      <c r="B50" s="52"/>
      <c r="C50" s="52"/>
      <c r="D50" s="53" t="s">
        <v>154</v>
      </c>
      <c r="E50" s="54">
        <f>-'[7]Aktiva Tetap'!$E$85</f>
        <v>-7177933</v>
      </c>
      <c r="F50" s="54"/>
      <c r="G50" s="54"/>
    </row>
    <row r="51" spans="1:7" ht="10.5" customHeight="1" x14ac:dyDescent="0.25">
      <c r="A51" s="56"/>
      <c r="B51" s="52"/>
      <c r="C51" s="52"/>
      <c r="D51" s="53" t="s">
        <v>155</v>
      </c>
      <c r="E51" s="54">
        <f>-'[7]Aktiva Tetap'!$E$86</f>
        <v>-275450000</v>
      </c>
      <c r="F51" s="54"/>
      <c r="G51" s="54"/>
    </row>
    <row r="52" spans="1:7" ht="10.5" customHeight="1" x14ac:dyDescent="0.25">
      <c r="A52" s="56"/>
      <c r="B52" s="52"/>
      <c r="C52" s="52"/>
      <c r="D52" s="53" t="s">
        <v>156</v>
      </c>
      <c r="E52" s="54">
        <f>-'[7]Aktiva Tetap'!$E$87</f>
        <v>-72319934.997500002</v>
      </c>
      <c r="F52" s="54"/>
      <c r="G52" s="54"/>
    </row>
    <row r="53" spans="1:7" ht="10.5" customHeight="1" x14ac:dyDescent="0.25">
      <c r="A53" s="51" t="s">
        <v>157</v>
      </c>
      <c r="B53" s="52"/>
      <c r="C53" s="52"/>
      <c r="D53" s="53"/>
      <c r="E53" s="54"/>
      <c r="F53" s="54">
        <f>0</f>
        <v>0</v>
      </c>
      <c r="G53" s="54"/>
    </row>
    <row r="54" spans="1:7" ht="10.5" customHeight="1" x14ac:dyDescent="0.25">
      <c r="A54" s="51" t="s">
        <v>158</v>
      </c>
      <c r="B54" s="52"/>
      <c r="C54" s="52"/>
      <c r="D54" s="53"/>
      <c r="E54" s="54"/>
      <c r="F54" s="54">
        <f>0</f>
        <v>0</v>
      </c>
      <c r="G54" s="54"/>
    </row>
    <row r="55" spans="1:7" ht="10.5" customHeight="1" x14ac:dyDescent="0.25">
      <c r="A55" s="56"/>
      <c r="B55" s="52" t="s">
        <v>159</v>
      </c>
      <c r="C55" s="52"/>
      <c r="D55" s="53"/>
      <c r="E55" s="54"/>
      <c r="F55" s="54">
        <f>0</f>
        <v>0</v>
      </c>
      <c r="G55" s="54"/>
    </row>
    <row r="56" spans="1:7" ht="10.5" customHeight="1" x14ac:dyDescent="0.25">
      <c r="A56" s="56"/>
      <c r="B56" s="52"/>
      <c r="C56" s="52" t="s">
        <v>160</v>
      </c>
      <c r="D56" s="53"/>
      <c r="E56" s="54">
        <f>0</f>
        <v>0</v>
      </c>
      <c r="F56" s="54"/>
      <c r="G56" s="54"/>
    </row>
    <row r="57" spans="1:7" ht="10.5" customHeight="1" x14ac:dyDescent="0.25">
      <c r="A57" s="56"/>
      <c r="B57" s="52"/>
      <c r="C57" s="52" t="s">
        <v>161</v>
      </c>
      <c r="D57" s="53"/>
      <c r="E57" s="54">
        <f>0</f>
        <v>0</v>
      </c>
      <c r="F57" s="54"/>
      <c r="G57" s="54"/>
    </row>
    <row r="58" spans="1:7" ht="10.5" customHeight="1" x14ac:dyDescent="0.25">
      <c r="A58" s="56"/>
      <c r="B58" s="52"/>
      <c r="C58" s="52" t="s">
        <v>162</v>
      </c>
      <c r="D58" s="53"/>
      <c r="E58" s="54">
        <f>0</f>
        <v>0</v>
      </c>
      <c r="F58" s="54"/>
      <c r="G58" s="54"/>
    </row>
    <row r="59" spans="1:7" ht="10.5" customHeight="1" x14ac:dyDescent="0.25">
      <c r="A59" s="56"/>
      <c r="B59" s="52"/>
      <c r="C59" s="52" t="s">
        <v>163</v>
      </c>
      <c r="D59" s="53"/>
      <c r="E59" s="54">
        <f>0</f>
        <v>0</v>
      </c>
      <c r="F59" s="54"/>
      <c r="G59" s="54"/>
    </row>
    <row r="60" spans="1:7" ht="10.5" customHeight="1" x14ac:dyDescent="0.25">
      <c r="A60" s="56"/>
      <c r="B60" s="52"/>
      <c r="C60" s="52" t="s">
        <v>164</v>
      </c>
      <c r="D60" s="53"/>
      <c r="E60" s="54">
        <f>0</f>
        <v>0</v>
      </c>
      <c r="F60" s="54"/>
      <c r="G60" s="54"/>
    </row>
    <row r="61" spans="1:7" ht="10.5" customHeight="1" x14ac:dyDescent="0.25">
      <c r="A61" s="56"/>
      <c r="B61" s="52"/>
      <c r="C61" s="52" t="s">
        <v>165</v>
      </c>
      <c r="D61" s="53"/>
      <c r="E61" s="54">
        <f>0</f>
        <v>0</v>
      </c>
      <c r="F61" s="54"/>
      <c r="G61" s="54"/>
    </row>
    <row r="62" spans="1:7" ht="10.5" customHeight="1" x14ac:dyDescent="0.25">
      <c r="A62" s="56"/>
      <c r="B62" s="52"/>
      <c r="C62" s="52" t="s">
        <v>166</v>
      </c>
      <c r="D62" s="53"/>
      <c r="E62" s="54">
        <f>0</f>
        <v>0</v>
      </c>
      <c r="F62" s="54"/>
      <c r="G62" s="54"/>
    </row>
    <row r="63" spans="1:7" ht="10.5" customHeight="1" x14ac:dyDescent="0.25">
      <c r="A63" s="56"/>
      <c r="B63" s="52"/>
      <c r="C63" s="52" t="s">
        <v>167</v>
      </c>
      <c r="D63" s="53"/>
      <c r="E63" s="54">
        <f>0</f>
        <v>0</v>
      </c>
      <c r="F63" s="54"/>
      <c r="G63" s="54"/>
    </row>
    <row r="64" spans="1:7" ht="10.5" customHeight="1" x14ac:dyDescent="0.25">
      <c r="A64" s="51" t="s">
        <v>168</v>
      </c>
      <c r="B64" s="52"/>
      <c r="C64" s="52"/>
      <c r="D64" s="53"/>
      <c r="E64" s="54"/>
      <c r="F64" s="54">
        <f>0</f>
        <v>0</v>
      </c>
      <c r="G64" s="54"/>
    </row>
    <row r="65" spans="1:7" ht="10.5" customHeight="1" x14ac:dyDescent="0.25">
      <c r="A65" s="56"/>
      <c r="B65" s="52" t="s">
        <v>169</v>
      </c>
      <c r="C65" s="52"/>
      <c r="D65" s="53"/>
      <c r="E65" s="54">
        <f>0</f>
        <v>0</v>
      </c>
      <c r="F65" s="54"/>
      <c r="G65" s="54"/>
    </row>
    <row r="66" spans="1:7" ht="10.5" customHeight="1" x14ac:dyDescent="0.25">
      <c r="A66" s="56"/>
      <c r="B66" s="52" t="s">
        <v>161</v>
      </c>
      <c r="C66" s="52"/>
      <c r="D66" s="53"/>
      <c r="E66" s="54">
        <f>0</f>
        <v>0</v>
      </c>
      <c r="F66" s="54"/>
      <c r="G66" s="54"/>
    </row>
    <row r="67" spans="1:7" ht="10.5" customHeight="1" x14ac:dyDescent="0.25">
      <c r="A67" s="56"/>
      <c r="B67" s="52" t="s">
        <v>162</v>
      </c>
      <c r="C67" s="52"/>
      <c r="D67" s="53"/>
      <c r="E67" s="54">
        <f>0</f>
        <v>0</v>
      </c>
      <c r="F67" s="54"/>
      <c r="G67" s="54"/>
    </row>
    <row r="68" spans="1:7" ht="10.5" customHeight="1" x14ac:dyDescent="0.25">
      <c r="A68" s="56"/>
      <c r="B68" s="52" t="s">
        <v>163</v>
      </c>
      <c r="C68" s="52"/>
      <c r="D68" s="53"/>
      <c r="E68" s="54">
        <f>0</f>
        <v>0</v>
      </c>
      <c r="F68" s="54"/>
      <c r="G68" s="54"/>
    </row>
    <row r="69" spans="1:7" ht="10.5" customHeight="1" x14ac:dyDescent="0.25">
      <c r="A69" s="56"/>
      <c r="B69" s="52" t="s">
        <v>170</v>
      </c>
      <c r="C69" s="52"/>
      <c r="D69" s="53"/>
      <c r="E69" s="54">
        <f>0</f>
        <v>0</v>
      </c>
      <c r="F69" s="54"/>
      <c r="G69" s="54"/>
    </row>
    <row r="70" spans="1:7" ht="10.5" customHeight="1" x14ac:dyDescent="0.25">
      <c r="A70" s="56"/>
      <c r="B70" s="52" t="s">
        <v>171</v>
      </c>
      <c r="C70" s="52"/>
      <c r="D70" s="53"/>
      <c r="E70" s="54">
        <f>0</f>
        <v>0</v>
      </c>
      <c r="F70" s="54"/>
      <c r="G70" s="54"/>
    </row>
    <row r="71" spans="1:7" ht="10.5" customHeight="1" x14ac:dyDescent="0.25">
      <c r="A71" s="56"/>
      <c r="B71" s="52" t="s">
        <v>172</v>
      </c>
      <c r="C71" s="52"/>
      <c r="D71" s="53"/>
      <c r="E71" s="54">
        <f>0</f>
        <v>0</v>
      </c>
      <c r="F71" s="54"/>
      <c r="G71" s="54"/>
    </row>
    <row r="72" spans="1:7" ht="10.5" customHeight="1" x14ac:dyDescent="0.25">
      <c r="A72" s="56"/>
      <c r="B72" s="52" t="s">
        <v>167</v>
      </c>
      <c r="C72" s="52"/>
      <c r="D72" s="53"/>
      <c r="E72" s="54">
        <f>0</f>
        <v>0</v>
      </c>
      <c r="F72" s="54"/>
      <c r="G72" s="54"/>
    </row>
    <row r="73" spans="1:7" ht="10.5" customHeight="1" x14ac:dyDescent="0.25">
      <c r="A73" s="51" t="s">
        <v>168</v>
      </c>
      <c r="B73" s="52"/>
      <c r="C73" s="52"/>
      <c r="D73" s="53"/>
      <c r="E73" s="54"/>
      <c r="F73" s="54">
        <f>0</f>
        <v>0</v>
      </c>
      <c r="G73" s="54"/>
    </row>
    <row r="74" spans="1:7" ht="10.5" customHeight="1" x14ac:dyDescent="0.25">
      <c r="A74" s="56"/>
      <c r="B74" s="52" t="s">
        <v>173</v>
      </c>
      <c r="C74" s="52"/>
      <c r="D74" s="53"/>
      <c r="E74" s="54">
        <f>0</f>
        <v>0</v>
      </c>
      <c r="F74" s="54"/>
      <c r="G74" s="54"/>
    </row>
    <row r="75" spans="1:7" ht="10.5" customHeight="1" x14ac:dyDescent="0.25">
      <c r="A75" s="56"/>
      <c r="B75" s="52" t="s">
        <v>174</v>
      </c>
      <c r="C75" s="52"/>
      <c r="D75" s="53"/>
      <c r="E75" s="54">
        <f>0</f>
        <v>0</v>
      </c>
      <c r="F75" s="54"/>
      <c r="G75" s="54"/>
    </row>
    <row r="76" spans="1:7" ht="10.5" customHeight="1" x14ac:dyDescent="0.25">
      <c r="A76" s="56"/>
      <c r="B76" s="52" t="s">
        <v>175</v>
      </c>
      <c r="C76" s="52"/>
      <c r="D76" s="53"/>
      <c r="E76" s="54">
        <f>0</f>
        <v>0</v>
      </c>
      <c r="F76" s="54"/>
      <c r="G76" s="54"/>
    </row>
    <row r="77" spans="1:7" ht="10.5" customHeight="1" x14ac:dyDescent="0.25">
      <c r="A77" s="56"/>
      <c r="B77" s="52" t="s">
        <v>176</v>
      </c>
      <c r="C77" s="52"/>
      <c r="D77" s="53"/>
      <c r="E77" s="54">
        <f>0</f>
        <v>0</v>
      </c>
      <c r="F77" s="54"/>
      <c r="G77" s="54"/>
    </row>
    <row r="78" spans="1:7" ht="10.5" customHeight="1" x14ac:dyDescent="0.25">
      <c r="A78" s="56"/>
      <c r="B78" s="52" t="s">
        <v>177</v>
      </c>
      <c r="C78" s="52"/>
      <c r="D78" s="53"/>
      <c r="E78" s="54">
        <f>0</f>
        <v>0</v>
      </c>
      <c r="F78" s="54"/>
      <c r="G78" s="54"/>
    </row>
    <row r="79" spans="1:7" ht="10.5" customHeight="1" x14ac:dyDescent="0.25">
      <c r="A79" s="61"/>
      <c r="B79" s="62" t="s">
        <v>178</v>
      </c>
      <c r="C79" s="62"/>
      <c r="D79" s="63"/>
      <c r="E79" s="64">
        <f>0</f>
        <v>0</v>
      </c>
      <c r="F79" s="64"/>
      <c r="G79" s="64"/>
    </row>
    <row r="80" spans="1:7" ht="17.25" customHeight="1" x14ac:dyDescent="0.25">
      <c r="A80" s="802" t="s">
        <v>25</v>
      </c>
      <c r="B80" s="803"/>
      <c r="C80" s="803"/>
      <c r="D80" s="804"/>
      <c r="E80" s="65"/>
      <c r="F80" s="65"/>
      <c r="G80" s="65">
        <f>SUM(G8:G79)</f>
        <v>5263121912.8838024</v>
      </c>
    </row>
    <row r="81" spans="1:7" ht="10.5" customHeight="1" x14ac:dyDescent="0.25">
      <c r="A81" s="45"/>
      <c r="B81" s="45"/>
      <c r="C81" s="45"/>
      <c r="D81" s="45"/>
      <c r="E81" s="66"/>
      <c r="F81" s="66"/>
      <c r="G81" s="66"/>
    </row>
    <row r="82" spans="1:7" ht="10.5" customHeight="1" x14ac:dyDescent="0.25">
      <c r="A82" s="45"/>
      <c r="B82" s="45"/>
      <c r="C82" s="45"/>
      <c r="D82" s="45"/>
      <c r="E82" s="66"/>
      <c r="F82" s="66"/>
      <c r="G82" s="66"/>
    </row>
    <row r="83" spans="1:7" ht="10.5" customHeight="1" x14ac:dyDescent="0.25">
      <c r="A83" s="45"/>
      <c r="B83" s="45"/>
      <c r="C83" s="45"/>
      <c r="D83" s="45"/>
      <c r="E83" s="66"/>
      <c r="F83" s="66"/>
      <c r="G83" s="66"/>
    </row>
    <row r="84" spans="1:7" ht="10.5" customHeight="1" x14ac:dyDescent="0.25">
      <c r="A84" s="45"/>
      <c r="B84" s="45"/>
      <c r="C84" s="45"/>
      <c r="D84" s="45"/>
      <c r="E84" s="66"/>
      <c r="F84" s="66"/>
      <c r="G84" s="66"/>
    </row>
    <row r="85" spans="1:7" ht="10.5" customHeight="1" x14ac:dyDescent="0.25">
      <c r="A85" s="45"/>
      <c r="B85" s="45"/>
      <c r="C85" s="45"/>
      <c r="D85" s="45"/>
      <c r="E85" s="66"/>
      <c r="F85" s="66"/>
      <c r="G85" s="66"/>
    </row>
    <row r="86" spans="1:7" ht="10.5" customHeight="1" x14ac:dyDescent="0.25">
      <c r="A86" s="45"/>
      <c r="B86" s="45"/>
      <c r="C86" s="45"/>
      <c r="D86" s="45"/>
      <c r="E86" s="66"/>
      <c r="F86" s="66"/>
      <c r="G86" s="66"/>
    </row>
    <row r="87" spans="1:7" ht="10.5" customHeight="1" x14ac:dyDescent="0.25">
      <c r="A87" s="45"/>
      <c r="B87" s="45"/>
      <c r="C87" s="45"/>
      <c r="D87" s="45"/>
      <c r="E87" s="66"/>
      <c r="F87" s="66"/>
      <c r="G87" s="66"/>
    </row>
    <row r="88" spans="1:7" ht="10.5" customHeight="1" x14ac:dyDescent="0.25">
      <c r="A88" s="790" t="s">
        <v>179</v>
      </c>
      <c r="B88" s="790"/>
      <c r="C88" s="790"/>
      <c r="D88" s="790"/>
      <c r="E88" s="790"/>
      <c r="F88" s="790"/>
      <c r="G88" s="790"/>
    </row>
    <row r="89" spans="1:7" ht="10.5" customHeight="1" x14ac:dyDescent="0.25">
      <c r="A89" s="791" t="s">
        <v>30</v>
      </c>
      <c r="B89" s="792"/>
      <c r="C89" s="792"/>
      <c r="D89" s="792"/>
      <c r="E89" s="791" t="s">
        <v>72</v>
      </c>
      <c r="F89" s="793"/>
      <c r="G89" s="794"/>
    </row>
    <row r="90" spans="1:7" ht="10.5" customHeight="1" x14ac:dyDescent="0.25">
      <c r="A90" s="805" t="s">
        <v>26</v>
      </c>
      <c r="B90" s="806"/>
      <c r="C90" s="806"/>
      <c r="D90" s="807"/>
      <c r="E90" s="50"/>
      <c r="F90" s="12"/>
      <c r="G90" s="12"/>
    </row>
    <row r="91" spans="1:7" ht="10.5" customHeight="1" x14ac:dyDescent="0.25">
      <c r="A91" s="51" t="s">
        <v>180</v>
      </c>
      <c r="B91" s="52"/>
      <c r="C91" s="52"/>
      <c r="D91" s="53"/>
      <c r="E91" s="54"/>
      <c r="F91" s="54"/>
      <c r="G91" s="55">
        <f>SUM(F92:F103)</f>
        <v>27212604.530646451</v>
      </c>
    </row>
    <row r="92" spans="1:7" ht="10.5" customHeight="1" x14ac:dyDescent="0.25">
      <c r="A92" s="56"/>
      <c r="B92" s="52" t="s">
        <v>181</v>
      </c>
      <c r="C92" s="52"/>
      <c r="D92" s="53"/>
      <c r="E92" s="54"/>
      <c r="F92" s="54">
        <f>[6]Kewajiban!$F$10</f>
        <v>16672500</v>
      </c>
      <c r="G92" s="54"/>
    </row>
    <row r="93" spans="1:7" ht="10.5" customHeight="1" x14ac:dyDescent="0.25">
      <c r="A93" s="56"/>
      <c r="B93" s="52" t="s">
        <v>182</v>
      </c>
      <c r="C93" s="52"/>
      <c r="D93" s="53"/>
      <c r="E93" s="54"/>
      <c r="F93" s="54"/>
      <c r="G93" s="54"/>
    </row>
    <row r="94" spans="1:7" ht="10.5" customHeight="1" x14ac:dyDescent="0.25">
      <c r="A94" s="56"/>
      <c r="B94" s="52" t="s">
        <v>183</v>
      </c>
      <c r="C94" s="52"/>
      <c r="D94" s="53"/>
      <c r="E94" s="54"/>
      <c r="F94" s="54"/>
      <c r="G94" s="54"/>
    </row>
    <row r="95" spans="1:7" ht="10.5" customHeight="1" x14ac:dyDescent="0.25">
      <c r="A95" s="56"/>
      <c r="B95" s="52" t="s">
        <v>184</v>
      </c>
      <c r="C95" s="52"/>
      <c r="D95" s="53"/>
      <c r="E95" s="54"/>
      <c r="F95" s="54"/>
      <c r="G95" s="54"/>
    </row>
    <row r="96" spans="1:7" ht="10.5" customHeight="1" x14ac:dyDescent="0.25">
      <c r="A96" s="56"/>
      <c r="B96" s="52" t="s">
        <v>185</v>
      </c>
      <c r="C96" s="52"/>
      <c r="D96" s="53"/>
      <c r="E96" s="54"/>
      <c r="F96" s="54"/>
      <c r="G96" s="54"/>
    </row>
    <row r="97" spans="1:7" ht="10.5" customHeight="1" x14ac:dyDescent="0.25">
      <c r="A97" s="56"/>
      <c r="B97" s="52"/>
      <c r="C97" s="52" t="s">
        <v>186</v>
      </c>
      <c r="D97" s="53"/>
      <c r="E97" s="54"/>
      <c r="F97" s="54"/>
      <c r="G97" s="54"/>
    </row>
    <row r="98" spans="1:7" ht="10.5" customHeight="1" x14ac:dyDescent="0.25">
      <c r="A98" s="56"/>
      <c r="B98" s="52"/>
      <c r="C98" s="52" t="s">
        <v>187</v>
      </c>
      <c r="D98" s="53"/>
      <c r="E98" s="54"/>
      <c r="F98" s="54"/>
      <c r="G98" s="54"/>
    </row>
    <row r="99" spans="1:7" ht="10.5" customHeight="1" x14ac:dyDescent="0.25">
      <c r="A99" s="56"/>
      <c r="B99" s="52" t="s">
        <v>188</v>
      </c>
      <c r="C99" s="52"/>
      <c r="D99" s="53"/>
      <c r="E99" s="54"/>
      <c r="F99" s="54">
        <f>[6]Kewajiban!$F$32</f>
        <v>10540104.530646453</v>
      </c>
      <c r="G99" s="54"/>
    </row>
    <row r="100" spans="1:7" ht="10.5" customHeight="1" x14ac:dyDescent="0.25">
      <c r="A100" s="56" t="s">
        <v>189</v>
      </c>
      <c r="B100" s="52"/>
      <c r="C100" s="52"/>
      <c r="D100" s="53"/>
      <c r="E100" s="54"/>
      <c r="F100" s="54"/>
      <c r="G100" s="54"/>
    </row>
    <row r="101" spans="1:7" ht="10.5" customHeight="1" x14ac:dyDescent="0.25">
      <c r="A101" s="56" t="s">
        <v>190</v>
      </c>
      <c r="B101" s="52"/>
      <c r="C101" s="52"/>
      <c r="D101" s="53"/>
      <c r="E101" s="54"/>
      <c r="F101" s="54"/>
      <c r="G101" s="54"/>
    </row>
    <row r="102" spans="1:7" ht="10.5" customHeight="1" x14ac:dyDescent="0.25">
      <c r="A102" s="56" t="s">
        <v>191</v>
      </c>
      <c r="B102" s="52"/>
      <c r="C102" s="52"/>
      <c r="D102" s="53"/>
      <c r="E102" s="54"/>
      <c r="F102" s="54"/>
      <c r="G102" s="54"/>
    </row>
    <row r="103" spans="1:7" ht="10.5" customHeight="1" x14ac:dyDescent="0.25">
      <c r="A103" s="56" t="s">
        <v>192</v>
      </c>
      <c r="B103" s="52"/>
      <c r="C103" s="52"/>
      <c r="D103" s="53"/>
      <c r="E103" s="54"/>
      <c r="F103" s="54"/>
      <c r="G103" s="54"/>
    </row>
    <row r="104" spans="1:7" ht="10.5" customHeight="1" x14ac:dyDescent="0.25">
      <c r="A104" s="51" t="s">
        <v>193</v>
      </c>
      <c r="B104" s="52"/>
      <c r="C104" s="52"/>
      <c r="D104" s="53"/>
      <c r="E104" s="54"/>
      <c r="F104" s="54"/>
      <c r="G104" s="54">
        <f>0</f>
        <v>0</v>
      </c>
    </row>
    <row r="105" spans="1:7" ht="10.5" customHeight="1" x14ac:dyDescent="0.25">
      <c r="A105" s="56"/>
      <c r="B105" s="52" t="s">
        <v>193</v>
      </c>
      <c r="C105" s="52"/>
      <c r="D105" s="53"/>
      <c r="E105" s="54"/>
      <c r="F105" s="54"/>
      <c r="G105" s="54"/>
    </row>
    <row r="106" spans="1:7" ht="10.5" customHeight="1" x14ac:dyDescent="0.25">
      <c r="A106" s="56"/>
      <c r="B106" s="52"/>
      <c r="C106" s="52" t="s">
        <v>194</v>
      </c>
      <c r="D106" s="53"/>
      <c r="E106" s="54"/>
      <c r="F106" s="54"/>
      <c r="G106" s="54"/>
    </row>
    <row r="107" spans="1:7" ht="10.5" customHeight="1" x14ac:dyDescent="0.25">
      <c r="A107" s="56"/>
      <c r="B107" s="52"/>
      <c r="C107" s="52"/>
      <c r="D107" s="53" t="s">
        <v>195</v>
      </c>
      <c r="E107" s="54"/>
      <c r="F107" s="54"/>
      <c r="G107" s="54"/>
    </row>
    <row r="108" spans="1:7" ht="10.5" customHeight="1" x14ac:dyDescent="0.25">
      <c r="A108" s="56"/>
      <c r="B108" s="52"/>
      <c r="C108" s="52"/>
      <c r="D108" s="53" t="s">
        <v>196</v>
      </c>
      <c r="E108" s="54"/>
      <c r="F108" s="54"/>
      <c r="G108" s="54"/>
    </row>
    <row r="109" spans="1:7" ht="10.5" customHeight="1" x14ac:dyDescent="0.25">
      <c r="A109" s="56"/>
      <c r="B109" s="52"/>
      <c r="C109" s="52"/>
      <c r="D109" s="53" t="s">
        <v>197</v>
      </c>
      <c r="E109" s="54"/>
      <c r="F109" s="54"/>
      <c r="G109" s="54"/>
    </row>
    <row r="110" spans="1:7" ht="10.5" customHeight="1" x14ac:dyDescent="0.25">
      <c r="A110" s="56"/>
      <c r="B110" s="52"/>
      <c r="C110" s="52" t="s">
        <v>198</v>
      </c>
      <c r="D110" s="53"/>
      <c r="E110" s="54"/>
      <c r="F110" s="54"/>
      <c r="G110" s="54"/>
    </row>
    <row r="111" spans="1:7" ht="10.5" customHeight="1" x14ac:dyDescent="0.25">
      <c r="A111" s="56"/>
      <c r="B111" s="52"/>
      <c r="C111" s="52" t="s">
        <v>199</v>
      </c>
      <c r="D111" s="53"/>
      <c r="E111" s="54"/>
      <c r="F111" s="54"/>
      <c r="G111" s="54"/>
    </row>
    <row r="112" spans="1:7" ht="10.5" customHeight="1" x14ac:dyDescent="0.25">
      <c r="A112" s="56"/>
      <c r="B112" s="52"/>
      <c r="C112" s="52"/>
      <c r="D112" s="53" t="s">
        <v>200</v>
      </c>
      <c r="E112" s="54"/>
      <c r="F112" s="54"/>
      <c r="G112" s="54"/>
    </row>
    <row r="113" spans="1:7" ht="10.5" customHeight="1" x14ac:dyDescent="0.25">
      <c r="A113" s="56"/>
      <c r="B113" s="52"/>
      <c r="C113" s="52"/>
      <c r="D113" s="53" t="s">
        <v>201</v>
      </c>
      <c r="E113" s="54"/>
      <c r="F113" s="54"/>
      <c r="G113" s="54"/>
    </row>
    <row r="114" spans="1:7" ht="10.5" customHeight="1" x14ac:dyDescent="0.25">
      <c r="A114" s="56"/>
      <c r="B114" s="52"/>
      <c r="C114" s="52" t="s">
        <v>202</v>
      </c>
      <c r="D114" s="53"/>
      <c r="E114" s="54"/>
      <c r="F114" s="54"/>
      <c r="G114" s="54"/>
    </row>
    <row r="115" spans="1:7" ht="10.5" customHeight="1" x14ac:dyDescent="0.25">
      <c r="A115" s="51" t="s">
        <v>203</v>
      </c>
      <c r="B115" s="52"/>
      <c r="C115" s="52"/>
      <c r="D115" s="53"/>
      <c r="E115" s="54"/>
      <c r="F115" s="54"/>
      <c r="G115" s="54"/>
    </row>
    <row r="116" spans="1:7" ht="10.5" customHeight="1" x14ac:dyDescent="0.25">
      <c r="A116" s="51"/>
      <c r="B116" s="52" t="s">
        <v>204</v>
      </c>
      <c r="C116" s="57"/>
      <c r="D116" s="58"/>
      <c r="E116" s="55"/>
      <c r="F116" s="55"/>
      <c r="G116" s="55"/>
    </row>
    <row r="117" spans="1:7" ht="10.5" customHeight="1" x14ac:dyDescent="0.25">
      <c r="A117" s="56"/>
      <c r="B117" s="52" t="s">
        <v>205</v>
      </c>
      <c r="C117" s="52"/>
      <c r="D117" s="53"/>
      <c r="E117" s="54"/>
      <c r="F117" s="54"/>
      <c r="G117" s="59"/>
    </row>
    <row r="118" spans="1:7" ht="10.5" customHeight="1" x14ac:dyDescent="0.25">
      <c r="A118" s="798" t="s">
        <v>206</v>
      </c>
      <c r="B118" s="799"/>
      <c r="C118" s="799"/>
      <c r="D118" s="800"/>
      <c r="E118" s="54"/>
      <c r="F118" s="54"/>
      <c r="G118" s="67">
        <f>SUM(G91:G117)</f>
        <v>27212604.530646451</v>
      </c>
    </row>
    <row r="119" spans="1:7" ht="10.5" customHeight="1" x14ac:dyDescent="0.25">
      <c r="A119" s="56"/>
      <c r="B119" s="52"/>
      <c r="C119" s="52"/>
      <c r="D119" s="53"/>
      <c r="E119" s="54"/>
      <c r="F119" s="54"/>
      <c r="G119" s="54"/>
    </row>
    <row r="120" spans="1:7" ht="10.5" customHeight="1" x14ac:dyDescent="0.25">
      <c r="A120" s="795" t="s">
        <v>207</v>
      </c>
      <c r="B120" s="796"/>
      <c r="C120" s="796"/>
      <c r="D120" s="797"/>
      <c r="E120" s="54"/>
      <c r="F120" s="54"/>
      <c r="G120" s="54"/>
    </row>
    <row r="121" spans="1:7" ht="10.5" customHeight="1" x14ac:dyDescent="0.25">
      <c r="A121" s="51" t="s">
        <v>208</v>
      </c>
      <c r="B121" s="52"/>
      <c r="C121" s="52"/>
      <c r="D121" s="53"/>
      <c r="E121" s="54"/>
      <c r="F121" s="54"/>
      <c r="G121" s="54"/>
    </row>
    <row r="122" spans="1:7" ht="10.5" customHeight="1" x14ac:dyDescent="0.25">
      <c r="A122" s="56"/>
      <c r="B122" s="52" t="s">
        <v>209</v>
      </c>
      <c r="C122" s="52"/>
      <c r="D122" s="53"/>
      <c r="E122" s="54"/>
      <c r="F122" s="54"/>
      <c r="G122" s="54"/>
    </row>
    <row r="123" spans="1:7" ht="10.5" customHeight="1" x14ac:dyDescent="0.25">
      <c r="A123" s="56"/>
      <c r="B123" s="52" t="s">
        <v>210</v>
      </c>
      <c r="C123" s="52"/>
      <c r="D123" s="53"/>
      <c r="E123" s="54"/>
      <c r="F123" s="54"/>
      <c r="G123" s="54"/>
    </row>
    <row r="124" spans="1:7" ht="10.5" customHeight="1" x14ac:dyDescent="0.25">
      <c r="A124" s="51" t="s">
        <v>211</v>
      </c>
      <c r="B124" s="52"/>
      <c r="C124" s="52"/>
      <c r="D124" s="53"/>
      <c r="E124" s="54"/>
      <c r="F124" s="54"/>
      <c r="G124" s="54"/>
    </row>
    <row r="125" spans="1:7" ht="10.5" customHeight="1" x14ac:dyDescent="0.25">
      <c r="A125" s="56"/>
      <c r="B125" s="52" t="s">
        <v>212</v>
      </c>
      <c r="C125" s="52"/>
      <c r="D125" s="53"/>
      <c r="E125" s="54"/>
      <c r="F125" s="54"/>
      <c r="G125" s="54"/>
    </row>
    <row r="126" spans="1:7" ht="10.5" customHeight="1" x14ac:dyDescent="0.25">
      <c r="A126" s="56"/>
      <c r="B126" s="52" t="s">
        <v>213</v>
      </c>
      <c r="C126" s="52"/>
      <c r="D126" s="53"/>
      <c r="E126" s="54"/>
      <c r="F126" s="54"/>
      <c r="G126" s="54"/>
    </row>
    <row r="127" spans="1:7" ht="10.5" customHeight="1" x14ac:dyDescent="0.25">
      <c r="A127" s="51" t="s">
        <v>214</v>
      </c>
      <c r="B127" s="52"/>
      <c r="C127" s="52"/>
      <c r="D127" s="53"/>
      <c r="E127" s="54"/>
      <c r="F127" s="54"/>
      <c r="G127" s="54">
        <f>F128+F129</f>
        <v>5310339654</v>
      </c>
    </row>
    <row r="128" spans="1:7" ht="10.5" customHeight="1" x14ac:dyDescent="0.25">
      <c r="A128" s="56"/>
      <c r="B128" s="52" t="s">
        <v>215</v>
      </c>
      <c r="C128" s="52"/>
      <c r="D128" s="53"/>
      <c r="E128" s="54"/>
      <c r="F128" s="54">
        <f>[6]Modal!$F$8</f>
        <v>3573752821</v>
      </c>
      <c r="G128" s="54"/>
    </row>
    <row r="129" spans="1:7" ht="10.5" customHeight="1" x14ac:dyDescent="0.25">
      <c r="A129" s="56"/>
      <c r="B129" s="52" t="s">
        <v>213</v>
      </c>
      <c r="C129" s="52"/>
      <c r="D129" s="53"/>
      <c r="E129" s="54"/>
      <c r="F129" s="54">
        <f>[6]Modal!$F$18</f>
        <v>1736586833</v>
      </c>
      <c r="G129" s="54"/>
    </row>
    <row r="130" spans="1:7" ht="10.5" customHeight="1" x14ac:dyDescent="0.25">
      <c r="A130" s="51" t="s">
        <v>27</v>
      </c>
      <c r="B130" s="52"/>
      <c r="C130" s="52"/>
      <c r="D130" s="53"/>
      <c r="E130" s="54"/>
      <c r="F130" s="54"/>
      <c r="G130" s="54">
        <f>[6]Modal!$F$38</f>
        <v>1262000000</v>
      </c>
    </row>
    <row r="131" spans="1:7" ht="10.5" customHeight="1" x14ac:dyDescent="0.25">
      <c r="A131" s="51" t="s">
        <v>216</v>
      </c>
      <c r="B131" s="52"/>
      <c r="C131" s="52"/>
      <c r="D131" s="53"/>
      <c r="E131" s="54"/>
      <c r="F131" s="54"/>
      <c r="G131" s="54">
        <f>[6]Modal!$F$28</f>
        <v>250838537</v>
      </c>
    </row>
    <row r="132" spans="1:7" ht="10.5" customHeight="1" x14ac:dyDescent="0.25">
      <c r="A132" s="51" t="s">
        <v>217</v>
      </c>
      <c r="B132" s="52"/>
      <c r="C132" s="52"/>
      <c r="D132" s="53"/>
      <c r="E132" s="54"/>
      <c r="F132" s="54"/>
      <c r="G132" s="54"/>
    </row>
    <row r="133" spans="1:7" ht="10.5" customHeight="1" x14ac:dyDescent="0.25">
      <c r="A133" s="51" t="s">
        <v>218</v>
      </c>
      <c r="B133" s="52"/>
      <c r="C133" s="52"/>
      <c r="D133" s="53"/>
      <c r="E133" s="54"/>
      <c r="F133" s="54"/>
      <c r="G133" s="54"/>
    </row>
    <row r="134" spans="1:7" ht="10.5" customHeight="1" x14ac:dyDescent="0.25">
      <c r="A134" s="56"/>
      <c r="B134" s="52" t="s">
        <v>219</v>
      </c>
      <c r="C134" s="52"/>
      <c r="D134" s="53"/>
      <c r="E134" s="54"/>
      <c r="F134" s="54"/>
      <c r="G134" s="54"/>
    </row>
    <row r="135" spans="1:7" ht="10.5" customHeight="1" x14ac:dyDescent="0.25">
      <c r="A135" s="56"/>
      <c r="B135" s="52" t="s">
        <v>220</v>
      </c>
      <c r="C135" s="52"/>
      <c r="D135" s="53"/>
      <c r="E135" s="54"/>
      <c r="F135" s="54"/>
      <c r="G135" s="54"/>
    </row>
    <row r="136" spans="1:7" ht="10.5" customHeight="1" x14ac:dyDescent="0.25">
      <c r="A136" s="51" t="s">
        <v>221</v>
      </c>
      <c r="B136" s="52"/>
      <c r="C136" s="52"/>
      <c r="D136" s="53"/>
      <c r="E136" s="54"/>
      <c r="F136" s="54"/>
      <c r="G136" s="54">
        <f>[6]Modal!$F$48</f>
        <v>-1038284010.6</v>
      </c>
    </row>
    <row r="137" spans="1:7" ht="10.5" customHeight="1" x14ac:dyDescent="0.25">
      <c r="A137" s="51" t="s">
        <v>222</v>
      </c>
      <c r="B137" s="52"/>
      <c r="C137" s="52"/>
      <c r="D137" s="53"/>
      <c r="E137" s="54"/>
      <c r="F137" s="54"/>
      <c r="G137" s="54">
        <f>'[8]RL KOMPARATIF'!F60</f>
        <v>-548984872.05334449</v>
      </c>
    </row>
    <row r="138" spans="1:7" ht="10.5" customHeight="1" x14ac:dyDescent="0.25">
      <c r="A138" s="798" t="s">
        <v>223</v>
      </c>
      <c r="B138" s="799"/>
      <c r="C138" s="799"/>
      <c r="D138" s="800"/>
      <c r="E138" s="54"/>
      <c r="F138" s="54"/>
      <c r="G138" s="67">
        <f>SUM(G121:G137)</f>
        <v>5235909308.3466549</v>
      </c>
    </row>
    <row r="139" spans="1:7" ht="10.5" customHeight="1" x14ac:dyDescent="0.25">
      <c r="A139" s="61"/>
      <c r="B139" s="62"/>
      <c r="C139" s="62"/>
      <c r="D139" s="63"/>
      <c r="E139" s="64"/>
      <c r="F139" s="64"/>
      <c r="G139" s="64"/>
    </row>
    <row r="140" spans="1:7" ht="10.5" customHeight="1" x14ac:dyDescent="0.25">
      <c r="A140" s="791" t="s">
        <v>224</v>
      </c>
      <c r="B140" s="792"/>
      <c r="C140" s="792"/>
      <c r="D140" s="801"/>
      <c r="E140" s="65"/>
      <c r="F140" s="65"/>
      <c r="G140" s="65">
        <f>G138+G118</f>
        <v>5263121912.8773012</v>
      </c>
    </row>
    <row r="141" spans="1:7" ht="10.5" customHeight="1" x14ac:dyDescent="0.25">
      <c r="A141" s="45"/>
      <c r="B141" s="45"/>
      <c r="C141" s="45"/>
      <c r="D141" s="45"/>
      <c r="E141" s="66"/>
      <c r="F141" s="66"/>
      <c r="G141" s="66"/>
    </row>
    <row r="142" spans="1:7" ht="10.5" customHeight="1" x14ac:dyDescent="0.25">
      <c r="A142" s="45"/>
      <c r="B142" s="45"/>
      <c r="C142" s="45"/>
      <c r="D142" s="45"/>
      <c r="E142" s="66"/>
      <c r="F142" s="66"/>
      <c r="G142" s="66"/>
    </row>
    <row r="143" spans="1:7" ht="10.5" customHeight="1" x14ac:dyDescent="0.25">
      <c r="A143" s="45"/>
      <c r="B143" s="45"/>
      <c r="C143" s="45"/>
      <c r="D143" s="45"/>
      <c r="E143" s="66"/>
      <c r="F143" s="66"/>
      <c r="G143" s="66"/>
    </row>
    <row r="144" spans="1:7" ht="10.5" customHeight="1" x14ac:dyDescent="0.25">
      <c r="A144" s="45"/>
      <c r="B144" s="45"/>
      <c r="C144" s="45"/>
      <c r="D144" s="45"/>
      <c r="E144" s="66"/>
      <c r="F144" s="66"/>
      <c r="G144" s="66"/>
    </row>
    <row r="145" spans="1:7" ht="10.5" customHeight="1" x14ac:dyDescent="0.25">
      <c r="A145" s="45"/>
      <c r="B145" s="45"/>
      <c r="C145" s="45"/>
      <c r="D145" s="45"/>
      <c r="E145" s="66"/>
      <c r="F145" s="66"/>
      <c r="G145" s="66"/>
    </row>
    <row r="146" spans="1:7" ht="10.5" customHeight="1" x14ac:dyDescent="0.25">
      <c r="A146" s="45"/>
      <c r="B146" s="45"/>
      <c r="C146" s="45"/>
      <c r="D146" s="45"/>
      <c r="E146" s="66"/>
      <c r="F146" s="66"/>
      <c r="G146" s="66"/>
    </row>
    <row r="147" spans="1:7" ht="10.5" customHeight="1" x14ac:dyDescent="0.25">
      <c r="A147" s="45"/>
      <c r="B147" s="45"/>
      <c r="C147" s="45"/>
      <c r="D147" s="45"/>
      <c r="E147" s="66"/>
      <c r="F147" s="66"/>
      <c r="G147" s="66"/>
    </row>
    <row r="148" spans="1:7" ht="10.5" customHeight="1" x14ac:dyDescent="0.25">
      <c r="A148" s="45"/>
      <c r="B148" s="45"/>
      <c r="C148" s="45"/>
      <c r="D148" s="45"/>
      <c r="E148" s="66"/>
      <c r="F148" s="66"/>
      <c r="G148" s="66"/>
    </row>
    <row r="149" spans="1:7" ht="10.5" customHeight="1" x14ac:dyDescent="0.25">
      <c r="A149" s="45"/>
      <c r="B149" s="45"/>
      <c r="C149" s="45"/>
      <c r="D149" s="45"/>
      <c r="E149" s="66"/>
      <c r="F149" s="66"/>
      <c r="G149" s="66"/>
    </row>
    <row r="150" spans="1:7" ht="10.5" customHeight="1" x14ac:dyDescent="0.25">
      <c r="A150" s="45"/>
      <c r="B150" s="45"/>
      <c r="C150" s="45"/>
      <c r="D150" s="45"/>
      <c r="E150" s="66"/>
      <c r="F150" s="66"/>
      <c r="G150" s="66"/>
    </row>
    <row r="151" spans="1:7" ht="10.5" customHeight="1" x14ac:dyDescent="0.25">
      <c r="A151" s="45"/>
      <c r="B151" s="45"/>
      <c r="C151" s="45"/>
      <c r="D151" s="45"/>
      <c r="E151" s="66"/>
      <c r="F151" s="66"/>
      <c r="G151" s="66"/>
    </row>
  </sheetData>
  <mergeCells count="15">
    <mergeCell ref="A120:D120"/>
    <mergeCell ref="A138:D138"/>
    <mergeCell ref="A140:D140"/>
    <mergeCell ref="A80:D80"/>
    <mergeCell ref="A88:G88"/>
    <mergeCell ref="A89:D89"/>
    <mergeCell ref="E89:G89"/>
    <mergeCell ref="A90:D90"/>
    <mergeCell ref="A118:D118"/>
    <mergeCell ref="A1:G1"/>
    <mergeCell ref="A2:G2"/>
    <mergeCell ref="A3:G3"/>
    <mergeCell ref="A5:G5"/>
    <mergeCell ref="A6:D6"/>
    <mergeCell ref="E6:G6"/>
  </mergeCells>
  <pageMargins left="0.70866141732283472" right="0.70866141732283472" top="0.74803149606299213" bottom="0.74803149606299213" header="0.31496062992125984" footer="0.31496062992125984"/>
  <pageSetup paperSize="5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view="pageLayout" workbookViewId="0">
      <selection activeCell="D7" sqref="D7"/>
    </sheetView>
  </sheetViews>
  <sheetFormatPr defaultRowHeight="15" x14ac:dyDescent="0.25"/>
  <cols>
    <col min="1" max="2" width="3.140625" customWidth="1"/>
    <col min="3" max="3" width="29.85546875" customWidth="1"/>
    <col min="4" max="4" width="14.140625" customWidth="1"/>
    <col min="5" max="5" width="14.42578125" customWidth="1"/>
    <col min="6" max="6" width="15.140625" customWidth="1"/>
  </cols>
  <sheetData>
    <row r="1" spans="1:6" ht="15.75" x14ac:dyDescent="0.3">
      <c r="A1" s="68"/>
      <c r="B1" s="68"/>
      <c r="C1" s="68"/>
      <c r="D1" s="68"/>
      <c r="E1" s="68"/>
      <c r="F1" s="68"/>
    </row>
    <row r="2" spans="1:6" ht="15.75" x14ac:dyDescent="0.3">
      <c r="A2" s="69" t="s">
        <v>225</v>
      </c>
      <c r="B2" s="69"/>
      <c r="C2" s="69"/>
      <c r="D2" s="69"/>
      <c r="E2" s="69"/>
      <c r="F2" s="69"/>
    </row>
    <row r="3" spans="1:6" ht="15.75" x14ac:dyDescent="0.3">
      <c r="A3" s="69" t="s">
        <v>226</v>
      </c>
      <c r="B3" s="69"/>
      <c r="C3" s="69"/>
      <c r="D3" s="69"/>
      <c r="E3" s="69"/>
      <c r="F3" s="69"/>
    </row>
    <row r="4" spans="1:6" ht="15.75" x14ac:dyDescent="0.3">
      <c r="A4" s="69" t="s">
        <v>277</v>
      </c>
      <c r="B4" s="69"/>
      <c r="C4" s="69"/>
      <c r="D4" s="69"/>
      <c r="E4" s="69"/>
      <c r="F4" s="69"/>
    </row>
    <row r="5" spans="1:6" x14ac:dyDescent="0.25">
      <c r="A5" s="70"/>
      <c r="B5" s="70"/>
      <c r="C5" s="70"/>
      <c r="D5" s="70"/>
      <c r="E5" s="70"/>
      <c r="F5" s="70"/>
    </row>
    <row r="6" spans="1:6" x14ac:dyDescent="0.25">
      <c r="A6" s="808" t="s">
        <v>30</v>
      </c>
      <c r="B6" s="808"/>
      <c r="C6" s="808"/>
      <c r="D6" s="809">
        <v>41274</v>
      </c>
      <c r="E6" s="808"/>
      <c r="F6" s="808"/>
    </row>
    <row r="7" spans="1:6" ht="15.75" x14ac:dyDescent="0.3">
      <c r="A7" s="71" t="s">
        <v>227</v>
      </c>
      <c r="B7" s="72"/>
      <c r="C7" s="73"/>
      <c r="D7" s="74"/>
      <c r="E7" s="75"/>
      <c r="F7" s="74"/>
    </row>
    <row r="8" spans="1:6" x14ac:dyDescent="0.25">
      <c r="A8" s="76"/>
      <c r="B8" s="77" t="s">
        <v>2</v>
      </c>
      <c r="C8" s="78"/>
      <c r="D8" s="79"/>
      <c r="E8" s="80" t="e">
        <f>D9</f>
        <v>#REF!</v>
      </c>
      <c r="F8" s="79"/>
    </row>
    <row r="9" spans="1:6" x14ac:dyDescent="0.25">
      <c r="A9" s="76"/>
      <c r="B9" s="77"/>
      <c r="C9" s="78" t="s">
        <v>228</v>
      </c>
      <c r="D9" s="79" t="e">
        <f>#REF!</f>
        <v>#REF!</v>
      </c>
      <c r="E9" s="80"/>
      <c r="F9" s="79"/>
    </row>
    <row r="10" spans="1:6" x14ac:dyDescent="0.25">
      <c r="A10" s="76"/>
      <c r="B10" s="77" t="s">
        <v>3</v>
      </c>
      <c r="C10" s="78"/>
      <c r="D10" s="79"/>
      <c r="E10" s="80" t="e">
        <f>SUM(D11:D17)</f>
        <v>#REF!</v>
      </c>
      <c r="F10" s="79"/>
    </row>
    <row r="11" spans="1:6" x14ac:dyDescent="0.25">
      <c r="A11" s="76"/>
      <c r="B11" s="77"/>
      <c r="C11" s="78" t="s">
        <v>229</v>
      </c>
      <c r="D11" s="79" t="e">
        <f>#REF!</f>
        <v>#REF!</v>
      </c>
      <c r="E11" s="81"/>
      <c r="F11" s="79"/>
    </row>
    <row r="12" spans="1:6" x14ac:dyDescent="0.25">
      <c r="A12" s="76"/>
      <c r="B12" s="77"/>
      <c r="C12" s="78" t="s">
        <v>230</v>
      </c>
      <c r="D12" s="79" t="e">
        <f>#REF!</f>
        <v>#REF!</v>
      </c>
      <c r="E12" s="81"/>
      <c r="F12" s="79"/>
    </row>
    <row r="13" spans="1:6" x14ac:dyDescent="0.25">
      <c r="A13" s="76"/>
      <c r="B13" s="77"/>
      <c r="C13" s="78" t="s">
        <v>231</v>
      </c>
      <c r="D13" s="79" t="e">
        <f>#REF!</f>
        <v>#REF!</v>
      </c>
      <c r="E13" s="81"/>
      <c r="F13" s="79"/>
    </row>
    <row r="14" spans="1:6" x14ac:dyDescent="0.25">
      <c r="A14" s="76"/>
      <c r="B14" s="77"/>
      <c r="C14" s="78" t="s">
        <v>232</v>
      </c>
      <c r="D14" s="79" t="e">
        <f>#REF!</f>
        <v>#REF!</v>
      </c>
      <c r="E14" s="81"/>
      <c r="F14" s="79"/>
    </row>
    <row r="15" spans="1:6" x14ac:dyDescent="0.25">
      <c r="A15" s="76"/>
      <c r="B15" s="77"/>
      <c r="C15" s="78" t="s">
        <v>233</v>
      </c>
      <c r="D15" s="79" t="e">
        <f>#REF!</f>
        <v>#REF!</v>
      </c>
      <c r="E15" s="81"/>
      <c r="F15" s="79"/>
    </row>
    <row r="16" spans="1:6" x14ac:dyDescent="0.25">
      <c r="A16" s="76"/>
      <c r="B16" s="77"/>
      <c r="C16" s="78" t="s">
        <v>274</v>
      </c>
      <c r="D16" s="79" t="e">
        <f>#REF!</f>
        <v>#REF!</v>
      </c>
      <c r="E16" s="81"/>
      <c r="F16" s="79"/>
    </row>
    <row r="17" spans="1:6" x14ac:dyDescent="0.25">
      <c r="A17" s="76"/>
      <c r="B17" s="77"/>
      <c r="C17" s="78" t="s">
        <v>275</v>
      </c>
      <c r="D17" s="79" t="e">
        <f>#REF!</f>
        <v>#REF!</v>
      </c>
      <c r="E17" s="81"/>
      <c r="F17" s="79"/>
    </row>
    <row r="18" spans="1:6" ht="15.75" x14ac:dyDescent="0.3">
      <c r="A18" s="76"/>
      <c r="B18" s="77"/>
      <c r="C18" s="82"/>
      <c r="D18" s="83"/>
      <c r="E18" s="80"/>
      <c r="F18" s="79"/>
    </row>
    <row r="19" spans="1:6" ht="15.75" x14ac:dyDescent="0.3">
      <c r="A19" s="76"/>
      <c r="B19" s="77" t="s">
        <v>5</v>
      </c>
      <c r="C19" s="82"/>
      <c r="D19" s="83"/>
      <c r="E19" s="79" t="e">
        <f>SUM(D20:D21)</f>
        <v>#REF!</v>
      </c>
      <c r="F19" s="79"/>
    </row>
    <row r="20" spans="1:6" x14ac:dyDescent="0.25">
      <c r="A20" s="76"/>
      <c r="B20" s="77"/>
      <c r="C20" s="78" t="s">
        <v>234</v>
      </c>
      <c r="D20" s="79" t="e">
        <f>#REF!</f>
        <v>#REF!</v>
      </c>
      <c r="E20" s="81"/>
      <c r="F20" s="79"/>
    </row>
    <row r="21" spans="1:6" x14ac:dyDescent="0.25">
      <c r="A21" s="76"/>
      <c r="B21" s="77"/>
      <c r="C21" s="78" t="s">
        <v>276</v>
      </c>
      <c r="D21" s="79" t="e">
        <f>#REF!</f>
        <v>#REF!</v>
      </c>
      <c r="E21" s="81"/>
      <c r="F21" s="79"/>
    </row>
    <row r="22" spans="1:6" x14ac:dyDescent="0.25">
      <c r="A22" s="76"/>
      <c r="B22" s="77"/>
      <c r="C22" s="78"/>
      <c r="E22" s="81"/>
      <c r="F22" s="79"/>
    </row>
    <row r="23" spans="1:6" ht="15.75" x14ac:dyDescent="0.3">
      <c r="A23" s="76"/>
      <c r="B23" s="77"/>
      <c r="C23" s="82" t="s">
        <v>4</v>
      </c>
      <c r="D23" s="83"/>
      <c r="E23" s="84"/>
      <c r="F23" s="85" t="e">
        <f>E8+E10+E19</f>
        <v>#REF!</v>
      </c>
    </row>
    <row r="24" spans="1:6" x14ac:dyDescent="0.25">
      <c r="A24" s="76"/>
      <c r="B24" s="77"/>
      <c r="C24" s="78"/>
      <c r="D24" s="79"/>
      <c r="E24" s="80"/>
      <c r="F24" s="79"/>
    </row>
    <row r="25" spans="1:6" ht="15.75" x14ac:dyDescent="0.3">
      <c r="A25" s="86" t="s">
        <v>73</v>
      </c>
      <c r="B25" s="77"/>
      <c r="C25" s="78"/>
      <c r="D25" s="79"/>
      <c r="E25" s="80"/>
      <c r="F25" s="79"/>
    </row>
    <row r="26" spans="1:6" x14ac:dyDescent="0.25">
      <c r="A26" s="76"/>
      <c r="B26" s="77" t="s">
        <v>74</v>
      </c>
      <c r="C26" s="78"/>
      <c r="D26" s="79"/>
      <c r="E26" s="80" t="e">
        <f>SUM(D27:D28)</f>
        <v>#REF!</v>
      </c>
      <c r="F26" s="79"/>
    </row>
    <row r="27" spans="1:6" x14ac:dyDescent="0.25">
      <c r="A27" s="76"/>
      <c r="B27" s="77"/>
      <c r="C27" s="78" t="s">
        <v>235</v>
      </c>
      <c r="D27" s="79" t="e">
        <f>#REF!</f>
        <v>#REF!</v>
      </c>
      <c r="E27" s="80"/>
      <c r="F27" s="79"/>
    </row>
    <row r="28" spans="1:6" x14ac:dyDescent="0.25">
      <c r="A28" s="76"/>
      <c r="B28" s="77"/>
      <c r="C28" s="78" t="s">
        <v>236</v>
      </c>
      <c r="D28" s="79" t="e">
        <f>#REF!+#REF!+#REF!+#REF!+#REF!+#REF!+#REF!+#REF!+#REF!+#REF!+#REF!+#REF!+#REF!+#REF!+#REF!+#REF!+#REF!</f>
        <v>#REF!</v>
      </c>
      <c r="E28" s="80"/>
      <c r="F28" s="79"/>
    </row>
    <row r="29" spans="1:6" x14ac:dyDescent="0.25">
      <c r="A29" s="76"/>
      <c r="B29" s="77" t="s">
        <v>75</v>
      </c>
      <c r="C29" s="78"/>
      <c r="D29" s="79"/>
      <c r="E29" s="80" t="e">
        <f>#REF!</f>
        <v>#REF!</v>
      </c>
      <c r="F29" s="79"/>
    </row>
    <row r="30" spans="1:6" x14ac:dyDescent="0.25">
      <c r="A30" s="76"/>
      <c r="B30" s="77" t="s">
        <v>76</v>
      </c>
      <c r="C30" s="78"/>
      <c r="D30" s="79"/>
      <c r="E30" s="80" t="e">
        <f>#REF!</f>
        <v>#REF!</v>
      </c>
      <c r="F30" s="79"/>
    </row>
    <row r="31" spans="1:6" x14ac:dyDescent="0.25">
      <c r="A31" s="76"/>
      <c r="B31" s="77" t="s">
        <v>77</v>
      </c>
      <c r="C31" s="78"/>
      <c r="D31" s="79"/>
      <c r="E31" s="80" t="e">
        <f>D32+D33</f>
        <v>#REF!</v>
      </c>
      <c r="F31" s="79"/>
    </row>
    <row r="32" spans="1:6" x14ac:dyDescent="0.25">
      <c r="A32" s="76"/>
      <c r="B32" s="77"/>
      <c r="C32" s="78" t="s">
        <v>237</v>
      </c>
      <c r="D32" s="79" t="e">
        <f>#REF!</f>
        <v>#REF!</v>
      </c>
      <c r="E32" s="80"/>
      <c r="F32" s="79"/>
    </row>
    <row r="33" spans="1:6" x14ac:dyDescent="0.25">
      <c r="A33" s="76"/>
      <c r="B33" s="77"/>
      <c r="C33" s="78" t="s">
        <v>238</v>
      </c>
      <c r="D33" s="79" t="e">
        <f>#REF!</f>
        <v>#REF!</v>
      </c>
      <c r="E33" s="80"/>
      <c r="F33" s="79"/>
    </row>
    <row r="34" spans="1:6" x14ac:dyDescent="0.25">
      <c r="A34" s="76"/>
      <c r="B34" s="77" t="s">
        <v>78</v>
      </c>
      <c r="C34" s="78"/>
      <c r="D34" s="79"/>
      <c r="E34" s="80" t="e">
        <f>SUM(D35:D37)</f>
        <v>#REF!</v>
      </c>
      <c r="F34" s="79"/>
    </row>
    <row r="35" spans="1:6" x14ac:dyDescent="0.25">
      <c r="A35" s="76"/>
      <c r="B35" s="77"/>
      <c r="C35" s="78" t="s">
        <v>239</v>
      </c>
      <c r="D35" s="79" t="e">
        <f>#REF!</f>
        <v>#REF!</v>
      </c>
      <c r="E35" s="80"/>
      <c r="F35" s="79"/>
    </row>
    <row r="36" spans="1:6" x14ac:dyDescent="0.25">
      <c r="A36" s="76"/>
      <c r="B36" s="77"/>
      <c r="C36" s="78" t="s">
        <v>241</v>
      </c>
      <c r="D36" s="79" t="e">
        <f>#REF!</f>
        <v>#REF!</v>
      </c>
      <c r="E36" s="80"/>
      <c r="F36" s="79"/>
    </row>
    <row r="37" spans="1:6" x14ac:dyDescent="0.25">
      <c r="A37" s="76"/>
      <c r="B37" s="77"/>
      <c r="C37" s="78" t="s">
        <v>240</v>
      </c>
      <c r="D37" s="79" t="e">
        <f>#REF!</f>
        <v>#REF!</v>
      </c>
      <c r="E37" s="80"/>
      <c r="F37" s="79"/>
    </row>
    <row r="38" spans="1:6" x14ac:dyDescent="0.25">
      <c r="A38" s="76"/>
      <c r="B38" s="77" t="s">
        <v>242</v>
      </c>
      <c r="C38" s="78"/>
      <c r="D38" s="79"/>
      <c r="E38" s="80" t="e">
        <f>SUM(D39:D40)</f>
        <v>#REF!</v>
      </c>
      <c r="F38" s="79"/>
    </row>
    <row r="39" spans="1:6" x14ac:dyDescent="0.25">
      <c r="A39" s="76"/>
      <c r="B39" s="77"/>
      <c r="C39" s="78" t="s">
        <v>243</v>
      </c>
      <c r="D39" s="79" t="e">
        <f>#REF!</f>
        <v>#REF!</v>
      </c>
      <c r="E39" s="80"/>
      <c r="F39" s="79"/>
    </row>
    <row r="40" spans="1:6" x14ac:dyDescent="0.25">
      <c r="A40" s="76"/>
      <c r="B40" s="77"/>
      <c r="C40" s="78" t="s">
        <v>244</v>
      </c>
      <c r="D40" s="79" t="e">
        <f>#REF!</f>
        <v>#REF!</v>
      </c>
      <c r="E40" s="80"/>
      <c r="F40" s="79"/>
    </row>
    <row r="41" spans="1:6" x14ac:dyDescent="0.25">
      <c r="A41" s="76"/>
      <c r="B41" s="77" t="s">
        <v>245</v>
      </c>
      <c r="C41" s="78"/>
      <c r="D41" s="79"/>
      <c r="E41" s="80" t="e">
        <f>#REF!</f>
        <v>#REF!</v>
      </c>
      <c r="F41" s="79"/>
    </row>
    <row r="42" spans="1:6" x14ac:dyDescent="0.25">
      <c r="A42" s="76"/>
      <c r="B42" s="77" t="s">
        <v>246</v>
      </c>
      <c r="C42" s="78"/>
      <c r="D42" s="79"/>
      <c r="E42" s="80" t="e">
        <f>SUM(D44:D46)</f>
        <v>#REF!</v>
      </c>
      <c r="F42" s="79"/>
    </row>
    <row r="43" spans="1:6" x14ac:dyDescent="0.25">
      <c r="A43" s="76"/>
      <c r="B43" s="77"/>
      <c r="C43" s="87" t="s">
        <v>247</v>
      </c>
      <c r="D43" t="e">
        <f>#REF!</f>
        <v>#REF!</v>
      </c>
      <c r="E43" s="80"/>
      <c r="F43" s="81"/>
    </row>
    <row r="44" spans="1:6" x14ac:dyDescent="0.25">
      <c r="A44" s="76"/>
      <c r="B44" s="77"/>
      <c r="C44" s="87" t="s">
        <v>248</v>
      </c>
      <c r="D44" s="79" t="e">
        <f>#REF!</f>
        <v>#REF!</v>
      </c>
      <c r="E44" s="80"/>
      <c r="F44" s="81"/>
    </row>
    <row r="45" spans="1:6" x14ac:dyDescent="0.25">
      <c r="A45" s="76"/>
      <c r="B45" s="77"/>
      <c r="C45" s="87" t="s">
        <v>249</v>
      </c>
      <c r="D45" s="79" t="e">
        <f>#REF!</f>
        <v>#REF!</v>
      </c>
      <c r="E45" s="80"/>
      <c r="F45" s="81"/>
    </row>
    <row r="46" spans="1:6" x14ac:dyDescent="0.25">
      <c r="A46" s="76"/>
      <c r="B46" s="77"/>
      <c r="C46" s="78" t="s">
        <v>250</v>
      </c>
      <c r="D46" s="79" t="e">
        <f>#REF!</f>
        <v>#REF!</v>
      </c>
      <c r="E46" s="80"/>
      <c r="F46" s="81"/>
    </row>
    <row r="47" spans="1:6" x14ac:dyDescent="0.25">
      <c r="A47" s="76"/>
      <c r="B47" s="77" t="s">
        <v>81</v>
      </c>
      <c r="C47" s="78"/>
      <c r="D47" s="79"/>
      <c r="E47" s="80" t="e">
        <f>#REF!</f>
        <v>#REF!</v>
      </c>
      <c r="F47" s="81"/>
    </row>
    <row r="48" spans="1:6" x14ac:dyDescent="0.25">
      <c r="A48" s="76"/>
      <c r="B48" s="77" t="s">
        <v>251</v>
      </c>
      <c r="C48" s="78"/>
      <c r="D48" s="79"/>
      <c r="E48" s="80" t="e">
        <f>SUM(D49:D54)</f>
        <v>#REF!</v>
      </c>
      <c r="F48" s="81"/>
    </row>
    <row r="49" spans="1:6" x14ac:dyDescent="0.25">
      <c r="A49" s="76"/>
      <c r="B49" s="77"/>
      <c r="C49" s="88" t="s">
        <v>252</v>
      </c>
      <c r="D49" s="79" t="e">
        <f>#REF!</f>
        <v>#REF!</v>
      </c>
      <c r="E49" s="80"/>
      <c r="F49" s="81"/>
    </row>
    <row r="50" spans="1:6" x14ac:dyDescent="0.25">
      <c r="A50" s="76"/>
      <c r="B50" s="77"/>
      <c r="C50" s="88" t="s">
        <v>253</v>
      </c>
      <c r="D50" s="79" t="e">
        <f>#REF!</f>
        <v>#REF!</v>
      </c>
      <c r="E50" s="80"/>
      <c r="F50" s="81"/>
    </row>
    <row r="51" spans="1:6" x14ac:dyDescent="0.25">
      <c r="A51" s="76"/>
      <c r="B51" s="77"/>
      <c r="C51" s="88" t="s">
        <v>254</v>
      </c>
      <c r="D51" s="79" t="e">
        <f>#REF!</f>
        <v>#REF!</v>
      </c>
      <c r="E51" s="80"/>
      <c r="F51" s="81"/>
    </row>
    <row r="52" spans="1:6" x14ac:dyDescent="0.25">
      <c r="A52" s="76"/>
      <c r="B52" s="77"/>
      <c r="C52" s="88" t="s">
        <v>255</v>
      </c>
      <c r="D52" s="79" t="e">
        <f>#REF!</f>
        <v>#REF!</v>
      </c>
      <c r="E52" s="80"/>
      <c r="F52" s="81"/>
    </row>
    <row r="53" spans="1:6" x14ac:dyDescent="0.25">
      <c r="A53" s="76"/>
      <c r="B53" s="77"/>
      <c r="C53" s="88" t="s">
        <v>256</v>
      </c>
      <c r="D53" s="79" t="e">
        <f>#REF!</f>
        <v>#REF!</v>
      </c>
      <c r="E53" s="80"/>
      <c r="F53" s="81"/>
    </row>
    <row r="54" spans="1:6" x14ac:dyDescent="0.25">
      <c r="A54" s="76"/>
      <c r="B54" s="77"/>
      <c r="C54" s="87" t="s">
        <v>257</v>
      </c>
      <c r="D54" s="79" t="e">
        <f>#REF!</f>
        <v>#REF!</v>
      </c>
      <c r="E54" s="80"/>
      <c r="F54" s="81"/>
    </row>
    <row r="55" spans="1:6" x14ac:dyDescent="0.25">
      <c r="A55" s="76"/>
      <c r="B55" s="77" t="s">
        <v>110</v>
      </c>
      <c r="C55" s="78"/>
      <c r="D55" s="79"/>
      <c r="E55" s="80" t="e">
        <f>#REF!</f>
        <v>#REF!</v>
      </c>
      <c r="F55" s="81"/>
    </row>
    <row r="56" spans="1:6" x14ac:dyDescent="0.25">
      <c r="A56" s="76"/>
      <c r="B56" s="77" t="s">
        <v>82</v>
      </c>
      <c r="C56" s="78"/>
      <c r="D56" s="79"/>
      <c r="E56" s="80" t="e">
        <f>#REF!</f>
        <v>#REF!</v>
      </c>
      <c r="F56" s="81"/>
    </row>
    <row r="57" spans="1:6" x14ac:dyDescent="0.25">
      <c r="A57" s="76"/>
      <c r="B57" s="77"/>
      <c r="C57" s="78"/>
      <c r="D57" s="79"/>
      <c r="E57" s="80"/>
      <c r="F57" s="81"/>
    </row>
    <row r="58" spans="1:6" ht="15.75" x14ac:dyDescent="0.3">
      <c r="A58" s="76"/>
      <c r="B58" s="77"/>
      <c r="C58" s="82" t="s">
        <v>258</v>
      </c>
      <c r="D58" s="79"/>
      <c r="E58" s="80"/>
      <c r="F58" s="89" t="e">
        <f>SUM(E26:E56)</f>
        <v>#REF!</v>
      </c>
    </row>
    <row r="59" spans="1:6" ht="15.75" x14ac:dyDescent="0.3">
      <c r="A59" s="76"/>
      <c r="B59" s="77"/>
      <c r="C59" s="82"/>
      <c r="D59" s="79"/>
      <c r="E59" s="80"/>
      <c r="F59" s="89"/>
    </row>
    <row r="60" spans="1:6" x14ac:dyDescent="0.25">
      <c r="A60" s="76" t="s">
        <v>259</v>
      </c>
      <c r="B60" s="77"/>
      <c r="C60" s="78"/>
      <c r="D60" s="79"/>
      <c r="E60" s="80"/>
      <c r="F60" s="90" t="e">
        <f>F23-F58</f>
        <v>#REF!</v>
      </c>
    </row>
    <row r="61" spans="1:6" x14ac:dyDescent="0.25">
      <c r="A61" s="76" t="s">
        <v>260</v>
      </c>
      <c r="B61" s="77"/>
      <c r="C61" s="78"/>
      <c r="D61" s="79"/>
      <c r="E61" s="80"/>
      <c r="F61" s="79">
        <v>0</v>
      </c>
    </row>
    <row r="62" spans="1:6" x14ac:dyDescent="0.25">
      <c r="A62" s="76" t="s">
        <v>261</v>
      </c>
      <c r="B62" s="77"/>
      <c r="C62" s="78"/>
      <c r="D62" s="79"/>
      <c r="E62" s="80"/>
      <c r="F62" s="90" t="e">
        <f>F60-F61</f>
        <v>#REF!</v>
      </c>
    </row>
    <row r="63" spans="1:6" x14ac:dyDescent="0.25">
      <c r="A63" s="91" t="s">
        <v>262</v>
      </c>
      <c r="B63" s="91"/>
      <c r="C63" s="91"/>
      <c r="D63" s="92"/>
      <c r="E63" s="93"/>
      <c r="F63" s="92">
        <v>0</v>
      </c>
    </row>
    <row r="64" spans="1:6" ht="15.75" x14ac:dyDescent="0.3">
      <c r="A64" s="810" t="s">
        <v>263</v>
      </c>
      <c r="B64" s="811"/>
      <c r="C64" s="812"/>
      <c r="D64" s="94"/>
      <c r="E64" s="94"/>
      <c r="F64" s="95" t="e">
        <f>F62-F63</f>
        <v>#REF!</v>
      </c>
    </row>
    <row r="65" spans="1:6" x14ac:dyDescent="0.25">
      <c r="A65" s="70"/>
      <c r="B65" s="70"/>
      <c r="C65" s="70"/>
      <c r="D65" s="70"/>
      <c r="E65" s="70"/>
      <c r="F65" s="70"/>
    </row>
    <row r="66" spans="1:6" x14ac:dyDescent="0.25">
      <c r="F66" s="43"/>
    </row>
  </sheetData>
  <mergeCells count="3">
    <mergeCell ref="A6:C6"/>
    <mergeCell ref="D6:F6"/>
    <mergeCell ref="A64:C64"/>
  </mergeCells>
  <pageMargins left="0.70866141732283472" right="0.70866141732283472" top="0.74803149606299213" bottom="0.74803149606299213" header="0.31496062992125984" footer="0.31496062992125984"/>
  <pageSetup paperSize="5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76"/>
  <sheetViews>
    <sheetView zoomScale="140" zoomScaleNormal="140" zoomScalePageLayoutView="130" workbookViewId="0">
      <pane xSplit="1" ySplit="9" topLeftCell="F189" activePane="bottomRight" state="frozen"/>
      <selection pane="topRight" activeCell="B1" sqref="B1"/>
      <selection pane="bottomLeft" activeCell="A10" sqref="A10"/>
      <selection pane="bottomRight" activeCell="T8" sqref="T8:AE106"/>
    </sheetView>
  </sheetViews>
  <sheetFormatPr defaultColWidth="9.7109375" defaultRowHeight="11.25" customHeight="1" x14ac:dyDescent="0.2"/>
  <cols>
    <col min="1" max="1" width="7.5703125" style="45" customWidth="1"/>
    <col min="2" max="2" width="2.7109375" style="290" customWidth="1"/>
    <col min="3" max="3" width="2.7109375" style="45" customWidth="1"/>
    <col min="4" max="4" width="24.5703125" style="45" customWidth="1"/>
    <col min="5" max="5" width="10.28515625" style="45" customWidth="1"/>
    <col min="6" max="6" width="10.42578125" style="45" customWidth="1"/>
    <col min="7" max="7" width="10.7109375" style="45" customWidth="1"/>
    <col min="8" max="8" width="10.5703125" style="45" customWidth="1"/>
    <col min="9" max="9" width="10.7109375" style="45" customWidth="1"/>
    <col min="10" max="10" width="11.140625" style="45" customWidth="1"/>
    <col min="11" max="11" width="10.7109375" style="45" customWidth="1"/>
    <col min="12" max="12" width="10.85546875" style="45" customWidth="1"/>
    <col min="13" max="13" width="10.5703125" style="45" customWidth="1"/>
    <col min="14" max="14" width="12" style="45" customWidth="1"/>
    <col min="15" max="15" width="10.42578125" style="45" customWidth="1"/>
    <col min="16" max="16" width="10.42578125" style="45" bestFit="1" customWidth="1"/>
    <col min="17" max="17" width="13.85546875" style="45" customWidth="1"/>
    <col min="18" max="18" width="21.28515625" style="45" customWidth="1"/>
    <col min="19" max="19" width="10.42578125" style="45" bestFit="1" customWidth="1"/>
    <col min="20" max="21" width="9.7109375" style="45"/>
    <col min="22" max="22" width="11.42578125" style="45" customWidth="1"/>
    <col min="23" max="23" width="10.5703125" style="45" customWidth="1"/>
    <col min="24" max="24" width="11" style="45" customWidth="1"/>
    <col min="25" max="25" width="10.5703125" style="45" customWidth="1"/>
    <col min="26" max="26" width="10.7109375" style="45" customWidth="1"/>
    <col min="27" max="28" width="10.42578125" style="45" customWidth="1"/>
    <col min="29" max="29" width="10.28515625" style="45" customWidth="1"/>
    <col min="30" max="30" width="11.28515625" style="45" customWidth="1"/>
    <col min="31" max="31" width="9.85546875" style="45" customWidth="1"/>
    <col min="32" max="16384" width="9.7109375" style="45"/>
  </cols>
  <sheetData>
    <row r="1" spans="1:18" ht="11.25" customHeight="1" x14ac:dyDescent="0.2">
      <c r="A1" s="237" t="s">
        <v>34</v>
      </c>
      <c r="B1" s="238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2" spans="1:18" ht="11.25" customHeight="1" x14ac:dyDescent="0.2">
      <c r="A2" s="237" t="s">
        <v>111</v>
      </c>
      <c r="B2" s="238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9" t="s">
        <v>442</v>
      </c>
      <c r="R2" s="237"/>
    </row>
    <row r="3" spans="1:18" ht="11.25" customHeight="1" x14ac:dyDescent="0.2">
      <c r="A3" s="237"/>
      <c r="B3" s="238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</row>
    <row r="4" spans="1:18" ht="11.25" customHeight="1" x14ac:dyDescent="0.2">
      <c r="A4" s="813" t="s">
        <v>552</v>
      </c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</row>
    <row r="5" spans="1:18" ht="11.25" customHeight="1" x14ac:dyDescent="0.2">
      <c r="A5" s="813" t="s">
        <v>710</v>
      </c>
      <c r="B5" s="813"/>
      <c r="C5" s="813"/>
      <c r="D5" s="813"/>
      <c r="E5" s="813"/>
      <c r="F5" s="813"/>
      <c r="G5" s="813"/>
      <c r="H5" s="813"/>
      <c r="I5" s="813"/>
      <c r="J5" s="813"/>
      <c r="K5" s="813"/>
      <c r="L5" s="813"/>
      <c r="M5" s="813"/>
      <c r="N5" s="813"/>
      <c r="O5" s="813"/>
      <c r="P5" s="813"/>
      <c r="Q5" s="813"/>
      <c r="R5" s="813"/>
    </row>
    <row r="6" spans="1:18" ht="11.25" customHeight="1" x14ac:dyDescent="0.2">
      <c r="A6" s="240"/>
      <c r="B6" s="238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1"/>
      <c r="N6" s="240"/>
      <c r="O6" s="240"/>
      <c r="P6" s="240"/>
      <c r="Q6" s="240"/>
      <c r="R6" s="237"/>
    </row>
    <row r="7" spans="1:18" ht="11.25" customHeight="1" thickBot="1" x14ac:dyDescent="0.25">
      <c r="A7" s="45" t="s">
        <v>14</v>
      </c>
      <c r="B7" s="238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42"/>
      <c r="P7" s="242"/>
      <c r="Q7" s="242"/>
      <c r="R7" s="237"/>
    </row>
    <row r="8" spans="1:18" ht="11.25" customHeight="1" thickTop="1" x14ac:dyDescent="0.2">
      <c r="A8" s="243" t="s">
        <v>350</v>
      </c>
      <c r="B8" s="817" t="s">
        <v>30</v>
      </c>
      <c r="C8" s="817"/>
      <c r="D8" s="817"/>
      <c r="E8" s="819" t="s">
        <v>351</v>
      </c>
      <c r="F8" s="819"/>
      <c r="G8" s="819"/>
      <c r="H8" s="819"/>
      <c r="I8" s="819"/>
      <c r="J8" s="819"/>
      <c r="K8" s="819"/>
      <c r="L8" s="819"/>
      <c r="M8" s="819"/>
      <c r="N8" s="819"/>
      <c r="O8" s="819"/>
      <c r="P8" s="819"/>
      <c r="Q8" s="244" t="s">
        <v>12</v>
      </c>
      <c r="R8" s="820" t="s">
        <v>352</v>
      </c>
    </row>
    <row r="9" spans="1:18" ht="11.25" customHeight="1" x14ac:dyDescent="0.2">
      <c r="A9" s="245" t="s">
        <v>353</v>
      </c>
      <c r="B9" s="818"/>
      <c r="C9" s="818"/>
      <c r="D9" s="818"/>
      <c r="E9" s="246">
        <v>1</v>
      </c>
      <c r="F9" s="246">
        <v>2</v>
      </c>
      <c r="G9" s="246">
        <v>3</v>
      </c>
      <c r="H9" s="246">
        <v>4</v>
      </c>
      <c r="I9" s="246">
        <v>5</v>
      </c>
      <c r="J9" s="246">
        <v>6</v>
      </c>
      <c r="K9" s="246">
        <v>7</v>
      </c>
      <c r="L9" s="246">
        <v>8</v>
      </c>
      <c r="M9" s="246">
        <v>9</v>
      </c>
      <c r="N9" s="246">
        <v>10</v>
      </c>
      <c r="O9" s="246">
        <v>11</v>
      </c>
      <c r="P9" s="246">
        <v>12</v>
      </c>
      <c r="Q9" s="247" t="s">
        <v>711</v>
      </c>
      <c r="R9" s="821"/>
    </row>
    <row r="10" spans="1:18" ht="11.25" customHeight="1" x14ac:dyDescent="0.2">
      <c r="A10" s="248">
        <v>1</v>
      </c>
      <c r="B10" s="822">
        <v>2</v>
      </c>
      <c r="C10" s="822"/>
      <c r="D10" s="822"/>
      <c r="E10" s="249">
        <v>3</v>
      </c>
      <c r="F10" s="249">
        <v>4</v>
      </c>
      <c r="G10" s="249">
        <v>5</v>
      </c>
      <c r="H10" s="249">
        <v>6</v>
      </c>
      <c r="I10" s="249">
        <v>7</v>
      </c>
      <c r="J10" s="249">
        <v>8</v>
      </c>
      <c r="K10" s="249">
        <v>9</v>
      </c>
      <c r="L10" s="249">
        <v>10</v>
      </c>
      <c r="M10" s="249">
        <v>11</v>
      </c>
      <c r="N10" s="249">
        <v>12</v>
      </c>
      <c r="O10" s="249">
        <v>13</v>
      </c>
      <c r="P10" s="249">
        <v>14</v>
      </c>
      <c r="Q10" s="249">
        <v>15</v>
      </c>
      <c r="R10" s="250">
        <v>16</v>
      </c>
    </row>
    <row r="11" spans="1:18" ht="11.25" customHeight="1" x14ac:dyDescent="0.2">
      <c r="A11" s="251" t="s">
        <v>325</v>
      </c>
      <c r="B11" s="252" t="s">
        <v>719</v>
      </c>
      <c r="C11" s="253"/>
      <c r="D11" s="254"/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5"/>
      <c r="P11" s="255"/>
      <c r="Q11" s="256">
        <f t="shared" ref="Q11:Q12" si="0">SUM(F11:P11)</f>
        <v>0</v>
      </c>
      <c r="R11" s="257"/>
    </row>
    <row r="12" spans="1:18" ht="11.25" customHeight="1" x14ac:dyDescent="0.2">
      <c r="A12" s="258" t="s">
        <v>355</v>
      </c>
      <c r="B12" s="259" t="s">
        <v>720</v>
      </c>
      <c r="C12" s="260"/>
      <c r="D12" s="261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>
        <f t="shared" si="0"/>
        <v>0</v>
      </c>
      <c r="R12" s="257"/>
    </row>
    <row r="13" spans="1:18" ht="11.25" customHeight="1" x14ac:dyDescent="0.2">
      <c r="A13" s="258" t="s">
        <v>357</v>
      </c>
      <c r="B13" s="259" t="s">
        <v>74</v>
      </c>
      <c r="C13" s="260"/>
      <c r="D13" s="261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>
        <f t="shared" ref="Q13:Q19" si="1">SUM(E13:P13)</f>
        <v>0</v>
      </c>
      <c r="R13" s="257" t="s">
        <v>359</v>
      </c>
    </row>
    <row r="14" spans="1:18" ht="11.25" customHeight="1" x14ac:dyDescent="0.2">
      <c r="A14" s="258" t="s">
        <v>360</v>
      </c>
      <c r="B14" s="259" t="s">
        <v>712</v>
      </c>
      <c r="C14" s="260"/>
      <c r="D14" s="261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>
        <f t="shared" si="1"/>
        <v>0</v>
      </c>
      <c r="R14" s="257"/>
    </row>
    <row r="15" spans="1:18" ht="11.25" customHeight="1" x14ac:dyDescent="0.2">
      <c r="A15" s="258" t="s">
        <v>363</v>
      </c>
      <c r="B15" s="259" t="s">
        <v>713</v>
      </c>
      <c r="C15" s="260"/>
      <c r="D15" s="261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>
        <f t="shared" si="1"/>
        <v>0</v>
      </c>
      <c r="R15" s="257"/>
    </row>
    <row r="16" spans="1:18" ht="11.25" customHeight="1" x14ac:dyDescent="0.2">
      <c r="A16" s="258" t="s">
        <v>366</v>
      </c>
      <c r="B16" s="259" t="s">
        <v>714</v>
      </c>
      <c r="C16" s="260"/>
      <c r="D16" s="261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>
        <f t="shared" si="1"/>
        <v>0</v>
      </c>
      <c r="R16" s="257"/>
    </row>
    <row r="17" spans="1:18" ht="11.25" customHeight="1" x14ac:dyDescent="0.2">
      <c r="A17" s="258" t="s">
        <v>716</v>
      </c>
      <c r="B17" s="259" t="s">
        <v>715</v>
      </c>
      <c r="C17" s="260"/>
      <c r="D17" s="261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>
        <f t="shared" si="1"/>
        <v>0</v>
      </c>
      <c r="R17" s="257"/>
    </row>
    <row r="18" spans="1:18" ht="11.25" customHeight="1" x14ac:dyDescent="0.2">
      <c r="A18" s="258" t="s">
        <v>375</v>
      </c>
      <c r="B18" s="259" t="s">
        <v>361</v>
      </c>
      <c r="C18" s="260"/>
      <c r="D18" s="261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>
        <f t="shared" si="1"/>
        <v>0</v>
      </c>
      <c r="R18" s="262" t="s">
        <v>362</v>
      </c>
    </row>
    <row r="19" spans="1:18" ht="11.25" customHeight="1" x14ac:dyDescent="0.2">
      <c r="A19" s="258" t="s">
        <v>717</v>
      </c>
      <c r="B19" s="259" t="s">
        <v>722</v>
      </c>
      <c r="C19" s="260"/>
      <c r="D19" s="261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>
        <f t="shared" si="1"/>
        <v>0</v>
      </c>
      <c r="R19" s="263" t="s">
        <v>365</v>
      </c>
    </row>
    <row r="20" spans="1:18" ht="11.25" customHeight="1" x14ac:dyDescent="0.2">
      <c r="A20" s="258" t="s">
        <v>718</v>
      </c>
      <c r="B20" s="264" t="s">
        <v>367</v>
      </c>
      <c r="C20" s="260"/>
      <c r="D20" s="261"/>
      <c r="E20" s="265">
        <v>0</v>
      </c>
      <c r="F20" s="265"/>
      <c r="G20" s="256"/>
      <c r="H20" s="265"/>
      <c r="I20" s="265"/>
      <c r="J20" s="265"/>
      <c r="K20" s="265"/>
      <c r="L20" s="265"/>
      <c r="M20" s="265"/>
      <c r="N20" s="265"/>
      <c r="O20" s="265"/>
      <c r="P20" s="265"/>
      <c r="Q20" s="256">
        <f>SUM(E20:P20)</f>
        <v>0</v>
      </c>
      <c r="R20" s="262" t="s">
        <v>368</v>
      </c>
    </row>
    <row r="21" spans="1:18" ht="11.25" customHeight="1" x14ac:dyDescent="0.2">
      <c r="A21" s="258" t="s">
        <v>378</v>
      </c>
      <c r="B21" s="264" t="s">
        <v>721</v>
      </c>
      <c r="C21" s="260"/>
      <c r="D21" s="261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>
        <f t="shared" ref="Q21" si="2">SUM(E21:P21)</f>
        <v>0</v>
      </c>
      <c r="R21" s="257" t="s">
        <v>371</v>
      </c>
    </row>
    <row r="22" spans="1:18" ht="11.25" customHeight="1" x14ac:dyDescent="0.2">
      <c r="A22" s="266"/>
      <c r="B22" s="823" t="s">
        <v>372</v>
      </c>
      <c r="C22" s="824"/>
      <c r="D22" s="825"/>
      <c r="E22" s="267">
        <f>SUM(E13:E21)</f>
        <v>0</v>
      </c>
      <c r="F22" s="267">
        <f t="shared" ref="F22:P22" si="3">SUM(F13:F21)</f>
        <v>0</v>
      </c>
      <c r="G22" s="267">
        <f t="shared" si="3"/>
        <v>0</v>
      </c>
      <c r="H22" s="267">
        <f t="shared" si="3"/>
        <v>0</v>
      </c>
      <c r="I22" s="267">
        <f t="shared" si="3"/>
        <v>0</v>
      </c>
      <c r="J22" s="267">
        <f t="shared" si="3"/>
        <v>0</v>
      </c>
      <c r="K22" s="267">
        <f t="shared" si="3"/>
        <v>0</v>
      </c>
      <c r="L22" s="267">
        <f t="shared" si="3"/>
        <v>0</v>
      </c>
      <c r="M22" s="267">
        <f t="shared" si="3"/>
        <v>0</v>
      </c>
      <c r="N22" s="267">
        <f t="shared" si="3"/>
        <v>0</v>
      </c>
      <c r="O22" s="267">
        <f t="shared" si="3"/>
        <v>0</v>
      </c>
      <c r="P22" s="267">
        <f t="shared" si="3"/>
        <v>0</v>
      </c>
      <c r="Q22" s="267">
        <f>SUM(E22:P22)</f>
        <v>0</v>
      </c>
      <c r="R22" s="268"/>
    </row>
    <row r="23" spans="1:18" ht="11.25" customHeight="1" x14ac:dyDescent="0.2">
      <c r="A23" s="258" t="s">
        <v>389</v>
      </c>
      <c r="B23" s="259" t="s">
        <v>723</v>
      </c>
      <c r="C23" s="260"/>
      <c r="D23" s="261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7"/>
    </row>
    <row r="24" spans="1:18" ht="11.25" customHeight="1" x14ac:dyDescent="0.2">
      <c r="A24" s="258" t="s">
        <v>724</v>
      </c>
      <c r="B24" s="259" t="s">
        <v>376</v>
      </c>
      <c r="C24" s="260"/>
      <c r="D24" s="261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>
        <f t="shared" ref="Q24:Q57" si="4">SUM(E24:P24)</f>
        <v>0</v>
      </c>
      <c r="R24" s="257"/>
    </row>
    <row r="25" spans="1:18" ht="11.25" customHeight="1" x14ac:dyDescent="0.2">
      <c r="A25" s="258" t="s">
        <v>725</v>
      </c>
      <c r="B25" s="259" t="s">
        <v>379</v>
      </c>
      <c r="C25" s="260"/>
      <c r="D25" s="261"/>
      <c r="E25" s="256"/>
      <c r="F25" s="256"/>
      <c r="G25" s="256"/>
      <c r="H25" s="256"/>
      <c r="I25" s="256"/>
      <c r="J25" s="256"/>
      <c r="K25" s="256"/>
      <c r="L25" s="269"/>
      <c r="M25" s="256"/>
      <c r="N25" s="256"/>
      <c r="O25" s="256"/>
      <c r="P25" s="256"/>
      <c r="Q25" s="256">
        <f t="shared" si="4"/>
        <v>0</v>
      </c>
      <c r="R25" s="257"/>
    </row>
    <row r="26" spans="1:18" ht="11.25" customHeight="1" x14ac:dyDescent="0.2">
      <c r="A26" s="258" t="s">
        <v>726</v>
      </c>
      <c r="B26" s="259" t="s">
        <v>381</v>
      </c>
      <c r="C26" s="260"/>
      <c r="D26" s="261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>
        <f t="shared" si="4"/>
        <v>0</v>
      </c>
      <c r="R26" s="257"/>
    </row>
    <row r="27" spans="1:18" ht="11.25" customHeight="1" x14ac:dyDescent="0.2">
      <c r="A27" s="258" t="s">
        <v>727</v>
      </c>
      <c r="B27" s="259" t="s">
        <v>383</v>
      </c>
      <c r="C27" s="260"/>
      <c r="D27" s="261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>
        <f t="shared" si="4"/>
        <v>0</v>
      </c>
      <c r="R27" s="257"/>
    </row>
    <row r="28" spans="1:18" ht="11.25" customHeight="1" x14ac:dyDescent="0.2">
      <c r="A28" s="258" t="s">
        <v>728</v>
      </c>
      <c r="B28" s="259" t="s">
        <v>385</v>
      </c>
      <c r="C28" s="260"/>
      <c r="D28" s="261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>
        <f t="shared" si="4"/>
        <v>0</v>
      </c>
      <c r="R28" s="257"/>
    </row>
    <row r="29" spans="1:18" ht="11.25" customHeight="1" x14ac:dyDescent="0.2">
      <c r="A29" s="258" t="s">
        <v>729</v>
      </c>
      <c r="B29" s="259" t="s">
        <v>387</v>
      </c>
      <c r="C29" s="260"/>
      <c r="D29" s="261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>
        <f t="shared" si="4"/>
        <v>0</v>
      </c>
      <c r="R29" s="257"/>
    </row>
    <row r="30" spans="1:18" ht="11.25" customHeight="1" x14ac:dyDescent="0.2">
      <c r="A30" s="266"/>
      <c r="B30" s="823" t="s">
        <v>730</v>
      </c>
      <c r="C30" s="824"/>
      <c r="D30" s="825"/>
      <c r="E30" s="267">
        <f>SUM(E24:E29)</f>
        <v>0</v>
      </c>
      <c r="F30" s="267">
        <f t="shared" ref="F30:P30" si="5">SUM(F24:F29)</f>
        <v>0</v>
      </c>
      <c r="G30" s="267">
        <f t="shared" si="5"/>
        <v>0</v>
      </c>
      <c r="H30" s="267">
        <f t="shared" si="5"/>
        <v>0</v>
      </c>
      <c r="I30" s="267">
        <f t="shared" si="5"/>
        <v>0</v>
      </c>
      <c r="J30" s="267">
        <f t="shared" si="5"/>
        <v>0</v>
      </c>
      <c r="K30" s="267">
        <f t="shared" si="5"/>
        <v>0</v>
      </c>
      <c r="L30" s="267">
        <f t="shared" si="5"/>
        <v>0</v>
      </c>
      <c r="M30" s="267">
        <f t="shared" si="5"/>
        <v>0</v>
      </c>
      <c r="N30" s="267">
        <f t="shared" si="5"/>
        <v>0</v>
      </c>
      <c r="O30" s="267">
        <f t="shared" si="5"/>
        <v>0</v>
      </c>
      <c r="P30" s="267">
        <f t="shared" si="5"/>
        <v>0</v>
      </c>
      <c r="Q30" s="267">
        <f t="shared" si="4"/>
        <v>0</v>
      </c>
      <c r="R30" s="270" t="s">
        <v>377</v>
      </c>
    </row>
    <row r="31" spans="1:18" ht="11.25" customHeight="1" x14ac:dyDescent="0.2">
      <c r="A31" s="258" t="s">
        <v>967</v>
      </c>
      <c r="B31" s="259" t="s">
        <v>731</v>
      </c>
      <c r="C31" s="260"/>
      <c r="D31" s="261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67">
        <f t="shared" si="4"/>
        <v>0</v>
      </c>
      <c r="R31" s="271" t="s">
        <v>635</v>
      </c>
    </row>
    <row r="32" spans="1:18" ht="11.25" customHeight="1" x14ac:dyDescent="0.2">
      <c r="A32" s="266"/>
      <c r="B32" s="829" t="s">
        <v>391</v>
      </c>
      <c r="C32" s="830"/>
      <c r="D32" s="831"/>
      <c r="E32" s="267">
        <f>E30+E22+E31</f>
        <v>0</v>
      </c>
      <c r="F32" s="267">
        <f>F30+F22+F31</f>
        <v>0</v>
      </c>
      <c r="G32" s="267"/>
      <c r="H32" s="267">
        <f>H30+H22+H31</f>
        <v>0</v>
      </c>
      <c r="I32" s="267">
        <f t="shared" ref="I32:P32" si="6">I30+I22+I31</f>
        <v>0</v>
      </c>
      <c r="J32" s="267">
        <f t="shared" si="6"/>
        <v>0</v>
      </c>
      <c r="K32" s="267">
        <f t="shared" si="6"/>
        <v>0</v>
      </c>
      <c r="L32" s="267">
        <f t="shared" si="6"/>
        <v>0</v>
      </c>
      <c r="M32" s="267">
        <f t="shared" si="6"/>
        <v>0</v>
      </c>
      <c r="N32" s="267">
        <f t="shared" si="6"/>
        <v>0</v>
      </c>
      <c r="O32" s="267">
        <f t="shared" si="6"/>
        <v>0</v>
      </c>
      <c r="P32" s="267">
        <f t="shared" si="6"/>
        <v>0</v>
      </c>
      <c r="Q32" s="256">
        <f t="shared" si="4"/>
        <v>0</v>
      </c>
      <c r="R32" s="272"/>
    </row>
    <row r="33" spans="1:18" ht="11.25" customHeight="1" x14ac:dyDescent="0.2">
      <c r="A33" s="266" t="s">
        <v>759</v>
      </c>
      <c r="B33" s="273" t="s">
        <v>732</v>
      </c>
      <c r="C33" s="274"/>
      <c r="D33" s="275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>
        <f t="shared" si="4"/>
        <v>0</v>
      </c>
      <c r="R33" s="263" t="s">
        <v>393</v>
      </c>
    </row>
    <row r="34" spans="1:18" ht="11.25" customHeight="1" x14ac:dyDescent="0.2">
      <c r="A34" s="266"/>
      <c r="B34" s="814" t="s">
        <v>733</v>
      </c>
      <c r="C34" s="815"/>
      <c r="D34" s="816"/>
      <c r="E34" s="267">
        <f>SUM(E32:E33)</f>
        <v>0</v>
      </c>
      <c r="F34" s="267">
        <f t="shared" ref="F34:P34" si="7">SUM(F32:F33)</f>
        <v>0</v>
      </c>
      <c r="G34" s="267">
        <f t="shared" si="7"/>
        <v>0</v>
      </c>
      <c r="H34" s="267">
        <f t="shared" si="7"/>
        <v>0</v>
      </c>
      <c r="I34" s="267">
        <f t="shared" si="7"/>
        <v>0</v>
      </c>
      <c r="J34" s="267">
        <f t="shared" si="7"/>
        <v>0</v>
      </c>
      <c r="K34" s="267">
        <f t="shared" si="7"/>
        <v>0</v>
      </c>
      <c r="L34" s="267">
        <f t="shared" si="7"/>
        <v>0</v>
      </c>
      <c r="M34" s="267">
        <f t="shared" si="7"/>
        <v>0</v>
      </c>
      <c r="N34" s="267">
        <f t="shared" si="7"/>
        <v>0</v>
      </c>
      <c r="O34" s="267">
        <f t="shared" si="7"/>
        <v>0</v>
      </c>
      <c r="P34" s="267">
        <f t="shared" si="7"/>
        <v>0</v>
      </c>
      <c r="Q34" s="267">
        <f t="shared" si="4"/>
        <v>0</v>
      </c>
      <c r="R34" s="276"/>
    </row>
    <row r="35" spans="1:18" ht="11.25" customHeight="1" x14ac:dyDescent="0.2">
      <c r="A35" s="258"/>
      <c r="B35" s="277"/>
      <c r="C35" s="278"/>
      <c r="D35" s="279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>
        <f t="shared" si="4"/>
        <v>0</v>
      </c>
      <c r="R35" s="280"/>
    </row>
    <row r="36" spans="1:18" ht="11.25" customHeight="1" x14ac:dyDescent="0.2">
      <c r="A36" s="258" t="s">
        <v>326</v>
      </c>
      <c r="B36" s="259" t="s">
        <v>734</v>
      </c>
      <c r="C36" s="260"/>
      <c r="D36" s="261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>
        <f t="shared" si="4"/>
        <v>0</v>
      </c>
      <c r="R36" s="280"/>
    </row>
    <row r="37" spans="1:18" ht="11.25" customHeight="1" x14ac:dyDescent="0.2">
      <c r="A37" s="258" t="s">
        <v>396</v>
      </c>
      <c r="B37" s="259" t="s">
        <v>74</v>
      </c>
      <c r="C37" s="260"/>
      <c r="D37" s="261"/>
      <c r="E37" s="265">
        <f>SUM(E39:E43)</f>
        <v>0</v>
      </c>
      <c r="F37" s="265">
        <f t="shared" ref="F37:P37" si="8">SUM(F39:F43)</f>
        <v>0</v>
      </c>
      <c r="G37" s="265">
        <f t="shared" si="8"/>
        <v>0</v>
      </c>
      <c r="H37" s="265">
        <f t="shared" si="8"/>
        <v>0</v>
      </c>
      <c r="I37" s="265">
        <f t="shared" si="8"/>
        <v>0</v>
      </c>
      <c r="J37" s="265">
        <f t="shared" si="8"/>
        <v>0</v>
      </c>
      <c r="K37" s="265">
        <f t="shared" si="8"/>
        <v>0</v>
      </c>
      <c r="L37" s="265">
        <f t="shared" si="8"/>
        <v>0</v>
      </c>
      <c r="M37" s="265">
        <f t="shared" si="8"/>
        <v>0</v>
      </c>
      <c r="N37" s="265">
        <f t="shared" si="8"/>
        <v>0</v>
      </c>
      <c r="O37" s="265">
        <f t="shared" si="8"/>
        <v>0</v>
      </c>
      <c r="P37" s="265">
        <f t="shared" si="8"/>
        <v>0</v>
      </c>
      <c r="Q37" s="256">
        <f t="shared" si="4"/>
        <v>0</v>
      </c>
      <c r="R37" s="280" t="s">
        <v>359</v>
      </c>
    </row>
    <row r="38" spans="1:18" ht="11.25" customHeight="1" x14ac:dyDescent="0.2">
      <c r="A38" s="258"/>
      <c r="B38" s="45"/>
      <c r="C38" s="518" t="s">
        <v>735</v>
      </c>
      <c r="D38" s="261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>
        <f t="shared" si="4"/>
        <v>0</v>
      </c>
      <c r="R38" s="280"/>
    </row>
    <row r="39" spans="1:18" ht="11.25" customHeight="1" x14ac:dyDescent="0.2">
      <c r="A39" s="258"/>
      <c r="B39" s="259"/>
      <c r="D39" s="260" t="s">
        <v>736</v>
      </c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>
        <f t="shared" si="4"/>
        <v>0</v>
      </c>
      <c r="R39" s="280"/>
    </row>
    <row r="40" spans="1:18" ht="11.25" customHeight="1" x14ac:dyDescent="0.2">
      <c r="A40" s="258"/>
      <c r="B40" s="259"/>
      <c r="D40" s="260" t="s">
        <v>737</v>
      </c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>
        <f t="shared" si="4"/>
        <v>0</v>
      </c>
      <c r="R40" s="280"/>
    </row>
    <row r="41" spans="1:18" ht="11.25" customHeight="1" x14ac:dyDescent="0.2">
      <c r="A41" s="258"/>
      <c r="B41" s="259"/>
      <c r="D41" s="260" t="s">
        <v>738</v>
      </c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>
        <f t="shared" si="4"/>
        <v>0</v>
      </c>
      <c r="R41" s="280"/>
    </row>
    <row r="42" spans="1:18" ht="11.25" customHeight="1" x14ac:dyDescent="0.2">
      <c r="A42" s="258"/>
      <c r="B42" s="45"/>
      <c r="C42" s="518" t="s">
        <v>397</v>
      </c>
      <c r="D42" s="261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>
        <f t="shared" si="4"/>
        <v>0</v>
      </c>
      <c r="R42" s="280" t="s">
        <v>359</v>
      </c>
    </row>
    <row r="43" spans="1:18" ht="11.25" customHeight="1" x14ac:dyDescent="0.2">
      <c r="A43" s="258"/>
      <c r="B43" s="45"/>
      <c r="C43" s="518" t="s">
        <v>739</v>
      </c>
      <c r="D43" s="261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>
        <f t="shared" si="4"/>
        <v>0</v>
      </c>
      <c r="R43" s="280"/>
    </row>
    <row r="44" spans="1:18" ht="11.25" customHeight="1" x14ac:dyDescent="0.2">
      <c r="A44" s="258" t="s">
        <v>398</v>
      </c>
      <c r="B44" s="259" t="s">
        <v>740</v>
      </c>
      <c r="C44" s="260"/>
      <c r="D44" s="261"/>
      <c r="E44" s="265">
        <f>SUM(E45:E49)</f>
        <v>0</v>
      </c>
      <c r="F44" s="265">
        <f t="shared" ref="F44:P44" si="9">SUM(F45:F49)</f>
        <v>0</v>
      </c>
      <c r="G44" s="265">
        <f t="shared" si="9"/>
        <v>0</v>
      </c>
      <c r="H44" s="265">
        <f t="shared" si="9"/>
        <v>0</v>
      </c>
      <c r="I44" s="265">
        <f t="shared" si="9"/>
        <v>0</v>
      </c>
      <c r="J44" s="265">
        <f t="shared" si="9"/>
        <v>0</v>
      </c>
      <c r="K44" s="265">
        <f t="shared" si="9"/>
        <v>0</v>
      </c>
      <c r="L44" s="265">
        <f t="shared" si="9"/>
        <v>0</v>
      </c>
      <c r="M44" s="265">
        <f t="shared" si="9"/>
        <v>0</v>
      </c>
      <c r="N44" s="265">
        <f t="shared" si="9"/>
        <v>0</v>
      </c>
      <c r="O44" s="265">
        <f t="shared" si="9"/>
        <v>0</v>
      </c>
      <c r="P44" s="265">
        <f t="shared" si="9"/>
        <v>0</v>
      </c>
      <c r="Q44" s="256">
        <f t="shared" si="4"/>
        <v>0</v>
      </c>
      <c r="R44" s="280"/>
    </row>
    <row r="45" spans="1:18" ht="11.25" customHeight="1" x14ac:dyDescent="0.2">
      <c r="A45" s="258"/>
      <c r="B45" s="259"/>
      <c r="C45" s="260" t="s">
        <v>741</v>
      </c>
      <c r="D45" s="261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>
        <f t="shared" si="4"/>
        <v>0</v>
      </c>
      <c r="R45" s="280"/>
    </row>
    <row r="46" spans="1:18" ht="11.25" customHeight="1" x14ac:dyDescent="0.2">
      <c r="A46" s="258"/>
      <c r="B46" s="259"/>
      <c r="C46" s="260" t="s">
        <v>742</v>
      </c>
      <c r="D46" s="261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>
        <f t="shared" si="4"/>
        <v>0</v>
      </c>
      <c r="R46" s="280"/>
    </row>
    <row r="47" spans="1:18" ht="11.25" customHeight="1" x14ac:dyDescent="0.2">
      <c r="A47" s="258"/>
      <c r="B47" s="259"/>
      <c r="C47" s="260" t="s">
        <v>743</v>
      </c>
      <c r="D47" s="261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>
        <f t="shared" si="4"/>
        <v>0</v>
      </c>
      <c r="R47" s="280"/>
    </row>
    <row r="48" spans="1:18" ht="11.25" customHeight="1" x14ac:dyDescent="0.2">
      <c r="A48" s="258"/>
      <c r="B48" s="259"/>
      <c r="C48" s="260" t="s">
        <v>744</v>
      </c>
      <c r="D48" s="261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>
        <f t="shared" si="4"/>
        <v>0</v>
      </c>
      <c r="R48" s="280"/>
    </row>
    <row r="49" spans="1:18" ht="11.25" customHeight="1" x14ac:dyDescent="0.2">
      <c r="A49" s="258"/>
      <c r="B49" s="259"/>
      <c r="C49" s="260" t="s">
        <v>745</v>
      </c>
      <c r="D49" s="261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>
        <f t="shared" si="4"/>
        <v>0</v>
      </c>
      <c r="R49" s="280"/>
    </row>
    <row r="50" spans="1:18" ht="11.25" customHeight="1" x14ac:dyDescent="0.2">
      <c r="A50" s="258" t="s">
        <v>588</v>
      </c>
      <c r="B50" s="259" t="s">
        <v>713</v>
      </c>
      <c r="C50" s="260"/>
      <c r="D50" s="261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>
        <f t="shared" si="4"/>
        <v>0</v>
      </c>
      <c r="R50" s="280"/>
    </row>
    <row r="51" spans="1:18" ht="11.25" customHeight="1" x14ac:dyDescent="0.2">
      <c r="A51" s="258" t="s">
        <v>746</v>
      </c>
      <c r="B51" s="259" t="s">
        <v>714</v>
      </c>
      <c r="C51" s="260"/>
      <c r="D51" s="261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>
        <f t="shared" si="4"/>
        <v>0</v>
      </c>
      <c r="R51" s="280"/>
    </row>
    <row r="52" spans="1:18" ht="11.25" customHeight="1" x14ac:dyDescent="0.2">
      <c r="A52" s="258" t="s">
        <v>747</v>
      </c>
      <c r="B52" s="259" t="s">
        <v>748</v>
      </c>
      <c r="C52" s="260"/>
      <c r="D52" s="261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>
        <f t="shared" si="4"/>
        <v>0</v>
      </c>
      <c r="R52" s="280"/>
    </row>
    <row r="53" spans="1:18" ht="11.25" customHeight="1" x14ac:dyDescent="0.2">
      <c r="A53" s="258" t="s">
        <v>405</v>
      </c>
      <c r="B53" s="259" t="s">
        <v>563</v>
      </c>
      <c r="C53" s="260"/>
      <c r="D53" s="261"/>
      <c r="E53" s="265">
        <f>SUM(E54:E57)</f>
        <v>0</v>
      </c>
      <c r="F53" s="265">
        <f>SUM(F54:F57)</f>
        <v>0</v>
      </c>
      <c r="G53" s="265">
        <f t="shared" ref="G53:P53" si="10">SUM(G54:G57)</f>
        <v>0</v>
      </c>
      <c r="H53" s="265">
        <f t="shared" si="10"/>
        <v>0</v>
      </c>
      <c r="I53" s="265">
        <f t="shared" si="10"/>
        <v>0</v>
      </c>
      <c r="J53" s="265">
        <f t="shared" si="10"/>
        <v>0</v>
      </c>
      <c r="K53" s="265">
        <f t="shared" si="10"/>
        <v>0</v>
      </c>
      <c r="L53" s="265">
        <f t="shared" si="10"/>
        <v>0</v>
      </c>
      <c r="M53" s="265">
        <f t="shared" si="10"/>
        <v>0</v>
      </c>
      <c r="N53" s="265">
        <f t="shared" si="10"/>
        <v>0</v>
      </c>
      <c r="O53" s="265">
        <f t="shared" si="10"/>
        <v>0</v>
      </c>
      <c r="P53" s="265">
        <f t="shared" si="10"/>
        <v>0</v>
      </c>
      <c r="Q53" s="265">
        <f t="shared" si="4"/>
        <v>0</v>
      </c>
      <c r="R53" s="653"/>
    </row>
    <row r="54" spans="1:18" ht="11.25" customHeight="1" x14ac:dyDescent="0.2">
      <c r="A54" s="258"/>
      <c r="B54" s="45"/>
      <c r="C54" s="518" t="s">
        <v>239</v>
      </c>
      <c r="D54" s="261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>
        <f t="shared" si="4"/>
        <v>0</v>
      </c>
      <c r="R54" s="280"/>
    </row>
    <row r="55" spans="1:18" ht="11.25" customHeight="1" x14ac:dyDescent="0.2">
      <c r="A55" s="258"/>
      <c r="B55" s="45"/>
      <c r="C55" s="518" t="s">
        <v>241</v>
      </c>
      <c r="D55" s="261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>
        <f t="shared" si="4"/>
        <v>0</v>
      </c>
      <c r="R55" s="263"/>
    </row>
    <row r="56" spans="1:18" ht="11.25" customHeight="1" x14ac:dyDescent="0.2">
      <c r="A56" s="258"/>
      <c r="B56" s="45"/>
      <c r="C56" s="518" t="s">
        <v>240</v>
      </c>
      <c r="D56" s="282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>
        <f t="shared" si="4"/>
        <v>0</v>
      </c>
      <c r="R56" s="280"/>
    </row>
    <row r="57" spans="1:18" ht="11.25" customHeight="1" x14ac:dyDescent="0.2">
      <c r="A57" s="258"/>
      <c r="B57" s="45"/>
      <c r="C57" s="518" t="s">
        <v>677</v>
      </c>
      <c r="D57" s="282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>
        <f t="shared" si="4"/>
        <v>0</v>
      </c>
      <c r="R57" s="280"/>
    </row>
    <row r="58" spans="1:18" ht="11.25" customHeight="1" x14ac:dyDescent="0.2">
      <c r="A58" s="258" t="s">
        <v>407</v>
      </c>
      <c r="B58" s="259" t="s">
        <v>589</v>
      </c>
      <c r="C58" s="278"/>
      <c r="D58" s="279"/>
      <c r="E58" s="256">
        <v>0</v>
      </c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>
        <f t="shared" ref="Q58:Q59" si="11">SUM(E58:P58)</f>
        <v>0</v>
      </c>
      <c r="R58" s="257" t="s">
        <v>368</v>
      </c>
    </row>
    <row r="59" spans="1:18" ht="11.25" customHeight="1" x14ac:dyDescent="0.2">
      <c r="A59" s="258" t="s">
        <v>749</v>
      </c>
      <c r="B59" s="259" t="s">
        <v>560</v>
      </c>
      <c r="C59" s="278"/>
      <c r="D59" s="279"/>
      <c r="E59" s="256">
        <v>0</v>
      </c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>
        <f t="shared" si="11"/>
        <v>0</v>
      </c>
      <c r="R59" s="280" t="s">
        <v>371</v>
      </c>
    </row>
    <row r="60" spans="1:18" ht="11.25" customHeight="1" x14ac:dyDescent="0.2">
      <c r="A60" s="266"/>
      <c r="B60" s="814" t="s">
        <v>750</v>
      </c>
      <c r="C60" s="815"/>
      <c r="D60" s="816"/>
      <c r="E60" s="267">
        <f>E37+E44+E50+E51+E52+E53+E58+E59</f>
        <v>0</v>
      </c>
      <c r="F60" s="267">
        <f t="shared" ref="F60:P60" si="12">F37+F44+F50+F51+F52+F53+F58+F59</f>
        <v>0</v>
      </c>
      <c r="G60" s="267">
        <f t="shared" si="12"/>
        <v>0</v>
      </c>
      <c r="H60" s="267">
        <f t="shared" si="12"/>
        <v>0</v>
      </c>
      <c r="I60" s="267">
        <f t="shared" si="12"/>
        <v>0</v>
      </c>
      <c r="J60" s="267">
        <f t="shared" si="12"/>
        <v>0</v>
      </c>
      <c r="K60" s="267">
        <f t="shared" si="12"/>
        <v>0</v>
      </c>
      <c r="L60" s="267">
        <f t="shared" si="12"/>
        <v>0</v>
      </c>
      <c r="M60" s="267">
        <f t="shared" si="12"/>
        <v>0</v>
      </c>
      <c r="N60" s="267">
        <f t="shared" si="12"/>
        <v>0</v>
      </c>
      <c r="O60" s="267">
        <f t="shared" si="12"/>
        <v>0</v>
      </c>
      <c r="P60" s="267">
        <f t="shared" si="12"/>
        <v>0</v>
      </c>
      <c r="Q60" s="267">
        <f>SUM(E60:P60)</f>
        <v>0</v>
      </c>
      <c r="R60" s="276"/>
    </row>
    <row r="61" spans="1:18" ht="11.25" customHeight="1" x14ac:dyDescent="0.2">
      <c r="A61" s="258" t="s">
        <v>751</v>
      </c>
      <c r="B61" s="259" t="s">
        <v>752</v>
      </c>
      <c r="C61" s="260"/>
      <c r="D61" s="261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80"/>
    </row>
    <row r="62" spans="1:18" ht="11.25" customHeight="1" x14ac:dyDescent="0.2">
      <c r="A62" s="258" t="s">
        <v>753</v>
      </c>
      <c r="B62" s="259" t="s">
        <v>406</v>
      </c>
      <c r="C62" s="260"/>
      <c r="D62" s="261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80"/>
    </row>
    <row r="63" spans="1:18" ht="11.25" customHeight="1" x14ac:dyDescent="0.2">
      <c r="A63" s="258" t="s">
        <v>754</v>
      </c>
      <c r="B63" s="259" t="s">
        <v>408</v>
      </c>
      <c r="C63" s="281"/>
      <c r="D63" s="282"/>
      <c r="E63" s="265"/>
      <c r="F63" s="265"/>
      <c r="G63" s="256"/>
      <c r="H63" s="265"/>
      <c r="I63" s="265"/>
      <c r="J63" s="256"/>
      <c r="K63" s="256"/>
      <c r="L63" s="265"/>
      <c r="M63" s="256"/>
      <c r="N63" s="256"/>
      <c r="O63" s="256"/>
      <c r="P63" s="256"/>
      <c r="Q63" s="256">
        <f t="shared" ref="Q63:Q64" si="13">SUM(E63:P63)</f>
        <v>0</v>
      </c>
      <c r="R63" s="280"/>
    </row>
    <row r="64" spans="1:18" ht="11.25" customHeight="1" x14ac:dyDescent="0.2">
      <c r="A64" s="258" t="s">
        <v>755</v>
      </c>
      <c r="B64" s="259" t="s">
        <v>410</v>
      </c>
      <c r="C64" s="260"/>
      <c r="D64" s="261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>
        <f t="shared" si="13"/>
        <v>0</v>
      </c>
      <c r="R64" s="280"/>
    </row>
    <row r="65" spans="1:18" ht="11.25" customHeight="1" x14ac:dyDescent="0.2">
      <c r="A65" s="258" t="s">
        <v>756</v>
      </c>
      <c r="B65" s="259" t="s">
        <v>412</v>
      </c>
      <c r="C65" s="260"/>
      <c r="D65" s="261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>
        <f>SUM(E65:P65)</f>
        <v>0</v>
      </c>
      <c r="R65" s="280"/>
    </row>
    <row r="66" spans="1:18" ht="11.25" customHeight="1" x14ac:dyDescent="0.2">
      <c r="A66" s="266"/>
      <c r="B66" s="814" t="s">
        <v>757</v>
      </c>
      <c r="C66" s="815"/>
      <c r="D66" s="816"/>
      <c r="E66" s="267">
        <f>SUM(E62:E65)</f>
        <v>0</v>
      </c>
      <c r="F66" s="267">
        <f t="shared" ref="F66:P66" si="14">SUM(F62:F65)</f>
        <v>0</v>
      </c>
      <c r="G66" s="267">
        <f t="shared" si="14"/>
        <v>0</v>
      </c>
      <c r="H66" s="267">
        <f t="shared" si="14"/>
        <v>0</v>
      </c>
      <c r="I66" s="267">
        <f t="shared" si="14"/>
        <v>0</v>
      </c>
      <c r="J66" s="267">
        <f t="shared" si="14"/>
        <v>0</v>
      </c>
      <c r="K66" s="267">
        <f t="shared" si="14"/>
        <v>0</v>
      </c>
      <c r="L66" s="267">
        <f t="shared" si="14"/>
        <v>0</v>
      </c>
      <c r="M66" s="267">
        <f t="shared" si="14"/>
        <v>0</v>
      </c>
      <c r="N66" s="267">
        <f t="shared" si="14"/>
        <v>0</v>
      </c>
      <c r="O66" s="267">
        <f t="shared" si="14"/>
        <v>0</v>
      </c>
      <c r="P66" s="267">
        <f t="shared" si="14"/>
        <v>0</v>
      </c>
      <c r="Q66" s="267">
        <f t="shared" ref="Q66" si="15">SUM(Q63:Q65)</f>
        <v>0</v>
      </c>
      <c r="R66" s="276" t="s">
        <v>377</v>
      </c>
    </row>
    <row r="67" spans="1:18" ht="11.25" customHeight="1" x14ac:dyDescent="0.2">
      <c r="A67" s="266"/>
      <c r="B67" s="273" t="s">
        <v>391</v>
      </c>
      <c r="C67" s="274"/>
      <c r="D67" s="275"/>
      <c r="E67" s="267">
        <f>E66+E60</f>
        <v>0</v>
      </c>
      <c r="F67" s="267">
        <f t="shared" ref="F67:P67" si="16">F66+F60</f>
        <v>0</v>
      </c>
      <c r="G67" s="267">
        <f t="shared" si="16"/>
        <v>0</v>
      </c>
      <c r="H67" s="267">
        <f t="shared" si="16"/>
        <v>0</v>
      </c>
      <c r="I67" s="267">
        <f t="shared" si="16"/>
        <v>0</v>
      </c>
      <c r="J67" s="267">
        <f t="shared" si="16"/>
        <v>0</v>
      </c>
      <c r="K67" s="267">
        <f t="shared" si="16"/>
        <v>0</v>
      </c>
      <c r="L67" s="267">
        <f t="shared" si="16"/>
        <v>0</v>
      </c>
      <c r="M67" s="267">
        <f t="shared" si="16"/>
        <v>0</v>
      </c>
      <c r="N67" s="267">
        <f t="shared" si="16"/>
        <v>0</v>
      </c>
      <c r="O67" s="267">
        <f>O66+O60</f>
        <v>0</v>
      </c>
      <c r="P67" s="267">
        <f t="shared" si="16"/>
        <v>0</v>
      </c>
      <c r="Q67" s="267">
        <f>SUM(E67:P67)</f>
        <v>0</v>
      </c>
      <c r="R67" s="263"/>
    </row>
    <row r="68" spans="1:18" ht="11.25" customHeight="1" x14ac:dyDescent="0.2">
      <c r="A68" s="266" t="s">
        <v>758</v>
      </c>
      <c r="B68" s="273" t="s">
        <v>760</v>
      </c>
      <c r="C68" s="284"/>
      <c r="D68" s="285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56">
        <f t="shared" ref="Q68" si="17">SUM(E68:P68)</f>
        <v>0</v>
      </c>
      <c r="R68" s="263" t="s">
        <v>393</v>
      </c>
    </row>
    <row r="69" spans="1:18" ht="11.25" customHeight="1" x14ac:dyDescent="0.2">
      <c r="A69" s="266"/>
      <c r="B69" s="814" t="s">
        <v>761</v>
      </c>
      <c r="C69" s="815"/>
      <c r="D69" s="816"/>
      <c r="E69" s="267">
        <f>SUM(E67:E68)</f>
        <v>0</v>
      </c>
      <c r="F69" s="267">
        <f t="shared" ref="F69:H69" si="18">SUM(F67:F68)</f>
        <v>0</v>
      </c>
      <c r="G69" s="267">
        <f t="shared" si="18"/>
        <v>0</v>
      </c>
      <c r="H69" s="267">
        <f t="shared" si="18"/>
        <v>0</v>
      </c>
      <c r="I69" s="267">
        <f t="shared" ref="I69:P69" si="19">SUM(I67:I68)</f>
        <v>0</v>
      </c>
      <c r="J69" s="267">
        <f t="shared" si="19"/>
        <v>0</v>
      </c>
      <c r="K69" s="267">
        <f t="shared" si="19"/>
        <v>0</v>
      </c>
      <c r="L69" s="267">
        <f t="shared" si="19"/>
        <v>0</v>
      </c>
      <c r="M69" s="267">
        <f t="shared" si="19"/>
        <v>0</v>
      </c>
      <c r="N69" s="267">
        <f t="shared" si="19"/>
        <v>0</v>
      </c>
      <c r="O69" s="267">
        <f>SUM(O67:O68)</f>
        <v>0</v>
      </c>
      <c r="P69" s="267">
        <f t="shared" si="19"/>
        <v>0</v>
      </c>
      <c r="Q69" s="267">
        <f>SUM(E69:P69)</f>
        <v>0</v>
      </c>
      <c r="R69" s="276"/>
    </row>
    <row r="70" spans="1:18" ht="11.25" customHeight="1" x14ac:dyDescent="0.2">
      <c r="A70" s="283"/>
      <c r="B70" s="286"/>
      <c r="C70" s="260"/>
      <c r="D70" s="261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7"/>
    </row>
    <row r="71" spans="1:18" ht="11.25" customHeight="1" x14ac:dyDescent="0.2">
      <c r="A71" s="258" t="s">
        <v>327</v>
      </c>
      <c r="B71" s="259" t="s">
        <v>762</v>
      </c>
      <c r="C71" s="260"/>
      <c r="D71" s="261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7"/>
    </row>
    <row r="72" spans="1:18" ht="11.25" customHeight="1" x14ac:dyDescent="0.2">
      <c r="A72" s="258" t="s">
        <v>417</v>
      </c>
      <c r="B72" s="259" t="s">
        <v>763</v>
      </c>
      <c r="C72" s="260"/>
      <c r="D72" s="261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7"/>
    </row>
    <row r="73" spans="1:18" ht="11.25" customHeight="1" x14ac:dyDescent="0.2">
      <c r="A73" s="258" t="s">
        <v>419</v>
      </c>
      <c r="B73" s="259" t="s">
        <v>74</v>
      </c>
      <c r="C73" s="260"/>
      <c r="D73" s="261"/>
      <c r="E73" s="265">
        <f>SUM(E74:E76)</f>
        <v>0</v>
      </c>
      <c r="F73" s="265">
        <f>SUM(F74:F76)</f>
        <v>0</v>
      </c>
      <c r="G73" s="265">
        <f>SUM(G74:G76)</f>
        <v>0</v>
      </c>
      <c r="H73" s="265">
        <f t="shared" ref="H73:P73" si="20">SUM(H74:H76)</f>
        <v>0</v>
      </c>
      <c r="I73" s="265">
        <f t="shared" si="20"/>
        <v>0</v>
      </c>
      <c r="J73" s="265">
        <f t="shared" si="20"/>
        <v>0</v>
      </c>
      <c r="K73" s="265">
        <f t="shared" si="20"/>
        <v>0</v>
      </c>
      <c r="L73" s="265">
        <f t="shared" si="20"/>
        <v>0</v>
      </c>
      <c r="M73" s="265">
        <f t="shared" si="20"/>
        <v>0</v>
      </c>
      <c r="N73" s="265">
        <f t="shared" si="20"/>
        <v>0</v>
      </c>
      <c r="O73" s="265">
        <f t="shared" si="20"/>
        <v>0</v>
      </c>
      <c r="P73" s="265">
        <f t="shared" si="20"/>
        <v>0</v>
      </c>
      <c r="Q73" s="256">
        <f t="shared" ref="Q73:Q88" si="21">SUM(E73:P73)</f>
        <v>0</v>
      </c>
      <c r="R73" s="257" t="s">
        <v>359</v>
      </c>
    </row>
    <row r="74" spans="1:18" ht="11.25" customHeight="1" x14ac:dyDescent="0.2">
      <c r="A74" s="258"/>
      <c r="B74" s="45"/>
      <c r="C74" s="518" t="s">
        <v>766</v>
      </c>
      <c r="D74" s="261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>
        <f>SUM(E74:P74)</f>
        <v>0</v>
      </c>
      <c r="R74" s="257"/>
    </row>
    <row r="75" spans="1:18" ht="11.25" customHeight="1" x14ac:dyDescent="0.2">
      <c r="A75" s="258"/>
      <c r="B75" s="45"/>
      <c r="C75" s="518" t="s">
        <v>397</v>
      </c>
      <c r="D75" s="261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>
        <f t="shared" si="21"/>
        <v>0</v>
      </c>
      <c r="R75" s="257"/>
    </row>
    <row r="76" spans="1:18" ht="11.25" customHeight="1" x14ac:dyDescent="0.2">
      <c r="A76" s="258"/>
      <c r="B76" s="45"/>
      <c r="C76" s="518" t="s">
        <v>739</v>
      </c>
      <c r="D76" s="261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>
        <f t="shared" si="21"/>
        <v>0</v>
      </c>
      <c r="R76" s="257"/>
    </row>
    <row r="77" spans="1:18" ht="11.25" customHeight="1" x14ac:dyDescent="0.2">
      <c r="A77" s="258" t="s">
        <v>420</v>
      </c>
      <c r="B77" s="259" t="s">
        <v>740</v>
      </c>
      <c r="C77" s="260"/>
      <c r="D77" s="261"/>
      <c r="E77" s="265">
        <f>SUM(E78:E82)</f>
        <v>0</v>
      </c>
      <c r="F77" s="265">
        <f t="shared" ref="F77:P77" si="22">SUM(F78:F82)</f>
        <v>0</v>
      </c>
      <c r="G77" s="265">
        <f t="shared" si="22"/>
        <v>0</v>
      </c>
      <c r="H77" s="265">
        <f t="shared" si="22"/>
        <v>0</v>
      </c>
      <c r="I77" s="265">
        <f t="shared" si="22"/>
        <v>0</v>
      </c>
      <c r="J77" s="265">
        <f t="shared" si="22"/>
        <v>0</v>
      </c>
      <c r="K77" s="265">
        <f t="shared" si="22"/>
        <v>0</v>
      </c>
      <c r="L77" s="265">
        <f t="shared" si="22"/>
        <v>0</v>
      </c>
      <c r="M77" s="265">
        <f t="shared" si="22"/>
        <v>0</v>
      </c>
      <c r="N77" s="265">
        <f t="shared" si="22"/>
        <v>0</v>
      </c>
      <c r="O77" s="265">
        <f t="shared" si="22"/>
        <v>0</v>
      </c>
      <c r="P77" s="265">
        <f t="shared" si="22"/>
        <v>0</v>
      </c>
      <c r="Q77" s="256">
        <f t="shared" si="21"/>
        <v>0</v>
      </c>
      <c r="R77" s="257"/>
    </row>
    <row r="78" spans="1:18" ht="11.25" customHeight="1" x14ac:dyDescent="0.2">
      <c r="A78" s="258"/>
      <c r="B78" s="259"/>
      <c r="C78" s="260" t="s">
        <v>741</v>
      </c>
      <c r="D78" s="261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>
        <f t="shared" si="21"/>
        <v>0</v>
      </c>
      <c r="R78" s="257"/>
    </row>
    <row r="79" spans="1:18" ht="11.25" customHeight="1" x14ac:dyDescent="0.2">
      <c r="A79" s="258"/>
      <c r="B79" s="259"/>
      <c r="C79" s="260" t="s">
        <v>742</v>
      </c>
      <c r="D79" s="261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>
        <f>SUM(E79:P79)</f>
        <v>0</v>
      </c>
      <c r="R79" s="257"/>
    </row>
    <row r="80" spans="1:18" ht="11.25" customHeight="1" x14ac:dyDescent="0.2">
      <c r="A80" s="258"/>
      <c r="B80" s="259"/>
      <c r="C80" s="260" t="s">
        <v>743</v>
      </c>
      <c r="D80" s="261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>
        <f t="shared" si="21"/>
        <v>0</v>
      </c>
      <c r="R80" s="257"/>
    </row>
    <row r="81" spans="1:18" ht="11.25" customHeight="1" x14ac:dyDescent="0.2">
      <c r="A81" s="258"/>
      <c r="B81" s="259"/>
      <c r="C81" s="260" t="s">
        <v>744</v>
      </c>
      <c r="D81" s="261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>
        <f t="shared" si="21"/>
        <v>0</v>
      </c>
      <c r="R81" s="257"/>
    </row>
    <row r="82" spans="1:18" ht="11.25" customHeight="1" x14ac:dyDescent="0.2">
      <c r="A82" s="258"/>
      <c r="B82" s="259"/>
      <c r="C82" s="260" t="s">
        <v>745</v>
      </c>
      <c r="D82" s="261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>
        <f t="shared" si="21"/>
        <v>0</v>
      </c>
      <c r="R82" s="257"/>
    </row>
    <row r="83" spans="1:18" ht="11.25" customHeight="1" x14ac:dyDescent="0.2">
      <c r="A83" s="258" t="s">
        <v>584</v>
      </c>
      <c r="B83" s="259" t="s">
        <v>713</v>
      </c>
      <c r="C83" s="260"/>
      <c r="D83" s="261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>
        <f t="shared" si="21"/>
        <v>0</v>
      </c>
      <c r="R83" s="257"/>
    </row>
    <row r="84" spans="1:18" ht="11.25" customHeight="1" x14ac:dyDescent="0.2">
      <c r="A84" s="258" t="s">
        <v>764</v>
      </c>
      <c r="B84" s="259" t="s">
        <v>714</v>
      </c>
      <c r="C84" s="260"/>
      <c r="D84" s="261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>
        <f t="shared" si="21"/>
        <v>0</v>
      </c>
      <c r="R84" s="257"/>
    </row>
    <row r="85" spans="1:18" ht="11.25" customHeight="1" x14ac:dyDescent="0.2">
      <c r="A85" s="258" t="s">
        <v>765</v>
      </c>
      <c r="B85" s="259" t="s">
        <v>767</v>
      </c>
      <c r="C85" s="260"/>
      <c r="D85" s="261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>
        <f t="shared" si="21"/>
        <v>0</v>
      </c>
      <c r="R85" s="257"/>
    </row>
    <row r="86" spans="1:18" ht="11.25" customHeight="1" x14ac:dyDescent="0.2">
      <c r="A86" s="258" t="s">
        <v>768</v>
      </c>
      <c r="B86" s="259" t="s">
        <v>770</v>
      </c>
      <c r="C86" s="260"/>
      <c r="D86" s="261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>
        <f t="shared" si="21"/>
        <v>0</v>
      </c>
      <c r="R86" s="257" t="s">
        <v>368</v>
      </c>
    </row>
    <row r="87" spans="1:18" ht="11.25" customHeight="1" x14ac:dyDescent="0.2">
      <c r="A87" s="258" t="s">
        <v>769</v>
      </c>
      <c r="B87" s="259" t="s">
        <v>585</v>
      </c>
      <c r="C87" s="260"/>
      <c r="D87" s="261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>
        <f t="shared" si="21"/>
        <v>0</v>
      </c>
      <c r="R87" s="262" t="s">
        <v>362</v>
      </c>
    </row>
    <row r="88" spans="1:18" ht="11.25" customHeight="1" x14ac:dyDescent="0.2">
      <c r="A88" s="258" t="s">
        <v>422</v>
      </c>
      <c r="B88" s="259" t="s">
        <v>721</v>
      </c>
      <c r="C88" s="260"/>
      <c r="D88" s="261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>
        <f t="shared" si="21"/>
        <v>0</v>
      </c>
      <c r="R88" s="257" t="s">
        <v>371</v>
      </c>
    </row>
    <row r="89" spans="1:18" ht="11.25" customHeight="1" x14ac:dyDescent="0.2">
      <c r="A89" s="266"/>
      <c r="B89" s="814" t="s">
        <v>771</v>
      </c>
      <c r="C89" s="815"/>
      <c r="D89" s="816"/>
      <c r="E89" s="267">
        <f>SUM(E83:E88)+E73+E77</f>
        <v>0</v>
      </c>
      <c r="F89" s="267">
        <f t="shared" ref="F89:P89" si="23">SUM(F83:F88)+F73+F77</f>
        <v>0</v>
      </c>
      <c r="G89" s="267">
        <f t="shared" si="23"/>
        <v>0</v>
      </c>
      <c r="H89" s="267">
        <f t="shared" si="23"/>
        <v>0</v>
      </c>
      <c r="I89" s="267">
        <f t="shared" si="23"/>
        <v>0</v>
      </c>
      <c r="J89" s="267">
        <f t="shared" si="23"/>
        <v>0</v>
      </c>
      <c r="K89" s="267">
        <f t="shared" si="23"/>
        <v>0</v>
      </c>
      <c r="L89" s="267">
        <f t="shared" si="23"/>
        <v>0</v>
      </c>
      <c r="M89" s="267">
        <f t="shared" si="23"/>
        <v>0</v>
      </c>
      <c r="N89" s="267">
        <f t="shared" si="23"/>
        <v>0</v>
      </c>
      <c r="O89" s="267">
        <f t="shared" si="23"/>
        <v>0</v>
      </c>
      <c r="P89" s="267">
        <f t="shared" si="23"/>
        <v>0</v>
      </c>
      <c r="Q89" s="267">
        <f>SUM(E89:P89)</f>
        <v>0</v>
      </c>
      <c r="R89" s="268"/>
    </row>
    <row r="90" spans="1:18" ht="11.25" customHeight="1" x14ac:dyDescent="0.2">
      <c r="A90" s="258" t="s">
        <v>424</v>
      </c>
      <c r="B90" s="259" t="s">
        <v>772</v>
      </c>
      <c r="C90" s="260"/>
      <c r="D90" s="261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7"/>
    </row>
    <row r="91" spans="1:18" ht="11.25" customHeight="1" x14ac:dyDescent="0.2">
      <c r="A91" s="258" t="s">
        <v>426</v>
      </c>
      <c r="B91" s="259" t="s">
        <v>427</v>
      </c>
      <c r="C91" s="260"/>
      <c r="D91" s="261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>
        <f>SUM(E91:P91)</f>
        <v>0</v>
      </c>
      <c r="R91" s="257"/>
    </row>
    <row r="92" spans="1:18" ht="11.25" customHeight="1" x14ac:dyDescent="0.2">
      <c r="A92" s="258" t="s">
        <v>428</v>
      </c>
      <c r="B92" s="259" t="s">
        <v>429</v>
      </c>
      <c r="C92" s="260"/>
      <c r="D92" s="261"/>
      <c r="E92" s="428"/>
      <c r="F92" s="428"/>
      <c r="G92" s="428"/>
      <c r="H92" s="428"/>
      <c r="I92" s="428"/>
      <c r="J92" s="428"/>
      <c r="K92" s="428"/>
      <c r="L92" s="428"/>
      <c r="M92" s="428"/>
      <c r="N92" s="649"/>
      <c r="O92" s="428"/>
      <c r="P92" s="256"/>
      <c r="Q92" s="256">
        <f t="shared" ref="Q92:Q96" si="24">SUM(E92:P92)</f>
        <v>0</v>
      </c>
      <c r="R92" s="257"/>
    </row>
    <row r="93" spans="1:18" ht="11.25" customHeight="1" x14ac:dyDescent="0.2">
      <c r="A93" s="258" t="s">
        <v>430</v>
      </c>
      <c r="B93" s="259" t="s">
        <v>431</v>
      </c>
      <c r="C93" s="260"/>
      <c r="D93" s="261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>
        <f t="shared" si="24"/>
        <v>0</v>
      </c>
      <c r="R93" s="257"/>
    </row>
    <row r="94" spans="1:18" ht="11.25" customHeight="1" x14ac:dyDescent="0.2">
      <c r="A94" s="258" t="s">
        <v>432</v>
      </c>
      <c r="B94" s="259" t="s">
        <v>410</v>
      </c>
      <c r="C94" s="281"/>
      <c r="D94" s="261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>
        <f t="shared" si="24"/>
        <v>0</v>
      </c>
      <c r="R94" s="257"/>
    </row>
    <row r="95" spans="1:18" ht="11.25" customHeight="1" x14ac:dyDescent="0.2">
      <c r="A95" s="258" t="s">
        <v>433</v>
      </c>
      <c r="B95" s="259" t="s">
        <v>434</v>
      </c>
      <c r="C95" s="260"/>
      <c r="D95" s="261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>
        <f t="shared" si="24"/>
        <v>0</v>
      </c>
      <c r="R95" s="257"/>
    </row>
    <row r="96" spans="1:18" ht="11.25" customHeight="1" x14ac:dyDescent="0.2">
      <c r="A96" s="258" t="s">
        <v>435</v>
      </c>
      <c r="B96" s="259" t="s">
        <v>436</v>
      </c>
      <c r="C96" s="260"/>
      <c r="D96" s="261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>
        <f t="shared" si="24"/>
        <v>0</v>
      </c>
      <c r="R96" s="257"/>
    </row>
    <row r="97" spans="1:18" ht="11.25" customHeight="1" x14ac:dyDescent="0.2">
      <c r="A97" s="266"/>
      <c r="B97" s="814" t="s">
        <v>757</v>
      </c>
      <c r="C97" s="815"/>
      <c r="D97" s="816"/>
      <c r="E97" s="267">
        <f>SUM(E91:E96)</f>
        <v>0</v>
      </c>
      <c r="F97" s="267">
        <f t="shared" ref="F97:P97" si="25">SUM(F91:F96)</f>
        <v>0</v>
      </c>
      <c r="G97" s="267">
        <f>SUM(G91:G96)</f>
        <v>0</v>
      </c>
      <c r="H97" s="267">
        <f t="shared" si="25"/>
        <v>0</v>
      </c>
      <c r="I97" s="267">
        <f t="shared" si="25"/>
        <v>0</v>
      </c>
      <c r="J97" s="267">
        <f t="shared" si="25"/>
        <v>0</v>
      </c>
      <c r="K97" s="267">
        <f t="shared" si="25"/>
        <v>0</v>
      </c>
      <c r="L97" s="267">
        <f t="shared" si="25"/>
        <v>0</v>
      </c>
      <c r="M97" s="267">
        <f t="shared" si="25"/>
        <v>0</v>
      </c>
      <c r="N97" s="267">
        <f t="shared" si="25"/>
        <v>0</v>
      </c>
      <c r="O97" s="267">
        <f t="shared" si="25"/>
        <v>0</v>
      </c>
      <c r="P97" s="267">
        <f t="shared" si="25"/>
        <v>0</v>
      </c>
      <c r="Q97" s="267">
        <f>SUM(E97:P97)</f>
        <v>0</v>
      </c>
      <c r="R97" s="268" t="s">
        <v>377</v>
      </c>
    </row>
    <row r="98" spans="1:18" ht="11.25" customHeight="1" x14ac:dyDescent="0.2">
      <c r="A98" s="266"/>
      <c r="B98" s="273" t="s">
        <v>391</v>
      </c>
      <c r="C98" s="274"/>
      <c r="D98" s="275"/>
      <c r="E98" s="267">
        <f>E97+E89</f>
        <v>0</v>
      </c>
      <c r="F98" s="267">
        <f>F97+F89</f>
        <v>0</v>
      </c>
      <c r="G98" s="267">
        <f>G97+G89</f>
        <v>0</v>
      </c>
      <c r="H98" s="267">
        <f t="shared" ref="H98:P98" si="26">H97+H89</f>
        <v>0</v>
      </c>
      <c r="I98" s="267">
        <f t="shared" si="26"/>
        <v>0</v>
      </c>
      <c r="J98" s="267">
        <f t="shared" si="26"/>
        <v>0</v>
      </c>
      <c r="K98" s="267">
        <f t="shared" si="26"/>
        <v>0</v>
      </c>
      <c r="L98" s="267">
        <f t="shared" si="26"/>
        <v>0</v>
      </c>
      <c r="M98" s="267">
        <f t="shared" si="26"/>
        <v>0</v>
      </c>
      <c r="N98" s="267">
        <f t="shared" si="26"/>
        <v>0</v>
      </c>
      <c r="O98" s="267">
        <f>O97+O89</f>
        <v>0</v>
      </c>
      <c r="P98" s="267">
        <f t="shared" si="26"/>
        <v>0</v>
      </c>
      <c r="Q98" s="267">
        <f>SUM(E98:P98)</f>
        <v>0</v>
      </c>
      <c r="R98" s="257"/>
    </row>
    <row r="99" spans="1:18" ht="11.25" customHeight="1" x14ac:dyDescent="0.2">
      <c r="A99" s="266" t="s">
        <v>773</v>
      </c>
      <c r="B99" s="273" t="s">
        <v>774</v>
      </c>
      <c r="C99" s="274"/>
      <c r="D99" s="275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>
        <f>SUM(E99:P99)</f>
        <v>0</v>
      </c>
      <c r="R99" s="268" t="s">
        <v>393</v>
      </c>
    </row>
    <row r="100" spans="1:18" ht="11.25" customHeight="1" x14ac:dyDescent="0.2">
      <c r="A100" s="266"/>
      <c r="B100" s="823" t="s">
        <v>438</v>
      </c>
      <c r="C100" s="824"/>
      <c r="D100" s="825"/>
      <c r="E100" s="267">
        <f>SUM(E98:E99)</f>
        <v>0</v>
      </c>
      <c r="F100" s="267">
        <f>SUM(F98:F99)</f>
        <v>0</v>
      </c>
      <c r="G100" s="267">
        <f>SUM(G98:G99)</f>
        <v>0</v>
      </c>
      <c r="H100" s="267">
        <f t="shared" ref="H100:Q100" si="27">SUM(H98:H99)</f>
        <v>0</v>
      </c>
      <c r="I100" s="267">
        <f t="shared" si="27"/>
        <v>0</v>
      </c>
      <c r="J100" s="267">
        <f t="shared" si="27"/>
        <v>0</v>
      </c>
      <c r="K100" s="267">
        <f t="shared" si="27"/>
        <v>0</v>
      </c>
      <c r="L100" s="267">
        <f>SUM(L98:L99)</f>
        <v>0</v>
      </c>
      <c r="M100" s="267">
        <f t="shared" si="27"/>
        <v>0</v>
      </c>
      <c r="N100" s="267">
        <f>SUM(N98:N99)</f>
        <v>0</v>
      </c>
      <c r="O100" s="267">
        <f t="shared" si="27"/>
        <v>0</v>
      </c>
      <c r="P100" s="267">
        <f t="shared" si="27"/>
        <v>0</v>
      </c>
      <c r="Q100" s="267">
        <f t="shared" si="27"/>
        <v>0</v>
      </c>
      <c r="R100" s="257"/>
    </row>
    <row r="101" spans="1:18" ht="11.25" customHeight="1" x14ac:dyDescent="0.2">
      <c r="A101" s="583" t="s">
        <v>337</v>
      </c>
      <c r="B101" s="584" t="s">
        <v>859</v>
      </c>
      <c r="C101" s="580"/>
      <c r="D101" s="581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>
        <f>SUM(E101:P101)</f>
        <v>0</v>
      </c>
      <c r="R101" s="257"/>
    </row>
    <row r="102" spans="1:18" ht="11.25" customHeight="1" x14ac:dyDescent="0.2">
      <c r="A102" s="283"/>
      <c r="B102" s="286" t="s">
        <v>439</v>
      </c>
      <c r="C102" s="260"/>
      <c r="D102" s="261"/>
      <c r="E102" s="582">
        <f>E98+E67+E32+E101</f>
        <v>0</v>
      </c>
      <c r="F102" s="582">
        <f t="shared" ref="F102:P102" si="28">F98+F67+F32+F101</f>
        <v>0</v>
      </c>
      <c r="G102" s="582">
        <f>G98+G67+G32+G101</f>
        <v>0</v>
      </c>
      <c r="H102" s="582">
        <f t="shared" si="28"/>
        <v>0</v>
      </c>
      <c r="I102" s="582">
        <f t="shared" si="28"/>
        <v>0</v>
      </c>
      <c r="J102" s="582">
        <f t="shared" si="28"/>
        <v>0</v>
      </c>
      <c r="K102" s="582">
        <f t="shared" si="28"/>
        <v>0</v>
      </c>
      <c r="L102" s="582">
        <f t="shared" si="28"/>
        <v>0</v>
      </c>
      <c r="M102" s="582">
        <f t="shared" si="28"/>
        <v>0</v>
      </c>
      <c r="N102" s="582">
        <f t="shared" si="28"/>
        <v>0</v>
      </c>
      <c r="O102" s="582">
        <f t="shared" si="28"/>
        <v>0</v>
      </c>
      <c r="P102" s="582">
        <f t="shared" si="28"/>
        <v>0</v>
      </c>
      <c r="Q102" s="582">
        <f>SUM(E102:P102)</f>
        <v>0</v>
      </c>
      <c r="R102" s="268"/>
    </row>
    <row r="103" spans="1:18" ht="11.25" customHeight="1" x14ac:dyDescent="0.2">
      <c r="A103" s="266"/>
      <c r="B103" s="273" t="s">
        <v>775</v>
      </c>
      <c r="C103" s="274"/>
      <c r="D103" s="275"/>
      <c r="E103" s="256">
        <f>E99+E68+E33</f>
        <v>0</v>
      </c>
      <c r="F103" s="256">
        <f>F99+F68+F33</f>
        <v>0</v>
      </c>
      <c r="G103" s="256">
        <f>G99+G68+G33</f>
        <v>0</v>
      </c>
      <c r="H103" s="256">
        <f t="shared" ref="H103:P103" si="29">H99+H68+H33</f>
        <v>0</v>
      </c>
      <c r="I103" s="256">
        <f t="shared" si="29"/>
        <v>0</v>
      </c>
      <c r="J103" s="256">
        <f t="shared" si="29"/>
        <v>0</v>
      </c>
      <c r="K103" s="256">
        <f t="shared" si="29"/>
        <v>0</v>
      </c>
      <c r="L103" s="256">
        <f t="shared" si="29"/>
        <v>0</v>
      </c>
      <c r="M103" s="256">
        <f t="shared" si="29"/>
        <v>0</v>
      </c>
      <c r="N103" s="256">
        <f t="shared" si="29"/>
        <v>0</v>
      </c>
      <c r="O103" s="256">
        <f t="shared" si="29"/>
        <v>0</v>
      </c>
      <c r="P103" s="256">
        <f t="shared" si="29"/>
        <v>0</v>
      </c>
      <c r="Q103" s="256">
        <f>SUM(E103:P103)</f>
        <v>0</v>
      </c>
      <c r="R103" s="268" t="s">
        <v>393</v>
      </c>
    </row>
    <row r="104" spans="1:18" ht="22.5" customHeight="1" thickBot="1" x14ac:dyDescent="0.25">
      <c r="A104" s="287"/>
      <c r="B104" s="826" t="s">
        <v>776</v>
      </c>
      <c r="C104" s="827"/>
      <c r="D104" s="828"/>
      <c r="E104" s="288">
        <f t="shared" ref="E104:J104" si="30">SUM(E102:E103)</f>
        <v>0</v>
      </c>
      <c r="F104" s="288">
        <f>SUM(F102:F103)</f>
        <v>0</v>
      </c>
      <c r="G104" s="288">
        <f>SUM(G102:G103)</f>
        <v>0</v>
      </c>
      <c r="H104" s="288">
        <f t="shared" si="30"/>
        <v>0</v>
      </c>
      <c r="I104" s="288">
        <f t="shared" si="30"/>
        <v>0</v>
      </c>
      <c r="J104" s="288">
        <f t="shared" si="30"/>
        <v>0</v>
      </c>
      <c r="K104" s="288">
        <f t="shared" ref="K104:O104" si="31">SUM(K102:K103)</f>
        <v>0</v>
      </c>
      <c r="L104" s="288">
        <f t="shared" si="31"/>
        <v>0</v>
      </c>
      <c r="M104" s="288">
        <f t="shared" si="31"/>
        <v>0</v>
      </c>
      <c r="N104" s="288">
        <f t="shared" si="31"/>
        <v>0</v>
      </c>
      <c r="O104" s="288">
        <f t="shared" si="31"/>
        <v>0</v>
      </c>
      <c r="P104" s="288">
        <f>SUM(P102:P103)</f>
        <v>0</v>
      </c>
      <c r="Q104" s="288">
        <f>SUM(Q102:Q103)</f>
        <v>0</v>
      </c>
      <c r="R104" s="289"/>
    </row>
    <row r="105" spans="1:18" ht="11.25" customHeight="1" thickTop="1" x14ac:dyDescent="0.2"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</row>
    <row r="106" spans="1:18" ht="11.25" customHeight="1" x14ac:dyDescent="0.2">
      <c r="C106" s="291"/>
      <c r="D106" s="291">
        <f>E87+E86+E77+E73+E65+E44+E37+E28+E29+E19</f>
        <v>0</v>
      </c>
      <c r="E106" s="291"/>
      <c r="F106" s="291"/>
      <c r="G106" s="291"/>
      <c r="H106" s="291">
        <f>E37+E44+E50+E51+E52+E73+E77+E83+E84+E85+E29-E28+E63+F37+F44+F50+F51+F52+F73+F77+F83+F84+F85+F29-F28+F63+G37+G44+G50+G51+G52+G73+G77+G83+G84+G85+G29-G28+G63</f>
        <v>0</v>
      </c>
      <c r="I106" s="291"/>
      <c r="J106" s="291"/>
      <c r="K106" s="291"/>
      <c r="L106" s="291"/>
      <c r="M106" s="291"/>
      <c r="N106" s="291"/>
      <c r="Q106" s="292">
        <f>Q37+Q44+Q50+Q51+Q52+Q73+Q77+Q83+Q84+Q85+Q29-Q28+Q63</f>
        <v>0</v>
      </c>
    </row>
    <row r="107" spans="1:18" ht="11.25" customHeight="1" x14ac:dyDescent="0.2">
      <c r="C107" s="291"/>
      <c r="D107" s="291"/>
      <c r="E107" s="291"/>
      <c r="F107" s="291"/>
      <c r="G107" s="291" t="s">
        <v>1076</v>
      </c>
      <c r="H107" s="291"/>
      <c r="I107" s="291"/>
      <c r="J107" s="291"/>
      <c r="K107" s="291"/>
      <c r="L107" s="291"/>
      <c r="M107" s="291"/>
      <c r="N107" s="291"/>
    </row>
    <row r="108" spans="1:18" ht="11.25" customHeight="1" x14ac:dyDescent="0.2">
      <c r="C108" s="291"/>
      <c r="D108" s="291">
        <f>F96+F87+F86+F84+F77+F73+F65+F59+F44+F37+F31+F29+F19</f>
        <v>0</v>
      </c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</row>
    <row r="109" spans="1:18" ht="11.25" customHeight="1" x14ac:dyDescent="0.2">
      <c r="C109" s="291"/>
      <c r="D109" s="291"/>
      <c r="E109" s="291"/>
      <c r="F109" s="291"/>
      <c r="G109" s="291"/>
      <c r="H109" s="291">
        <f>'RINCIAN B. TDK LANGSUNG'!E62+'RINCIAN B. TDK LANGSUNG'!F62+'RINCIAN B. TDK LANGSUNG'!G62</f>
        <v>0</v>
      </c>
      <c r="I109" s="291"/>
      <c r="J109" s="291"/>
      <c r="K109" s="291"/>
      <c r="L109" s="291"/>
      <c r="M109" s="291"/>
      <c r="N109" s="291"/>
    </row>
    <row r="110" spans="1:18" ht="11.25" customHeight="1" x14ac:dyDescent="0.2">
      <c r="C110" s="291"/>
      <c r="D110" s="291"/>
      <c r="E110" s="291"/>
      <c r="F110" s="291"/>
      <c r="G110" s="291"/>
      <c r="H110" s="291"/>
      <c r="I110" s="291"/>
      <c r="J110" s="291"/>
      <c r="K110" s="291"/>
      <c r="L110" s="291"/>
      <c r="M110" s="291"/>
      <c r="N110" s="291"/>
    </row>
    <row r="111" spans="1:18" ht="11.25" customHeight="1" x14ac:dyDescent="0.2">
      <c r="C111" s="291"/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Q111" s="292"/>
    </row>
    <row r="112" spans="1:18" ht="11.25" customHeight="1" x14ac:dyDescent="0.2">
      <c r="C112" s="291"/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291"/>
      <c r="Q112" s="292"/>
    </row>
    <row r="113" spans="3:17" ht="11.25" customHeight="1" x14ac:dyDescent="0.2">
      <c r="C113" s="291"/>
      <c r="D113" s="291"/>
      <c r="E113" s="291"/>
      <c r="F113" s="291"/>
      <c r="G113" s="291"/>
      <c r="H113" s="291"/>
      <c r="I113" s="291"/>
      <c r="J113" s="291"/>
      <c r="K113" s="291"/>
      <c r="L113" s="291"/>
      <c r="M113" s="291"/>
      <c r="N113" s="291"/>
      <c r="Q113" s="292"/>
    </row>
    <row r="114" spans="3:17" ht="11.25" customHeight="1" x14ac:dyDescent="0.2"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</row>
    <row r="115" spans="3:17" ht="11.25" customHeight="1" x14ac:dyDescent="0.2"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</row>
    <row r="116" spans="3:17" ht="11.25" customHeight="1" x14ac:dyDescent="0.2"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</row>
    <row r="117" spans="3:17" ht="11.25" customHeight="1" x14ac:dyDescent="0.2"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</row>
    <row r="118" spans="3:17" ht="11.25" customHeight="1" x14ac:dyDescent="0.2"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</row>
    <row r="119" spans="3:17" ht="11.25" customHeight="1" x14ac:dyDescent="0.2"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</row>
    <row r="120" spans="3:17" ht="11.25" customHeight="1" x14ac:dyDescent="0.2"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</row>
    <row r="121" spans="3:17" ht="11.25" customHeight="1" x14ac:dyDescent="0.2"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</row>
    <row r="122" spans="3:17" ht="11.25" customHeight="1" x14ac:dyDescent="0.2"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</row>
    <row r="123" spans="3:17" ht="11.25" customHeight="1" x14ac:dyDescent="0.2"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</row>
    <row r="124" spans="3:17" ht="11.25" customHeight="1" x14ac:dyDescent="0.2"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</row>
    <row r="125" spans="3:17" ht="11.25" customHeight="1" x14ac:dyDescent="0.2"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</row>
    <row r="126" spans="3:17" ht="11.25" customHeight="1" x14ac:dyDescent="0.2">
      <c r="C126" s="291"/>
      <c r="D126" s="291"/>
      <c r="E126" s="291"/>
      <c r="F126" s="291"/>
      <c r="G126" s="291"/>
      <c r="H126" s="291"/>
      <c r="I126" s="291"/>
      <c r="J126" s="291"/>
      <c r="K126" s="291"/>
      <c r="L126" s="291"/>
      <c r="M126" s="291"/>
      <c r="N126" s="291"/>
    </row>
    <row r="127" spans="3:17" ht="11.25" customHeight="1" x14ac:dyDescent="0.2"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</row>
    <row r="128" spans="3:17" ht="11.25" customHeight="1" x14ac:dyDescent="0.2"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</row>
    <row r="129" spans="3:14" ht="11.25" customHeight="1" x14ac:dyDescent="0.2">
      <c r="C129" s="291"/>
      <c r="D129" s="291"/>
      <c r="E129" s="291"/>
      <c r="F129" s="291"/>
      <c r="G129" s="291"/>
      <c r="H129" s="291"/>
      <c r="I129" s="291"/>
      <c r="J129" s="291"/>
      <c r="K129" s="291"/>
      <c r="L129" s="291"/>
      <c r="M129" s="291"/>
      <c r="N129" s="291"/>
    </row>
    <row r="130" spans="3:14" ht="11.25" customHeight="1" x14ac:dyDescent="0.2">
      <c r="C130" s="291"/>
      <c r="D130" s="291"/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</row>
    <row r="131" spans="3:14" ht="11.25" customHeight="1" x14ac:dyDescent="0.2">
      <c r="C131" s="291"/>
      <c r="D131" s="291"/>
      <c r="E131" s="291"/>
      <c r="F131" s="291"/>
      <c r="G131" s="291"/>
      <c r="H131" s="291"/>
      <c r="I131" s="291"/>
      <c r="J131" s="291"/>
      <c r="K131" s="291"/>
      <c r="L131" s="291"/>
      <c r="M131" s="291"/>
      <c r="N131" s="291"/>
    </row>
    <row r="132" spans="3:14" ht="11.25" customHeight="1" x14ac:dyDescent="0.2"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</row>
    <row r="133" spans="3:14" ht="11.25" customHeight="1" x14ac:dyDescent="0.2"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</row>
    <row r="134" spans="3:14" ht="11.25" customHeight="1" x14ac:dyDescent="0.2"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</row>
    <row r="135" spans="3:14" ht="11.25" customHeight="1" x14ac:dyDescent="0.2"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</row>
    <row r="136" spans="3:14" ht="11.25" customHeight="1" x14ac:dyDescent="0.2">
      <c r="C136" s="291"/>
      <c r="D136" s="291"/>
      <c r="E136" s="291"/>
      <c r="F136" s="291"/>
      <c r="G136" s="291"/>
      <c r="H136" s="291"/>
      <c r="I136" s="291"/>
      <c r="J136" s="291"/>
      <c r="K136" s="291"/>
      <c r="L136" s="291"/>
      <c r="M136" s="291"/>
      <c r="N136" s="291"/>
    </row>
    <row r="137" spans="3:14" ht="11.25" customHeight="1" x14ac:dyDescent="0.2">
      <c r="C137" s="291"/>
      <c r="D137" s="291"/>
      <c r="E137" s="291"/>
      <c r="F137" s="291"/>
      <c r="G137" s="291"/>
      <c r="H137" s="291"/>
      <c r="I137" s="291"/>
      <c r="J137" s="291"/>
      <c r="K137" s="291"/>
      <c r="L137" s="291"/>
      <c r="M137" s="291"/>
      <c r="N137" s="291"/>
    </row>
    <row r="138" spans="3:14" ht="11.25" customHeight="1" x14ac:dyDescent="0.2"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</row>
    <row r="139" spans="3:14" ht="11.25" customHeight="1" x14ac:dyDescent="0.2"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</row>
    <row r="140" spans="3:14" ht="11.25" customHeight="1" x14ac:dyDescent="0.2"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</row>
    <row r="141" spans="3:14" ht="11.25" customHeight="1" x14ac:dyDescent="0.2"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  <c r="N141" s="291"/>
    </row>
    <row r="142" spans="3:14" ht="11.25" customHeight="1" x14ac:dyDescent="0.2">
      <c r="C142" s="291"/>
      <c r="D142" s="291"/>
      <c r="E142" s="291"/>
      <c r="F142" s="291"/>
      <c r="G142" s="291"/>
      <c r="H142" s="291"/>
      <c r="I142" s="291"/>
      <c r="J142" s="291"/>
      <c r="K142" s="291"/>
      <c r="L142" s="291"/>
      <c r="M142" s="291"/>
      <c r="N142" s="291"/>
    </row>
    <row r="143" spans="3:14" ht="11.25" customHeight="1" x14ac:dyDescent="0.2">
      <c r="C143" s="291"/>
      <c r="D143" s="291"/>
      <c r="E143" s="291"/>
      <c r="F143" s="291"/>
      <c r="G143" s="291"/>
      <c r="H143" s="291"/>
      <c r="I143" s="291"/>
      <c r="J143" s="291"/>
      <c r="K143" s="291"/>
      <c r="L143" s="291"/>
      <c r="M143" s="291"/>
      <c r="N143" s="291"/>
    </row>
    <row r="144" spans="3:14" ht="11.25" customHeight="1" x14ac:dyDescent="0.2"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</row>
    <row r="145" spans="3:14" ht="11.25" customHeight="1" x14ac:dyDescent="0.2"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</row>
    <row r="146" spans="3:14" ht="11.25" customHeight="1" x14ac:dyDescent="0.2"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</row>
    <row r="147" spans="3:14" ht="11.25" customHeight="1" x14ac:dyDescent="0.2"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</row>
    <row r="148" spans="3:14" ht="11.25" customHeight="1" x14ac:dyDescent="0.2">
      <c r="C148" s="291"/>
      <c r="D148" s="291"/>
      <c r="E148" s="291"/>
      <c r="F148" s="291"/>
      <c r="G148" s="291"/>
      <c r="H148" s="291"/>
      <c r="I148" s="291"/>
      <c r="J148" s="291"/>
      <c r="K148" s="291"/>
      <c r="L148" s="291"/>
      <c r="M148" s="291"/>
      <c r="N148" s="291"/>
    </row>
    <row r="149" spans="3:14" ht="11.25" customHeight="1" x14ac:dyDescent="0.2">
      <c r="C149" s="291"/>
      <c r="D149" s="291"/>
      <c r="E149" s="291"/>
      <c r="F149" s="291"/>
      <c r="G149" s="291"/>
      <c r="H149" s="291"/>
      <c r="I149" s="291"/>
      <c r="J149" s="291"/>
      <c r="K149" s="291"/>
      <c r="L149" s="291"/>
      <c r="M149" s="291"/>
      <c r="N149" s="291"/>
    </row>
    <row r="150" spans="3:14" ht="11.25" customHeight="1" x14ac:dyDescent="0.2">
      <c r="C150" s="291"/>
      <c r="D150" s="291"/>
      <c r="E150" s="291"/>
      <c r="F150" s="291"/>
      <c r="G150" s="291"/>
      <c r="H150" s="291"/>
      <c r="I150" s="291"/>
      <c r="J150" s="291"/>
      <c r="K150" s="291"/>
      <c r="L150" s="291"/>
      <c r="M150" s="291"/>
      <c r="N150" s="291"/>
    </row>
    <row r="151" spans="3:14" ht="11.25" customHeight="1" x14ac:dyDescent="0.2"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</row>
    <row r="152" spans="3:14" ht="11.25" customHeight="1" x14ac:dyDescent="0.2"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</row>
    <row r="153" spans="3:14" ht="11.25" customHeight="1" x14ac:dyDescent="0.2">
      <c r="C153" s="291"/>
      <c r="D153" s="291"/>
      <c r="E153" s="291"/>
      <c r="F153" s="291"/>
      <c r="G153" s="291"/>
      <c r="H153" s="291"/>
      <c r="I153" s="291"/>
      <c r="J153" s="291"/>
      <c r="K153" s="291"/>
      <c r="L153" s="291"/>
      <c r="M153" s="291"/>
      <c r="N153" s="291"/>
    </row>
    <row r="154" spans="3:14" ht="11.25" customHeight="1" x14ac:dyDescent="0.2">
      <c r="C154" s="291"/>
      <c r="D154" s="291"/>
      <c r="E154" s="291"/>
      <c r="F154" s="291"/>
      <c r="G154" s="291"/>
      <c r="H154" s="291"/>
      <c r="I154" s="291"/>
      <c r="J154" s="291"/>
      <c r="K154" s="291"/>
      <c r="L154" s="291"/>
      <c r="M154" s="291"/>
      <c r="N154" s="291"/>
    </row>
    <row r="155" spans="3:14" ht="11.25" customHeight="1" x14ac:dyDescent="0.2">
      <c r="C155" s="291"/>
      <c r="D155" s="291"/>
      <c r="E155" s="291"/>
      <c r="F155" s="291"/>
      <c r="G155" s="291"/>
      <c r="H155" s="291"/>
      <c r="I155" s="291"/>
      <c r="J155" s="291"/>
      <c r="K155" s="291"/>
      <c r="L155" s="291"/>
      <c r="M155" s="291"/>
      <c r="N155" s="291"/>
    </row>
    <row r="156" spans="3:14" ht="11.25" customHeight="1" x14ac:dyDescent="0.2">
      <c r="C156" s="291"/>
      <c r="D156" s="291"/>
      <c r="E156" s="291"/>
      <c r="F156" s="291"/>
      <c r="G156" s="291"/>
      <c r="H156" s="291"/>
      <c r="I156" s="291"/>
      <c r="J156" s="291"/>
      <c r="K156" s="291"/>
      <c r="L156" s="291"/>
      <c r="M156" s="291"/>
      <c r="N156" s="291"/>
    </row>
    <row r="157" spans="3:14" ht="11.25" customHeight="1" x14ac:dyDescent="0.2"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</row>
    <row r="158" spans="3:14" ht="11.25" customHeight="1" x14ac:dyDescent="0.2"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</row>
    <row r="159" spans="3:14" ht="11.25" customHeight="1" x14ac:dyDescent="0.2"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</row>
    <row r="160" spans="3:14" ht="11.25" customHeight="1" x14ac:dyDescent="0.2">
      <c r="C160" s="291"/>
      <c r="D160" s="291"/>
      <c r="E160" s="291"/>
      <c r="F160" s="291"/>
      <c r="G160" s="291"/>
      <c r="H160" s="291"/>
      <c r="I160" s="291"/>
      <c r="J160" s="291"/>
      <c r="K160" s="291"/>
      <c r="L160" s="291"/>
      <c r="M160" s="291"/>
      <c r="N160" s="291"/>
    </row>
    <row r="161" spans="3:14" ht="11.25" customHeight="1" x14ac:dyDescent="0.2">
      <c r="C161" s="291"/>
      <c r="D161" s="291"/>
      <c r="E161" s="291"/>
      <c r="F161" s="291"/>
      <c r="G161" s="291"/>
      <c r="H161" s="291"/>
      <c r="I161" s="291"/>
      <c r="J161" s="291"/>
      <c r="K161" s="291"/>
      <c r="L161" s="291"/>
      <c r="M161" s="291"/>
      <c r="N161" s="291"/>
    </row>
    <row r="162" spans="3:14" ht="11.25" customHeight="1" x14ac:dyDescent="0.2"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</row>
    <row r="163" spans="3:14" ht="11.25" customHeight="1" x14ac:dyDescent="0.2"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</row>
    <row r="164" spans="3:14" ht="11.25" customHeight="1" x14ac:dyDescent="0.2"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</row>
    <row r="165" spans="3:14" ht="11.25" customHeight="1" x14ac:dyDescent="0.2">
      <c r="C165" s="291"/>
      <c r="D165" s="291"/>
      <c r="E165" s="291"/>
      <c r="F165" s="291"/>
      <c r="G165" s="291"/>
      <c r="H165" s="291"/>
      <c r="I165" s="291"/>
      <c r="J165" s="291"/>
      <c r="K165" s="291"/>
      <c r="L165" s="291"/>
      <c r="M165" s="291"/>
      <c r="N165" s="291"/>
    </row>
    <row r="166" spans="3:14" ht="11.25" customHeight="1" x14ac:dyDescent="0.2">
      <c r="C166" s="291"/>
      <c r="D166" s="291"/>
      <c r="E166" s="291"/>
      <c r="F166" s="291"/>
      <c r="G166" s="291"/>
      <c r="H166" s="291"/>
      <c r="I166" s="291"/>
      <c r="J166" s="291"/>
      <c r="K166" s="291"/>
      <c r="L166" s="291"/>
      <c r="M166" s="291"/>
      <c r="N166" s="291"/>
    </row>
    <row r="167" spans="3:14" ht="11.25" customHeight="1" x14ac:dyDescent="0.2"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</row>
    <row r="168" spans="3:14" ht="11.25" customHeight="1" x14ac:dyDescent="0.2"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</row>
    <row r="169" spans="3:14" ht="11.25" customHeight="1" x14ac:dyDescent="0.2"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</row>
    <row r="170" spans="3:14" ht="11.25" customHeight="1" x14ac:dyDescent="0.2">
      <c r="C170" s="291"/>
      <c r="D170" s="291"/>
      <c r="E170" s="291"/>
      <c r="F170" s="291"/>
      <c r="G170" s="291"/>
      <c r="H170" s="291"/>
      <c r="I170" s="291"/>
      <c r="J170" s="291"/>
      <c r="K170" s="291"/>
      <c r="L170" s="291"/>
      <c r="M170" s="291"/>
      <c r="N170" s="291"/>
    </row>
    <row r="171" spans="3:14" ht="11.25" customHeight="1" x14ac:dyDescent="0.2">
      <c r="C171" s="291"/>
      <c r="D171" s="291"/>
      <c r="E171" s="291"/>
      <c r="F171" s="291"/>
      <c r="G171" s="291"/>
      <c r="H171" s="291"/>
      <c r="I171" s="291"/>
      <c r="J171" s="291"/>
      <c r="K171" s="291"/>
      <c r="L171" s="291"/>
      <c r="M171" s="291"/>
      <c r="N171" s="291"/>
    </row>
    <row r="172" spans="3:14" ht="11.25" customHeight="1" x14ac:dyDescent="0.2"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</row>
    <row r="173" spans="3:14" ht="11.25" customHeight="1" x14ac:dyDescent="0.2"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</row>
    <row r="174" spans="3:14" ht="11.25" customHeight="1" x14ac:dyDescent="0.2"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</row>
    <row r="175" spans="3:14" ht="11.25" customHeight="1" x14ac:dyDescent="0.2">
      <c r="C175" s="291"/>
      <c r="D175" s="291"/>
      <c r="E175" s="291"/>
      <c r="F175" s="291"/>
      <c r="G175" s="291"/>
      <c r="H175" s="291"/>
      <c r="I175" s="291"/>
      <c r="J175" s="291"/>
      <c r="K175" s="291"/>
      <c r="L175" s="291"/>
      <c r="M175" s="291"/>
      <c r="N175" s="291"/>
    </row>
    <row r="176" spans="3:14" ht="11.25" customHeight="1" x14ac:dyDescent="0.2">
      <c r="C176" s="291"/>
      <c r="D176" s="291"/>
      <c r="E176" s="291"/>
      <c r="F176" s="291"/>
      <c r="G176" s="291"/>
      <c r="H176" s="291"/>
      <c r="I176" s="291"/>
      <c r="J176" s="291"/>
      <c r="K176" s="291"/>
      <c r="L176" s="291"/>
      <c r="M176" s="291"/>
      <c r="N176" s="291"/>
    </row>
    <row r="177" spans="3:14" ht="11.25" customHeight="1" x14ac:dyDescent="0.2">
      <c r="C177" s="291"/>
      <c r="D177" s="291"/>
      <c r="E177" s="291"/>
      <c r="F177" s="291"/>
      <c r="G177" s="291"/>
      <c r="H177" s="291"/>
      <c r="I177" s="291"/>
      <c r="J177" s="291"/>
      <c r="K177" s="291"/>
      <c r="L177" s="291"/>
      <c r="M177" s="291"/>
      <c r="N177" s="291"/>
    </row>
    <row r="178" spans="3:14" ht="11.25" customHeight="1" x14ac:dyDescent="0.2">
      <c r="C178" s="291"/>
      <c r="D178" s="291"/>
      <c r="E178" s="291"/>
      <c r="F178" s="291"/>
      <c r="G178" s="291"/>
      <c r="H178" s="291"/>
      <c r="I178" s="291"/>
      <c r="J178" s="291"/>
      <c r="K178" s="291"/>
      <c r="L178" s="291"/>
      <c r="M178" s="291"/>
      <c r="N178" s="291"/>
    </row>
    <row r="179" spans="3:14" ht="11.25" customHeight="1" x14ac:dyDescent="0.2"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</row>
    <row r="180" spans="3:14" ht="11.25" customHeight="1" x14ac:dyDescent="0.2"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</row>
    <row r="181" spans="3:14" ht="11.25" customHeight="1" x14ac:dyDescent="0.2">
      <c r="C181" s="291"/>
      <c r="D181" s="291"/>
      <c r="E181" s="291"/>
      <c r="F181" s="291"/>
      <c r="G181" s="291"/>
      <c r="H181" s="291"/>
      <c r="I181" s="291"/>
      <c r="J181" s="291"/>
      <c r="K181" s="291"/>
      <c r="L181" s="291"/>
      <c r="M181" s="291"/>
      <c r="N181" s="291"/>
    </row>
    <row r="182" spans="3:14" ht="11.25" customHeight="1" x14ac:dyDescent="0.2">
      <c r="C182" s="291"/>
      <c r="D182" s="291"/>
      <c r="E182" s="291"/>
      <c r="F182" s="291"/>
      <c r="G182" s="291"/>
      <c r="H182" s="291"/>
      <c r="I182" s="291"/>
      <c r="J182" s="291"/>
      <c r="K182" s="291"/>
      <c r="L182" s="291"/>
      <c r="M182" s="291"/>
      <c r="N182" s="291"/>
    </row>
    <row r="183" spans="3:14" ht="11.25" customHeight="1" x14ac:dyDescent="0.2">
      <c r="C183" s="291"/>
      <c r="D183" s="291"/>
      <c r="E183" s="291"/>
      <c r="F183" s="291"/>
      <c r="G183" s="291"/>
      <c r="H183" s="291"/>
      <c r="I183" s="291"/>
      <c r="J183" s="291"/>
      <c r="K183" s="291"/>
      <c r="L183" s="291"/>
      <c r="M183" s="291"/>
      <c r="N183" s="291"/>
    </row>
    <row r="184" spans="3:14" ht="11.25" customHeight="1" x14ac:dyDescent="0.2"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</row>
    <row r="185" spans="3:14" ht="11.25" customHeight="1" x14ac:dyDescent="0.2"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</row>
    <row r="186" spans="3:14" ht="11.25" customHeight="1" x14ac:dyDescent="0.2">
      <c r="C186" s="291"/>
      <c r="D186" s="291"/>
      <c r="E186" s="291"/>
      <c r="F186" s="291"/>
      <c r="G186" s="291"/>
      <c r="H186" s="291"/>
      <c r="I186" s="291"/>
      <c r="J186" s="291"/>
      <c r="K186" s="291"/>
      <c r="L186" s="291"/>
      <c r="M186" s="291"/>
      <c r="N186" s="291"/>
    </row>
    <row r="187" spans="3:14" ht="11.25" customHeight="1" x14ac:dyDescent="0.2">
      <c r="C187" s="291"/>
      <c r="D187" s="291"/>
      <c r="E187" s="291"/>
      <c r="F187" s="291"/>
      <c r="G187" s="291"/>
      <c r="H187" s="291"/>
      <c r="I187" s="291"/>
      <c r="J187" s="291"/>
      <c r="K187" s="291"/>
      <c r="L187" s="291"/>
      <c r="M187" s="291"/>
      <c r="N187" s="291"/>
    </row>
    <row r="188" spans="3:14" ht="11.25" customHeight="1" x14ac:dyDescent="0.2">
      <c r="C188" s="291"/>
      <c r="D188" s="291"/>
      <c r="E188" s="291"/>
      <c r="F188" s="291"/>
      <c r="G188" s="291"/>
      <c r="H188" s="291"/>
      <c r="I188" s="291"/>
      <c r="J188" s="291"/>
      <c r="K188" s="291"/>
      <c r="L188" s="291"/>
      <c r="M188" s="291"/>
      <c r="N188" s="291"/>
    </row>
    <row r="189" spans="3:14" ht="11.25" customHeight="1" x14ac:dyDescent="0.2">
      <c r="C189" s="291"/>
      <c r="D189" s="291"/>
      <c r="E189" s="291"/>
      <c r="F189" s="291"/>
      <c r="G189" s="291"/>
      <c r="H189" s="291"/>
      <c r="I189" s="291"/>
      <c r="J189" s="291"/>
      <c r="K189" s="291"/>
      <c r="L189" s="291"/>
      <c r="M189" s="291"/>
      <c r="N189" s="291"/>
    </row>
    <row r="190" spans="3:14" ht="11.25" customHeight="1" x14ac:dyDescent="0.2">
      <c r="C190" s="291"/>
      <c r="D190" s="291"/>
      <c r="E190" s="291"/>
      <c r="F190" s="291"/>
      <c r="G190" s="291"/>
      <c r="H190" s="291"/>
      <c r="I190" s="291"/>
      <c r="J190" s="291"/>
      <c r="K190" s="291"/>
      <c r="L190" s="291"/>
      <c r="M190" s="291"/>
      <c r="N190" s="291"/>
    </row>
    <row r="191" spans="3:14" ht="11.25" customHeight="1" x14ac:dyDescent="0.2">
      <c r="C191" s="291"/>
      <c r="D191" s="291"/>
      <c r="E191" s="291"/>
      <c r="F191" s="291"/>
      <c r="G191" s="291"/>
      <c r="H191" s="291"/>
      <c r="I191" s="291"/>
      <c r="J191" s="291"/>
      <c r="K191" s="291"/>
      <c r="L191" s="291"/>
      <c r="M191" s="291"/>
      <c r="N191" s="291"/>
    </row>
    <row r="192" spans="3:14" ht="11.25" customHeight="1" x14ac:dyDescent="0.2">
      <c r="C192" s="291"/>
      <c r="D192" s="291"/>
      <c r="E192" s="291"/>
      <c r="F192" s="291"/>
      <c r="G192" s="291"/>
      <c r="H192" s="291"/>
      <c r="I192" s="291"/>
      <c r="J192" s="291"/>
      <c r="K192" s="291"/>
      <c r="L192" s="291"/>
      <c r="M192" s="291"/>
      <c r="N192" s="291"/>
    </row>
    <row r="193" spans="3:14" ht="11.25" customHeight="1" x14ac:dyDescent="0.2"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</row>
    <row r="194" spans="3:14" ht="11.25" customHeight="1" x14ac:dyDescent="0.2"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</row>
    <row r="195" spans="3:14" ht="11.25" customHeight="1" x14ac:dyDescent="0.2">
      <c r="C195" s="291"/>
      <c r="D195" s="291"/>
      <c r="E195" s="291"/>
      <c r="F195" s="291"/>
      <c r="G195" s="291"/>
      <c r="H195" s="291"/>
      <c r="I195" s="291"/>
      <c r="J195" s="291"/>
      <c r="K195" s="291"/>
      <c r="L195" s="291"/>
      <c r="M195" s="291"/>
      <c r="N195" s="291"/>
    </row>
    <row r="196" spans="3:14" ht="11.25" customHeight="1" x14ac:dyDescent="0.2">
      <c r="C196" s="291"/>
      <c r="D196" s="291"/>
      <c r="E196" s="291"/>
      <c r="F196" s="291"/>
      <c r="G196" s="291"/>
      <c r="H196" s="291"/>
      <c r="I196" s="291"/>
      <c r="J196" s="291"/>
      <c r="K196" s="291"/>
      <c r="L196" s="291"/>
      <c r="M196" s="291"/>
      <c r="N196" s="291"/>
    </row>
    <row r="197" spans="3:14" ht="11.25" customHeight="1" x14ac:dyDescent="0.2">
      <c r="C197" s="291"/>
      <c r="D197" s="291"/>
      <c r="E197" s="291"/>
      <c r="F197" s="291"/>
      <c r="G197" s="291"/>
      <c r="H197" s="291"/>
      <c r="I197" s="291"/>
      <c r="J197" s="291"/>
      <c r="K197" s="291"/>
      <c r="L197" s="291"/>
      <c r="M197" s="291"/>
      <c r="N197" s="291"/>
    </row>
    <row r="198" spans="3:14" ht="11.25" customHeight="1" x14ac:dyDescent="0.2">
      <c r="C198" s="291"/>
      <c r="D198" s="291"/>
      <c r="E198" s="291"/>
      <c r="F198" s="291"/>
      <c r="G198" s="291"/>
      <c r="H198" s="291"/>
      <c r="I198" s="291"/>
      <c r="J198" s="291"/>
      <c r="K198" s="291"/>
      <c r="L198" s="291"/>
      <c r="M198" s="291"/>
      <c r="N198" s="291"/>
    </row>
    <row r="199" spans="3:14" ht="11.25" customHeight="1" x14ac:dyDescent="0.2"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</row>
    <row r="200" spans="3:14" ht="11.25" customHeight="1" x14ac:dyDescent="0.2"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</row>
    <row r="201" spans="3:14" ht="11.25" customHeight="1" x14ac:dyDescent="0.2">
      <c r="C201" s="291"/>
      <c r="D201" s="291"/>
      <c r="E201" s="291"/>
      <c r="F201" s="291"/>
      <c r="G201" s="291"/>
      <c r="H201" s="291"/>
      <c r="I201" s="291"/>
      <c r="J201" s="291"/>
      <c r="K201" s="291"/>
      <c r="L201" s="291"/>
      <c r="M201" s="291"/>
      <c r="N201" s="291"/>
    </row>
    <row r="202" spans="3:14" ht="11.25" customHeight="1" x14ac:dyDescent="0.2">
      <c r="C202" s="291"/>
      <c r="D202" s="291"/>
      <c r="E202" s="291"/>
      <c r="F202" s="291"/>
      <c r="G202" s="291"/>
      <c r="H202" s="291"/>
      <c r="I202" s="291"/>
      <c r="J202" s="291"/>
      <c r="K202" s="291"/>
      <c r="L202" s="291"/>
      <c r="M202" s="291"/>
      <c r="N202" s="291"/>
    </row>
    <row r="203" spans="3:14" ht="11.25" customHeight="1" x14ac:dyDescent="0.2">
      <c r="C203" s="291"/>
      <c r="D203" s="291"/>
      <c r="E203" s="291"/>
      <c r="F203" s="291"/>
      <c r="G203" s="291"/>
      <c r="H203" s="291"/>
      <c r="I203" s="291"/>
      <c r="J203" s="291"/>
      <c r="K203" s="291"/>
      <c r="L203" s="291"/>
      <c r="M203" s="291"/>
      <c r="N203" s="291"/>
    </row>
    <row r="204" spans="3:14" ht="11.25" customHeight="1" x14ac:dyDescent="0.2">
      <c r="C204" s="291"/>
      <c r="D204" s="291"/>
      <c r="E204" s="291"/>
      <c r="F204" s="291"/>
      <c r="G204" s="291"/>
      <c r="H204" s="291"/>
      <c r="I204" s="291"/>
      <c r="J204" s="291"/>
      <c r="K204" s="291"/>
      <c r="L204" s="291"/>
      <c r="M204" s="291"/>
      <c r="N204" s="291"/>
    </row>
    <row r="205" spans="3:14" ht="11.25" customHeight="1" x14ac:dyDescent="0.2"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</row>
    <row r="206" spans="3:14" ht="11.25" customHeight="1" x14ac:dyDescent="0.2"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</row>
    <row r="207" spans="3:14" ht="11.25" customHeight="1" x14ac:dyDescent="0.2">
      <c r="C207" s="291"/>
      <c r="D207" s="291"/>
      <c r="E207" s="291"/>
      <c r="F207" s="291"/>
      <c r="G207" s="291"/>
      <c r="H207" s="291"/>
      <c r="I207" s="291"/>
      <c r="J207" s="291"/>
      <c r="K207" s="291"/>
      <c r="L207" s="291"/>
      <c r="M207" s="291"/>
      <c r="N207" s="291"/>
    </row>
    <row r="208" spans="3:14" ht="11.25" customHeight="1" x14ac:dyDescent="0.2">
      <c r="C208" s="291"/>
      <c r="D208" s="291"/>
      <c r="E208" s="291"/>
      <c r="F208" s="291"/>
      <c r="G208" s="291"/>
      <c r="H208" s="291"/>
      <c r="I208" s="291"/>
      <c r="J208" s="291"/>
      <c r="K208" s="291"/>
      <c r="L208" s="291"/>
      <c r="M208" s="291"/>
      <c r="N208" s="291"/>
    </row>
    <row r="209" spans="3:14" ht="11.25" customHeight="1" x14ac:dyDescent="0.2">
      <c r="C209" s="291"/>
      <c r="D209" s="291"/>
      <c r="E209" s="291"/>
      <c r="F209" s="291"/>
      <c r="G209" s="291"/>
      <c r="H209" s="291"/>
      <c r="I209" s="291"/>
      <c r="J209" s="291"/>
      <c r="K209" s="291"/>
      <c r="L209" s="291"/>
      <c r="M209" s="291"/>
      <c r="N209" s="291"/>
    </row>
    <row r="210" spans="3:14" ht="11.25" customHeight="1" x14ac:dyDescent="0.2">
      <c r="C210" s="291"/>
      <c r="D210" s="291"/>
      <c r="E210" s="291"/>
      <c r="F210" s="291"/>
      <c r="G210" s="291"/>
      <c r="H210" s="291"/>
      <c r="I210" s="291"/>
      <c r="J210" s="291"/>
      <c r="K210" s="291"/>
      <c r="L210" s="291"/>
      <c r="M210" s="291"/>
      <c r="N210" s="291"/>
    </row>
    <row r="211" spans="3:14" ht="11.25" customHeight="1" x14ac:dyDescent="0.2"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</row>
    <row r="212" spans="3:14" ht="11.25" customHeight="1" x14ac:dyDescent="0.2"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</row>
    <row r="213" spans="3:14" ht="11.25" customHeight="1" x14ac:dyDescent="0.2">
      <c r="C213" s="291"/>
      <c r="D213" s="291"/>
      <c r="E213" s="291"/>
      <c r="F213" s="291"/>
      <c r="G213" s="291"/>
      <c r="H213" s="291"/>
      <c r="I213" s="291"/>
      <c r="J213" s="291"/>
      <c r="K213" s="291"/>
      <c r="L213" s="291"/>
      <c r="M213" s="291"/>
      <c r="N213" s="291"/>
    </row>
    <row r="214" spans="3:14" ht="11.25" customHeight="1" x14ac:dyDescent="0.2">
      <c r="C214" s="291"/>
      <c r="D214" s="291"/>
      <c r="E214" s="291"/>
      <c r="F214" s="291"/>
      <c r="G214" s="291"/>
      <c r="H214" s="291"/>
      <c r="I214" s="291"/>
      <c r="J214" s="291"/>
      <c r="K214" s="291"/>
      <c r="L214" s="291"/>
      <c r="M214" s="291"/>
      <c r="N214" s="291"/>
    </row>
    <row r="215" spans="3:14" ht="11.25" customHeight="1" x14ac:dyDescent="0.2">
      <c r="C215" s="291"/>
      <c r="D215" s="291"/>
      <c r="E215" s="291"/>
      <c r="F215" s="291"/>
      <c r="G215" s="291"/>
      <c r="H215" s="291"/>
      <c r="I215" s="291"/>
      <c r="J215" s="291"/>
      <c r="K215" s="291"/>
      <c r="L215" s="291"/>
      <c r="M215" s="291"/>
      <c r="N215" s="291"/>
    </row>
    <row r="216" spans="3:14" ht="11.25" customHeight="1" x14ac:dyDescent="0.2"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</row>
    <row r="217" spans="3:14" ht="11.25" customHeight="1" x14ac:dyDescent="0.2"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</row>
    <row r="218" spans="3:14" ht="11.25" customHeight="1" x14ac:dyDescent="0.2">
      <c r="C218" s="291"/>
      <c r="D218" s="291"/>
      <c r="E218" s="291"/>
      <c r="F218" s="291"/>
      <c r="G218" s="291"/>
      <c r="H218" s="291"/>
      <c r="I218" s="291"/>
      <c r="J218" s="291"/>
      <c r="K218" s="291"/>
      <c r="L218" s="291"/>
      <c r="M218" s="291"/>
      <c r="N218" s="291"/>
    </row>
    <row r="219" spans="3:14" ht="11.25" customHeight="1" x14ac:dyDescent="0.2">
      <c r="C219" s="291"/>
      <c r="D219" s="291"/>
      <c r="E219" s="291"/>
      <c r="F219" s="291"/>
      <c r="G219" s="291"/>
      <c r="H219" s="291"/>
      <c r="I219" s="291"/>
      <c r="J219" s="291"/>
      <c r="K219" s="291"/>
      <c r="L219" s="291"/>
      <c r="M219" s="291"/>
      <c r="N219" s="291"/>
    </row>
    <row r="220" spans="3:14" ht="11.25" customHeight="1" x14ac:dyDescent="0.2">
      <c r="C220" s="291"/>
      <c r="D220" s="291"/>
      <c r="E220" s="291"/>
      <c r="F220" s="291"/>
      <c r="G220" s="291"/>
      <c r="H220" s="291"/>
      <c r="I220" s="291"/>
      <c r="J220" s="291"/>
      <c r="K220" s="291"/>
      <c r="L220" s="291"/>
      <c r="M220" s="291"/>
      <c r="N220" s="291"/>
    </row>
    <row r="221" spans="3:14" ht="11.25" customHeight="1" x14ac:dyDescent="0.2"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</row>
    <row r="222" spans="3:14" ht="11.25" customHeight="1" x14ac:dyDescent="0.2"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</row>
    <row r="223" spans="3:14" ht="11.25" customHeight="1" x14ac:dyDescent="0.2">
      <c r="C223" s="291"/>
      <c r="D223" s="291"/>
      <c r="E223" s="291"/>
      <c r="F223" s="291"/>
      <c r="G223" s="291"/>
      <c r="H223" s="291"/>
      <c r="I223" s="291"/>
      <c r="J223" s="291"/>
      <c r="K223" s="291"/>
      <c r="L223" s="291"/>
      <c r="M223" s="291"/>
      <c r="N223" s="291"/>
    </row>
    <row r="224" spans="3:14" ht="11.25" customHeight="1" x14ac:dyDescent="0.2">
      <c r="C224" s="291"/>
      <c r="D224" s="291"/>
      <c r="E224" s="291"/>
      <c r="F224" s="291"/>
      <c r="G224" s="291"/>
      <c r="H224" s="291"/>
      <c r="I224" s="291"/>
      <c r="J224" s="291"/>
      <c r="K224" s="291"/>
      <c r="L224" s="291"/>
      <c r="M224" s="291"/>
      <c r="N224" s="291"/>
    </row>
    <row r="225" spans="3:14" ht="11.25" customHeight="1" x14ac:dyDescent="0.2"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</row>
    <row r="226" spans="3:14" ht="11.25" customHeight="1" x14ac:dyDescent="0.2">
      <c r="C226" s="291"/>
      <c r="D226" s="291"/>
      <c r="E226" s="291"/>
      <c r="F226" s="291"/>
      <c r="G226" s="291"/>
      <c r="H226" s="291"/>
      <c r="I226" s="291"/>
      <c r="J226" s="291"/>
      <c r="K226" s="291"/>
      <c r="L226" s="291"/>
      <c r="M226" s="291"/>
      <c r="N226" s="291"/>
    </row>
    <row r="227" spans="3:14" ht="11.25" customHeight="1" x14ac:dyDescent="0.2"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</row>
    <row r="228" spans="3:14" ht="11.25" customHeight="1" x14ac:dyDescent="0.2"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</row>
    <row r="229" spans="3:14" ht="11.25" customHeight="1" x14ac:dyDescent="0.2">
      <c r="C229" s="291"/>
      <c r="D229" s="291"/>
      <c r="E229" s="291"/>
      <c r="F229" s="291"/>
      <c r="G229" s="291"/>
      <c r="H229" s="291"/>
      <c r="I229" s="291"/>
      <c r="J229" s="291"/>
      <c r="K229" s="291"/>
      <c r="L229" s="291"/>
      <c r="M229" s="291"/>
      <c r="N229" s="291"/>
    </row>
    <row r="230" spans="3:14" ht="11.25" customHeight="1" x14ac:dyDescent="0.2">
      <c r="C230" s="291"/>
      <c r="D230" s="291"/>
      <c r="E230" s="291"/>
      <c r="F230" s="291"/>
      <c r="G230" s="291"/>
      <c r="H230" s="291"/>
      <c r="I230" s="291"/>
      <c r="J230" s="291"/>
      <c r="K230" s="291"/>
      <c r="L230" s="291"/>
      <c r="M230" s="291"/>
      <c r="N230" s="291"/>
    </row>
    <row r="231" spans="3:14" ht="11.25" customHeight="1" x14ac:dyDescent="0.2">
      <c r="C231" s="291"/>
      <c r="D231" s="291"/>
      <c r="E231" s="291"/>
      <c r="F231" s="291"/>
      <c r="G231" s="291"/>
      <c r="H231" s="291"/>
      <c r="I231" s="291"/>
      <c r="J231" s="291"/>
      <c r="K231" s="291"/>
      <c r="L231" s="291"/>
      <c r="M231" s="291"/>
      <c r="N231" s="291"/>
    </row>
    <row r="232" spans="3:14" ht="11.25" customHeight="1" x14ac:dyDescent="0.2">
      <c r="C232" s="291"/>
      <c r="D232" s="291"/>
      <c r="E232" s="291"/>
      <c r="F232" s="291"/>
      <c r="G232" s="291"/>
      <c r="H232" s="291"/>
      <c r="I232" s="291"/>
      <c r="J232" s="291"/>
      <c r="K232" s="291"/>
      <c r="L232" s="291"/>
      <c r="M232" s="291"/>
      <c r="N232" s="291"/>
    </row>
    <row r="233" spans="3:14" ht="11.25" customHeight="1" x14ac:dyDescent="0.2"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</row>
    <row r="234" spans="3:14" ht="11.25" customHeight="1" x14ac:dyDescent="0.2"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</row>
    <row r="235" spans="3:14" ht="11.25" customHeight="1" x14ac:dyDescent="0.2">
      <c r="C235" s="291"/>
      <c r="D235" s="291"/>
      <c r="E235" s="291"/>
      <c r="F235" s="291"/>
      <c r="G235" s="291"/>
      <c r="H235" s="291"/>
      <c r="I235" s="291"/>
      <c r="J235" s="291"/>
      <c r="K235" s="291"/>
      <c r="L235" s="291"/>
      <c r="M235" s="291"/>
      <c r="N235" s="291"/>
    </row>
    <row r="236" spans="3:14" ht="11.25" customHeight="1" x14ac:dyDescent="0.2">
      <c r="C236" s="291"/>
      <c r="D236" s="291"/>
      <c r="E236" s="291"/>
      <c r="F236" s="291"/>
      <c r="G236" s="291"/>
      <c r="H236" s="291"/>
      <c r="I236" s="291"/>
      <c r="J236" s="291"/>
      <c r="K236" s="291"/>
      <c r="L236" s="291"/>
      <c r="M236" s="291"/>
      <c r="N236" s="291"/>
    </row>
    <row r="237" spans="3:14" ht="11.25" customHeight="1" x14ac:dyDescent="0.2"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</row>
    <row r="238" spans="3:14" ht="11.25" customHeight="1" x14ac:dyDescent="0.2"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</row>
    <row r="239" spans="3:14" ht="11.25" customHeight="1" x14ac:dyDescent="0.2">
      <c r="C239" s="291"/>
      <c r="D239" s="291"/>
      <c r="E239" s="291"/>
      <c r="F239" s="291"/>
      <c r="G239" s="291"/>
      <c r="H239" s="291"/>
      <c r="I239" s="291"/>
      <c r="J239" s="291"/>
      <c r="K239" s="291"/>
      <c r="L239" s="291"/>
      <c r="M239" s="291"/>
      <c r="N239" s="291"/>
    </row>
    <row r="240" spans="3:14" ht="11.25" customHeight="1" x14ac:dyDescent="0.2">
      <c r="C240" s="291"/>
      <c r="D240" s="291"/>
      <c r="E240" s="291"/>
      <c r="F240" s="291"/>
      <c r="G240" s="291"/>
      <c r="H240" s="291"/>
      <c r="I240" s="291"/>
      <c r="J240" s="291"/>
      <c r="K240" s="291"/>
      <c r="L240" s="291"/>
      <c r="M240" s="291"/>
      <c r="N240" s="291"/>
    </row>
    <row r="241" spans="3:14" ht="11.25" customHeight="1" x14ac:dyDescent="0.2">
      <c r="C241" s="291"/>
      <c r="D241" s="291"/>
      <c r="E241" s="291"/>
      <c r="F241" s="291"/>
      <c r="G241" s="291"/>
      <c r="H241" s="291"/>
      <c r="I241" s="291"/>
      <c r="J241" s="291"/>
      <c r="K241" s="291"/>
      <c r="L241" s="291"/>
      <c r="M241" s="291"/>
      <c r="N241" s="291"/>
    </row>
    <row r="242" spans="3:14" ht="11.25" customHeight="1" x14ac:dyDescent="0.2">
      <c r="C242" s="291"/>
      <c r="D242" s="291"/>
      <c r="E242" s="291"/>
      <c r="F242" s="291"/>
      <c r="G242" s="291"/>
      <c r="H242" s="291"/>
      <c r="I242" s="291"/>
      <c r="J242" s="291"/>
      <c r="K242" s="291"/>
      <c r="L242" s="291"/>
      <c r="M242" s="291"/>
      <c r="N242" s="291"/>
    </row>
    <row r="243" spans="3:14" ht="11.25" customHeight="1" x14ac:dyDescent="0.2"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</row>
    <row r="244" spans="3:14" ht="11.25" customHeight="1" x14ac:dyDescent="0.2"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</row>
    <row r="245" spans="3:14" ht="11.25" customHeight="1" x14ac:dyDescent="0.2">
      <c r="C245" s="291"/>
      <c r="D245" s="291"/>
      <c r="E245" s="291"/>
      <c r="F245" s="291"/>
      <c r="G245" s="291"/>
      <c r="H245" s="291"/>
      <c r="I245" s="291"/>
      <c r="J245" s="291"/>
      <c r="K245" s="291"/>
      <c r="L245" s="291"/>
      <c r="M245" s="291"/>
      <c r="N245" s="291"/>
    </row>
    <row r="246" spans="3:14" ht="11.25" customHeight="1" x14ac:dyDescent="0.2">
      <c r="C246" s="291"/>
      <c r="D246" s="291"/>
      <c r="E246" s="291"/>
      <c r="F246" s="291"/>
      <c r="G246" s="291"/>
      <c r="H246" s="291"/>
      <c r="I246" s="291"/>
      <c r="J246" s="291"/>
      <c r="K246" s="291"/>
      <c r="L246" s="291"/>
      <c r="M246" s="291"/>
      <c r="N246" s="291"/>
    </row>
    <row r="247" spans="3:14" ht="11.25" customHeight="1" x14ac:dyDescent="0.2"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</row>
    <row r="248" spans="3:14" ht="11.25" customHeight="1" x14ac:dyDescent="0.2"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</row>
    <row r="249" spans="3:14" ht="11.25" customHeight="1" x14ac:dyDescent="0.2">
      <c r="C249" s="291"/>
      <c r="D249" s="291"/>
      <c r="E249" s="291"/>
      <c r="F249" s="291"/>
      <c r="G249" s="291"/>
      <c r="H249" s="291"/>
      <c r="I249" s="291"/>
      <c r="J249" s="291"/>
      <c r="K249" s="291"/>
      <c r="L249" s="291"/>
      <c r="M249" s="291"/>
      <c r="N249" s="291"/>
    </row>
    <row r="250" spans="3:14" ht="11.25" customHeight="1" x14ac:dyDescent="0.2">
      <c r="C250" s="291"/>
      <c r="D250" s="291"/>
      <c r="E250" s="291"/>
      <c r="F250" s="291"/>
      <c r="G250" s="291"/>
      <c r="H250" s="291"/>
      <c r="I250" s="291"/>
      <c r="J250" s="291"/>
      <c r="K250" s="291"/>
      <c r="L250" s="291"/>
      <c r="M250" s="291"/>
      <c r="N250" s="291"/>
    </row>
    <row r="251" spans="3:14" ht="11.25" customHeight="1" x14ac:dyDescent="0.2">
      <c r="C251" s="291"/>
      <c r="D251" s="291"/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</row>
    <row r="252" spans="3:14" ht="11.25" customHeight="1" x14ac:dyDescent="0.2">
      <c r="C252" s="291"/>
      <c r="D252" s="291"/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</row>
    <row r="253" spans="3:14" ht="11.25" customHeight="1" x14ac:dyDescent="0.2">
      <c r="C253" s="291"/>
      <c r="D253" s="291"/>
      <c r="E253" s="291"/>
      <c r="F253" s="291"/>
      <c r="G253" s="291"/>
      <c r="H253" s="291"/>
      <c r="I253" s="291"/>
      <c r="J253" s="291"/>
      <c r="K253" s="291"/>
      <c r="L253" s="291"/>
      <c r="M253" s="291"/>
      <c r="N253" s="291"/>
    </row>
    <row r="254" spans="3:14" ht="11.25" customHeight="1" x14ac:dyDescent="0.2"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</row>
    <row r="255" spans="3:14" ht="11.25" customHeight="1" x14ac:dyDescent="0.2"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</row>
    <row r="256" spans="3:14" ht="11.25" customHeight="1" x14ac:dyDescent="0.2">
      <c r="C256" s="291"/>
      <c r="D256" s="291"/>
      <c r="E256" s="291"/>
      <c r="F256" s="291"/>
      <c r="G256" s="291"/>
      <c r="H256" s="291"/>
      <c r="I256" s="291"/>
      <c r="J256" s="291"/>
      <c r="K256" s="291"/>
      <c r="L256" s="291"/>
      <c r="M256" s="291"/>
      <c r="N256" s="291"/>
    </row>
    <row r="257" spans="3:14" ht="11.25" customHeight="1" x14ac:dyDescent="0.2">
      <c r="C257" s="291"/>
      <c r="D257" s="291"/>
      <c r="E257" s="291"/>
      <c r="F257" s="291"/>
      <c r="G257" s="291"/>
      <c r="H257" s="291"/>
      <c r="I257" s="291"/>
      <c r="J257" s="291"/>
      <c r="K257" s="291"/>
      <c r="L257" s="291"/>
      <c r="M257" s="291"/>
      <c r="N257" s="291"/>
    </row>
    <row r="258" spans="3:14" ht="11.25" customHeight="1" x14ac:dyDescent="0.2"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</row>
    <row r="259" spans="3:14" ht="11.25" customHeight="1" x14ac:dyDescent="0.2"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</row>
    <row r="260" spans="3:14" ht="11.25" customHeight="1" x14ac:dyDescent="0.2">
      <c r="C260" s="291"/>
      <c r="D260" s="291"/>
      <c r="E260" s="291"/>
      <c r="F260" s="291"/>
      <c r="G260" s="291"/>
      <c r="H260" s="291"/>
      <c r="I260" s="291"/>
      <c r="J260" s="291"/>
      <c r="K260" s="291"/>
      <c r="L260" s="291"/>
      <c r="M260" s="291"/>
      <c r="N260" s="291"/>
    </row>
    <row r="261" spans="3:14" ht="11.25" customHeight="1" x14ac:dyDescent="0.2">
      <c r="C261" s="291"/>
      <c r="D261" s="291"/>
      <c r="E261" s="291"/>
      <c r="F261" s="291"/>
      <c r="G261" s="291"/>
      <c r="H261" s="291"/>
      <c r="I261" s="291"/>
      <c r="J261" s="291"/>
      <c r="K261" s="291"/>
      <c r="L261" s="291"/>
      <c r="M261" s="291"/>
      <c r="N261" s="291"/>
    </row>
    <row r="262" spans="3:14" ht="11.25" customHeight="1" x14ac:dyDescent="0.2">
      <c r="C262" s="291"/>
      <c r="D262" s="291"/>
      <c r="E262" s="291"/>
      <c r="F262" s="291"/>
      <c r="G262" s="291"/>
      <c r="H262" s="291"/>
      <c r="I262" s="291"/>
      <c r="J262" s="291"/>
      <c r="K262" s="291"/>
      <c r="L262" s="291"/>
      <c r="M262" s="291"/>
      <c r="N262" s="291"/>
    </row>
    <row r="263" spans="3:14" ht="11.25" customHeight="1" x14ac:dyDescent="0.2">
      <c r="C263" s="291"/>
      <c r="D263" s="291"/>
      <c r="E263" s="291"/>
      <c r="F263" s="291"/>
      <c r="G263" s="291"/>
      <c r="H263" s="291"/>
      <c r="I263" s="291"/>
      <c r="J263" s="291"/>
      <c r="K263" s="291"/>
      <c r="L263" s="291"/>
      <c r="M263" s="291"/>
      <c r="N263" s="291"/>
    </row>
    <row r="264" spans="3:14" ht="11.25" customHeight="1" x14ac:dyDescent="0.2"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</row>
    <row r="265" spans="3:14" ht="11.25" customHeight="1" x14ac:dyDescent="0.2"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</row>
    <row r="266" spans="3:14" ht="11.25" customHeight="1" x14ac:dyDescent="0.2">
      <c r="C266" s="291"/>
      <c r="D266" s="291"/>
      <c r="E266" s="291"/>
      <c r="F266" s="291"/>
      <c r="G266" s="291"/>
      <c r="H266" s="291"/>
      <c r="I266" s="291"/>
      <c r="J266" s="291"/>
      <c r="K266" s="291"/>
      <c r="L266" s="291"/>
      <c r="M266" s="291"/>
      <c r="N266" s="291"/>
    </row>
    <row r="267" spans="3:14" ht="11.25" customHeight="1" x14ac:dyDescent="0.2">
      <c r="C267" s="291"/>
      <c r="D267" s="291"/>
      <c r="E267" s="291"/>
      <c r="F267" s="291"/>
      <c r="G267" s="291"/>
      <c r="H267" s="291"/>
      <c r="I267" s="291"/>
      <c r="J267" s="291"/>
      <c r="K267" s="291"/>
      <c r="L267" s="291"/>
      <c r="M267" s="291"/>
      <c r="N267" s="291"/>
    </row>
    <row r="268" spans="3:14" ht="11.25" customHeight="1" x14ac:dyDescent="0.2">
      <c r="C268" s="291"/>
      <c r="D268" s="291"/>
      <c r="E268" s="291"/>
      <c r="F268" s="291"/>
      <c r="G268" s="291"/>
      <c r="H268" s="291"/>
      <c r="I268" s="291"/>
      <c r="J268" s="291"/>
      <c r="K268" s="291"/>
      <c r="L268" s="291"/>
      <c r="M268" s="291"/>
      <c r="N268" s="291"/>
    </row>
    <row r="269" spans="3:14" ht="11.25" customHeight="1" x14ac:dyDescent="0.2">
      <c r="C269" s="291"/>
      <c r="D269" s="291"/>
      <c r="E269" s="291"/>
      <c r="F269" s="291"/>
      <c r="G269" s="291"/>
      <c r="H269" s="291"/>
      <c r="I269" s="291"/>
      <c r="J269" s="291"/>
      <c r="K269" s="291"/>
      <c r="L269" s="291"/>
      <c r="M269" s="291"/>
      <c r="N269" s="291"/>
    </row>
    <row r="270" spans="3:14" ht="11.25" customHeight="1" x14ac:dyDescent="0.2">
      <c r="C270" s="291"/>
      <c r="D270" s="291"/>
      <c r="E270" s="291"/>
      <c r="F270" s="291"/>
      <c r="G270" s="291"/>
      <c r="H270" s="291"/>
      <c r="I270" s="291"/>
      <c r="J270" s="291"/>
      <c r="K270" s="291"/>
      <c r="L270" s="291"/>
      <c r="M270" s="291"/>
      <c r="N270" s="291"/>
    </row>
    <row r="271" spans="3:14" ht="11.25" customHeight="1" x14ac:dyDescent="0.2">
      <c r="C271" s="291"/>
      <c r="D271" s="291"/>
      <c r="E271" s="291"/>
      <c r="F271" s="291"/>
      <c r="G271" s="291"/>
      <c r="H271" s="291"/>
      <c r="I271" s="291"/>
      <c r="J271" s="291"/>
      <c r="K271" s="291"/>
      <c r="L271" s="291"/>
      <c r="M271" s="291"/>
      <c r="N271" s="291"/>
    </row>
    <row r="272" spans="3:14" ht="11.25" customHeight="1" x14ac:dyDescent="0.2">
      <c r="C272" s="291"/>
      <c r="D272" s="291"/>
      <c r="E272" s="291"/>
      <c r="F272" s="291"/>
      <c r="G272" s="291"/>
      <c r="H272" s="291"/>
      <c r="I272" s="291"/>
      <c r="J272" s="291"/>
      <c r="K272" s="291"/>
      <c r="L272" s="291"/>
      <c r="M272" s="291"/>
      <c r="N272" s="291"/>
    </row>
    <row r="273" spans="3:14" ht="11.25" customHeight="1" x14ac:dyDescent="0.2">
      <c r="C273" s="291"/>
      <c r="D273" s="291"/>
      <c r="E273" s="291"/>
      <c r="F273" s="291"/>
      <c r="G273" s="291"/>
      <c r="H273" s="291"/>
      <c r="I273" s="291"/>
      <c r="J273" s="291"/>
      <c r="K273" s="291"/>
      <c r="L273" s="291"/>
      <c r="M273" s="291"/>
      <c r="N273" s="291"/>
    </row>
    <row r="274" spans="3:14" ht="11.25" customHeight="1" x14ac:dyDescent="0.2">
      <c r="C274" s="291"/>
      <c r="D274" s="291"/>
      <c r="E274" s="291"/>
      <c r="F274" s="291"/>
      <c r="G274" s="291"/>
      <c r="H274" s="291"/>
      <c r="I274" s="291"/>
      <c r="J274" s="291"/>
      <c r="K274" s="291"/>
      <c r="L274" s="291"/>
      <c r="M274" s="291"/>
      <c r="N274" s="291"/>
    </row>
    <row r="275" spans="3:14" ht="11.25" customHeight="1" x14ac:dyDescent="0.2">
      <c r="C275" s="291"/>
      <c r="D275" s="291"/>
      <c r="E275" s="291"/>
      <c r="F275" s="291"/>
      <c r="G275" s="291"/>
      <c r="H275" s="291"/>
      <c r="I275" s="291"/>
      <c r="J275" s="291"/>
      <c r="K275" s="291"/>
      <c r="L275" s="291"/>
      <c r="M275" s="291"/>
      <c r="N275" s="291"/>
    </row>
    <row r="276" spans="3:14" ht="11.25" customHeight="1" x14ac:dyDescent="0.2">
      <c r="C276" s="291"/>
      <c r="D276" s="291"/>
      <c r="E276" s="291"/>
      <c r="F276" s="291"/>
      <c r="G276" s="291"/>
      <c r="H276" s="291"/>
      <c r="I276" s="291"/>
      <c r="J276" s="291"/>
      <c r="K276" s="291"/>
      <c r="L276" s="291"/>
      <c r="M276" s="291"/>
      <c r="N276" s="291"/>
    </row>
  </sheetData>
  <mergeCells count="17">
    <mergeCell ref="B97:D97"/>
    <mergeCell ref="B100:D100"/>
    <mergeCell ref="B104:D104"/>
    <mergeCell ref="B22:D22"/>
    <mergeCell ref="B30:D30"/>
    <mergeCell ref="B32:D32"/>
    <mergeCell ref="B34:D34"/>
    <mergeCell ref="B60:D60"/>
    <mergeCell ref="A4:R4"/>
    <mergeCell ref="A5:R5"/>
    <mergeCell ref="B66:D66"/>
    <mergeCell ref="B69:D69"/>
    <mergeCell ref="B89:D89"/>
    <mergeCell ref="B8:D9"/>
    <mergeCell ref="E8:P8"/>
    <mergeCell ref="R8:R9"/>
    <mergeCell ref="B10:D10"/>
  </mergeCells>
  <phoneticPr fontId="46" type="noConversion"/>
  <pageMargins left="0.31496062992125984" right="0.31496062992125984" top="0.74803149606299213" bottom="0.74803149606299213" header="0.31496062992125984" footer="0.31496062992125984"/>
  <pageSetup paperSize="5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28"/>
  <sheetViews>
    <sheetView view="pageLayout" topLeftCell="B100" zoomScale="110" zoomScaleNormal="115" zoomScalePageLayoutView="110" workbookViewId="0">
      <selection activeCell="I38" sqref="I38"/>
    </sheetView>
  </sheetViews>
  <sheetFormatPr defaultColWidth="9.7109375" defaultRowHeight="11.25" customHeight="1" x14ac:dyDescent="0.15"/>
  <cols>
    <col min="1" max="1" width="7.5703125" style="99" customWidth="1"/>
    <col min="2" max="2" width="2.7109375" style="144" customWidth="1"/>
    <col min="3" max="3" width="2.7109375" style="99" customWidth="1"/>
    <col min="4" max="4" width="24.5703125" style="99" customWidth="1"/>
    <col min="5" max="5" width="12.42578125" style="99" customWidth="1"/>
    <col min="6" max="6" width="11.7109375" style="99" customWidth="1"/>
    <col min="7" max="7" width="11" style="99" customWidth="1"/>
    <col min="8" max="8" width="11.42578125" style="99" customWidth="1"/>
    <col min="9" max="9" width="11.28515625" style="99" customWidth="1"/>
    <col min="10" max="10" width="11.42578125" style="99" customWidth="1"/>
    <col min="11" max="11" width="11" style="99" customWidth="1"/>
    <col min="12" max="12" width="11.85546875" style="99" customWidth="1"/>
    <col min="13" max="13" width="11" style="99" customWidth="1"/>
    <col min="14" max="14" width="11.7109375" style="99" customWidth="1"/>
    <col min="15" max="15" width="12.5703125" style="99" customWidth="1"/>
    <col min="16" max="16" width="11.85546875" style="99" customWidth="1"/>
    <col min="17" max="17" width="12.5703125" style="99" customWidth="1"/>
    <col min="18" max="18" width="27.42578125" style="99" customWidth="1"/>
    <col min="19" max="19" width="9.7109375" style="498"/>
    <col min="20" max="16384" width="9.7109375" style="99"/>
  </cols>
  <sheetData>
    <row r="1" spans="1:18" ht="11.25" customHeight="1" x14ac:dyDescent="0.15">
      <c r="A1" s="519" t="s">
        <v>34</v>
      </c>
      <c r="B1" s="520"/>
      <c r="C1" s="519"/>
      <c r="D1" s="519"/>
      <c r="E1" s="519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2"/>
      <c r="Q1" s="521"/>
      <c r="R1" s="519"/>
    </row>
    <row r="2" spans="1:18" ht="11.25" customHeight="1" x14ac:dyDescent="0.15">
      <c r="A2" s="519" t="s">
        <v>111</v>
      </c>
      <c r="B2" s="520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21"/>
      <c r="Q2" s="523" t="s">
        <v>442</v>
      </c>
      <c r="R2" s="519"/>
    </row>
    <row r="3" spans="1:18" ht="11.25" customHeight="1" x14ac:dyDescent="0.15">
      <c r="A3" s="519"/>
      <c r="B3" s="520"/>
      <c r="C3" s="519"/>
      <c r="D3" s="519"/>
      <c r="E3" s="519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5"/>
      <c r="Q3" s="526"/>
      <c r="R3" s="521"/>
    </row>
    <row r="4" spans="1:18" ht="11.25" customHeight="1" x14ac:dyDescent="0.15">
      <c r="A4" s="841" t="s">
        <v>551</v>
      </c>
      <c r="B4" s="841"/>
      <c r="C4" s="841"/>
      <c r="D4" s="841"/>
      <c r="E4" s="841"/>
      <c r="F4" s="841"/>
      <c r="G4" s="841"/>
      <c r="H4" s="841"/>
      <c r="I4" s="841"/>
      <c r="J4" s="841"/>
      <c r="K4" s="841"/>
      <c r="L4" s="841"/>
      <c r="M4" s="841"/>
      <c r="N4" s="841"/>
      <c r="O4" s="841"/>
      <c r="P4" s="841"/>
      <c r="Q4" s="841"/>
      <c r="R4" s="841"/>
    </row>
    <row r="5" spans="1:18" ht="11.25" customHeight="1" x14ac:dyDescent="0.15">
      <c r="A5" s="841" t="s">
        <v>710</v>
      </c>
      <c r="B5" s="841"/>
      <c r="C5" s="841"/>
      <c r="D5" s="841"/>
      <c r="E5" s="841"/>
      <c r="F5" s="841"/>
      <c r="G5" s="841"/>
      <c r="H5" s="841"/>
      <c r="I5" s="841"/>
      <c r="J5" s="841"/>
      <c r="K5" s="841"/>
      <c r="L5" s="841"/>
      <c r="M5" s="841"/>
      <c r="N5" s="841"/>
      <c r="O5" s="841"/>
      <c r="P5" s="841"/>
      <c r="Q5" s="841"/>
      <c r="R5" s="841"/>
    </row>
    <row r="6" spans="1:18" ht="11.25" customHeight="1" x14ac:dyDescent="0.15">
      <c r="A6" s="527"/>
      <c r="B6" s="520"/>
      <c r="C6" s="527"/>
      <c r="D6" s="527"/>
      <c r="E6" s="527"/>
      <c r="F6" s="527"/>
      <c r="G6" s="527"/>
      <c r="H6" s="527"/>
      <c r="I6" s="527"/>
      <c r="J6" s="527"/>
      <c r="K6" s="527"/>
      <c r="L6" s="527"/>
      <c r="M6" s="528"/>
      <c r="N6" s="527"/>
      <c r="O6" s="527"/>
      <c r="P6" s="527"/>
      <c r="Q6" s="527"/>
      <c r="R6" s="519"/>
    </row>
    <row r="7" spans="1:18" ht="11.25" customHeight="1" thickBot="1" x14ac:dyDescent="0.2">
      <c r="A7" s="99" t="s">
        <v>14</v>
      </c>
      <c r="B7" s="520"/>
      <c r="C7" s="519"/>
      <c r="D7" s="519"/>
      <c r="E7" s="519"/>
      <c r="F7" s="519"/>
      <c r="G7" s="519"/>
      <c r="H7" s="519"/>
      <c r="I7" s="519"/>
      <c r="J7" s="519"/>
      <c r="K7" s="519"/>
      <c r="L7" s="519"/>
      <c r="M7" s="519"/>
      <c r="N7" s="519"/>
      <c r="O7" s="521"/>
      <c r="P7" s="521"/>
      <c r="Q7" s="521"/>
      <c r="R7" s="519"/>
    </row>
    <row r="8" spans="1:18" ht="11.25" customHeight="1" thickTop="1" x14ac:dyDescent="0.15">
      <c r="A8" s="529" t="s">
        <v>350</v>
      </c>
      <c r="B8" s="845" t="s">
        <v>30</v>
      </c>
      <c r="C8" s="845"/>
      <c r="D8" s="845"/>
      <c r="E8" s="847" t="s">
        <v>351</v>
      </c>
      <c r="F8" s="847"/>
      <c r="G8" s="847"/>
      <c r="H8" s="847"/>
      <c r="I8" s="847"/>
      <c r="J8" s="847"/>
      <c r="K8" s="847"/>
      <c r="L8" s="847"/>
      <c r="M8" s="847"/>
      <c r="N8" s="847"/>
      <c r="O8" s="847"/>
      <c r="P8" s="847"/>
      <c r="Q8" s="530" t="s">
        <v>12</v>
      </c>
      <c r="R8" s="531" t="s">
        <v>443</v>
      </c>
    </row>
    <row r="9" spans="1:18" ht="11.25" customHeight="1" x14ac:dyDescent="0.15">
      <c r="A9" s="532" t="s">
        <v>353</v>
      </c>
      <c r="B9" s="846"/>
      <c r="C9" s="846"/>
      <c r="D9" s="846"/>
      <c r="E9" s="533">
        <v>1</v>
      </c>
      <c r="F9" s="533">
        <v>2</v>
      </c>
      <c r="G9" s="533">
        <v>3</v>
      </c>
      <c r="H9" s="533">
        <v>4</v>
      </c>
      <c r="I9" s="533">
        <v>5</v>
      </c>
      <c r="J9" s="533">
        <v>6</v>
      </c>
      <c r="K9" s="533">
        <v>7</v>
      </c>
      <c r="L9" s="533">
        <v>8</v>
      </c>
      <c r="M9" s="533">
        <v>9</v>
      </c>
      <c r="N9" s="533">
        <v>10</v>
      </c>
      <c r="O9" s="533">
        <v>11</v>
      </c>
      <c r="P9" s="533">
        <v>12</v>
      </c>
      <c r="Q9" s="534">
        <v>2025</v>
      </c>
      <c r="R9" s="535" t="s">
        <v>444</v>
      </c>
    </row>
    <row r="10" spans="1:18" ht="11.25" customHeight="1" x14ac:dyDescent="0.15">
      <c r="A10" s="536">
        <v>1</v>
      </c>
      <c r="B10" s="848">
        <v>2</v>
      </c>
      <c r="C10" s="848"/>
      <c r="D10" s="848"/>
      <c r="E10" s="537">
        <v>3</v>
      </c>
      <c r="F10" s="537">
        <v>4</v>
      </c>
      <c r="G10" s="537">
        <v>5</v>
      </c>
      <c r="H10" s="537">
        <v>6</v>
      </c>
      <c r="I10" s="537">
        <v>7</v>
      </c>
      <c r="J10" s="537">
        <v>8</v>
      </c>
      <c r="K10" s="537">
        <v>9</v>
      </c>
      <c r="L10" s="537">
        <v>10</v>
      </c>
      <c r="M10" s="537">
        <v>11</v>
      </c>
      <c r="N10" s="537">
        <v>12</v>
      </c>
      <c r="O10" s="537">
        <v>13</v>
      </c>
      <c r="P10" s="537">
        <v>14</v>
      </c>
      <c r="Q10" s="537">
        <v>15</v>
      </c>
      <c r="R10" s="538">
        <v>16</v>
      </c>
    </row>
    <row r="11" spans="1:18" ht="11.25" customHeight="1" x14ac:dyDescent="0.15">
      <c r="A11" s="539" t="s">
        <v>674</v>
      </c>
      <c r="B11" s="540" t="s">
        <v>777</v>
      </c>
      <c r="C11" s="541"/>
      <c r="D11" s="542"/>
      <c r="E11" s="689"/>
      <c r="F11" s="689"/>
      <c r="G11" s="689"/>
      <c r="H11" s="543"/>
      <c r="I11" s="543"/>
      <c r="J11" s="543"/>
      <c r="K11" s="543"/>
      <c r="L11" s="543"/>
      <c r="M11" s="543"/>
      <c r="N11" s="543"/>
      <c r="O11" s="543"/>
      <c r="P11" s="543"/>
      <c r="Q11" s="543"/>
      <c r="R11" s="544"/>
    </row>
    <row r="12" spans="1:18" ht="11.25" customHeight="1" x14ac:dyDescent="0.15">
      <c r="A12" s="545" t="s">
        <v>778</v>
      </c>
      <c r="B12" s="546" t="s">
        <v>779</v>
      </c>
      <c r="C12" s="547"/>
      <c r="D12" s="548"/>
      <c r="E12" s="690">
        <f>SUM(E13:E16)</f>
        <v>0</v>
      </c>
      <c r="F12" s="690">
        <f t="shared" ref="F12:P12" si="0">SUM(F13:F16)</f>
        <v>0</v>
      </c>
      <c r="G12" s="690">
        <f>SUM(G13:G16)</f>
        <v>0</v>
      </c>
      <c r="H12" s="579">
        <f t="shared" si="0"/>
        <v>0</v>
      </c>
      <c r="I12" s="579">
        <f t="shared" si="0"/>
        <v>0</v>
      </c>
      <c r="J12" s="579">
        <f t="shared" si="0"/>
        <v>0</v>
      </c>
      <c r="K12" s="579">
        <f t="shared" si="0"/>
        <v>0</v>
      </c>
      <c r="L12" s="579">
        <f t="shared" si="0"/>
        <v>0</v>
      </c>
      <c r="M12" s="579">
        <f t="shared" si="0"/>
        <v>0</v>
      </c>
      <c r="N12" s="579">
        <f t="shared" si="0"/>
        <v>0</v>
      </c>
      <c r="O12" s="579">
        <f t="shared" si="0"/>
        <v>0</v>
      </c>
      <c r="P12" s="579">
        <f t="shared" si="0"/>
        <v>0</v>
      </c>
      <c r="Q12" s="549">
        <f t="shared" ref="Q12:Q24" si="1">SUM(E12:P12)</f>
        <v>0</v>
      </c>
      <c r="R12" s="544"/>
    </row>
    <row r="13" spans="1:18" ht="11.25" customHeight="1" x14ac:dyDescent="0.15">
      <c r="A13" s="545"/>
      <c r="B13" s="546"/>
      <c r="C13" s="547" t="s">
        <v>601</v>
      </c>
      <c r="D13" s="548"/>
      <c r="E13" s="563"/>
      <c r="F13" s="563"/>
      <c r="G13" s="563"/>
      <c r="H13" s="549"/>
      <c r="I13" s="549"/>
      <c r="J13" s="549"/>
      <c r="K13" s="549"/>
      <c r="L13" s="549"/>
      <c r="M13" s="549"/>
      <c r="N13" s="549"/>
      <c r="O13" s="549"/>
      <c r="P13" s="549"/>
      <c r="Q13" s="549">
        <f t="shared" si="1"/>
        <v>0</v>
      </c>
      <c r="R13" s="544"/>
    </row>
    <row r="14" spans="1:18" ht="11.25" customHeight="1" x14ac:dyDescent="0.15">
      <c r="A14" s="545"/>
      <c r="B14" s="546"/>
      <c r="C14" s="547" t="s">
        <v>780</v>
      </c>
      <c r="D14" s="548"/>
      <c r="E14" s="563"/>
      <c r="F14" s="563"/>
      <c r="G14" s="563"/>
      <c r="H14" s="549"/>
      <c r="I14" s="549"/>
      <c r="J14" s="549"/>
      <c r="K14" s="549"/>
      <c r="L14" s="549"/>
      <c r="M14" s="549"/>
      <c r="N14" s="549"/>
      <c r="O14" s="549"/>
      <c r="P14" s="549"/>
      <c r="Q14" s="549">
        <f t="shared" si="1"/>
        <v>0</v>
      </c>
      <c r="R14" s="544"/>
    </row>
    <row r="15" spans="1:18" ht="11.25" customHeight="1" x14ac:dyDescent="0.15">
      <c r="A15" s="545"/>
      <c r="B15" s="546"/>
      <c r="C15" s="547" t="s">
        <v>781</v>
      </c>
      <c r="D15" s="548"/>
      <c r="E15" s="563"/>
      <c r="F15" s="563"/>
      <c r="G15" s="563"/>
      <c r="H15" s="549"/>
      <c r="I15" s="549"/>
      <c r="J15" s="549"/>
      <c r="K15" s="549"/>
      <c r="L15" s="549"/>
      <c r="M15" s="549"/>
      <c r="N15" s="549"/>
      <c r="O15" s="549"/>
      <c r="P15" s="549"/>
      <c r="Q15" s="549">
        <f t="shared" si="1"/>
        <v>0</v>
      </c>
      <c r="R15" s="544"/>
    </row>
    <row r="16" spans="1:18" ht="11.25" customHeight="1" x14ac:dyDescent="0.15">
      <c r="A16" s="545"/>
      <c r="B16" s="546"/>
      <c r="C16" s="547" t="s">
        <v>782</v>
      </c>
      <c r="D16" s="548"/>
      <c r="E16" s="563"/>
      <c r="F16" s="563"/>
      <c r="G16" s="563"/>
      <c r="H16" s="549"/>
      <c r="I16" s="549"/>
      <c r="J16" s="549"/>
      <c r="K16" s="549"/>
      <c r="L16" s="549"/>
      <c r="M16" s="549"/>
      <c r="N16" s="549"/>
      <c r="O16" s="549"/>
      <c r="P16" s="549"/>
      <c r="Q16" s="549">
        <f t="shared" si="1"/>
        <v>0</v>
      </c>
      <c r="R16" s="544"/>
    </row>
    <row r="17" spans="1:18" ht="11.25" customHeight="1" x14ac:dyDescent="0.15">
      <c r="A17" s="545" t="s">
        <v>784</v>
      </c>
      <c r="B17" s="546" t="s">
        <v>783</v>
      </c>
      <c r="C17" s="547"/>
      <c r="D17" s="548"/>
      <c r="E17" s="690">
        <f>SUM(E18:E22)</f>
        <v>0</v>
      </c>
      <c r="F17" s="690">
        <f t="shared" ref="F17:P17" si="2">SUM(F18:F22)</f>
        <v>0</v>
      </c>
      <c r="G17" s="690">
        <f>SUM(G18:G22)</f>
        <v>0</v>
      </c>
      <c r="H17" s="579">
        <f t="shared" si="2"/>
        <v>0</v>
      </c>
      <c r="I17" s="579">
        <f t="shared" si="2"/>
        <v>0</v>
      </c>
      <c r="J17" s="579">
        <f t="shared" si="2"/>
        <v>0</v>
      </c>
      <c r="K17" s="579">
        <f t="shared" si="2"/>
        <v>0</v>
      </c>
      <c r="L17" s="579">
        <f t="shared" si="2"/>
        <v>0</v>
      </c>
      <c r="M17" s="579">
        <f t="shared" si="2"/>
        <v>0</v>
      </c>
      <c r="N17" s="579">
        <f t="shared" si="2"/>
        <v>0</v>
      </c>
      <c r="O17" s="579">
        <f t="shared" si="2"/>
        <v>0</v>
      </c>
      <c r="P17" s="579">
        <f t="shared" si="2"/>
        <v>0</v>
      </c>
      <c r="Q17" s="549">
        <f t="shared" si="1"/>
        <v>0</v>
      </c>
      <c r="R17" s="544"/>
    </row>
    <row r="18" spans="1:18" ht="11.25" customHeight="1" x14ac:dyDescent="0.15">
      <c r="A18" s="545"/>
      <c r="B18" s="546"/>
      <c r="C18" s="547" t="s">
        <v>741</v>
      </c>
      <c r="D18" s="548"/>
      <c r="E18" s="563"/>
      <c r="F18" s="563"/>
      <c r="G18" s="563"/>
      <c r="H18" s="549"/>
      <c r="I18" s="549"/>
      <c r="J18" s="549"/>
      <c r="K18" s="549"/>
      <c r="L18" s="549"/>
      <c r="M18" s="549"/>
      <c r="N18" s="549"/>
      <c r="O18" s="549"/>
      <c r="P18" s="549"/>
      <c r="Q18" s="549">
        <f t="shared" si="1"/>
        <v>0</v>
      </c>
      <c r="R18" s="544"/>
    </row>
    <row r="19" spans="1:18" ht="11.25" customHeight="1" x14ac:dyDescent="0.15">
      <c r="A19" s="545"/>
      <c r="B19" s="546"/>
      <c r="C19" s="547" t="s">
        <v>742</v>
      </c>
      <c r="D19" s="548"/>
      <c r="E19" s="563"/>
      <c r="F19" s="563"/>
      <c r="G19" s="563"/>
      <c r="H19" s="549"/>
      <c r="I19" s="549"/>
      <c r="J19" s="549"/>
      <c r="K19" s="549"/>
      <c r="L19" s="549"/>
      <c r="M19" s="549"/>
      <c r="N19" s="549"/>
      <c r="O19" s="549"/>
      <c r="P19" s="549"/>
      <c r="Q19" s="549">
        <f t="shared" si="1"/>
        <v>0</v>
      </c>
      <c r="R19" s="544"/>
    </row>
    <row r="20" spans="1:18" ht="11.25" customHeight="1" x14ac:dyDescent="0.15">
      <c r="A20" s="545"/>
      <c r="B20" s="546"/>
      <c r="C20" s="547" t="s">
        <v>743</v>
      </c>
      <c r="D20" s="548"/>
      <c r="E20" s="563"/>
      <c r="F20" s="563"/>
      <c r="G20" s="563"/>
      <c r="H20" s="549"/>
      <c r="I20" s="549"/>
      <c r="J20" s="549"/>
      <c r="K20" s="549"/>
      <c r="L20" s="549"/>
      <c r="M20" s="549"/>
      <c r="N20" s="549"/>
      <c r="O20" s="549"/>
      <c r="P20" s="549"/>
      <c r="Q20" s="549">
        <f t="shared" si="1"/>
        <v>0</v>
      </c>
      <c r="R20" s="544"/>
    </row>
    <row r="21" spans="1:18" ht="11.25" customHeight="1" x14ac:dyDescent="0.15">
      <c r="A21" s="545"/>
      <c r="B21" s="546"/>
      <c r="C21" s="547" t="s">
        <v>744</v>
      </c>
      <c r="D21" s="548"/>
      <c r="E21" s="563"/>
      <c r="F21" s="563"/>
      <c r="G21" s="563"/>
      <c r="H21" s="549"/>
      <c r="I21" s="549"/>
      <c r="J21" s="549"/>
      <c r="K21" s="549"/>
      <c r="L21" s="549"/>
      <c r="M21" s="549"/>
      <c r="N21" s="549"/>
      <c r="O21" s="549"/>
      <c r="P21" s="549"/>
      <c r="Q21" s="549">
        <f t="shared" si="1"/>
        <v>0</v>
      </c>
      <c r="R21" s="544"/>
    </row>
    <row r="22" spans="1:18" ht="11.25" customHeight="1" x14ac:dyDescent="0.15">
      <c r="A22" s="545"/>
      <c r="B22" s="546"/>
      <c r="C22" s="547" t="s">
        <v>745</v>
      </c>
      <c r="D22" s="548"/>
      <c r="E22" s="563"/>
      <c r="F22" s="563"/>
      <c r="G22" s="563"/>
      <c r="H22" s="549"/>
      <c r="I22" s="549"/>
      <c r="J22" s="549"/>
      <c r="K22" s="549"/>
      <c r="L22" s="549"/>
      <c r="M22" s="549"/>
      <c r="N22" s="549"/>
      <c r="O22" s="549"/>
      <c r="P22" s="549"/>
      <c r="Q22" s="549">
        <f t="shared" si="1"/>
        <v>0</v>
      </c>
      <c r="R22" s="544"/>
    </row>
    <row r="23" spans="1:18" ht="11.25" customHeight="1" x14ac:dyDescent="0.15">
      <c r="A23" s="545" t="s">
        <v>785</v>
      </c>
      <c r="B23" s="546" t="s">
        <v>713</v>
      </c>
      <c r="C23" s="547"/>
      <c r="D23" s="548"/>
      <c r="E23" s="563"/>
      <c r="F23" s="563"/>
      <c r="G23" s="563"/>
      <c r="H23" s="549"/>
      <c r="I23" s="549"/>
      <c r="J23" s="549"/>
      <c r="K23" s="549"/>
      <c r="L23" s="549"/>
      <c r="M23" s="549"/>
      <c r="N23" s="549"/>
      <c r="O23" s="549"/>
      <c r="P23" s="549"/>
      <c r="Q23" s="549">
        <f t="shared" si="1"/>
        <v>0</v>
      </c>
      <c r="R23" s="550"/>
    </row>
    <row r="24" spans="1:18" ht="11.25" customHeight="1" x14ac:dyDescent="0.15">
      <c r="A24" s="545" t="s">
        <v>789</v>
      </c>
      <c r="B24" s="546" t="s">
        <v>457</v>
      </c>
      <c r="C24" s="547"/>
      <c r="D24" s="548"/>
      <c r="E24" s="563"/>
      <c r="F24" s="563"/>
      <c r="G24" s="563"/>
      <c r="H24" s="549"/>
      <c r="I24" s="549"/>
      <c r="J24" s="549"/>
      <c r="K24" s="549"/>
      <c r="L24" s="549"/>
      <c r="M24" s="549"/>
      <c r="N24" s="549"/>
      <c r="O24" s="549"/>
      <c r="P24" s="549"/>
      <c r="Q24" s="549">
        <f t="shared" si="1"/>
        <v>0</v>
      </c>
      <c r="R24" s="550"/>
    </row>
    <row r="25" spans="1:18" ht="11.25" customHeight="1" x14ac:dyDescent="0.15">
      <c r="A25" s="545" t="s">
        <v>790</v>
      </c>
      <c r="B25" s="546" t="s">
        <v>786</v>
      </c>
      <c r="C25" s="547"/>
      <c r="D25" s="548"/>
      <c r="E25" s="563"/>
      <c r="F25" s="563"/>
      <c r="G25" s="563"/>
      <c r="H25" s="549"/>
      <c r="I25" s="549"/>
      <c r="J25" s="549"/>
      <c r="K25" s="549"/>
      <c r="L25" s="549"/>
      <c r="M25" s="549"/>
      <c r="N25" s="549"/>
      <c r="O25" s="549"/>
      <c r="P25" s="549"/>
      <c r="Q25" s="549">
        <f t="shared" ref="Q25:Q61" si="3">SUM(E25:P25)</f>
        <v>0</v>
      </c>
      <c r="R25" s="550"/>
    </row>
    <row r="26" spans="1:18" ht="11.25" customHeight="1" x14ac:dyDescent="0.15">
      <c r="A26" s="545" t="s">
        <v>791</v>
      </c>
      <c r="B26" s="546" t="s">
        <v>787</v>
      </c>
      <c r="C26" s="547"/>
      <c r="D26" s="548"/>
      <c r="E26" s="563"/>
      <c r="F26" s="563"/>
      <c r="G26" s="563"/>
      <c r="H26" s="549"/>
      <c r="I26" s="549"/>
      <c r="J26" s="549"/>
      <c r="K26" s="549"/>
      <c r="L26" s="549"/>
      <c r="M26" s="549"/>
      <c r="N26" s="549"/>
      <c r="O26" s="549"/>
      <c r="P26" s="549"/>
      <c r="Q26" s="549">
        <f t="shared" si="3"/>
        <v>0</v>
      </c>
      <c r="R26" s="550"/>
    </row>
    <row r="27" spans="1:18" ht="11.25" customHeight="1" x14ac:dyDescent="0.15">
      <c r="A27" s="545" t="s">
        <v>792</v>
      </c>
      <c r="B27" s="546" t="s">
        <v>788</v>
      </c>
      <c r="C27" s="547"/>
      <c r="D27" s="548"/>
      <c r="E27" s="563"/>
      <c r="F27" s="563"/>
      <c r="G27" s="563"/>
      <c r="H27" s="549"/>
      <c r="I27" s="549"/>
      <c r="J27" s="549"/>
      <c r="K27" s="549"/>
      <c r="L27" s="549"/>
      <c r="M27" s="549"/>
      <c r="N27" s="549"/>
      <c r="O27" s="549"/>
      <c r="P27" s="549"/>
      <c r="Q27" s="549">
        <f t="shared" si="3"/>
        <v>0</v>
      </c>
      <c r="R27" s="551"/>
    </row>
    <row r="28" spans="1:18" ht="11.25" customHeight="1" x14ac:dyDescent="0.15">
      <c r="A28" s="545"/>
      <c r="B28" s="546" t="s">
        <v>460</v>
      </c>
      <c r="C28" s="552"/>
      <c r="D28" s="553"/>
      <c r="E28" s="563"/>
      <c r="F28" s="563"/>
      <c r="G28" s="563"/>
      <c r="H28" s="549"/>
      <c r="I28" s="549"/>
      <c r="J28" s="549"/>
      <c r="K28" s="549"/>
      <c r="L28" s="549"/>
      <c r="M28" s="549"/>
      <c r="N28" s="549"/>
      <c r="O28" s="549"/>
      <c r="P28" s="549"/>
      <c r="Q28" s="549">
        <f t="shared" si="3"/>
        <v>0</v>
      </c>
      <c r="R28" s="550"/>
    </row>
    <row r="29" spans="1:18" ht="11.25" customHeight="1" x14ac:dyDescent="0.15">
      <c r="A29" s="554"/>
      <c r="B29" s="835" t="s">
        <v>794</v>
      </c>
      <c r="C29" s="836"/>
      <c r="D29" s="837"/>
      <c r="E29" s="557">
        <f>SUM(E23:E28)+E17+E12</f>
        <v>0</v>
      </c>
      <c r="F29" s="557">
        <f>SUM(F23:F28)+F17+F12</f>
        <v>0</v>
      </c>
      <c r="G29" s="557">
        <f>SUM(G23:G28)+G17+G12</f>
        <v>0</v>
      </c>
      <c r="H29" s="557">
        <f t="shared" ref="H29:P29" si="4">SUM(H23:H28)+H17+H12</f>
        <v>0</v>
      </c>
      <c r="I29" s="557">
        <f t="shared" si="4"/>
        <v>0</v>
      </c>
      <c r="J29" s="557">
        <f t="shared" si="4"/>
        <v>0</v>
      </c>
      <c r="K29" s="557">
        <f t="shared" si="4"/>
        <v>0</v>
      </c>
      <c r="L29" s="557">
        <f t="shared" si="4"/>
        <v>0</v>
      </c>
      <c r="M29" s="557">
        <f t="shared" si="4"/>
        <v>0</v>
      </c>
      <c r="N29" s="557">
        <f t="shared" si="4"/>
        <v>0</v>
      </c>
      <c r="O29" s="557">
        <f t="shared" si="4"/>
        <v>0</v>
      </c>
      <c r="P29" s="557">
        <f t="shared" si="4"/>
        <v>0</v>
      </c>
      <c r="Q29" s="558">
        <f>SUM(E29:P29)</f>
        <v>0</v>
      </c>
      <c r="R29" s="559" t="s">
        <v>359</v>
      </c>
    </row>
    <row r="30" spans="1:18" ht="11.25" customHeight="1" x14ac:dyDescent="0.15">
      <c r="A30" s="545" t="s">
        <v>793</v>
      </c>
      <c r="B30" s="560" t="s">
        <v>629</v>
      </c>
      <c r="C30" s="547"/>
      <c r="D30" s="548"/>
      <c r="E30" s="563"/>
      <c r="F30" s="563"/>
      <c r="G30" s="563"/>
      <c r="H30" s="549"/>
      <c r="I30" s="549"/>
      <c r="J30" s="549"/>
      <c r="K30" s="549"/>
      <c r="L30" s="549"/>
      <c r="M30" s="549"/>
      <c r="N30" s="549"/>
      <c r="O30" s="549"/>
      <c r="P30" s="549"/>
      <c r="Q30" s="549">
        <f t="shared" si="3"/>
        <v>0</v>
      </c>
      <c r="R30" s="544"/>
    </row>
    <row r="31" spans="1:18" ht="11.25" customHeight="1" x14ac:dyDescent="0.15">
      <c r="A31" s="545" t="s">
        <v>802</v>
      </c>
      <c r="B31" s="842" t="s">
        <v>795</v>
      </c>
      <c r="C31" s="843"/>
      <c r="D31" s="844"/>
      <c r="E31" s="563"/>
      <c r="F31" s="563"/>
      <c r="G31" s="563"/>
      <c r="H31" s="549"/>
      <c r="I31" s="549"/>
      <c r="J31" s="549"/>
      <c r="K31" s="549"/>
      <c r="L31" s="549"/>
      <c r="M31" s="549"/>
      <c r="N31" s="549"/>
      <c r="O31" s="549"/>
      <c r="P31" s="549"/>
      <c r="Q31" s="549">
        <f t="shared" si="3"/>
        <v>0</v>
      </c>
      <c r="R31" s="550"/>
    </row>
    <row r="32" spans="1:18" ht="11.25" customHeight="1" x14ac:dyDescent="0.15">
      <c r="A32" s="545" t="s">
        <v>803</v>
      </c>
      <c r="B32" s="548" t="s">
        <v>467</v>
      </c>
      <c r="C32" s="547"/>
      <c r="D32" s="547"/>
      <c r="E32" s="563"/>
      <c r="F32" s="563"/>
      <c r="G32" s="563"/>
      <c r="H32" s="549"/>
      <c r="I32" s="549"/>
      <c r="J32" s="549"/>
      <c r="K32" s="549"/>
      <c r="L32" s="549"/>
      <c r="M32" s="549"/>
      <c r="N32" s="549"/>
      <c r="O32" s="549"/>
      <c r="P32" s="549"/>
      <c r="Q32" s="549">
        <f t="shared" si="3"/>
        <v>0</v>
      </c>
      <c r="R32" s="550"/>
    </row>
    <row r="33" spans="1:18" ht="11.25" customHeight="1" x14ac:dyDescent="0.15">
      <c r="A33" s="545" t="s">
        <v>804</v>
      </c>
      <c r="B33" s="546" t="s">
        <v>244</v>
      </c>
      <c r="C33" s="547"/>
      <c r="D33" s="548"/>
      <c r="E33" s="563"/>
      <c r="F33" s="563"/>
      <c r="G33" s="563"/>
      <c r="H33" s="549"/>
      <c r="I33" s="549"/>
      <c r="J33" s="549"/>
      <c r="K33" s="549"/>
      <c r="L33" s="549"/>
      <c r="M33" s="549"/>
      <c r="N33" s="549"/>
      <c r="O33" s="549"/>
      <c r="P33" s="549"/>
      <c r="Q33" s="549">
        <f t="shared" si="3"/>
        <v>0</v>
      </c>
      <c r="R33" s="551"/>
    </row>
    <row r="34" spans="1:18" ht="11.25" customHeight="1" x14ac:dyDescent="0.15">
      <c r="A34" s="545" t="s">
        <v>805</v>
      </c>
      <c r="B34" s="546" t="s">
        <v>796</v>
      </c>
      <c r="C34" s="552"/>
      <c r="D34" s="553"/>
      <c r="E34" s="563"/>
      <c r="F34" s="563"/>
      <c r="G34" s="563"/>
      <c r="H34" s="549"/>
      <c r="I34" s="549"/>
      <c r="J34" s="549"/>
      <c r="K34" s="549"/>
      <c r="L34" s="549"/>
      <c r="M34" s="549"/>
      <c r="N34" s="549"/>
      <c r="O34" s="549"/>
      <c r="P34" s="549"/>
      <c r="Q34" s="549">
        <f t="shared" si="3"/>
        <v>0</v>
      </c>
      <c r="R34" s="550"/>
    </row>
    <row r="35" spans="1:18" ht="11.25" customHeight="1" x14ac:dyDescent="0.15">
      <c r="A35" s="545" t="s">
        <v>806</v>
      </c>
      <c r="B35" s="546" t="s">
        <v>797</v>
      </c>
      <c r="C35" s="547"/>
      <c r="D35" s="548"/>
      <c r="E35" s="563"/>
      <c r="F35" s="563"/>
      <c r="G35" s="563"/>
      <c r="H35" s="549"/>
      <c r="I35" s="549"/>
      <c r="J35" s="549"/>
      <c r="K35" s="549"/>
      <c r="L35" s="549"/>
      <c r="M35" s="549"/>
      <c r="N35" s="549"/>
      <c r="O35" s="549"/>
      <c r="P35" s="549"/>
      <c r="Q35" s="549">
        <f t="shared" si="3"/>
        <v>0</v>
      </c>
      <c r="R35" s="550"/>
    </row>
    <row r="36" spans="1:18" ht="11.25" customHeight="1" x14ac:dyDescent="0.15">
      <c r="A36" s="545"/>
      <c r="B36" s="546"/>
      <c r="C36" s="547" t="s">
        <v>539</v>
      </c>
      <c r="D36" s="548"/>
      <c r="E36" s="563"/>
      <c r="F36" s="563"/>
      <c r="G36" s="563"/>
      <c r="H36" s="549"/>
      <c r="I36" s="549"/>
      <c r="J36" s="549"/>
      <c r="K36" s="549"/>
      <c r="L36" s="549"/>
      <c r="M36" s="549"/>
      <c r="N36" s="549"/>
      <c r="O36" s="549"/>
      <c r="P36" s="549"/>
      <c r="Q36" s="549">
        <f t="shared" si="3"/>
        <v>0</v>
      </c>
      <c r="R36" s="550"/>
    </row>
    <row r="37" spans="1:18" ht="11.25" customHeight="1" x14ac:dyDescent="0.15">
      <c r="A37" s="545"/>
      <c r="B37" s="546"/>
      <c r="C37" s="547" t="s">
        <v>473</v>
      </c>
      <c r="D37" s="548"/>
      <c r="E37" s="563"/>
      <c r="F37" s="563"/>
      <c r="G37" s="563"/>
      <c r="H37" s="549"/>
      <c r="I37" s="549"/>
      <c r="J37" s="549"/>
      <c r="K37" s="549"/>
      <c r="L37" s="549"/>
      <c r="M37" s="549"/>
      <c r="N37" s="549"/>
      <c r="O37" s="549"/>
      <c r="P37" s="549"/>
      <c r="Q37" s="549">
        <f t="shared" si="3"/>
        <v>0</v>
      </c>
      <c r="R37" s="550"/>
    </row>
    <row r="38" spans="1:18" ht="11.25" customHeight="1" x14ac:dyDescent="0.15">
      <c r="A38" s="545" t="s">
        <v>807</v>
      </c>
      <c r="B38" s="546" t="s">
        <v>475</v>
      </c>
      <c r="C38" s="547"/>
      <c r="D38" s="548"/>
      <c r="E38" s="563"/>
      <c r="F38" s="563"/>
      <c r="G38" s="563"/>
      <c r="H38" s="549"/>
      <c r="I38" s="549"/>
      <c r="J38" s="549"/>
      <c r="K38" s="549"/>
      <c r="L38" s="549"/>
      <c r="M38" s="549"/>
      <c r="N38" s="549"/>
      <c r="O38" s="549"/>
      <c r="P38" s="549"/>
      <c r="Q38" s="549">
        <f t="shared" si="3"/>
        <v>0</v>
      </c>
      <c r="R38" s="550"/>
    </row>
    <row r="39" spans="1:18" ht="11.25" customHeight="1" x14ac:dyDescent="0.15">
      <c r="A39" s="545" t="s">
        <v>808</v>
      </c>
      <c r="B39" s="842" t="s">
        <v>798</v>
      </c>
      <c r="C39" s="843"/>
      <c r="D39" s="844"/>
      <c r="E39" s="563"/>
      <c r="F39" s="563"/>
      <c r="G39" s="563"/>
      <c r="H39" s="549"/>
      <c r="I39" s="549"/>
      <c r="J39" s="549"/>
      <c r="K39" s="549"/>
      <c r="L39" s="549"/>
      <c r="M39" s="549"/>
      <c r="N39" s="549"/>
      <c r="O39" s="549"/>
      <c r="P39" s="549"/>
      <c r="Q39" s="549">
        <f t="shared" si="3"/>
        <v>0</v>
      </c>
      <c r="R39" s="550"/>
    </row>
    <row r="40" spans="1:18" ht="11.25" customHeight="1" x14ac:dyDescent="0.15">
      <c r="A40" s="545" t="s">
        <v>809</v>
      </c>
      <c r="B40" s="842" t="s">
        <v>799</v>
      </c>
      <c r="C40" s="843"/>
      <c r="D40" s="844"/>
      <c r="E40" s="563"/>
      <c r="F40" s="563"/>
      <c r="G40" s="563"/>
      <c r="H40" s="549"/>
      <c r="I40" s="549"/>
      <c r="J40" s="549"/>
      <c r="K40" s="549"/>
      <c r="L40" s="549"/>
      <c r="M40" s="549"/>
      <c r="N40" s="549"/>
      <c r="O40" s="549"/>
      <c r="P40" s="549"/>
      <c r="Q40" s="549">
        <f t="shared" si="3"/>
        <v>0</v>
      </c>
      <c r="R40" s="550"/>
    </row>
    <row r="41" spans="1:18" ht="11.25" customHeight="1" x14ac:dyDescent="0.15">
      <c r="A41" s="545" t="s">
        <v>810</v>
      </c>
      <c r="B41" s="546" t="s">
        <v>800</v>
      </c>
      <c r="C41" s="547"/>
      <c r="D41" s="548"/>
      <c r="E41" s="563"/>
      <c r="F41" s="563"/>
      <c r="G41" s="563"/>
      <c r="H41" s="549"/>
      <c r="I41" s="549"/>
      <c r="J41" s="549"/>
      <c r="K41" s="549"/>
      <c r="L41" s="549"/>
      <c r="M41" s="549"/>
      <c r="N41" s="549"/>
      <c r="O41" s="549"/>
      <c r="P41" s="549"/>
      <c r="Q41" s="549">
        <f t="shared" si="3"/>
        <v>0</v>
      </c>
      <c r="R41" s="551"/>
    </row>
    <row r="42" spans="1:18" ht="11.25" customHeight="1" x14ac:dyDescent="0.15">
      <c r="A42" s="564"/>
      <c r="B42" s="546" t="s">
        <v>483</v>
      </c>
      <c r="C42" s="547"/>
      <c r="D42" s="548"/>
      <c r="E42" s="563"/>
      <c r="F42" s="563"/>
      <c r="G42" s="563"/>
      <c r="H42" s="549"/>
      <c r="I42" s="549"/>
      <c r="J42" s="549"/>
      <c r="K42" s="549"/>
      <c r="L42" s="549"/>
      <c r="M42" s="549"/>
      <c r="N42" s="549"/>
      <c r="O42" s="549"/>
      <c r="P42" s="549"/>
      <c r="Q42" s="549">
        <f t="shared" si="3"/>
        <v>0</v>
      </c>
      <c r="R42" s="550"/>
    </row>
    <row r="43" spans="1:18" ht="11.25" customHeight="1" x14ac:dyDescent="0.15">
      <c r="A43" s="564"/>
      <c r="B43" s="546" t="s">
        <v>801</v>
      </c>
      <c r="C43" s="547"/>
      <c r="D43" s="548"/>
      <c r="E43" s="563"/>
      <c r="F43" s="563"/>
      <c r="G43" s="563"/>
      <c r="H43" s="549"/>
      <c r="I43" s="549"/>
      <c r="J43" s="549"/>
      <c r="K43" s="549"/>
      <c r="L43" s="549"/>
      <c r="M43" s="549"/>
      <c r="N43" s="549"/>
      <c r="O43" s="549"/>
      <c r="P43" s="549"/>
      <c r="Q43" s="549">
        <f t="shared" si="3"/>
        <v>0</v>
      </c>
      <c r="R43" s="550"/>
    </row>
    <row r="44" spans="1:18" ht="11.25" customHeight="1" x14ac:dyDescent="0.15">
      <c r="A44" s="536"/>
      <c r="B44" s="835" t="s">
        <v>811</v>
      </c>
      <c r="C44" s="836"/>
      <c r="D44" s="837"/>
      <c r="E44" s="557">
        <f>SUM(E31:E43)</f>
        <v>0</v>
      </c>
      <c r="F44" s="557">
        <f>SUM(F31:F43)</f>
        <v>0</v>
      </c>
      <c r="G44" s="557">
        <f>SUM(G31:G43)</f>
        <v>0</v>
      </c>
      <c r="H44" s="565">
        <f t="shared" ref="H44:P44" si="5">SUM(H31:H43)</f>
        <v>0</v>
      </c>
      <c r="I44" s="565">
        <f t="shared" si="5"/>
        <v>0</v>
      </c>
      <c r="J44" s="565">
        <f t="shared" si="5"/>
        <v>0</v>
      </c>
      <c r="K44" s="565">
        <f t="shared" si="5"/>
        <v>0</v>
      </c>
      <c r="L44" s="565">
        <f t="shared" si="5"/>
        <v>0</v>
      </c>
      <c r="M44" s="565">
        <f t="shared" si="5"/>
        <v>0</v>
      </c>
      <c r="N44" s="565">
        <f t="shared" si="5"/>
        <v>0</v>
      </c>
      <c r="O44" s="565">
        <f t="shared" si="5"/>
        <v>0</v>
      </c>
      <c r="P44" s="565">
        <f t="shared" si="5"/>
        <v>0</v>
      </c>
      <c r="Q44" s="565">
        <f t="shared" si="3"/>
        <v>0</v>
      </c>
      <c r="R44" s="559" t="s">
        <v>471</v>
      </c>
    </row>
    <row r="45" spans="1:18" ht="11.25" customHeight="1" x14ac:dyDescent="0.15">
      <c r="A45" s="545" t="s">
        <v>815</v>
      </c>
      <c r="B45" s="546" t="s">
        <v>812</v>
      </c>
      <c r="C45" s="547"/>
      <c r="D45" s="548"/>
      <c r="E45" s="563"/>
      <c r="F45" s="563"/>
      <c r="G45" s="563"/>
      <c r="H45" s="549"/>
      <c r="I45" s="549"/>
      <c r="J45" s="549"/>
      <c r="K45" s="549"/>
      <c r="L45" s="549"/>
      <c r="M45" s="549"/>
      <c r="N45" s="549"/>
      <c r="O45" s="549"/>
      <c r="P45" s="549"/>
      <c r="Q45" s="549">
        <f t="shared" si="3"/>
        <v>0</v>
      </c>
      <c r="R45" s="550"/>
    </row>
    <row r="46" spans="1:18" ht="11.25" customHeight="1" x14ac:dyDescent="0.15">
      <c r="A46" s="545" t="s">
        <v>816</v>
      </c>
      <c r="B46" s="546" t="s">
        <v>813</v>
      </c>
      <c r="C46" s="547"/>
      <c r="D46" s="548"/>
      <c r="E46" s="563"/>
      <c r="F46" s="563"/>
      <c r="G46" s="563"/>
      <c r="H46" s="549"/>
      <c r="I46" s="549"/>
      <c r="J46" s="549"/>
      <c r="K46" s="549"/>
      <c r="L46" s="549"/>
      <c r="M46" s="549"/>
      <c r="N46" s="549"/>
      <c r="O46" s="549"/>
      <c r="P46" s="549"/>
      <c r="Q46" s="549">
        <f t="shared" si="3"/>
        <v>0</v>
      </c>
      <c r="R46" s="550"/>
    </row>
    <row r="47" spans="1:18" ht="11.25" customHeight="1" x14ac:dyDescent="0.15">
      <c r="A47" s="545" t="s">
        <v>817</v>
      </c>
      <c r="B47" s="546" t="s">
        <v>81</v>
      </c>
      <c r="C47" s="547"/>
      <c r="D47" s="548"/>
      <c r="E47" s="563"/>
      <c r="F47" s="563"/>
      <c r="G47" s="563"/>
      <c r="H47" s="549"/>
      <c r="I47" s="549"/>
      <c r="J47" s="549"/>
      <c r="K47" s="549"/>
      <c r="L47" s="549"/>
      <c r="M47" s="549"/>
      <c r="N47" s="549"/>
      <c r="O47" s="549"/>
      <c r="P47" s="549"/>
      <c r="Q47" s="549">
        <f t="shared" si="3"/>
        <v>0</v>
      </c>
      <c r="R47" s="550"/>
    </row>
    <row r="48" spans="1:18" ht="11.25" customHeight="1" x14ac:dyDescent="0.15">
      <c r="A48" s="545" t="s">
        <v>818</v>
      </c>
      <c r="B48" s="546" t="s">
        <v>814</v>
      </c>
      <c r="C48" s="547"/>
      <c r="D48" s="548"/>
      <c r="E48" s="563"/>
      <c r="F48" s="563"/>
      <c r="G48" s="563"/>
      <c r="H48" s="549"/>
      <c r="I48" s="549"/>
      <c r="J48" s="549"/>
      <c r="K48" s="549"/>
      <c r="L48" s="549"/>
      <c r="M48" s="549"/>
      <c r="N48" s="549"/>
      <c r="O48" s="549"/>
      <c r="P48" s="549"/>
      <c r="Q48" s="549">
        <f t="shared" si="3"/>
        <v>0</v>
      </c>
      <c r="R48" s="550"/>
    </row>
    <row r="49" spans="1:20" ht="11.25" customHeight="1" x14ac:dyDescent="0.15">
      <c r="A49" s="536"/>
      <c r="B49" s="849" t="s">
        <v>819</v>
      </c>
      <c r="C49" s="850"/>
      <c r="D49" s="851"/>
      <c r="E49" s="557">
        <f>SUM(E46:E48)</f>
        <v>0</v>
      </c>
      <c r="F49" s="557">
        <f t="shared" ref="F49:P49" si="6">SUM(F46:F48)</f>
        <v>0</v>
      </c>
      <c r="G49" s="557">
        <f>SUM(G46:G48)</f>
        <v>0</v>
      </c>
      <c r="H49" s="565">
        <f t="shared" si="6"/>
        <v>0</v>
      </c>
      <c r="I49" s="565">
        <f t="shared" si="6"/>
        <v>0</v>
      </c>
      <c r="J49" s="565">
        <f t="shared" si="6"/>
        <v>0</v>
      </c>
      <c r="K49" s="565">
        <f t="shared" si="6"/>
        <v>0</v>
      </c>
      <c r="L49" s="565">
        <f t="shared" si="6"/>
        <v>0</v>
      </c>
      <c r="M49" s="565">
        <f t="shared" si="6"/>
        <v>0</v>
      </c>
      <c r="N49" s="565">
        <f t="shared" si="6"/>
        <v>0</v>
      </c>
      <c r="O49" s="565">
        <f>SUM(O46:O48)</f>
        <v>0</v>
      </c>
      <c r="P49" s="565">
        <f t="shared" si="6"/>
        <v>0</v>
      </c>
      <c r="Q49" s="565">
        <f>SUM(E49:P49)</f>
        <v>0</v>
      </c>
      <c r="R49" s="559" t="s">
        <v>488</v>
      </c>
    </row>
    <row r="50" spans="1:20" ht="11.25" customHeight="1" x14ac:dyDescent="0.15">
      <c r="A50" s="545" t="s">
        <v>821</v>
      </c>
      <c r="B50" s="842" t="s">
        <v>820</v>
      </c>
      <c r="C50" s="843"/>
      <c r="D50" s="844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49">
        <f t="shared" si="3"/>
        <v>0</v>
      </c>
      <c r="R50" s="550"/>
    </row>
    <row r="51" spans="1:20" ht="11.25" customHeight="1" x14ac:dyDescent="0.15">
      <c r="A51" s="545"/>
      <c r="B51" s="546"/>
      <c r="C51" s="547"/>
      <c r="D51" s="548"/>
      <c r="E51" s="563"/>
      <c r="F51" s="563"/>
      <c r="G51" s="563"/>
      <c r="H51" s="549"/>
      <c r="I51" s="549"/>
      <c r="J51" s="549"/>
      <c r="K51" s="549"/>
      <c r="L51" s="549"/>
      <c r="M51" s="549"/>
      <c r="N51" s="549"/>
      <c r="O51" s="549"/>
      <c r="P51" s="549"/>
      <c r="Q51" s="549">
        <f t="shared" si="3"/>
        <v>0</v>
      </c>
      <c r="R51" s="566"/>
    </row>
    <row r="52" spans="1:20" ht="11.25" customHeight="1" x14ac:dyDescent="0.15">
      <c r="A52" s="554"/>
      <c r="B52" s="835" t="s">
        <v>823</v>
      </c>
      <c r="C52" s="836"/>
      <c r="D52" s="837"/>
      <c r="E52" s="567">
        <f>SUM(E51)</f>
        <v>0</v>
      </c>
      <c r="F52" s="567">
        <f t="shared" ref="F52:P52" si="7">SUM(F51)</f>
        <v>0</v>
      </c>
      <c r="G52" s="567">
        <f t="shared" si="7"/>
        <v>0</v>
      </c>
      <c r="H52" s="567">
        <f t="shared" si="7"/>
        <v>0</v>
      </c>
      <c r="I52" s="567">
        <f t="shared" si="7"/>
        <v>0</v>
      </c>
      <c r="J52" s="567">
        <f t="shared" si="7"/>
        <v>0</v>
      </c>
      <c r="K52" s="567">
        <f t="shared" si="7"/>
        <v>0</v>
      </c>
      <c r="L52" s="567">
        <f t="shared" si="7"/>
        <v>0</v>
      </c>
      <c r="M52" s="567">
        <f t="shared" si="7"/>
        <v>0</v>
      </c>
      <c r="N52" s="567">
        <f t="shared" si="7"/>
        <v>0</v>
      </c>
      <c r="O52" s="567">
        <f t="shared" si="7"/>
        <v>0</v>
      </c>
      <c r="P52" s="567">
        <f t="shared" si="7"/>
        <v>0</v>
      </c>
      <c r="Q52" s="558">
        <f t="shared" si="3"/>
        <v>0</v>
      </c>
      <c r="R52" s="559" t="s">
        <v>496</v>
      </c>
    </row>
    <row r="53" spans="1:20" ht="11.25" customHeight="1" x14ac:dyDescent="0.15">
      <c r="A53" s="545" t="s">
        <v>822</v>
      </c>
      <c r="B53" s="842" t="s">
        <v>632</v>
      </c>
      <c r="C53" s="843"/>
      <c r="D53" s="844"/>
      <c r="E53" s="563"/>
      <c r="F53" s="563"/>
      <c r="G53" s="563"/>
      <c r="H53" s="563"/>
      <c r="I53" s="563"/>
      <c r="J53" s="563"/>
      <c r="K53" s="563"/>
      <c r="L53" s="563"/>
      <c r="M53" s="563"/>
      <c r="N53" s="563"/>
      <c r="O53" s="563"/>
      <c r="P53" s="563"/>
      <c r="Q53" s="549">
        <f t="shared" si="3"/>
        <v>0</v>
      </c>
      <c r="R53" s="550"/>
    </row>
    <row r="54" spans="1:20" ht="11.25" customHeight="1" x14ac:dyDescent="0.15">
      <c r="A54" s="545" t="s">
        <v>824</v>
      </c>
      <c r="B54" s="546" t="s">
        <v>501</v>
      </c>
      <c r="C54" s="547"/>
      <c r="D54" s="548"/>
      <c r="E54" s="563"/>
      <c r="F54" s="563"/>
      <c r="G54" s="563"/>
      <c r="H54" s="563"/>
      <c r="I54" s="563"/>
      <c r="J54" s="563"/>
      <c r="K54" s="563"/>
      <c r="L54" s="563"/>
      <c r="M54" s="563"/>
      <c r="N54" s="563"/>
      <c r="O54" s="563"/>
      <c r="P54" s="563"/>
      <c r="Q54" s="549">
        <f t="shared" si="3"/>
        <v>0</v>
      </c>
      <c r="R54" s="550"/>
    </row>
    <row r="55" spans="1:20" ht="11.25" customHeight="1" x14ac:dyDescent="0.15">
      <c r="A55" s="545" t="s">
        <v>825</v>
      </c>
      <c r="B55" s="546" t="s">
        <v>503</v>
      </c>
      <c r="C55" s="552"/>
      <c r="D55" s="553"/>
      <c r="E55" s="563"/>
      <c r="F55" s="563"/>
      <c r="G55" s="563"/>
      <c r="H55" s="549"/>
      <c r="I55" s="549"/>
      <c r="J55" s="549"/>
      <c r="K55" s="549"/>
      <c r="L55" s="549"/>
      <c r="M55" s="549"/>
      <c r="N55" s="549"/>
      <c r="O55" s="549"/>
      <c r="P55" s="549"/>
      <c r="Q55" s="549">
        <f t="shared" si="3"/>
        <v>0</v>
      </c>
      <c r="R55" s="550"/>
    </row>
    <row r="56" spans="1:20" ht="11.25" customHeight="1" x14ac:dyDescent="0.15">
      <c r="A56" s="545" t="s">
        <v>826</v>
      </c>
      <c r="B56" s="546" t="s">
        <v>505</v>
      </c>
      <c r="C56" s="547"/>
      <c r="D56" s="548"/>
      <c r="E56" s="563"/>
      <c r="F56" s="563"/>
      <c r="G56" s="563"/>
      <c r="H56" s="549"/>
      <c r="I56" s="549"/>
      <c r="J56" s="549"/>
      <c r="K56" s="549"/>
      <c r="L56" s="549"/>
      <c r="M56" s="549"/>
      <c r="N56" s="549"/>
      <c r="O56" s="549"/>
      <c r="P56" s="549"/>
      <c r="Q56" s="549">
        <f t="shared" si="3"/>
        <v>0</v>
      </c>
      <c r="R56" s="550"/>
    </row>
    <row r="57" spans="1:20" ht="11.25" customHeight="1" x14ac:dyDescent="0.15">
      <c r="A57" s="545" t="s">
        <v>827</v>
      </c>
      <c r="B57" s="546" t="s">
        <v>587</v>
      </c>
      <c r="C57" s="547"/>
      <c r="D57" s="548"/>
      <c r="E57" s="563"/>
      <c r="F57" s="563"/>
      <c r="G57" s="563"/>
      <c r="H57" s="549"/>
      <c r="I57" s="549"/>
      <c r="J57" s="549"/>
      <c r="K57" s="549"/>
      <c r="L57" s="549"/>
      <c r="M57" s="549"/>
      <c r="N57" s="549"/>
      <c r="O57" s="549"/>
      <c r="P57" s="549"/>
      <c r="Q57" s="563">
        <f t="shared" si="3"/>
        <v>0</v>
      </c>
      <c r="R57" s="550"/>
    </row>
    <row r="58" spans="1:20" ht="11.25" customHeight="1" x14ac:dyDescent="0.15">
      <c r="A58" s="545" t="s">
        <v>828</v>
      </c>
      <c r="B58" s="842" t="s">
        <v>507</v>
      </c>
      <c r="C58" s="843"/>
      <c r="D58" s="844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3"/>
      <c r="P58" s="563"/>
      <c r="Q58" s="549">
        <f t="shared" si="3"/>
        <v>0</v>
      </c>
      <c r="R58" s="550"/>
    </row>
    <row r="59" spans="1:20" ht="11.25" customHeight="1" x14ac:dyDescent="0.15">
      <c r="A59" s="554"/>
      <c r="B59" s="835" t="s">
        <v>757</v>
      </c>
      <c r="C59" s="836"/>
      <c r="D59" s="837"/>
      <c r="E59" s="567">
        <f>SUM(E54:E58)</f>
        <v>0</v>
      </c>
      <c r="F59" s="567">
        <f>SUM(F54:F58)</f>
        <v>0</v>
      </c>
      <c r="G59" s="567">
        <f>SUM(G54:G58)</f>
        <v>0</v>
      </c>
      <c r="H59" s="567">
        <f t="shared" ref="H59:P59" si="8">SUM(H54:H58)</f>
        <v>0</v>
      </c>
      <c r="I59" s="567">
        <f t="shared" si="8"/>
        <v>0</v>
      </c>
      <c r="J59" s="567">
        <f t="shared" si="8"/>
        <v>0</v>
      </c>
      <c r="K59" s="567">
        <f t="shared" si="8"/>
        <v>0</v>
      </c>
      <c r="L59" s="567">
        <f t="shared" si="8"/>
        <v>0</v>
      </c>
      <c r="M59" s="567">
        <f t="shared" si="8"/>
        <v>0</v>
      </c>
      <c r="N59" s="567">
        <f t="shared" si="8"/>
        <v>0</v>
      </c>
      <c r="O59" s="567">
        <f t="shared" si="8"/>
        <v>0</v>
      </c>
      <c r="P59" s="567">
        <f t="shared" si="8"/>
        <v>0</v>
      </c>
      <c r="Q59" s="558">
        <f t="shared" si="3"/>
        <v>0</v>
      </c>
      <c r="R59" s="559" t="s">
        <v>377</v>
      </c>
    </row>
    <row r="60" spans="1:20" ht="11.25" customHeight="1" x14ac:dyDescent="0.15">
      <c r="A60" s="545" t="s">
        <v>829</v>
      </c>
      <c r="B60" s="546" t="s">
        <v>515</v>
      </c>
      <c r="C60" s="568"/>
      <c r="D60" s="569"/>
      <c r="E60" s="563"/>
      <c r="F60" s="563"/>
      <c r="G60" s="563"/>
      <c r="H60" s="563"/>
      <c r="I60" s="563"/>
      <c r="J60" s="563"/>
      <c r="K60" s="563"/>
      <c r="L60" s="563"/>
      <c r="M60" s="563"/>
      <c r="N60" s="563"/>
      <c r="O60" s="563"/>
      <c r="P60" s="563"/>
      <c r="Q60" s="549">
        <f t="shared" si="3"/>
        <v>0</v>
      </c>
      <c r="R60" s="550"/>
    </row>
    <row r="61" spans="1:20" ht="11.25" customHeight="1" x14ac:dyDescent="0.15">
      <c r="A61" s="545" t="s">
        <v>830</v>
      </c>
      <c r="B61" s="546" t="s">
        <v>831</v>
      </c>
      <c r="C61" s="568"/>
      <c r="D61" s="569"/>
      <c r="E61" s="563"/>
      <c r="F61" s="563"/>
      <c r="G61" s="563"/>
      <c r="H61" s="563"/>
      <c r="I61" s="563"/>
      <c r="J61" s="563"/>
      <c r="K61" s="563"/>
      <c r="L61" s="563"/>
      <c r="M61" s="563"/>
      <c r="N61" s="563"/>
      <c r="O61" s="563"/>
      <c r="P61" s="563"/>
      <c r="Q61" s="549">
        <f t="shared" si="3"/>
        <v>0</v>
      </c>
      <c r="R61" s="550"/>
    </row>
    <row r="62" spans="1:20" ht="11.25" customHeight="1" x14ac:dyDescent="0.15">
      <c r="A62" s="545" t="s">
        <v>832</v>
      </c>
      <c r="B62" s="546" t="s">
        <v>857</v>
      </c>
      <c r="C62" s="561"/>
      <c r="D62" s="562"/>
      <c r="E62" s="563"/>
      <c r="F62" s="563"/>
      <c r="G62" s="563"/>
      <c r="H62" s="563"/>
      <c r="I62" s="563"/>
      <c r="J62" s="563"/>
      <c r="K62" s="563"/>
      <c r="L62" s="563"/>
      <c r="M62" s="563"/>
      <c r="N62" s="563"/>
      <c r="O62" s="563"/>
      <c r="P62" s="563"/>
      <c r="Q62" s="549">
        <f t="shared" ref="Q62:Q79" si="9">SUM(E62:P62)</f>
        <v>0</v>
      </c>
      <c r="R62" s="550"/>
      <c r="T62" s="232"/>
    </row>
    <row r="63" spans="1:20" ht="11.25" customHeight="1" x14ac:dyDescent="0.15">
      <c r="A63" s="545" t="s">
        <v>834</v>
      </c>
      <c r="B63" s="546" t="s">
        <v>833</v>
      </c>
      <c r="C63" s="561"/>
      <c r="D63" s="562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3"/>
      <c r="P63" s="563"/>
      <c r="Q63" s="549">
        <f t="shared" si="9"/>
        <v>0</v>
      </c>
      <c r="R63" s="550"/>
      <c r="T63" s="232"/>
    </row>
    <row r="64" spans="1:20" ht="11.25" customHeight="1" x14ac:dyDescent="0.15">
      <c r="A64" s="545" t="s">
        <v>835</v>
      </c>
      <c r="B64" s="546" t="s">
        <v>837</v>
      </c>
      <c r="C64" s="561"/>
      <c r="D64" s="562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3"/>
      <c r="P64" s="563"/>
      <c r="Q64" s="549">
        <f t="shared" si="9"/>
        <v>0</v>
      </c>
      <c r="R64" s="550"/>
      <c r="T64" s="232"/>
    </row>
    <row r="65" spans="1:20" ht="11.25" customHeight="1" x14ac:dyDescent="0.15">
      <c r="A65" s="545" t="s">
        <v>836</v>
      </c>
      <c r="B65" s="546" t="s">
        <v>838</v>
      </c>
      <c r="C65" s="561"/>
      <c r="D65" s="562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49">
        <f t="shared" si="9"/>
        <v>0</v>
      </c>
      <c r="R65" s="550"/>
      <c r="T65" s="232"/>
    </row>
    <row r="66" spans="1:20" ht="11.25" customHeight="1" x14ac:dyDescent="0.15">
      <c r="A66" s="545"/>
      <c r="B66" s="546" t="s">
        <v>839</v>
      </c>
      <c r="C66" s="561"/>
      <c r="D66" s="562"/>
      <c r="E66" s="563"/>
      <c r="F66" s="563"/>
      <c r="G66" s="563"/>
      <c r="H66" s="563"/>
      <c r="I66" s="563"/>
      <c r="J66" s="563"/>
      <c r="K66" s="563"/>
      <c r="L66" s="563"/>
      <c r="M66" s="563"/>
      <c r="N66" s="563"/>
      <c r="O66" s="563"/>
      <c r="P66" s="563"/>
      <c r="Q66" s="549">
        <f t="shared" si="9"/>
        <v>0</v>
      </c>
      <c r="R66" s="550"/>
      <c r="T66" s="232"/>
    </row>
    <row r="67" spans="1:20" ht="11.25" customHeight="1" x14ac:dyDescent="0.15">
      <c r="A67" s="545"/>
      <c r="B67" s="546" t="s">
        <v>840</v>
      </c>
      <c r="C67" s="561"/>
      <c r="D67" s="562"/>
      <c r="E67" s="563"/>
      <c r="F67" s="563"/>
      <c r="G67" s="563"/>
      <c r="H67" s="563"/>
      <c r="I67" s="563"/>
      <c r="J67" s="563"/>
      <c r="K67" s="563"/>
      <c r="L67" s="563"/>
      <c r="M67" s="563"/>
      <c r="N67" s="563"/>
      <c r="O67" s="563"/>
      <c r="P67" s="563"/>
      <c r="Q67" s="549">
        <f t="shared" si="9"/>
        <v>0</v>
      </c>
      <c r="R67" s="550"/>
      <c r="T67" s="232"/>
    </row>
    <row r="68" spans="1:20" ht="11.25" customHeight="1" x14ac:dyDescent="0.15">
      <c r="A68" s="545" t="s">
        <v>846</v>
      </c>
      <c r="B68" s="546" t="s">
        <v>841</v>
      </c>
      <c r="C68" s="561"/>
      <c r="D68" s="562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3"/>
      <c r="P68" s="563"/>
      <c r="Q68" s="549">
        <f t="shared" si="9"/>
        <v>0</v>
      </c>
      <c r="R68" s="550"/>
      <c r="T68" s="232"/>
    </row>
    <row r="69" spans="1:20" ht="11.25" customHeight="1" x14ac:dyDescent="0.15">
      <c r="A69" s="545" t="s">
        <v>847</v>
      </c>
      <c r="B69" s="546" t="s">
        <v>842</v>
      </c>
      <c r="C69" s="561"/>
      <c r="D69" s="562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3"/>
      <c r="P69" s="563"/>
      <c r="Q69" s="549">
        <f t="shared" si="9"/>
        <v>0</v>
      </c>
      <c r="R69" s="550"/>
      <c r="T69" s="232"/>
    </row>
    <row r="70" spans="1:20" ht="11.25" customHeight="1" x14ac:dyDescent="0.15">
      <c r="A70" s="545" t="s">
        <v>848</v>
      </c>
      <c r="B70" s="546" t="s">
        <v>843</v>
      </c>
      <c r="C70" s="561"/>
      <c r="D70" s="562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49">
        <f t="shared" si="9"/>
        <v>0</v>
      </c>
      <c r="R70" s="550"/>
      <c r="T70" s="232"/>
    </row>
    <row r="71" spans="1:20" ht="11.25" customHeight="1" x14ac:dyDescent="0.15">
      <c r="A71" s="545"/>
      <c r="B71" s="546" t="s">
        <v>536</v>
      </c>
      <c r="C71" s="561"/>
      <c r="D71" s="562"/>
      <c r="E71" s="563"/>
      <c r="F71" s="563"/>
      <c r="G71" s="563"/>
      <c r="H71" s="549"/>
      <c r="I71" s="549"/>
      <c r="J71" s="549"/>
      <c r="K71" s="549"/>
      <c r="L71" s="549"/>
      <c r="M71" s="549"/>
      <c r="N71" s="549"/>
      <c r="O71" s="549"/>
      <c r="P71" s="549"/>
      <c r="Q71" s="549">
        <f t="shared" si="9"/>
        <v>0</v>
      </c>
      <c r="R71" s="550"/>
      <c r="T71" s="232"/>
    </row>
    <row r="72" spans="1:20" ht="11.25" customHeight="1" x14ac:dyDescent="0.15">
      <c r="A72" s="545" t="s">
        <v>849</v>
      </c>
      <c r="B72" s="546" t="s">
        <v>844</v>
      </c>
      <c r="C72" s="561"/>
      <c r="D72" s="562"/>
      <c r="E72" s="563"/>
      <c r="F72" s="563"/>
      <c r="G72" s="563"/>
      <c r="H72" s="549"/>
      <c r="I72" s="549"/>
      <c r="J72" s="549"/>
      <c r="K72" s="549"/>
      <c r="L72" s="549"/>
      <c r="M72" s="549"/>
      <c r="N72" s="549"/>
      <c r="O72" s="549"/>
      <c r="P72" s="549"/>
      <c r="Q72" s="549">
        <f t="shared" si="9"/>
        <v>0</v>
      </c>
      <c r="R72" s="550"/>
      <c r="T72" s="232"/>
    </row>
    <row r="73" spans="1:20" ht="11.25" customHeight="1" x14ac:dyDescent="0.15">
      <c r="A73" s="545"/>
      <c r="B73" s="572" t="s">
        <v>640</v>
      </c>
      <c r="C73" s="573"/>
      <c r="D73" s="574"/>
      <c r="E73" s="563"/>
      <c r="F73" s="563"/>
      <c r="G73" s="563"/>
      <c r="H73" s="549"/>
      <c r="I73" s="563"/>
      <c r="J73" s="563"/>
      <c r="K73" s="563"/>
      <c r="L73" s="563"/>
      <c r="M73" s="563"/>
      <c r="N73" s="563"/>
      <c r="O73" s="563"/>
      <c r="P73" s="563"/>
      <c r="Q73" s="549">
        <f t="shared" si="9"/>
        <v>0</v>
      </c>
      <c r="R73" s="550"/>
      <c r="T73" s="232"/>
    </row>
    <row r="74" spans="1:20" ht="11.25" customHeight="1" x14ac:dyDescent="0.15">
      <c r="A74" s="545"/>
      <c r="B74" s="572" t="s">
        <v>845</v>
      </c>
      <c r="C74" s="573"/>
      <c r="D74" s="574"/>
      <c r="E74" s="563"/>
      <c r="F74" s="563"/>
      <c r="G74" s="563"/>
      <c r="H74" s="549"/>
      <c r="I74" s="549"/>
      <c r="J74" s="549"/>
      <c r="K74" s="549"/>
      <c r="L74" s="549"/>
      <c r="M74" s="549"/>
      <c r="N74" s="549"/>
      <c r="O74" s="549"/>
      <c r="P74" s="549"/>
      <c r="Q74" s="549">
        <f t="shared" si="9"/>
        <v>0</v>
      </c>
      <c r="R74" s="550"/>
      <c r="T74" s="232"/>
    </row>
    <row r="75" spans="1:20" ht="11.25" customHeight="1" x14ac:dyDescent="0.15">
      <c r="A75" s="554"/>
      <c r="B75" s="835" t="s">
        <v>852</v>
      </c>
      <c r="C75" s="836"/>
      <c r="D75" s="837"/>
      <c r="E75" s="567">
        <f t="shared" ref="E75:P75" si="10">SUM(E60:E74)</f>
        <v>0</v>
      </c>
      <c r="F75" s="567">
        <f>SUM(F60:F74)</f>
        <v>0</v>
      </c>
      <c r="G75" s="567">
        <f>SUM(G60:G74)</f>
        <v>0</v>
      </c>
      <c r="H75" s="567">
        <f t="shared" si="10"/>
        <v>0</v>
      </c>
      <c r="I75" s="567">
        <f t="shared" si="10"/>
        <v>0</v>
      </c>
      <c r="J75" s="567">
        <f t="shared" si="10"/>
        <v>0</v>
      </c>
      <c r="K75" s="567">
        <f t="shared" si="10"/>
        <v>0</v>
      </c>
      <c r="L75" s="567">
        <f t="shared" si="10"/>
        <v>0</v>
      </c>
      <c r="M75" s="567">
        <f t="shared" si="10"/>
        <v>0</v>
      </c>
      <c r="N75" s="567">
        <f t="shared" si="10"/>
        <v>0</v>
      </c>
      <c r="O75" s="567">
        <f t="shared" si="10"/>
        <v>0</v>
      </c>
      <c r="P75" s="567">
        <f t="shared" si="10"/>
        <v>0</v>
      </c>
      <c r="Q75" s="558">
        <f>SUM(E75:P75)</f>
        <v>0</v>
      </c>
      <c r="R75" s="559" t="s">
        <v>371</v>
      </c>
      <c r="T75" s="232"/>
    </row>
    <row r="76" spans="1:20" ht="11.25" customHeight="1" x14ac:dyDescent="0.15">
      <c r="A76" s="554" t="s">
        <v>850</v>
      </c>
      <c r="B76" s="575" t="s">
        <v>675</v>
      </c>
      <c r="C76" s="555"/>
      <c r="D76" s="556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0"/>
      <c r="P76" s="570"/>
      <c r="Q76" s="558">
        <f>SUM(E76:P76)</f>
        <v>0</v>
      </c>
      <c r="R76" s="550"/>
      <c r="T76" s="232"/>
    </row>
    <row r="77" spans="1:20" ht="11.25" customHeight="1" x14ac:dyDescent="0.15">
      <c r="A77" s="554"/>
      <c r="B77" s="835" t="s">
        <v>853</v>
      </c>
      <c r="C77" s="836"/>
      <c r="D77" s="837"/>
      <c r="E77" s="570">
        <f>E75+E59+E49+E44+E29+E52+E76</f>
        <v>0</v>
      </c>
      <c r="F77" s="570">
        <f>F75+F59+F49+F44+F29+F52+F76</f>
        <v>0</v>
      </c>
      <c r="G77" s="570">
        <f t="shared" ref="G77:O77" si="11">G75+G59+G49+G44+G29+G52+G76</f>
        <v>0</v>
      </c>
      <c r="H77" s="570">
        <f t="shared" si="11"/>
        <v>0</v>
      </c>
      <c r="I77" s="570">
        <f t="shared" si="11"/>
        <v>0</v>
      </c>
      <c r="J77" s="570">
        <f t="shared" si="11"/>
        <v>0</v>
      </c>
      <c r="K77" s="570">
        <f t="shared" si="11"/>
        <v>0</v>
      </c>
      <c r="L77" s="570">
        <f t="shared" si="11"/>
        <v>0</v>
      </c>
      <c r="M77" s="570">
        <f t="shared" si="11"/>
        <v>0</v>
      </c>
      <c r="N77" s="570">
        <f t="shared" si="11"/>
        <v>0</v>
      </c>
      <c r="O77" s="570">
        <f t="shared" si="11"/>
        <v>0</v>
      </c>
      <c r="P77" s="570">
        <f>P75+P59+P49+P44+P29+P52+P76</f>
        <v>0</v>
      </c>
      <c r="Q77" s="558">
        <f>SUM(E77:P77)</f>
        <v>0</v>
      </c>
      <c r="R77" s="550"/>
      <c r="T77" s="232"/>
    </row>
    <row r="78" spans="1:20" ht="24.75" customHeight="1" x14ac:dyDescent="0.15">
      <c r="A78" s="545" t="s">
        <v>851</v>
      </c>
      <c r="B78" s="838" t="s">
        <v>854</v>
      </c>
      <c r="C78" s="839"/>
      <c r="D78" s="840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558">
        <f t="shared" si="9"/>
        <v>0</v>
      </c>
      <c r="R78" s="559" t="s">
        <v>637</v>
      </c>
      <c r="T78" s="232"/>
    </row>
    <row r="79" spans="1:20" ht="24.75" customHeight="1" x14ac:dyDescent="0.15">
      <c r="A79" s="545"/>
      <c r="B79" s="838" t="s">
        <v>855</v>
      </c>
      <c r="C79" s="839"/>
      <c r="D79" s="840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558">
        <f t="shared" si="9"/>
        <v>0</v>
      </c>
      <c r="R79" s="571" t="s">
        <v>636</v>
      </c>
    </row>
    <row r="80" spans="1:20" ht="22.5" customHeight="1" thickBot="1" x14ac:dyDescent="0.2">
      <c r="A80" s="576"/>
      <c r="B80" s="832" t="s">
        <v>856</v>
      </c>
      <c r="C80" s="833"/>
      <c r="D80" s="834"/>
      <c r="E80" s="577">
        <f>SUM(E77:E79)</f>
        <v>0</v>
      </c>
      <c r="F80" s="577">
        <f>SUM(F77:F79)</f>
        <v>0</v>
      </c>
      <c r="G80" s="577">
        <f>SUM(G77:G79)</f>
        <v>0</v>
      </c>
      <c r="H80" s="577">
        <f t="shared" ref="H80:Q80" si="12">SUM(H77:H79)</f>
        <v>0</v>
      </c>
      <c r="I80" s="577">
        <f t="shared" si="12"/>
        <v>0</v>
      </c>
      <c r="J80" s="577">
        <f t="shared" si="12"/>
        <v>0</v>
      </c>
      <c r="K80" s="577">
        <f t="shared" si="12"/>
        <v>0</v>
      </c>
      <c r="L80" s="577">
        <f t="shared" si="12"/>
        <v>0</v>
      </c>
      <c r="M80" s="577">
        <f t="shared" si="12"/>
        <v>0</v>
      </c>
      <c r="N80" s="577">
        <f t="shared" si="12"/>
        <v>0</v>
      </c>
      <c r="O80" s="577">
        <f t="shared" si="12"/>
        <v>0</v>
      </c>
      <c r="P80" s="577">
        <f>SUM(P77:P79)</f>
        <v>0</v>
      </c>
      <c r="Q80" s="577">
        <f t="shared" si="12"/>
        <v>0</v>
      </c>
      <c r="R80" s="578"/>
    </row>
    <row r="81" spans="3:17" ht="11.25" customHeight="1" thickTop="1" x14ac:dyDescent="0.15"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</row>
    <row r="82" spans="3:17" ht="11.25" customHeight="1" x14ac:dyDescent="0.15"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Q82" s="232">
        <f>Q80+'RINCIAN B. LANGSUNG USAHA'!Q104</f>
        <v>0</v>
      </c>
    </row>
    <row r="83" spans="3:17" ht="11.25" customHeight="1" x14ac:dyDescent="0.15"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Q83" s="232">
        <f>'Laba-ETAP '!F43</f>
        <v>0</v>
      </c>
    </row>
    <row r="84" spans="3:17" ht="11.25" customHeight="1" x14ac:dyDescent="0.15"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Q84" s="232"/>
    </row>
    <row r="85" spans="3:17" ht="11.25" customHeight="1" x14ac:dyDescent="0.15"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</row>
    <row r="86" spans="3:17" ht="11.25" customHeight="1" x14ac:dyDescent="0.15"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</row>
    <row r="87" spans="3:17" ht="11.25" customHeight="1" x14ac:dyDescent="0.15"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</row>
    <row r="88" spans="3:17" ht="11.25" customHeight="1" x14ac:dyDescent="0.15"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</row>
    <row r="89" spans="3:17" ht="11.25" customHeight="1" x14ac:dyDescent="0.15"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Q89" s="232"/>
    </row>
    <row r="90" spans="3:17" ht="11.25" customHeight="1" x14ac:dyDescent="0.15"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</row>
    <row r="91" spans="3:17" ht="11.25" customHeight="1" x14ac:dyDescent="0.15"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</row>
    <row r="92" spans="3:17" ht="11.25" customHeight="1" x14ac:dyDescent="0.15"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</row>
    <row r="93" spans="3:17" ht="11.25" customHeight="1" x14ac:dyDescent="0.15"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</row>
    <row r="94" spans="3:17" ht="11.25" customHeight="1" x14ac:dyDescent="0.15"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</row>
    <row r="95" spans="3:17" ht="11.25" customHeight="1" x14ac:dyDescent="0.15"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</row>
    <row r="96" spans="3:17" ht="11.25" customHeight="1" x14ac:dyDescent="0.15"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</row>
    <row r="97" spans="3:14" ht="11.25" customHeight="1" x14ac:dyDescent="0.15"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</row>
    <row r="98" spans="3:14" ht="11.25" customHeight="1" x14ac:dyDescent="0.15"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</row>
    <row r="99" spans="3:14" ht="11.25" customHeight="1" x14ac:dyDescent="0.15"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</row>
    <row r="100" spans="3:14" ht="11.25" customHeight="1" x14ac:dyDescent="0.15"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</row>
    <row r="101" spans="3:14" ht="11.25" customHeight="1" x14ac:dyDescent="0.15"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</row>
    <row r="102" spans="3:14" ht="11.25" customHeight="1" x14ac:dyDescent="0.15"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</row>
    <row r="103" spans="3:14" ht="11.25" customHeight="1" x14ac:dyDescent="0.15"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</row>
    <row r="104" spans="3:14" ht="11.25" customHeight="1" x14ac:dyDescent="0.15"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</row>
    <row r="105" spans="3:14" ht="11.25" customHeight="1" x14ac:dyDescent="0.15"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</row>
    <row r="106" spans="3:14" ht="11.25" customHeight="1" x14ac:dyDescent="0.15"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</row>
    <row r="107" spans="3:14" ht="11.25" customHeight="1" x14ac:dyDescent="0.15"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</row>
    <row r="108" spans="3:14" ht="11.25" customHeight="1" x14ac:dyDescent="0.15"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</row>
    <row r="109" spans="3:14" ht="11.25" customHeight="1" x14ac:dyDescent="0.15"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</row>
    <row r="110" spans="3:14" ht="11.25" customHeight="1" x14ac:dyDescent="0.15"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</row>
    <row r="111" spans="3:14" ht="11.25" customHeight="1" x14ac:dyDescent="0.15"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</row>
    <row r="112" spans="3:14" ht="11.25" customHeight="1" x14ac:dyDescent="0.15"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</row>
    <row r="113" spans="3:14" ht="11.25" customHeight="1" x14ac:dyDescent="0.15"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</row>
    <row r="114" spans="3:14" ht="11.25" customHeight="1" x14ac:dyDescent="0.15"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</row>
    <row r="115" spans="3:14" ht="11.25" customHeight="1" x14ac:dyDescent="0.15"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</row>
    <row r="116" spans="3:14" ht="11.25" customHeight="1" x14ac:dyDescent="0.15"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</row>
    <row r="117" spans="3:14" ht="11.25" customHeight="1" x14ac:dyDescent="0.15"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</row>
    <row r="118" spans="3:14" ht="11.25" customHeight="1" x14ac:dyDescent="0.15"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</row>
    <row r="119" spans="3:14" ht="11.25" customHeight="1" x14ac:dyDescent="0.15"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</row>
    <row r="120" spans="3:14" ht="11.25" customHeight="1" x14ac:dyDescent="0.15"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</row>
    <row r="121" spans="3:14" ht="11.25" customHeight="1" x14ac:dyDescent="0.15"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</row>
    <row r="122" spans="3:14" ht="11.25" customHeight="1" x14ac:dyDescent="0.15"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</row>
    <row r="123" spans="3:14" ht="11.25" customHeight="1" x14ac:dyDescent="0.15"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</row>
    <row r="124" spans="3:14" ht="11.25" customHeight="1" x14ac:dyDescent="0.15"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</row>
    <row r="125" spans="3:14" ht="11.25" customHeight="1" x14ac:dyDescent="0.15"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</row>
    <row r="126" spans="3:14" ht="11.25" customHeight="1" x14ac:dyDescent="0.15"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</row>
    <row r="127" spans="3:14" ht="11.25" customHeight="1" x14ac:dyDescent="0.15"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</row>
    <row r="128" spans="3:14" ht="11.25" customHeight="1" x14ac:dyDescent="0.15"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</row>
    <row r="129" spans="3:14" ht="11.25" customHeight="1" x14ac:dyDescent="0.15"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</row>
    <row r="130" spans="3:14" ht="11.25" customHeight="1" x14ac:dyDescent="0.15"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</row>
    <row r="131" spans="3:14" ht="11.25" customHeight="1" x14ac:dyDescent="0.15"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</row>
    <row r="132" spans="3:14" ht="11.25" customHeight="1" x14ac:dyDescent="0.15"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</row>
    <row r="133" spans="3:14" ht="11.25" customHeight="1" x14ac:dyDescent="0.15"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</row>
    <row r="134" spans="3:14" ht="11.25" customHeight="1" x14ac:dyDescent="0.15"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</row>
    <row r="135" spans="3:14" ht="11.25" customHeight="1" x14ac:dyDescent="0.15"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</row>
    <row r="136" spans="3:14" ht="11.25" customHeight="1" x14ac:dyDescent="0.15"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</row>
    <row r="137" spans="3:14" ht="11.25" customHeight="1" x14ac:dyDescent="0.15"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</row>
    <row r="138" spans="3:14" ht="11.25" customHeight="1" x14ac:dyDescent="0.15"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</row>
    <row r="139" spans="3:14" ht="11.25" customHeight="1" x14ac:dyDescent="0.15"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</row>
    <row r="140" spans="3:14" ht="11.25" customHeight="1" x14ac:dyDescent="0.15"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</row>
    <row r="141" spans="3:14" ht="11.25" customHeight="1" x14ac:dyDescent="0.15"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</row>
    <row r="142" spans="3:14" ht="11.25" customHeight="1" x14ac:dyDescent="0.15"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</row>
    <row r="143" spans="3:14" ht="11.25" customHeight="1" x14ac:dyDescent="0.15"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</row>
    <row r="144" spans="3:14" ht="11.25" customHeight="1" x14ac:dyDescent="0.15"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</row>
    <row r="145" spans="3:14" ht="11.25" customHeight="1" x14ac:dyDescent="0.15"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</row>
    <row r="146" spans="3:14" ht="11.25" customHeight="1" x14ac:dyDescent="0.15"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</row>
    <row r="147" spans="3:14" ht="11.25" customHeight="1" x14ac:dyDescent="0.15"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</row>
    <row r="148" spans="3:14" ht="11.25" customHeight="1" x14ac:dyDescent="0.15"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</row>
    <row r="149" spans="3:14" ht="11.25" customHeight="1" x14ac:dyDescent="0.15"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</row>
    <row r="150" spans="3:14" ht="11.25" customHeight="1" x14ac:dyDescent="0.15"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</row>
    <row r="151" spans="3:14" ht="11.25" customHeight="1" x14ac:dyDescent="0.15"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</row>
    <row r="152" spans="3:14" ht="11.25" customHeight="1" x14ac:dyDescent="0.15"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</row>
    <row r="153" spans="3:14" ht="11.25" customHeight="1" x14ac:dyDescent="0.15"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</row>
    <row r="154" spans="3:14" ht="11.25" customHeight="1" x14ac:dyDescent="0.15"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</row>
    <row r="155" spans="3:14" ht="11.25" customHeight="1" x14ac:dyDescent="0.15"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</row>
    <row r="156" spans="3:14" ht="11.25" customHeight="1" x14ac:dyDescent="0.15"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</row>
    <row r="157" spans="3:14" ht="11.25" customHeight="1" x14ac:dyDescent="0.15"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</row>
    <row r="158" spans="3:14" ht="11.25" customHeight="1" x14ac:dyDescent="0.15"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</row>
    <row r="159" spans="3:14" ht="11.25" customHeight="1" x14ac:dyDescent="0.15"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</row>
    <row r="160" spans="3:14" ht="11.25" customHeight="1" x14ac:dyDescent="0.15"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</row>
    <row r="161" spans="3:14" ht="11.25" customHeight="1" x14ac:dyDescent="0.15"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</row>
    <row r="162" spans="3:14" ht="11.25" customHeight="1" x14ac:dyDescent="0.15"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</row>
    <row r="163" spans="3:14" ht="11.25" customHeight="1" x14ac:dyDescent="0.15"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</row>
    <row r="164" spans="3:14" ht="11.25" customHeight="1" x14ac:dyDescent="0.15"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</row>
    <row r="165" spans="3:14" ht="11.25" customHeight="1" x14ac:dyDescent="0.15"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</row>
    <row r="166" spans="3:14" ht="11.25" customHeight="1" x14ac:dyDescent="0.15"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</row>
    <row r="167" spans="3:14" ht="11.25" customHeight="1" x14ac:dyDescent="0.15"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</row>
    <row r="168" spans="3:14" ht="11.25" customHeight="1" x14ac:dyDescent="0.15"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</row>
    <row r="169" spans="3:14" ht="11.25" customHeight="1" x14ac:dyDescent="0.15"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</row>
    <row r="170" spans="3:14" ht="11.25" customHeight="1" x14ac:dyDescent="0.15"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</row>
    <row r="171" spans="3:14" ht="11.25" customHeight="1" x14ac:dyDescent="0.15"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</row>
    <row r="172" spans="3:14" ht="11.25" customHeight="1" x14ac:dyDescent="0.15"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</row>
    <row r="173" spans="3:14" ht="11.25" customHeight="1" x14ac:dyDescent="0.15"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</row>
    <row r="174" spans="3:14" ht="11.25" customHeight="1" x14ac:dyDescent="0.15"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</row>
    <row r="175" spans="3:14" ht="11.25" customHeight="1" x14ac:dyDescent="0.15"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</row>
    <row r="176" spans="3:14" ht="11.25" customHeight="1" x14ac:dyDescent="0.15"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</row>
    <row r="177" spans="3:14" ht="11.25" customHeight="1" x14ac:dyDescent="0.15"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</row>
    <row r="178" spans="3:14" ht="11.25" customHeight="1" x14ac:dyDescent="0.15"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</row>
    <row r="179" spans="3:14" ht="11.25" customHeight="1" x14ac:dyDescent="0.15"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</row>
    <row r="180" spans="3:14" ht="11.25" customHeight="1" x14ac:dyDescent="0.15"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</row>
    <row r="181" spans="3:14" ht="11.25" customHeight="1" x14ac:dyDescent="0.15"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</row>
    <row r="182" spans="3:14" ht="11.25" customHeight="1" x14ac:dyDescent="0.15"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</row>
    <row r="183" spans="3:14" ht="11.25" customHeight="1" x14ac:dyDescent="0.15"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</row>
    <row r="184" spans="3:14" ht="11.25" customHeight="1" x14ac:dyDescent="0.15"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</row>
    <row r="185" spans="3:14" ht="11.25" customHeight="1" x14ac:dyDescent="0.15"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</row>
    <row r="186" spans="3:14" ht="11.25" customHeight="1" x14ac:dyDescent="0.15"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</row>
    <row r="187" spans="3:14" ht="11.25" customHeight="1" x14ac:dyDescent="0.15"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</row>
    <row r="188" spans="3:14" ht="11.25" customHeight="1" x14ac:dyDescent="0.15"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</row>
    <row r="189" spans="3:14" ht="11.25" customHeight="1" x14ac:dyDescent="0.15"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</row>
    <row r="190" spans="3:14" ht="11.25" customHeight="1" x14ac:dyDescent="0.15"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</row>
    <row r="191" spans="3:14" ht="11.25" customHeight="1" x14ac:dyDescent="0.15"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</row>
    <row r="192" spans="3:14" ht="11.25" customHeight="1" x14ac:dyDescent="0.15"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</row>
    <row r="193" spans="3:14" ht="11.25" customHeight="1" x14ac:dyDescent="0.15"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</row>
    <row r="194" spans="3:14" ht="11.25" customHeight="1" x14ac:dyDescent="0.15"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</row>
    <row r="195" spans="3:14" ht="11.25" customHeight="1" x14ac:dyDescent="0.15"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</row>
    <row r="196" spans="3:14" ht="11.25" customHeight="1" x14ac:dyDescent="0.15"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</row>
    <row r="197" spans="3:14" ht="11.25" customHeight="1" x14ac:dyDescent="0.15"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</row>
    <row r="198" spans="3:14" ht="11.25" customHeight="1" x14ac:dyDescent="0.15"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</row>
    <row r="199" spans="3:14" ht="11.25" customHeight="1" x14ac:dyDescent="0.15"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</row>
    <row r="200" spans="3:14" ht="11.25" customHeight="1" x14ac:dyDescent="0.15"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</row>
    <row r="201" spans="3:14" ht="11.25" customHeight="1" x14ac:dyDescent="0.15"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</row>
    <row r="202" spans="3:14" ht="11.25" customHeight="1" x14ac:dyDescent="0.15"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</row>
    <row r="203" spans="3:14" ht="11.25" customHeight="1" x14ac:dyDescent="0.15"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</row>
    <row r="204" spans="3:14" ht="11.25" customHeight="1" x14ac:dyDescent="0.15"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</row>
    <row r="205" spans="3:14" ht="11.25" customHeight="1" x14ac:dyDescent="0.15"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</row>
    <row r="206" spans="3:14" ht="11.25" customHeight="1" x14ac:dyDescent="0.15"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</row>
    <row r="207" spans="3:14" ht="11.25" customHeight="1" x14ac:dyDescent="0.15"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</row>
    <row r="208" spans="3:14" ht="11.25" customHeight="1" x14ac:dyDescent="0.15"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</row>
    <row r="209" spans="3:14" ht="11.25" customHeight="1" x14ac:dyDescent="0.15"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</row>
    <row r="210" spans="3:14" ht="11.25" customHeight="1" x14ac:dyDescent="0.15"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</row>
    <row r="211" spans="3:14" ht="11.25" customHeight="1" x14ac:dyDescent="0.15"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</row>
    <row r="212" spans="3:14" ht="11.25" customHeight="1" x14ac:dyDescent="0.15"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</row>
    <row r="213" spans="3:14" ht="11.25" customHeight="1" x14ac:dyDescent="0.15"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</row>
    <row r="214" spans="3:14" ht="11.25" customHeight="1" x14ac:dyDescent="0.15"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</row>
    <row r="215" spans="3:14" ht="11.25" customHeight="1" x14ac:dyDescent="0.15"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</row>
    <row r="216" spans="3:14" ht="11.25" customHeight="1" x14ac:dyDescent="0.15"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</row>
    <row r="217" spans="3:14" ht="11.25" customHeight="1" x14ac:dyDescent="0.15"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</row>
    <row r="218" spans="3:14" ht="11.25" customHeight="1" x14ac:dyDescent="0.15"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</row>
    <row r="219" spans="3:14" ht="11.25" customHeight="1" x14ac:dyDescent="0.15"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</row>
    <row r="220" spans="3:14" ht="11.25" customHeight="1" x14ac:dyDescent="0.15"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</row>
    <row r="221" spans="3:14" ht="11.25" customHeight="1" x14ac:dyDescent="0.15"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</row>
    <row r="222" spans="3:14" ht="11.25" customHeight="1" x14ac:dyDescent="0.15"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</row>
    <row r="223" spans="3:14" ht="11.25" customHeight="1" x14ac:dyDescent="0.15"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</row>
    <row r="224" spans="3:14" ht="11.25" customHeight="1" x14ac:dyDescent="0.15"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</row>
    <row r="225" spans="3:14" ht="11.25" customHeight="1" x14ac:dyDescent="0.15"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</row>
    <row r="226" spans="3:14" ht="11.25" customHeight="1" x14ac:dyDescent="0.15"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</row>
    <row r="227" spans="3:14" ht="11.25" customHeight="1" x14ac:dyDescent="0.15"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</row>
    <row r="228" spans="3:14" ht="11.25" customHeight="1" x14ac:dyDescent="0.15"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</row>
  </sheetData>
  <mergeCells count="21">
    <mergeCell ref="A4:R4"/>
    <mergeCell ref="A5:R5"/>
    <mergeCell ref="B53:D53"/>
    <mergeCell ref="B58:D58"/>
    <mergeCell ref="B59:D59"/>
    <mergeCell ref="B39:D39"/>
    <mergeCell ref="B52:D52"/>
    <mergeCell ref="B8:D9"/>
    <mergeCell ref="E8:P8"/>
    <mergeCell ref="B10:D10"/>
    <mergeCell ref="B29:D29"/>
    <mergeCell ref="B31:D31"/>
    <mergeCell ref="B40:D40"/>
    <mergeCell ref="B44:D44"/>
    <mergeCell ref="B49:D49"/>
    <mergeCell ref="B50:D50"/>
    <mergeCell ref="B80:D80"/>
    <mergeCell ref="B75:D75"/>
    <mergeCell ref="B77:D77"/>
    <mergeCell ref="B78:D78"/>
    <mergeCell ref="B79:D79"/>
  </mergeCells>
  <phoneticPr fontId="46" type="noConversion"/>
  <pageMargins left="0.31496062992125984" right="0.31496062992125984" top="0.74803149606299213" bottom="0.74803149606299213" header="0.31496062992125984" footer="0.31496062992125984"/>
  <pageSetup paperSize="5" orientation="landscape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6"/>
  <sheetViews>
    <sheetView topLeftCell="A2" workbookViewId="0">
      <selection activeCell="F22" sqref="F22"/>
    </sheetView>
  </sheetViews>
  <sheetFormatPr defaultColWidth="9.140625" defaultRowHeight="12" x14ac:dyDescent="0.2"/>
  <cols>
    <col min="1" max="1" width="9" style="7" customWidth="1"/>
    <col min="2" max="2" width="28" style="7" customWidth="1"/>
    <col min="3" max="3" width="10.7109375" style="7" bestFit="1" customWidth="1"/>
    <col min="4" max="14" width="9.140625" style="7"/>
    <col min="15" max="15" width="16.7109375" style="7" customWidth="1"/>
    <col min="16" max="16" width="15" style="7" customWidth="1"/>
    <col min="17" max="16384" width="9.140625" style="7"/>
  </cols>
  <sheetData>
    <row r="1" spans="1:16" x14ac:dyDescent="0.2">
      <c r="A1" s="7" t="s">
        <v>34</v>
      </c>
    </row>
    <row r="2" spans="1:16" x14ac:dyDescent="0.2">
      <c r="A2" s="7" t="s">
        <v>111</v>
      </c>
      <c r="O2" s="7" t="s">
        <v>553</v>
      </c>
    </row>
    <row r="4" spans="1:16" x14ac:dyDescent="0.2">
      <c r="A4" s="855" t="s">
        <v>554</v>
      </c>
      <c r="B4" s="855"/>
      <c r="C4" s="855"/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5"/>
      <c r="O4" s="855"/>
      <c r="P4" s="855"/>
    </row>
    <row r="5" spans="1:16" x14ac:dyDescent="0.2">
      <c r="A5" s="855" t="s">
        <v>710</v>
      </c>
      <c r="B5" s="855"/>
      <c r="C5" s="855"/>
      <c r="D5" s="855"/>
      <c r="E5" s="855"/>
      <c r="F5" s="855"/>
      <c r="G5" s="855"/>
      <c r="H5" s="855"/>
      <c r="I5" s="855"/>
      <c r="J5" s="855"/>
      <c r="K5" s="855"/>
      <c r="L5" s="855"/>
      <c r="M5" s="855"/>
      <c r="N5" s="855"/>
      <c r="O5" s="855"/>
      <c r="P5" s="855"/>
    </row>
    <row r="7" spans="1:16" x14ac:dyDescent="0.2">
      <c r="A7" s="7" t="s">
        <v>14</v>
      </c>
    </row>
    <row r="8" spans="1:16" ht="20.25" customHeight="1" x14ac:dyDescent="0.2">
      <c r="A8" s="163" t="s">
        <v>350</v>
      </c>
      <c r="B8" s="163" t="s">
        <v>30</v>
      </c>
      <c r="C8" s="852" t="s">
        <v>351</v>
      </c>
      <c r="D8" s="852"/>
      <c r="E8" s="852"/>
      <c r="F8" s="852"/>
      <c r="G8" s="852"/>
      <c r="H8" s="852"/>
      <c r="I8" s="852"/>
      <c r="J8" s="852"/>
      <c r="K8" s="852"/>
      <c r="L8" s="852"/>
      <c r="M8" s="852"/>
      <c r="N8" s="852"/>
      <c r="O8" s="163" t="s">
        <v>12</v>
      </c>
      <c r="P8" s="163" t="s">
        <v>443</v>
      </c>
    </row>
    <row r="9" spans="1:16" x14ac:dyDescent="0.2">
      <c r="A9" s="98" t="s">
        <v>353</v>
      </c>
      <c r="B9" s="98"/>
      <c r="C9" s="162">
        <v>1</v>
      </c>
      <c r="D9" s="162">
        <v>2</v>
      </c>
      <c r="E9" s="162">
        <v>3</v>
      </c>
      <c r="F9" s="162">
        <v>4</v>
      </c>
      <c r="G9" s="162">
        <v>5</v>
      </c>
      <c r="H9" s="162">
        <v>6</v>
      </c>
      <c r="I9" s="162">
        <v>7</v>
      </c>
      <c r="J9" s="162">
        <v>8</v>
      </c>
      <c r="K9" s="162">
        <v>9</v>
      </c>
      <c r="L9" s="162">
        <v>10</v>
      </c>
      <c r="M9" s="162">
        <v>11</v>
      </c>
      <c r="N9" s="162">
        <v>12</v>
      </c>
      <c r="O9" s="98">
        <v>2025</v>
      </c>
      <c r="P9" s="162" t="s">
        <v>555</v>
      </c>
    </row>
    <row r="10" spans="1:16" x14ac:dyDescent="0.2">
      <c r="A10" s="162">
        <v>1</v>
      </c>
      <c r="B10" s="162">
        <v>2</v>
      </c>
      <c r="C10" s="162">
        <v>3</v>
      </c>
      <c r="D10" s="162">
        <v>4</v>
      </c>
      <c r="E10" s="162">
        <v>5</v>
      </c>
      <c r="F10" s="162">
        <v>6</v>
      </c>
      <c r="G10" s="162">
        <v>7</v>
      </c>
      <c r="H10" s="162">
        <v>8</v>
      </c>
      <c r="I10" s="162">
        <v>9</v>
      </c>
      <c r="J10" s="162">
        <v>10</v>
      </c>
      <c r="K10" s="162">
        <v>11</v>
      </c>
      <c r="L10" s="162">
        <v>12</v>
      </c>
      <c r="M10" s="162">
        <v>13</v>
      </c>
      <c r="N10" s="162">
        <v>14</v>
      </c>
      <c r="O10" s="162">
        <v>15</v>
      </c>
      <c r="P10" s="162">
        <v>16</v>
      </c>
    </row>
    <row r="11" spans="1:16" x14ac:dyDescent="0.2">
      <c r="A11" s="98" t="s">
        <v>346</v>
      </c>
      <c r="B11" s="98" t="s">
        <v>557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</row>
    <row r="12" spans="1:16" x14ac:dyDescent="0.2">
      <c r="A12" s="98" t="s">
        <v>1049</v>
      </c>
      <c r="B12" s="98" t="s">
        <v>110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>
        <f>SUM(C12:N12)</f>
        <v>0</v>
      </c>
      <c r="P12" s="162" t="s">
        <v>556</v>
      </c>
    </row>
    <row r="13" spans="1:16" x14ac:dyDescent="0.2">
      <c r="A13" s="98"/>
      <c r="B13" s="98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98"/>
    </row>
    <row r="14" spans="1:16" ht="21" customHeight="1" x14ac:dyDescent="0.2">
      <c r="A14" s="853" t="s">
        <v>550</v>
      </c>
      <c r="B14" s="854"/>
      <c r="C14" s="167">
        <f t="shared" ref="C14" si="0">SUM(C11:C13)</f>
        <v>0</v>
      </c>
      <c r="D14" s="167">
        <f t="shared" ref="D14" si="1">SUM(D11:D13)</f>
        <v>0</v>
      </c>
      <c r="E14" s="167">
        <f t="shared" ref="E14" si="2">SUM(E11:E13)</f>
        <v>0</v>
      </c>
      <c r="F14" s="167">
        <f t="shared" ref="F14" si="3">SUM(F11:F13)</f>
        <v>0</v>
      </c>
      <c r="G14" s="167">
        <f t="shared" ref="G14" si="4">SUM(G11:G13)</f>
        <v>0</v>
      </c>
      <c r="H14" s="167">
        <f t="shared" ref="H14" si="5">SUM(H11:H13)</f>
        <v>0</v>
      </c>
      <c r="I14" s="167">
        <f t="shared" ref="I14" si="6">SUM(I11:I13)</f>
        <v>0</v>
      </c>
      <c r="J14" s="167">
        <f t="shared" ref="J14" si="7">SUM(J11:J13)</f>
        <v>0</v>
      </c>
      <c r="K14" s="167">
        <f t="shared" ref="K14" si="8">SUM(K11:K13)</f>
        <v>0</v>
      </c>
      <c r="L14" s="167">
        <f t="shared" ref="L14" si="9">SUM(L11:L13)</f>
        <v>0</v>
      </c>
      <c r="M14" s="167">
        <f t="shared" ref="M14" si="10">SUM(M11:M13)</f>
        <v>0</v>
      </c>
      <c r="N14" s="167">
        <f t="shared" ref="N14:O14" si="11">SUM(N11:N13)</f>
        <v>0</v>
      </c>
      <c r="O14" s="167">
        <f t="shared" si="11"/>
        <v>0</v>
      </c>
      <c r="P14" s="164"/>
    </row>
    <row r="17" spans="3:3" x14ac:dyDescent="0.2">
      <c r="C17" s="96"/>
    </row>
    <row r="18" spans="3:3" x14ac:dyDescent="0.2">
      <c r="C18" s="96"/>
    </row>
    <row r="19" spans="3:3" x14ac:dyDescent="0.2">
      <c r="C19" s="96"/>
    </row>
    <row r="20" spans="3:3" x14ac:dyDescent="0.2">
      <c r="C20" s="96"/>
    </row>
    <row r="21" spans="3:3" x14ac:dyDescent="0.2">
      <c r="C21" s="96"/>
    </row>
    <row r="22" spans="3:3" x14ac:dyDescent="0.2">
      <c r="C22" s="96"/>
    </row>
    <row r="23" spans="3:3" x14ac:dyDescent="0.2">
      <c r="C23" s="96"/>
    </row>
    <row r="24" spans="3:3" x14ac:dyDescent="0.2">
      <c r="C24" s="96"/>
    </row>
    <row r="25" spans="3:3" x14ac:dyDescent="0.2">
      <c r="C25" s="96"/>
    </row>
    <row r="26" spans="3:3" x14ac:dyDescent="0.2">
      <c r="C26" s="96"/>
    </row>
  </sheetData>
  <mergeCells count="4">
    <mergeCell ref="C8:N8"/>
    <mergeCell ref="A14:B14"/>
    <mergeCell ref="A4:P4"/>
    <mergeCell ref="A5:P5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84E6-21A6-430C-8467-23897F292251}">
  <sheetPr>
    <tabColor rgb="FFFF0000"/>
  </sheetPr>
  <dimension ref="A1:W187"/>
  <sheetViews>
    <sheetView showGridLines="0" showWhiteSpace="0" view="pageBreakPreview" zoomScale="130" zoomScaleNormal="140" zoomScaleSheetLayoutView="130" zoomScalePageLayoutView="110" workbookViewId="0">
      <pane xSplit="1" ySplit="9" topLeftCell="B15" activePane="bottomRight" state="frozen"/>
      <selection pane="topRight" activeCell="B1" sqref="B1"/>
      <selection pane="bottomLeft" activeCell="A10" sqref="A10"/>
      <selection pane="bottomRight" activeCell="U18" sqref="U18"/>
    </sheetView>
  </sheetViews>
  <sheetFormatPr defaultColWidth="9.140625" defaultRowHeight="12.75" customHeight="1" x14ac:dyDescent="0.15"/>
  <cols>
    <col min="1" max="1" width="5.28515625" style="323" customWidth="1"/>
    <col min="2" max="2" width="2.85546875" style="368" customWidth="1"/>
    <col min="3" max="3" width="3.140625" style="323" customWidth="1"/>
    <col min="4" max="4" width="20.85546875" style="323" customWidth="1"/>
    <col min="5" max="16" width="9.5703125" style="323" customWidth="1"/>
    <col min="17" max="20" width="10.5703125" style="323" customWidth="1"/>
    <col min="21" max="21" width="14.140625" style="612" customWidth="1"/>
    <col min="22" max="16384" width="9.140625" style="323"/>
  </cols>
  <sheetData>
    <row r="1" spans="1:21" s="318" customFormat="1" ht="12.75" customHeight="1" thickBot="1" x14ac:dyDescent="0.25">
      <c r="A1" s="449" t="s">
        <v>34</v>
      </c>
      <c r="B1" s="450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611"/>
    </row>
    <row r="2" spans="1:21" s="318" customFormat="1" ht="12.75" customHeight="1" thickBot="1" x14ac:dyDescent="0.25">
      <c r="A2" s="449" t="s">
        <v>952</v>
      </c>
      <c r="B2" s="450"/>
      <c r="C2" s="449"/>
      <c r="D2" s="449"/>
      <c r="E2" s="449"/>
      <c r="F2" s="449"/>
      <c r="G2" s="449"/>
      <c r="H2" s="449"/>
      <c r="I2" s="449"/>
      <c r="J2" s="449"/>
      <c r="K2" s="875"/>
      <c r="L2" s="876"/>
      <c r="M2" s="449"/>
      <c r="N2" s="876"/>
      <c r="O2" s="876"/>
      <c r="P2" s="877" t="s">
        <v>953</v>
      </c>
      <c r="Q2" s="878"/>
      <c r="R2" s="320"/>
      <c r="S2" s="320"/>
      <c r="T2" s="320"/>
      <c r="U2" s="611"/>
    </row>
    <row r="3" spans="1:21" s="318" customFormat="1" ht="12.75" customHeight="1" x14ac:dyDescent="0.2">
      <c r="A3" s="449" t="s">
        <v>954</v>
      </c>
      <c r="B3" s="450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320"/>
      <c r="R3" s="320"/>
      <c r="S3" s="320"/>
      <c r="T3" s="320"/>
      <c r="U3" s="611"/>
    </row>
    <row r="4" spans="1:21" s="318" customFormat="1" ht="12.75" customHeight="1" x14ac:dyDescent="0.2">
      <c r="A4" s="876" t="s">
        <v>595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  <c r="R4" s="413"/>
      <c r="S4" s="413"/>
      <c r="T4" s="413"/>
      <c r="U4" s="611"/>
    </row>
    <row r="5" spans="1:21" s="318" customFormat="1" ht="12.75" customHeight="1" x14ac:dyDescent="0.2">
      <c r="A5" s="876" t="s">
        <v>1075</v>
      </c>
      <c r="B5" s="876"/>
      <c r="C5" s="876"/>
      <c r="D5" s="876"/>
      <c r="E5" s="876"/>
      <c r="F5" s="876"/>
      <c r="G5" s="876"/>
      <c r="H5" s="876"/>
      <c r="I5" s="876"/>
      <c r="J5" s="876"/>
      <c r="K5" s="876"/>
      <c r="L5" s="876"/>
      <c r="M5" s="876"/>
      <c r="N5" s="876"/>
      <c r="O5" s="876"/>
      <c r="P5" s="876"/>
      <c r="Q5" s="876"/>
      <c r="R5" s="413"/>
      <c r="S5" s="648">
        <f>S64+S113+'P-10. Beban Umum &amp; Adm'!S25</f>
        <v>0</v>
      </c>
      <c r="T5" s="413"/>
      <c r="U5" s="611"/>
    </row>
    <row r="6" spans="1:21" s="318" customFormat="1" ht="7.5" customHeight="1" x14ac:dyDescent="0.2">
      <c r="A6" s="413"/>
      <c r="B6" s="413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  <c r="S6" s="413"/>
      <c r="T6" s="413"/>
      <c r="U6" s="611"/>
    </row>
    <row r="7" spans="1:21" s="318" customFormat="1" ht="12.75" customHeight="1" thickBot="1" x14ac:dyDescent="0.3">
      <c r="A7" s="451" t="s">
        <v>650</v>
      </c>
      <c r="B7" s="413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879"/>
      <c r="Q7" s="879"/>
      <c r="R7" s="636"/>
      <c r="S7" s="636"/>
      <c r="T7" s="636"/>
      <c r="U7" s="611"/>
    </row>
    <row r="8" spans="1:21" ht="15.75" customHeight="1" thickTop="1" x14ac:dyDescent="0.15">
      <c r="A8" s="322" t="s">
        <v>350</v>
      </c>
      <c r="B8" s="880" t="s">
        <v>30</v>
      </c>
      <c r="C8" s="880"/>
      <c r="D8" s="880"/>
      <c r="E8" s="883" t="s">
        <v>351</v>
      </c>
      <c r="F8" s="884"/>
      <c r="G8" s="884"/>
      <c r="H8" s="884"/>
      <c r="I8" s="884"/>
      <c r="J8" s="884"/>
      <c r="K8" s="884"/>
      <c r="L8" s="884"/>
      <c r="M8" s="884"/>
      <c r="N8" s="884"/>
      <c r="O8" s="884"/>
      <c r="P8" s="884"/>
      <c r="Q8" s="414" t="s">
        <v>12</v>
      </c>
      <c r="R8" s="639" t="s">
        <v>608</v>
      </c>
      <c r="S8" s="639" t="s">
        <v>1015</v>
      </c>
      <c r="T8" s="380"/>
    </row>
    <row r="9" spans="1:21" ht="14.25" customHeight="1" x14ac:dyDescent="0.15">
      <c r="A9" s="324" t="s">
        <v>353</v>
      </c>
      <c r="B9" s="881"/>
      <c r="C9" s="881"/>
      <c r="D9" s="881"/>
      <c r="E9" s="415">
        <v>1</v>
      </c>
      <c r="F9" s="415">
        <v>2</v>
      </c>
      <c r="G9" s="415">
        <v>3</v>
      </c>
      <c r="H9" s="415">
        <v>4</v>
      </c>
      <c r="I9" s="415">
        <v>5</v>
      </c>
      <c r="J9" s="415">
        <v>6</v>
      </c>
      <c r="K9" s="415">
        <v>7</v>
      </c>
      <c r="L9" s="415">
        <v>8</v>
      </c>
      <c r="M9" s="415">
        <v>9</v>
      </c>
      <c r="N9" s="415">
        <v>10</v>
      </c>
      <c r="O9" s="415">
        <v>11</v>
      </c>
      <c r="P9" s="415">
        <v>12</v>
      </c>
      <c r="Q9" s="325">
        <v>2026</v>
      </c>
      <c r="R9" s="640">
        <v>2026</v>
      </c>
      <c r="S9" s="640">
        <v>2026</v>
      </c>
      <c r="T9" s="637"/>
    </row>
    <row r="10" spans="1:21" ht="15.75" customHeight="1" x14ac:dyDescent="0.15">
      <c r="A10" s="326">
        <v>1</v>
      </c>
      <c r="B10" s="882">
        <v>2</v>
      </c>
      <c r="C10" s="882"/>
      <c r="D10" s="882"/>
      <c r="E10" s="416">
        <v>3</v>
      </c>
      <c r="F10" s="416">
        <v>4</v>
      </c>
      <c r="G10" s="416">
        <v>5</v>
      </c>
      <c r="H10" s="416">
        <v>6</v>
      </c>
      <c r="I10" s="416">
        <v>7</v>
      </c>
      <c r="J10" s="416">
        <v>8</v>
      </c>
      <c r="K10" s="416">
        <v>9</v>
      </c>
      <c r="L10" s="416">
        <v>10</v>
      </c>
      <c r="M10" s="416">
        <v>11</v>
      </c>
      <c r="N10" s="416">
        <v>12</v>
      </c>
      <c r="O10" s="416">
        <v>13</v>
      </c>
      <c r="P10" s="416">
        <v>14</v>
      </c>
      <c r="Q10" s="416">
        <v>16</v>
      </c>
      <c r="R10" s="415"/>
      <c r="S10" s="415"/>
      <c r="T10" s="380"/>
    </row>
    <row r="11" spans="1:21" ht="15.75" customHeight="1" x14ac:dyDescent="0.15">
      <c r="A11" s="328" t="s">
        <v>325</v>
      </c>
      <c r="B11" s="329" t="s">
        <v>719</v>
      </c>
      <c r="C11" s="330"/>
      <c r="D11" s="331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3">
        <f>SUM(F11:P11)</f>
        <v>0</v>
      </c>
      <c r="R11" s="333"/>
      <c r="S11" s="333">
        <f>Q11-R11</f>
        <v>0</v>
      </c>
      <c r="T11" s="456"/>
    </row>
    <row r="12" spans="1:21" ht="15.75" customHeight="1" x14ac:dyDescent="0.15">
      <c r="A12" s="335" t="s">
        <v>355</v>
      </c>
      <c r="B12" s="407" t="s">
        <v>720</v>
      </c>
      <c r="C12" s="336"/>
      <c r="D12" s="337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>
        <f t="shared" ref="Q12:Q27" si="0">SUM(E12:P12)</f>
        <v>0</v>
      </c>
      <c r="R12" s="333"/>
      <c r="S12" s="333">
        <f>Q12-R12</f>
        <v>0</v>
      </c>
      <c r="T12" s="456"/>
    </row>
    <row r="13" spans="1:21" ht="15.75" customHeight="1" x14ac:dyDescent="0.15">
      <c r="A13" s="335" t="s">
        <v>357</v>
      </c>
      <c r="B13" s="407" t="s">
        <v>358</v>
      </c>
      <c r="C13" s="336"/>
      <c r="D13" s="337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>
        <f t="shared" si="0"/>
        <v>0</v>
      </c>
      <c r="R13" s="333"/>
      <c r="S13" s="333">
        <f t="shared" ref="S13:S35" si="1">Q13-R13</f>
        <v>0</v>
      </c>
      <c r="T13" s="456"/>
    </row>
    <row r="14" spans="1:21" ht="15.75" customHeight="1" x14ac:dyDescent="0.15">
      <c r="A14" s="335"/>
      <c r="B14" s="407" t="s">
        <v>955</v>
      </c>
      <c r="C14" s="336"/>
      <c r="D14" s="337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>
        <f t="shared" si="0"/>
        <v>0</v>
      </c>
      <c r="R14" s="333"/>
      <c r="S14" s="333">
        <f t="shared" si="1"/>
        <v>0</v>
      </c>
      <c r="T14" s="456"/>
    </row>
    <row r="15" spans="1:21" ht="15.75" customHeight="1" x14ac:dyDescent="0.15">
      <c r="A15" s="335"/>
      <c r="B15" s="407" t="s">
        <v>956</v>
      </c>
      <c r="C15" s="336"/>
      <c r="D15" s="337"/>
      <c r="E15" s="333"/>
      <c r="F15" s="333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>
        <f t="shared" si="0"/>
        <v>0</v>
      </c>
      <c r="R15" s="333"/>
      <c r="S15" s="333">
        <f t="shared" si="1"/>
        <v>0</v>
      </c>
      <c r="T15" s="456"/>
    </row>
    <row r="16" spans="1:21" ht="15.75" customHeight="1" x14ac:dyDescent="0.15">
      <c r="A16" s="335" t="s">
        <v>360</v>
      </c>
      <c r="B16" s="407" t="s">
        <v>957</v>
      </c>
      <c r="C16" s="336"/>
      <c r="D16" s="337"/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>
        <f t="shared" si="0"/>
        <v>0</v>
      </c>
      <c r="R16" s="333"/>
      <c r="S16" s="333">
        <f t="shared" si="1"/>
        <v>0</v>
      </c>
      <c r="T16" s="456"/>
    </row>
    <row r="17" spans="1:21" ht="15.75" customHeight="1" x14ac:dyDescent="0.15">
      <c r="A17" s="335"/>
      <c r="B17" s="407" t="s">
        <v>958</v>
      </c>
      <c r="C17" s="336"/>
      <c r="D17" s="337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>
        <f t="shared" si="0"/>
        <v>0</v>
      </c>
      <c r="R17" s="333"/>
      <c r="S17" s="333">
        <f t="shared" si="1"/>
        <v>0</v>
      </c>
      <c r="T17" s="456"/>
    </row>
    <row r="18" spans="1:21" ht="15.75" customHeight="1" x14ac:dyDescent="0.15">
      <c r="A18" s="335"/>
      <c r="B18" s="407" t="s">
        <v>959</v>
      </c>
      <c r="C18" s="336"/>
      <c r="D18" s="337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>
        <f t="shared" si="0"/>
        <v>0</v>
      </c>
      <c r="R18" s="333"/>
      <c r="S18" s="333">
        <f t="shared" si="1"/>
        <v>0</v>
      </c>
      <c r="T18" s="456"/>
    </row>
    <row r="19" spans="1:21" ht="15.75" customHeight="1" x14ac:dyDescent="0.15">
      <c r="A19" s="335"/>
      <c r="B19" s="407" t="s">
        <v>960</v>
      </c>
      <c r="C19" s="336"/>
      <c r="D19" s="337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>
        <f t="shared" si="0"/>
        <v>0</v>
      </c>
      <c r="R19" s="333"/>
      <c r="S19" s="333">
        <f t="shared" si="1"/>
        <v>0</v>
      </c>
      <c r="T19" s="456"/>
    </row>
    <row r="20" spans="1:21" ht="15.75" customHeight="1" x14ac:dyDescent="0.15">
      <c r="A20" s="335"/>
      <c r="B20" s="407" t="s">
        <v>961</v>
      </c>
      <c r="C20" s="336"/>
      <c r="D20" s="337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>
        <f t="shared" si="0"/>
        <v>0</v>
      </c>
      <c r="R20" s="333"/>
      <c r="S20" s="333">
        <f t="shared" si="1"/>
        <v>0</v>
      </c>
      <c r="T20" s="456"/>
    </row>
    <row r="21" spans="1:21" ht="15.75" customHeight="1" x14ac:dyDescent="0.15">
      <c r="A21" s="335"/>
      <c r="B21" s="407" t="s">
        <v>962</v>
      </c>
      <c r="C21" s="336"/>
      <c r="D21" s="337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>
        <f t="shared" si="0"/>
        <v>0</v>
      </c>
      <c r="R21" s="333"/>
      <c r="S21" s="333">
        <f t="shared" si="1"/>
        <v>0</v>
      </c>
      <c r="T21" s="456"/>
    </row>
    <row r="22" spans="1:21" ht="15.75" customHeight="1" x14ac:dyDescent="0.15">
      <c r="A22" s="335" t="s">
        <v>363</v>
      </c>
      <c r="B22" s="407" t="s">
        <v>713</v>
      </c>
      <c r="C22" s="336"/>
      <c r="D22" s="337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>
        <f t="shared" si="0"/>
        <v>0</v>
      </c>
      <c r="R22" s="333"/>
      <c r="S22" s="333">
        <f t="shared" si="1"/>
        <v>0</v>
      </c>
      <c r="T22" s="456"/>
    </row>
    <row r="23" spans="1:21" ht="15.75" customHeight="1" x14ac:dyDescent="0.15">
      <c r="A23" s="335" t="s">
        <v>366</v>
      </c>
      <c r="B23" s="407" t="s">
        <v>963</v>
      </c>
      <c r="C23" s="336"/>
      <c r="D23" s="337"/>
      <c r="E23" s="333"/>
      <c r="F23" s="333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>
        <f t="shared" si="0"/>
        <v>0</v>
      </c>
      <c r="R23" s="333"/>
      <c r="S23" s="333">
        <f t="shared" si="1"/>
        <v>0</v>
      </c>
      <c r="T23" s="456"/>
    </row>
    <row r="24" spans="1:21" ht="15.75" customHeight="1" x14ac:dyDescent="0.15">
      <c r="A24" s="335" t="s">
        <v>716</v>
      </c>
      <c r="B24" s="407" t="s">
        <v>964</v>
      </c>
      <c r="C24" s="336"/>
      <c r="D24" s="337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>
        <f t="shared" si="0"/>
        <v>0</v>
      </c>
      <c r="R24" s="333"/>
      <c r="S24" s="333">
        <f t="shared" si="1"/>
        <v>0</v>
      </c>
      <c r="T24" s="456"/>
    </row>
    <row r="25" spans="1:21" ht="15.75" customHeight="1" x14ac:dyDescent="0.15">
      <c r="A25" s="335" t="s">
        <v>375</v>
      </c>
      <c r="B25" s="407" t="s">
        <v>361</v>
      </c>
      <c r="C25" s="336"/>
      <c r="D25" s="337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>
        <f t="shared" si="0"/>
        <v>0</v>
      </c>
      <c r="R25" s="333"/>
      <c r="S25" s="333">
        <f t="shared" si="1"/>
        <v>0</v>
      </c>
      <c r="T25" s="456"/>
    </row>
    <row r="26" spans="1:21" ht="15.75" customHeight="1" x14ac:dyDescent="0.15">
      <c r="A26" s="335"/>
      <c r="B26" s="407"/>
      <c r="C26" s="336" t="s">
        <v>596</v>
      </c>
      <c r="D26" s="337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>
        <f t="shared" si="0"/>
        <v>0</v>
      </c>
      <c r="S26" s="333"/>
      <c r="T26" s="456"/>
    </row>
    <row r="27" spans="1:21" ht="15.75" customHeight="1" x14ac:dyDescent="0.15">
      <c r="A27" s="335"/>
      <c r="B27" s="407"/>
      <c r="C27" s="336" t="s">
        <v>597</v>
      </c>
      <c r="D27" s="337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>
        <f t="shared" si="0"/>
        <v>0</v>
      </c>
      <c r="R27" s="333"/>
      <c r="S27" s="333"/>
      <c r="T27" s="456"/>
      <c r="U27" s="693"/>
    </row>
    <row r="28" spans="1:21" s="418" customFormat="1" ht="15.75" customHeight="1" x14ac:dyDescent="0.15">
      <c r="A28" s="362"/>
      <c r="B28" s="363"/>
      <c r="C28" s="357" t="s">
        <v>611</v>
      </c>
      <c r="D28" s="358"/>
      <c r="E28" s="342">
        <f>SUM(E26:E27)</f>
        <v>0</v>
      </c>
      <c r="F28" s="342">
        <f t="shared" ref="F28:P28" si="2">SUM(F26:F27)</f>
        <v>0</v>
      </c>
      <c r="G28" s="342">
        <f t="shared" si="2"/>
        <v>0</v>
      </c>
      <c r="H28" s="342">
        <f t="shared" si="2"/>
        <v>0</v>
      </c>
      <c r="I28" s="342">
        <f t="shared" si="2"/>
        <v>0</v>
      </c>
      <c r="J28" s="342">
        <f t="shared" si="2"/>
        <v>0</v>
      </c>
      <c r="K28" s="342">
        <f t="shared" si="2"/>
        <v>0</v>
      </c>
      <c r="L28" s="342">
        <f t="shared" si="2"/>
        <v>0</v>
      </c>
      <c r="M28" s="342">
        <f t="shared" si="2"/>
        <v>0</v>
      </c>
      <c r="N28" s="342">
        <f t="shared" si="2"/>
        <v>0</v>
      </c>
      <c r="O28" s="342">
        <f t="shared" si="2"/>
        <v>0</v>
      </c>
      <c r="P28" s="342">
        <f t="shared" si="2"/>
        <v>0</v>
      </c>
      <c r="Q28" s="342">
        <f>SUM(Q26:Q27)</f>
        <v>0</v>
      </c>
      <c r="R28" s="333">
        <f>'RINCIAN B. LANGSUNG USAHA'!Q18</f>
        <v>0</v>
      </c>
      <c r="S28" s="333">
        <f t="shared" si="1"/>
        <v>0</v>
      </c>
      <c r="T28" s="456"/>
      <c r="U28" s="613"/>
    </row>
    <row r="29" spans="1:21" ht="15.75" customHeight="1" x14ac:dyDescent="0.15">
      <c r="A29" s="335" t="s">
        <v>717</v>
      </c>
      <c r="B29" s="407" t="s">
        <v>364</v>
      </c>
      <c r="C29" s="336"/>
      <c r="D29" s="337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>
        <f>SUM(E29:P29)</f>
        <v>0</v>
      </c>
      <c r="R29" s="333"/>
      <c r="S29" s="333">
        <f t="shared" si="1"/>
        <v>0</v>
      </c>
      <c r="T29" s="456"/>
    </row>
    <row r="30" spans="1:21" ht="15.75" customHeight="1" x14ac:dyDescent="0.15">
      <c r="A30" s="335"/>
      <c r="B30" s="407"/>
      <c r="C30" s="336" t="s">
        <v>612</v>
      </c>
      <c r="D30" s="337"/>
      <c r="E30" s="333"/>
      <c r="F30" s="333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>
        <f>SUM(E30:P30)</f>
        <v>0</v>
      </c>
      <c r="R30" s="333"/>
      <c r="S30" s="333"/>
      <c r="T30" s="456"/>
    </row>
    <row r="31" spans="1:21" ht="15.75" customHeight="1" x14ac:dyDescent="0.15">
      <c r="A31" s="335"/>
      <c r="B31" s="407"/>
      <c r="C31" s="336" t="s">
        <v>613</v>
      </c>
      <c r="D31" s="337"/>
      <c r="E31" s="333"/>
      <c r="F31" s="333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>
        <f>SUM(E31:P31)</f>
        <v>0</v>
      </c>
      <c r="R31" s="333"/>
      <c r="S31" s="333"/>
      <c r="T31" s="456"/>
    </row>
    <row r="32" spans="1:21" ht="15.75" customHeight="1" x14ac:dyDescent="0.15">
      <c r="A32" s="335"/>
      <c r="B32" s="407"/>
      <c r="C32" s="336" t="s">
        <v>614</v>
      </c>
      <c r="D32" s="337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>
        <f>SUM(E32:P32)</f>
        <v>0</v>
      </c>
      <c r="R32" s="333"/>
      <c r="S32" s="333"/>
      <c r="T32" s="456"/>
    </row>
    <row r="33" spans="1:21" s="418" customFormat="1" ht="15.75" customHeight="1" x14ac:dyDescent="0.15">
      <c r="A33" s="362"/>
      <c r="B33" s="363"/>
      <c r="C33" s="357" t="s">
        <v>615</v>
      </c>
      <c r="D33" s="358"/>
      <c r="E33" s="342">
        <f>SUM(E30:E32)</f>
        <v>0</v>
      </c>
      <c r="F33" s="342">
        <f t="shared" ref="F33:P33" si="3">SUM(F30:F32)</f>
        <v>0</v>
      </c>
      <c r="G33" s="342">
        <f t="shared" si="3"/>
        <v>0</v>
      </c>
      <c r="H33" s="342">
        <f t="shared" si="3"/>
        <v>0</v>
      </c>
      <c r="I33" s="342">
        <f t="shared" si="3"/>
        <v>0</v>
      </c>
      <c r="J33" s="342">
        <f t="shared" si="3"/>
        <v>0</v>
      </c>
      <c r="K33" s="342">
        <f t="shared" si="3"/>
        <v>0</v>
      </c>
      <c r="L33" s="342">
        <f t="shared" si="3"/>
        <v>0</v>
      </c>
      <c r="M33" s="342">
        <f t="shared" si="3"/>
        <v>0</v>
      </c>
      <c r="N33" s="342">
        <f t="shared" si="3"/>
        <v>0</v>
      </c>
      <c r="O33" s="342">
        <f t="shared" si="3"/>
        <v>0</v>
      </c>
      <c r="P33" s="342">
        <f t="shared" si="3"/>
        <v>0</v>
      </c>
      <c r="Q33" s="342">
        <f>SUM(Q30:Q32)</f>
        <v>0</v>
      </c>
      <c r="R33" s="342">
        <f>'RINCIAN B. LANGSUNG USAHA'!Q19</f>
        <v>0</v>
      </c>
      <c r="S33" s="333">
        <f t="shared" si="1"/>
        <v>0</v>
      </c>
      <c r="T33" s="456"/>
      <c r="U33" s="613"/>
    </row>
    <row r="34" spans="1:21" ht="15.75" customHeight="1" x14ac:dyDescent="0.15">
      <c r="A34" s="335" t="s">
        <v>718</v>
      </c>
      <c r="B34" s="341" t="s">
        <v>598</v>
      </c>
      <c r="C34" s="336"/>
      <c r="D34" s="337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>
        <f>SUM(E34:P34)</f>
        <v>0</v>
      </c>
      <c r="R34" s="333">
        <f>'RINCIAN B. LANGSUNG USAHA'!Q20</f>
        <v>0</v>
      </c>
      <c r="S34" s="333">
        <f t="shared" si="1"/>
        <v>0</v>
      </c>
      <c r="T34" s="456"/>
    </row>
    <row r="35" spans="1:21" ht="15.75" customHeight="1" x14ac:dyDescent="0.15">
      <c r="A35" s="335" t="s">
        <v>378</v>
      </c>
      <c r="B35" s="341" t="s">
        <v>965</v>
      </c>
      <c r="C35" s="336"/>
      <c r="D35" s="337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>
        <f>SUM(E35:P35)</f>
        <v>0</v>
      </c>
      <c r="R35" s="333">
        <f>'RINCIAN B. LANGSUNG USAHA'!Q21</f>
        <v>0</v>
      </c>
      <c r="S35" s="333">
        <f t="shared" si="1"/>
        <v>0</v>
      </c>
      <c r="T35" s="456"/>
    </row>
    <row r="36" spans="1:21" ht="17.25" customHeight="1" x14ac:dyDescent="0.25">
      <c r="A36" s="344"/>
      <c r="B36" s="866" t="s">
        <v>966</v>
      </c>
      <c r="C36" s="867"/>
      <c r="D36" s="868"/>
      <c r="E36" s="377">
        <f>SUM(E13:E24)+E28+E33+E34+E35</f>
        <v>0</v>
      </c>
      <c r="F36" s="377">
        <f t="shared" ref="F36:P36" si="4">SUM(F13:F24)+F28+F33+F34+F35</f>
        <v>0</v>
      </c>
      <c r="G36" s="377">
        <f t="shared" si="4"/>
        <v>0</v>
      </c>
      <c r="H36" s="377">
        <f t="shared" si="4"/>
        <v>0</v>
      </c>
      <c r="I36" s="377">
        <f t="shared" si="4"/>
        <v>0</v>
      </c>
      <c r="J36" s="377">
        <f t="shared" si="4"/>
        <v>0</v>
      </c>
      <c r="K36" s="377">
        <f t="shared" si="4"/>
        <v>0</v>
      </c>
      <c r="L36" s="377">
        <f t="shared" si="4"/>
        <v>0</v>
      </c>
      <c r="M36" s="377">
        <f t="shared" si="4"/>
        <v>0</v>
      </c>
      <c r="N36" s="377">
        <f t="shared" si="4"/>
        <v>0</v>
      </c>
      <c r="O36" s="377">
        <f t="shared" si="4"/>
        <v>0</v>
      </c>
      <c r="P36" s="377">
        <f t="shared" si="4"/>
        <v>0</v>
      </c>
      <c r="Q36" s="377">
        <f>SUM(E36:P36)</f>
        <v>0</v>
      </c>
      <c r="R36" s="377">
        <f>SUM(R11:R35)</f>
        <v>0</v>
      </c>
      <c r="S36" s="377">
        <f>SUM(S11:S35)</f>
        <v>0</v>
      </c>
      <c r="T36" s="638">
        <f>'RINCIAN B. LANGSUNG USAHA'!Q22</f>
        <v>0</v>
      </c>
      <c r="U36" s="691">
        <v>1275000</v>
      </c>
    </row>
    <row r="37" spans="1:21" ht="15.75" customHeight="1" x14ac:dyDescent="0.15">
      <c r="A37" s="335" t="s">
        <v>389</v>
      </c>
      <c r="B37" s="407" t="s">
        <v>723</v>
      </c>
      <c r="C37" s="336"/>
      <c r="D37" s="337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456"/>
    </row>
    <row r="38" spans="1:21" ht="15.75" customHeight="1" x14ac:dyDescent="0.15">
      <c r="A38" s="335" t="s">
        <v>724</v>
      </c>
      <c r="B38" s="407" t="s">
        <v>376</v>
      </c>
      <c r="C38" s="336"/>
      <c r="D38" s="337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>
        <f t="shared" ref="Q38:Q49" si="5">SUM(E38:P38)</f>
        <v>0</v>
      </c>
      <c r="R38" s="333">
        <f>'RINCIAN B. LANGSUNG USAHA'!Q24</f>
        <v>0</v>
      </c>
      <c r="S38" s="333">
        <f>Q38-R38</f>
        <v>0</v>
      </c>
      <c r="T38" s="456"/>
    </row>
    <row r="39" spans="1:21" ht="15.75" customHeight="1" x14ac:dyDescent="0.15">
      <c r="A39" s="335" t="s">
        <v>725</v>
      </c>
      <c r="B39" s="407" t="s">
        <v>379</v>
      </c>
      <c r="C39" s="336"/>
      <c r="D39" s="337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>
        <f t="shared" si="5"/>
        <v>0</v>
      </c>
      <c r="R39" s="333">
        <f>'RINCIAN B. LANGSUNG USAHA'!Q25</f>
        <v>0</v>
      </c>
      <c r="S39" s="333">
        <f t="shared" ref="S39:S43" si="6">Q39-R39</f>
        <v>0</v>
      </c>
      <c r="T39" s="456"/>
    </row>
    <row r="40" spans="1:21" ht="15.75" customHeight="1" x14ac:dyDescent="0.15">
      <c r="A40" s="335" t="s">
        <v>726</v>
      </c>
      <c r="B40" s="407" t="s">
        <v>381</v>
      </c>
      <c r="C40" s="336"/>
      <c r="D40" s="337"/>
      <c r="E40" s="614"/>
      <c r="F40" s="614"/>
      <c r="G40" s="614"/>
      <c r="H40" s="614"/>
      <c r="I40" s="614"/>
      <c r="J40" s="614"/>
      <c r="K40" s="614"/>
      <c r="L40" s="614"/>
      <c r="M40" s="614"/>
      <c r="N40" s="614"/>
      <c r="O40" s="614"/>
      <c r="P40" s="614"/>
      <c r="Q40" s="333">
        <f t="shared" si="5"/>
        <v>0</v>
      </c>
      <c r="R40" s="333">
        <f>'RINCIAN B. LANGSUNG USAHA'!Q26</f>
        <v>0</v>
      </c>
      <c r="S40" s="333">
        <f t="shared" si="6"/>
        <v>0</v>
      </c>
      <c r="T40" s="456"/>
    </row>
    <row r="41" spans="1:21" ht="15.75" customHeight="1" x14ac:dyDescent="0.15">
      <c r="A41" s="335" t="s">
        <v>727</v>
      </c>
      <c r="B41" s="407" t="s">
        <v>383</v>
      </c>
      <c r="C41" s="336"/>
      <c r="D41" s="337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>
        <f t="shared" si="5"/>
        <v>0</v>
      </c>
      <c r="R41" s="333">
        <f>'RINCIAN B. LANGSUNG USAHA'!Q27</f>
        <v>0</v>
      </c>
      <c r="S41" s="333">
        <f t="shared" si="6"/>
        <v>0</v>
      </c>
      <c r="T41" s="456"/>
    </row>
    <row r="42" spans="1:21" ht="15.75" customHeight="1" x14ac:dyDescent="0.15">
      <c r="A42" s="335" t="s">
        <v>728</v>
      </c>
      <c r="B42" s="407" t="s">
        <v>385</v>
      </c>
      <c r="C42" s="336"/>
      <c r="D42" s="337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>
        <f t="shared" si="5"/>
        <v>0</v>
      </c>
      <c r="R42" s="333">
        <f>'RINCIAN B. LANGSUNG USAHA'!Q28</f>
        <v>0</v>
      </c>
      <c r="S42" s="333">
        <f t="shared" si="6"/>
        <v>0</v>
      </c>
      <c r="T42" s="456"/>
    </row>
    <row r="43" spans="1:21" ht="15.75" customHeight="1" x14ac:dyDescent="0.15">
      <c r="A43" s="335" t="s">
        <v>729</v>
      </c>
      <c r="B43" s="407" t="s">
        <v>387</v>
      </c>
      <c r="C43" s="336"/>
      <c r="D43" s="337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>
        <f t="shared" si="5"/>
        <v>0</v>
      </c>
      <c r="R43" s="333">
        <f>'RINCIAN B. LANGSUNG USAHA'!Q29</f>
        <v>0</v>
      </c>
      <c r="S43" s="333">
        <f t="shared" si="6"/>
        <v>0</v>
      </c>
      <c r="T43" s="456"/>
    </row>
    <row r="44" spans="1:21" ht="15.75" customHeight="1" x14ac:dyDescent="0.15">
      <c r="A44" s="344"/>
      <c r="B44" s="866" t="s">
        <v>388</v>
      </c>
      <c r="C44" s="867"/>
      <c r="D44" s="868"/>
      <c r="E44" s="377">
        <f>SUM(E38:E43)</f>
        <v>0</v>
      </c>
      <c r="F44" s="377">
        <f t="shared" ref="F44:P44" si="7">SUM(F38:F43)</f>
        <v>0</v>
      </c>
      <c r="G44" s="377">
        <f t="shared" si="7"/>
        <v>0</v>
      </c>
      <c r="H44" s="377">
        <f t="shared" si="7"/>
        <v>0</v>
      </c>
      <c r="I44" s="377">
        <f t="shared" si="7"/>
        <v>0</v>
      </c>
      <c r="J44" s="377">
        <f t="shared" si="7"/>
        <v>0</v>
      </c>
      <c r="K44" s="377">
        <f t="shared" si="7"/>
        <v>0</v>
      </c>
      <c r="L44" s="377">
        <f t="shared" si="7"/>
        <v>0</v>
      </c>
      <c r="M44" s="377">
        <f t="shared" si="7"/>
        <v>0</v>
      </c>
      <c r="N44" s="377">
        <f t="shared" si="7"/>
        <v>0</v>
      </c>
      <c r="O44" s="377">
        <f t="shared" si="7"/>
        <v>0</v>
      </c>
      <c r="P44" s="377">
        <f t="shared" si="7"/>
        <v>0</v>
      </c>
      <c r="Q44" s="377">
        <f t="shared" si="5"/>
        <v>0</v>
      </c>
      <c r="R44" s="377">
        <f>SUM(R38:R43)</f>
        <v>0</v>
      </c>
      <c r="S44" s="377">
        <f>SUM(S38:S43)</f>
        <v>0</v>
      </c>
      <c r="T44" s="638">
        <f>'RINCIAN B. LANGSUNG USAHA'!Q30</f>
        <v>0</v>
      </c>
    </row>
    <row r="45" spans="1:21" ht="16.5" customHeight="1" x14ac:dyDescent="0.15">
      <c r="A45" s="335" t="s">
        <v>967</v>
      </c>
      <c r="B45" s="407" t="s">
        <v>731</v>
      </c>
      <c r="C45" s="336"/>
      <c r="D45" s="337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45">
        <f t="shared" si="5"/>
        <v>0</v>
      </c>
      <c r="R45" s="345">
        <f>'RINCIAN B. LANGSUNG USAHA'!Q31</f>
        <v>0</v>
      </c>
      <c r="S45" s="345">
        <f>Q45-R45</f>
        <v>0</v>
      </c>
      <c r="T45" s="456">
        <f>'RINCIAN B. LANGSUNG USAHA'!Q31</f>
        <v>0</v>
      </c>
    </row>
    <row r="46" spans="1:21" ht="16.5" customHeight="1" x14ac:dyDescent="0.15">
      <c r="A46" s="344"/>
      <c r="B46" s="872" t="s">
        <v>391</v>
      </c>
      <c r="C46" s="873"/>
      <c r="D46" s="874"/>
      <c r="E46" s="345">
        <f>E44+E36+E45</f>
        <v>0</v>
      </c>
      <c r="F46" s="345">
        <f t="shared" ref="F46:P46" si="8">F44+F36+F45</f>
        <v>0</v>
      </c>
      <c r="G46" s="345">
        <f t="shared" si="8"/>
        <v>0</v>
      </c>
      <c r="H46" s="345">
        <f t="shared" si="8"/>
        <v>0</v>
      </c>
      <c r="I46" s="345">
        <f t="shared" si="8"/>
        <v>0</v>
      </c>
      <c r="J46" s="345">
        <f t="shared" si="8"/>
        <v>0</v>
      </c>
      <c r="K46" s="345">
        <f t="shared" si="8"/>
        <v>0</v>
      </c>
      <c r="L46" s="345">
        <f>L44+L36+L45</f>
        <v>0</v>
      </c>
      <c r="M46" s="345">
        <f t="shared" si="8"/>
        <v>0</v>
      </c>
      <c r="N46" s="345">
        <f t="shared" si="8"/>
        <v>0</v>
      </c>
      <c r="O46" s="345">
        <f t="shared" si="8"/>
        <v>0</v>
      </c>
      <c r="P46" s="345">
        <f t="shared" si="8"/>
        <v>0</v>
      </c>
      <c r="Q46" s="333">
        <f t="shared" si="5"/>
        <v>0</v>
      </c>
      <c r="R46" s="345">
        <f>'RINCIAN B. LANGSUNG USAHA'!Q32</f>
        <v>0</v>
      </c>
      <c r="S46" s="345">
        <f t="shared" ref="S46:S47" si="9">Q46-R46</f>
        <v>0</v>
      </c>
      <c r="T46" s="456"/>
    </row>
    <row r="47" spans="1:21" ht="18" customHeight="1" x14ac:dyDescent="0.15">
      <c r="A47" s="344" t="s">
        <v>759</v>
      </c>
      <c r="B47" s="417" t="s">
        <v>732</v>
      </c>
      <c r="C47" s="349"/>
      <c r="D47" s="350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>
        <f t="shared" si="5"/>
        <v>0</v>
      </c>
      <c r="R47" s="345">
        <f>'RINCIAN B. LANGSUNG USAHA'!Q33</f>
        <v>0</v>
      </c>
      <c r="S47" s="345">
        <f t="shared" si="9"/>
        <v>0</v>
      </c>
      <c r="T47" s="456"/>
    </row>
    <row r="48" spans="1:21" ht="20.25" customHeight="1" x14ac:dyDescent="0.15">
      <c r="A48" s="344"/>
      <c r="B48" s="857" t="s">
        <v>394</v>
      </c>
      <c r="C48" s="858"/>
      <c r="D48" s="859"/>
      <c r="E48" s="345">
        <f>SUM(E46:E47)</f>
        <v>0</v>
      </c>
      <c r="F48" s="345">
        <f t="shared" ref="F48:P48" si="10">SUM(F46:F47)</f>
        <v>0</v>
      </c>
      <c r="G48" s="345">
        <f t="shared" si="10"/>
        <v>0</v>
      </c>
      <c r="H48" s="345">
        <f t="shared" si="10"/>
        <v>0</v>
      </c>
      <c r="I48" s="345">
        <f t="shared" si="10"/>
        <v>0</v>
      </c>
      <c r="J48" s="345">
        <f t="shared" si="10"/>
        <v>0</v>
      </c>
      <c r="K48" s="345">
        <f t="shared" si="10"/>
        <v>0</v>
      </c>
      <c r="L48" s="345">
        <f t="shared" si="10"/>
        <v>0</v>
      </c>
      <c r="M48" s="345">
        <f t="shared" si="10"/>
        <v>0</v>
      </c>
      <c r="N48" s="345">
        <f t="shared" si="10"/>
        <v>0</v>
      </c>
      <c r="O48" s="345">
        <f t="shared" si="10"/>
        <v>0</v>
      </c>
      <c r="P48" s="345">
        <f t="shared" si="10"/>
        <v>0</v>
      </c>
      <c r="Q48" s="345">
        <f t="shared" si="5"/>
        <v>0</v>
      </c>
      <c r="R48" s="377">
        <f>SUM(R46:R47)</f>
        <v>0</v>
      </c>
      <c r="S48" s="377">
        <f>SUM(S46:S47)</f>
        <v>0</v>
      </c>
      <c r="T48" s="638">
        <f>'RINCIAN B. LANGSUNG USAHA'!Q34</f>
        <v>0</v>
      </c>
    </row>
    <row r="49" spans="1:21" ht="12" customHeight="1" x14ac:dyDescent="0.15">
      <c r="A49" s="328" t="s">
        <v>326</v>
      </c>
      <c r="B49" s="329" t="s">
        <v>734</v>
      </c>
      <c r="C49" s="615"/>
      <c r="D49" s="331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>
        <f t="shared" si="5"/>
        <v>0</v>
      </c>
      <c r="R49" s="333"/>
      <c r="S49" s="333"/>
      <c r="T49" s="456"/>
    </row>
    <row r="50" spans="1:21" ht="15.75" customHeight="1" x14ac:dyDescent="0.15">
      <c r="A50" s="335" t="s">
        <v>396</v>
      </c>
      <c r="B50" s="407" t="s">
        <v>968</v>
      </c>
      <c r="C50" s="336"/>
      <c r="D50" s="337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/>
      <c r="R50" s="333"/>
      <c r="S50" s="333"/>
      <c r="T50" s="456"/>
    </row>
    <row r="51" spans="1:21" ht="15.75" customHeight="1" x14ac:dyDescent="0.15">
      <c r="A51" s="335"/>
      <c r="B51" s="407" t="s">
        <v>969</v>
      </c>
      <c r="C51" s="336"/>
      <c r="D51" s="337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>
        <f>'RINCIAN B. LANGSUNG USAHA'!Q37+'RINCIAN B. LANGSUNG USAHA'!Q48-R56</f>
        <v>0</v>
      </c>
      <c r="S51" s="333">
        <f>SUM(Q52:Q55)-R51</f>
        <v>0</v>
      </c>
      <c r="T51" s="456"/>
    </row>
    <row r="52" spans="1:21" ht="15.75" customHeight="1" x14ac:dyDescent="0.15">
      <c r="A52" s="335"/>
      <c r="B52" s="407"/>
      <c r="C52" s="336" t="s">
        <v>612</v>
      </c>
      <c r="D52" s="337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>
        <f t="shared" ref="Q52:Q65" si="11">SUM(E52:P52)</f>
        <v>0</v>
      </c>
      <c r="R52" s="333"/>
      <c r="S52" s="333"/>
      <c r="T52" s="456"/>
    </row>
    <row r="53" spans="1:21" ht="15.75" customHeight="1" x14ac:dyDescent="0.15">
      <c r="A53" s="335"/>
      <c r="B53" s="407"/>
      <c r="C53" s="336" t="s">
        <v>613</v>
      </c>
      <c r="D53" s="337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>
        <f t="shared" si="11"/>
        <v>0</v>
      </c>
      <c r="R53" s="333"/>
      <c r="S53" s="333"/>
      <c r="T53" s="456"/>
    </row>
    <row r="54" spans="1:21" ht="15.75" customHeight="1" x14ac:dyDescent="0.15">
      <c r="A54" s="335"/>
      <c r="B54" s="407"/>
      <c r="C54" s="336" t="s">
        <v>614</v>
      </c>
      <c r="D54" s="337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>
        <f t="shared" si="11"/>
        <v>0</v>
      </c>
      <c r="R54" s="333"/>
      <c r="S54" s="333"/>
      <c r="T54" s="456"/>
    </row>
    <row r="55" spans="1:21" ht="15.75" customHeight="1" x14ac:dyDescent="0.15">
      <c r="A55" s="335"/>
      <c r="B55" s="407" t="s">
        <v>970</v>
      </c>
      <c r="C55" s="336"/>
      <c r="D55" s="337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>
        <f t="shared" si="11"/>
        <v>0</v>
      </c>
      <c r="R55" s="333"/>
      <c r="S55" s="333"/>
      <c r="T55" s="456"/>
      <c r="U55" s="692"/>
    </row>
    <row r="56" spans="1:21" ht="15.75" customHeight="1" x14ac:dyDescent="0.15">
      <c r="A56" s="335"/>
      <c r="B56" s="407" t="s">
        <v>956</v>
      </c>
      <c r="C56" s="336"/>
      <c r="D56" s="337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>
        <f>P52+P53+P54</f>
        <v>0</v>
      </c>
      <c r="Q56" s="333">
        <f t="shared" si="11"/>
        <v>0</v>
      </c>
      <c r="R56" s="333">
        <f>'RINCIAN B. LANGSUNG USAHA'!Q43</f>
        <v>0</v>
      </c>
      <c r="S56" s="333">
        <f>SUM(Q57:Q60)-R56</f>
        <v>0</v>
      </c>
      <c r="T56" s="456"/>
    </row>
    <row r="57" spans="1:21" ht="15.75" customHeight="1" x14ac:dyDescent="0.15">
      <c r="A57" s="335" t="s">
        <v>398</v>
      </c>
      <c r="B57" s="407" t="s">
        <v>740</v>
      </c>
      <c r="C57" s="336"/>
      <c r="D57" s="337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>
        <f t="shared" si="11"/>
        <v>0</v>
      </c>
      <c r="R57" s="333"/>
      <c r="S57" s="333"/>
      <c r="T57" s="456"/>
    </row>
    <row r="58" spans="1:21" ht="15.75" customHeight="1" x14ac:dyDescent="0.15">
      <c r="A58" s="335"/>
      <c r="B58" s="407" t="s">
        <v>971</v>
      </c>
      <c r="C58" s="336"/>
      <c r="D58" s="337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/>
      <c r="Q58" s="333">
        <f t="shared" si="11"/>
        <v>0</v>
      </c>
      <c r="R58" s="333">
        <f>'RINCIAN B. LANGSUNG USAHA'!Q45</f>
        <v>0</v>
      </c>
      <c r="S58" s="333">
        <f>Q58-R58</f>
        <v>0</v>
      </c>
      <c r="T58" s="456"/>
    </row>
    <row r="59" spans="1:21" ht="15.75" customHeight="1" x14ac:dyDescent="0.15">
      <c r="A59" s="335"/>
      <c r="B59" s="407" t="s">
        <v>972</v>
      </c>
      <c r="C59" s="336"/>
      <c r="D59" s="337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>
        <f t="shared" si="11"/>
        <v>0</v>
      </c>
      <c r="R59" s="333">
        <f>'RINCIAN B. LANGSUNG USAHA'!Q46</f>
        <v>0</v>
      </c>
      <c r="S59" s="333">
        <f t="shared" ref="S59:S64" si="12">Q59-R59</f>
        <v>0</v>
      </c>
      <c r="T59" s="456"/>
    </row>
    <row r="60" spans="1:21" ht="15.75" customHeight="1" x14ac:dyDescent="0.15">
      <c r="A60" s="335"/>
      <c r="B60" s="407" t="s">
        <v>973</v>
      </c>
      <c r="C60" s="336"/>
      <c r="D60" s="337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>
        <f t="shared" si="11"/>
        <v>0</v>
      </c>
      <c r="R60" s="333">
        <f>'RINCIAN B. LANGSUNG USAHA'!Q47</f>
        <v>0</v>
      </c>
      <c r="S60" s="333">
        <f t="shared" si="12"/>
        <v>0</v>
      </c>
      <c r="T60" s="456"/>
    </row>
    <row r="61" spans="1:21" ht="15.75" customHeight="1" x14ac:dyDescent="0.15">
      <c r="A61" s="335"/>
      <c r="B61" s="407" t="s">
        <v>974</v>
      </c>
      <c r="C61" s="336"/>
      <c r="D61" s="337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>
        <f t="shared" si="11"/>
        <v>0</v>
      </c>
      <c r="R61" s="333"/>
      <c r="S61" s="333">
        <f t="shared" si="12"/>
        <v>0</v>
      </c>
      <c r="T61" s="456"/>
      <c r="U61" s="692"/>
    </row>
    <row r="62" spans="1:21" ht="12.75" customHeight="1" x14ac:dyDescent="0.15">
      <c r="A62" s="335"/>
      <c r="B62" s="407" t="s">
        <v>962</v>
      </c>
      <c r="C62" s="336"/>
      <c r="D62" s="337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>
        <f t="shared" si="11"/>
        <v>0</v>
      </c>
      <c r="R62" s="333">
        <f>'RINCIAN B. LANGSUNG USAHA'!Q49</f>
        <v>0</v>
      </c>
      <c r="S62" s="333">
        <f t="shared" si="12"/>
        <v>0</v>
      </c>
      <c r="T62" s="456"/>
    </row>
    <row r="63" spans="1:21" ht="14.25" customHeight="1" x14ac:dyDescent="0.15">
      <c r="A63" s="335" t="s">
        <v>588</v>
      </c>
      <c r="B63" s="407" t="s">
        <v>713</v>
      </c>
      <c r="C63" s="336"/>
      <c r="D63" s="337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>
        <f t="shared" si="11"/>
        <v>0</v>
      </c>
      <c r="R63" s="333">
        <f>'RINCIAN B. LANGSUNG USAHA'!Q50</f>
        <v>0</v>
      </c>
      <c r="S63" s="333">
        <f t="shared" si="12"/>
        <v>0</v>
      </c>
      <c r="T63" s="456"/>
    </row>
    <row r="64" spans="1:21" ht="15.75" customHeight="1" x14ac:dyDescent="0.15">
      <c r="A64" s="335" t="s">
        <v>746</v>
      </c>
      <c r="B64" s="407" t="s">
        <v>975</v>
      </c>
      <c r="C64" s="336"/>
      <c r="D64" s="337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>
        <f t="shared" si="11"/>
        <v>0</v>
      </c>
      <c r="R64" s="333">
        <f>'RINCIAN B. LANGSUNG USAHA'!Q51</f>
        <v>0</v>
      </c>
      <c r="S64" s="333">
        <f t="shared" si="12"/>
        <v>0</v>
      </c>
      <c r="T64" s="456"/>
    </row>
    <row r="65" spans="1:23" ht="12" customHeight="1" x14ac:dyDescent="0.15">
      <c r="A65" s="335" t="s">
        <v>747</v>
      </c>
      <c r="B65" s="407" t="s">
        <v>976</v>
      </c>
      <c r="C65" s="336"/>
      <c r="D65" s="337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>
        <f t="shared" si="11"/>
        <v>0</v>
      </c>
      <c r="R65" s="333"/>
      <c r="S65" s="333"/>
      <c r="T65" s="456"/>
    </row>
    <row r="66" spans="1:23" ht="15.75" customHeight="1" x14ac:dyDescent="0.15">
      <c r="A66" s="335" t="s">
        <v>405</v>
      </c>
      <c r="B66" s="407" t="s">
        <v>563</v>
      </c>
      <c r="C66" s="336"/>
      <c r="D66" s="337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3"/>
      <c r="S66" s="333"/>
      <c r="T66" s="456"/>
    </row>
    <row r="67" spans="1:23" ht="11.25" customHeight="1" x14ac:dyDescent="0.15">
      <c r="A67" s="335"/>
      <c r="B67" s="407" t="s">
        <v>239</v>
      </c>
      <c r="C67" s="336"/>
      <c r="D67" s="337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/>
      <c r="S67" s="333"/>
      <c r="T67" s="456"/>
      <c r="V67" s="616"/>
      <c r="W67" s="616"/>
    </row>
    <row r="68" spans="1:23" ht="14.25" customHeight="1" x14ac:dyDescent="0.15">
      <c r="A68" s="335"/>
      <c r="B68" s="407"/>
      <c r="C68" s="336" t="s">
        <v>612</v>
      </c>
      <c r="D68" s="337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>
        <f>SUM(E68:P68)</f>
        <v>0</v>
      </c>
      <c r="R68" s="333"/>
      <c r="S68" s="333"/>
      <c r="T68" s="456"/>
      <c r="V68" s="616"/>
      <c r="W68" s="616"/>
    </row>
    <row r="69" spans="1:23" ht="15.75" customHeight="1" x14ac:dyDescent="0.15">
      <c r="A69" s="335"/>
      <c r="B69" s="407"/>
      <c r="C69" s="336" t="s">
        <v>613</v>
      </c>
      <c r="D69" s="337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>
        <f>SUM(E69:P69)</f>
        <v>0</v>
      </c>
      <c r="R69" s="333"/>
      <c r="S69" s="333"/>
      <c r="T69" s="456"/>
      <c r="V69" s="616"/>
      <c r="W69" s="616"/>
    </row>
    <row r="70" spans="1:23" ht="15.75" customHeight="1" x14ac:dyDescent="0.15">
      <c r="A70" s="335"/>
      <c r="B70" s="407"/>
      <c r="C70" s="336" t="s">
        <v>614</v>
      </c>
      <c r="D70" s="337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>
        <f>SUM(E70:P70)</f>
        <v>0</v>
      </c>
      <c r="R70" s="333"/>
      <c r="S70" s="333"/>
      <c r="T70" s="456"/>
      <c r="V70" s="616"/>
      <c r="W70" s="616"/>
    </row>
    <row r="71" spans="1:23" ht="14.25" customHeight="1" x14ac:dyDescent="0.15">
      <c r="A71" s="335"/>
      <c r="B71" s="407"/>
      <c r="C71" s="357" t="s">
        <v>616</v>
      </c>
      <c r="D71" s="358"/>
      <c r="E71" s="342">
        <f>SUM(E68:E70)</f>
        <v>0</v>
      </c>
      <c r="F71" s="342">
        <f t="shared" ref="F71:P71" si="13">SUM(F68:F70)</f>
        <v>0</v>
      </c>
      <c r="G71" s="342">
        <f t="shared" si="13"/>
        <v>0</v>
      </c>
      <c r="H71" s="342">
        <f t="shared" si="13"/>
        <v>0</v>
      </c>
      <c r="I71" s="342">
        <f t="shared" si="13"/>
        <v>0</v>
      </c>
      <c r="J71" s="342">
        <f t="shared" si="13"/>
        <v>0</v>
      </c>
      <c r="K71" s="342">
        <f t="shared" si="13"/>
        <v>0</v>
      </c>
      <c r="L71" s="342">
        <f t="shared" si="13"/>
        <v>0</v>
      </c>
      <c r="M71" s="342">
        <f t="shared" si="13"/>
        <v>0</v>
      </c>
      <c r="N71" s="342">
        <f t="shared" si="13"/>
        <v>0</v>
      </c>
      <c r="O71" s="342">
        <f t="shared" si="13"/>
        <v>0</v>
      </c>
      <c r="P71" s="342">
        <f t="shared" si="13"/>
        <v>0</v>
      </c>
      <c r="Q71" s="342">
        <f>SUM(Q68:Q70)</f>
        <v>0</v>
      </c>
      <c r="R71" s="333">
        <f>'RINCIAN B. LANGSUNG USAHA'!Q54</f>
        <v>0</v>
      </c>
      <c r="S71" s="333">
        <f t="shared" ref="S71" si="14">Q71-R71</f>
        <v>0</v>
      </c>
      <c r="T71" s="456"/>
      <c r="V71" s="616"/>
      <c r="W71" s="616"/>
    </row>
    <row r="72" spans="1:23" ht="15.75" customHeight="1" x14ac:dyDescent="0.15">
      <c r="A72" s="335"/>
      <c r="B72" s="407" t="s">
        <v>241</v>
      </c>
      <c r="C72" s="336"/>
      <c r="D72" s="337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456"/>
      <c r="V72" s="616"/>
      <c r="W72" s="616"/>
    </row>
    <row r="73" spans="1:23" ht="15.75" customHeight="1" x14ac:dyDescent="0.15">
      <c r="A73" s="335"/>
      <c r="B73" s="407"/>
      <c r="C73" s="336" t="s">
        <v>612</v>
      </c>
      <c r="D73" s="337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>
        <f>SUM(E73:P73)</f>
        <v>0</v>
      </c>
      <c r="R73" s="333"/>
      <c r="S73" s="333"/>
      <c r="T73" s="456"/>
      <c r="V73" s="616"/>
      <c r="W73" s="616"/>
    </row>
    <row r="74" spans="1:23" ht="15.75" customHeight="1" x14ac:dyDescent="0.15">
      <c r="A74" s="335"/>
      <c r="B74" s="407"/>
      <c r="C74" s="336" t="s">
        <v>613</v>
      </c>
      <c r="D74" s="337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>
        <f>SUM(E74:P74)</f>
        <v>0</v>
      </c>
      <c r="R74" s="333"/>
      <c r="S74" s="333"/>
      <c r="T74" s="456"/>
      <c r="V74" s="616"/>
      <c r="W74" s="616"/>
    </row>
    <row r="75" spans="1:23" ht="15.75" customHeight="1" x14ac:dyDescent="0.15">
      <c r="A75" s="335"/>
      <c r="B75" s="407"/>
      <c r="C75" s="336" t="s">
        <v>614</v>
      </c>
      <c r="D75" s="337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>
        <f>SUM(E75:P75)</f>
        <v>0</v>
      </c>
      <c r="R75" s="333"/>
      <c r="S75" s="333"/>
      <c r="T75" s="456"/>
      <c r="V75" s="616"/>
      <c r="W75" s="616"/>
    </row>
    <row r="76" spans="1:23" ht="15.75" customHeight="1" x14ac:dyDescent="0.15">
      <c r="A76" s="335"/>
      <c r="B76" s="407"/>
      <c r="C76" s="357" t="s">
        <v>617</v>
      </c>
      <c r="D76" s="358"/>
      <c r="E76" s="342">
        <f>SUM(E73:E75)</f>
        <v>0</v>
      </c>
      <c r="F76" s="342">
        <f t="shared" ref="F76" si="15">SUM(F73:F75)</f>
        <v>0</v>
      </c>
      <c r="G76" s="342">
        <f>SUM(G73:G75)</f>
        <v>0</v>
      </c>
      <c r="H76" s="342">
        <f t="shared" ref="H76:P76" si="16">SUM(H73:H75)</f>
        <v>0</v>
      </c>
      <c r="I76" s="342">
        <f t="shared" si="16"/>
        <v>0</v>
      </c>
      <c r="J76" s="342">
        <f t="shared" si="16"/>
        <v>0</v>
      </c>
      <c r="K76" s="342">
        <f t="shared" si="16"/>
        <v>0</v>
      </c>
      <c r="L76" s="342">
        <f t="shared" si="16"/>
        <v>0</v>
      </c>
      <c r="M76" s="342">
        <f t="shared" si="16"/>
        <v>0</v>
      </c>
      <c r="N76" s="342">
        <f t="shared" si="16"/>
        <v>0</v>
      </c>
      <c r="O76" s="342">
        <f t="shared" si="16"/>
        <v>0</v>
      </c>
      <c r="P76" s="342">
        <f t="shared" si="16"/>
        <v>0</v>
      </c>
      <c r="Q76" s="342">
        <f>SUM(Q73:Q75)</f>
        <v>0</v>
      </c>
      <c r="R76" s="342">
        <f>'RINCIAN B. LANGSUNG USAHA'!Q55</f>
        <v>0</v>
      </c>
      <c r="S76" s="333">
        <f t="shared" ref="S76" si="17">Q76-R76</f>
        <v>0</v>
      </c>
      <c r="T76" s="456"/>
      <c r="V76" s="616"/>
      <c r="W76" s="616"/>
    </row>
    <row r="77" spans="1:23" ht="15.75" customHeight="1" x14ac:dyDescent="0.15">
      <c r="A77" s="335"/>
      <c r="B77" s="407" t="s">
        <v>240</v>
      </c>
      <c r="C77" s="357"/>
      <c r="D77" s="358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456"/>
      <c r="V77" s="616"/>
      <c r="W77" s="616"/>
    </row>
    <row r="78" spans="1:23" ht="15.75" customHeight="1" x14ac:dyDescent="0.15">
      <c r="A78" s="335"/>
      <c r="B78" s="407"/>
      <c r="C78" s="336" t="s">
        <v>612</v>
      </c>
      <c r="D78" s="337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>
        <f>SUM(E78:P78)</f>
        <v>0</v>
      </c>
      <c r="R78" s="333"/>
      <c r="S78" s="333"/>
      <c r="T78" s="456"/>
      <c r="V78" s="616"/>
      <c r="W78" s="616"/>
    </row>
    <row r="79" spans="1:23" ht="15.75" customHeight="1" x14ac:dyDescent="0.15">
      <c r="A79" s="335"/>
      <c r="B79" s="407"/>
      <c r="C79" s="336" t="s">
        <v>613</v>
      </c>
      <c r="D79" s="337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>
        <f>SUM(E79:P79)</f>
        <v>0</v>
      </c>
      <c r="R79" s="333"/>
      <c r="S79" s="333"/>
      <c r="T79" s="456"/>
      <c r="V79" s="616"/>
      <c r="W79" s="616"/>
    </row>
    <row r="80" spans="1:23" ht="15.75" customHeight="1" x14ac:dyDescent="0.15">
      <c r="A80" s="335"/>
      <c r="B80" s="407"/>
      <c r="C80" s="336" t="s">
        <v>614</v>
      </c>
      <c r="D80" s="337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>
        <f>SUM(E80:P80)</f>
        <v>0</v>
      </c>
      <c r="R80" s="333"/>
      <c r="S80" s="333"/>
      <c r="T80" s="456"/>
      <c r="V80" s="616"/>
      <c r="W80" s="616"/>
    </row>
    <row r="81" spans="1:23" ht="15.75" customHeight="1" x14ac:dyDescent="0.15">
      <c r="A81" s="335"/>
      <c r="B81" s="407"/>
      <c r="C81" s="357" t="s">
        <v>618</v>
      </c>
      <c r="D81" s="358"/>
      <c r="E81" s="342">
        <f>SUM(E78:E80)</f>
        <v>0</v>
      </c>
      <c r="F81" s="342">
        <f t="shared" ref="F81:P81" si="18">SUM(F78:F80)</f>
        <v>0</v>
      </c>
      <c r="G81" s="342">
        <f t="shared" si="18"/>
        <v>0</v>
      </c>
      <c r="H81" s="342">
        <f t="shared" si="18"/>
        <v>0</v>
      </c>
      <c r="I81" s="342">
        <f t="shared" si="18"/>
        <v>0</v>
      </c>
      <c r="J81" s="342">
        <f t="shared" si="18"/>
        <v>0</v>
      </c>
      <c r="K81" s="342">
        <f t="shared" si="18"/>
        <v>0</v>
      </c>
      <c r="L81" s="342">
        <f t="shared" si="18"/>
        <v>0</v>
      </c>
      <c r="M81" s="342">
        <f t="shared" si="18"/>
        <v>0</v>
      </c>
      <c r="N81" s="342">
        <f t="shared" si="18"/>
        <v>0</v>
      </c>
      <c r="O81" s="342">
        <f t="shared" si="18"/>
        <v>0</v>
      </c>
      <c r="P81" s="342">
        <f t="shared" si="18"/>
        <v>0</v>
      </c>
      <c r="Q81" s="342">
        <f>SUM(Q78:Q80)</f>
        <v>0</v>
      </c>
      <c r="R81" s="342">
        <f>'RINCIAN B. LANGSUNG USAHA'!Q56</f>
        <v>0</v>
      </c>
      <c r="S81" s="333">
        <f t="shared" ref="S81" si="19">Q81-R81</f>
        <v>0</v>
      </c>
      <c r="T81" s="456"/>
      <c r="V81" s="616"/>
      <c r="W81" s="616"/>
    </row>
    <row r="82" spans="1:23" ht="15.75" customHeight="1" x14ac:dyDescent="0.15">
      <c r="A82" s="335"/>
      <c r="B82" s="617" t="s">
        <v>677</v>
      </c>
      <c r="C82" s="618"/>
      <c r="D82" s="619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638"/>
      <c r="V82" s="616"/>
      <c r="W82" s="616"/>
    </row>
    <row r="83" spans="1:23" ht="15.75" customHeight="1" x14ac:dyDescent="0.15">
      <c r="A83" s="335"/>
      <c r="B83" s="617"/>
      <c r="C83" s="620" t="s">
        <v>612</v>
      </c>
      <c r="D83" s="621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>
        <f>SUM(E83:P83)</f>
        <v>0</v>
      </c>
      <c r="R83" s="333"/>
      <c r="S83" s="333"/>
      <c r="T83" s="456"/>
      <c r="V83" s="616"/>
      <c r="W83" s="616"/>
    </row>
    <row r="84" spans="1:23" ht="15.75" customHeight="1" x14ac:dyDescent="0.15">
      <c r="A84" s="335"/>
      <c r="B84" s="617"/>
      <c r="C84" s="620" t="s">
        <v>613</v>
      </c>
      <c r="D84" s="621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>
        <f>SUM(E84:P84)</f>
        <v>0</v>
      </c>
      <c r="R84" s="333"/>
      <c r="S84" s="333"/>
      <c r="T84" s="456"/>
      <c r="V84" s="616"/>
      <c r="W84" s="616"/>
    </row>
    <row r="85" spans="1:23" ht="15.75" customHeight="1" x14ac:dyDescent="0.15">
      <c r="A85" s="335"/>
      <c r="B85" s="617"/>
      <c r="C85" s="620" t="s">
        <v>614</v>
      </c>
      <c r="D85" s="621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>
        <f>SUM(E85:P85)</f>
        <v>0</v>
      </c>
      <c r="R85" s="333"/>
      <c r="S85" s="333"/>
      <c r="T85" s="456"/>
    </row>
    <row r="86" spans="1:23" ht="15.75" customHeight="1" x14ac:dyDescent="0.15">
      <c r="A86" s="335"/>
      <c r="B86" s="617"/>
      <c r="C86" s="618" t="s">
        <v>977</v>
      </c>
      <c r="D86" s="619"/>
      <c r="E86" s="342">
        <f>SUM(E83:E85)</f>
        <v>0</v>
      </c>
      <c r="F86" s="342">
        <f t="shared" ref="F86:P86" si="20">SUM(F83:F85)</f>
        <v>0</v>
      </c>
      <c r="G86" s="342">
        <f t="shared" si="20"/>
        <v>0</v>
      </c>
      <c r="H86" s="342">
        <f t="shared" si="20"/>
        <v>0</v>
      </c>
      <c r="I86" s="342">
        <f t="shared" si="20"/>
        <v>0</v>
      </c>
      <c r="J86" s="342">
        <f t="shared" si="20"/>
        <v>0</v>
      </c>
      <c r="K86" s="342">
        <f t="shared" si="20"/>
        <v>0</v>
      </c>
      <c r="L86" s="342">
        <f t="shared" si="20"/>
        <v>0</v>
      </c>
      <c r="M86" s="342">
        <f t="shared" si="20"/>
        <v>0</v>
      </c>
      <c r="N86" s="342">
        <f t="shared" si="20"/>
        <v>0</v>
      </c>
      <c r="O86" s="342">
        <f t="shared" si="20"/>
        <v>0</v>
      </c>
      <c r="P86" s="342">
        <f t="shared" si="20"/>
        <v>0</v>
      </c>
      <c r="Q86" s="342">
        <f>SUM(Q83:Q85)</f>
        <v>0</v>
      </c>
      <c r="R86" s="342">
        <f>'RINCIAN B. LANGSUNG USAHA'!Q57</f>
        <v>0</v>
      </c>
      <c r="S86" s="333">
        <f t="shared" ref="S86:S89" si="21">Q86-R86</f>
        <v>0</v>
      </c>
      <c r="T86" s="456"/>
    </row>
    <row r="87" spans="1:23" ht="15.75" customHeight="1" x14ac:dyDescent="0.15">
      <c r="A87" s="335"/>
      <c r="B87" s="860" t="s">
        <v>401</v>
      </c>
      <c r="C87" s="861"/>
      <c r="D87" s="862"/>
      <c r="E87" s="333">
        <f>E71+E76+E81+E86</f>
        <v>0</v>
      </c>
      <c r="F87" s="333">
        <f t="shared" ref="F87:P87" si="22">F71+F76+F81+F86</f>
        <v>0</v>
      </c>
      <c r="G87" s="333">
        <f t="shared" si="22"/>
        <v>0</v>
      </c>
      <c r="H87" s="333">
        <f t="shared" si="22"/>
        <v>0</v>
      </c>
      <c r="I87" s="333">
        <f t="shared" si="22"/>
        <v>0</v>
      </c>
      <c r="J87" s="333">
        <f t="shared" si="22"/>
        <v>0</v>
      </c>
      <c r="K87" s="333">
        <f t="shared" si="22"/>
        <v>0</v>
      </c>
      <c r="L87" s="333">
        <f t="shared" si="22"/>
        <v>0</v>
      </c>
      <c r="M87" s="333">
        <f t="shared" si="22"/>
        <v>0</v>
      </c>
      <c r="N87" s="333">
        <f t="shared" si="22"/>
        <v>0</v>
      </c>
      <c r="O87" s="333">
        <f t="shared" si="22"/>
        <v>0</v>
      </c>
      <c r="P87" s="333">
        <f t="shared" si="22"/>
        <v>0</v>
      </c>
      <c r="Q87" s="333">
        <f>SUM(E87:P87)</f>
        <v>0</v>
      </c>
      <c r="R87" s="333"/>
      <c r="S87" s="333"/>
      <c r="T87" s="456"/>
    </row>
    <row r="88" spans="1:23" ht="15.75" customHeight="1" x14ac:dyDescent="0.15">
      <c r="A88" s="335" t="s">
        <v>407</v>
      </c>
      <c r="B88" s="863" t="s">
        <v>978</v>
      </c>
      <c r="C88" s="864"/>
      <c r="D88" s="865"/>
      <c r="E88" s="687"/>
      <c r="F88" s="687"/>
      <c r="G88" s="687"/>
      <c r="H88" s="687"/>
      <c r="I88" s="687"/>
      <c r="J88" s="687"/>
      <c r="K88" s="687"/>
      <c r="L88" s="687"/>
      <c r="M88" s="687"/>
      <c r="N88" s="687"/>
      <c r="O88" s="687"/>
      <c r="P88" s="687"/>
      <c r="Q88" s="333">
        <f>SUM(E88:P88)</f>
        <v>0</v>
      </c>
      <c r="R88" s="333">
        <f>'RINCIAN B. LANGSUNG USAHA'!Q58</f>
        <v>0</v>
      </c>
      <c r="S88" s="333">
        <f t="shared" si="21"/>
        <v>0</v>
      </c>
      <c r="T88" s="456"/>
    </row>
    <row r="89" spans="1:23" ht="15.75" customHeight="1" x14ac:dyDescent="0.15">
      <c r="A89" s="335" t="s">
        <v>749</v>
      </c>
      <c r="B89" s="407" t="s">
        <v>599</v>
      </c>
      <c r="C89" s="336"/>
      <c r="D89" s="337"/>
      <c r="E89" s="687"/>
      <c r="F89" s="687"/>
      <c r="G89" s="687"/>
      <c r="H89" s="687"/>
      <c r="I89" s="687"/>
      <c r="J89" s="687"/>
      <c r="K89" s="687"/>
      <c r="L89" s="687"/>
      <c r="M89" s="687"/>
      <c r="N89" s="687"/>
      <c r="O89" s="687"/>
      <c r="P89" s="333"/>
      <c r="Q89" s="333">
        <f>SUM(E89:P89)</f>
        <v>0</v>
      </c>
      <c r="R89" s="333">
        <f>'RINCIAN B. LANGSUNG USAHA'!Q59</f>
        <v>0</v>
      </c>
      <c r="S89" s="333">
        <f t="shared" si="21"/>
        <v>0</v>
      </c>
      <c r="T89" s="456"/>
    </row>
    <row r="90" spans="1:23" ht="15.75" customHeight="1" x14ac:dyDescent="0.15">
      <c r="A90" s="326"/>
      <c r="B90" s="866" t="s">
        <v>750</v>
      </c>
      <c r="C90" s="867"/>
      <c r="D90" s="868"/>
      <c r="E90" s="377">
        <f>SUM(E52:E65)+E87+E88+E89</f>
        <v>0</v>
      </c>
      <c r="F90" s="377">
        <f t="shared" ref="F90:P90" si="23">SUM(F52:F65)+F87+F88+F89</f>
        <v>0</v>
      </c>
      <c r="G90" s="377">
        <f t="shared" si="23"/>
        <v>0</v>
      </c>
      <c r="H90" s="377">
        <f t="shared" si="23"/>
        <v>0</v>
      </c>
      <c r="I90" s="377">
        <f t="shared" si="23"/>
        <v>0</v>
      </c>
      <c r="J90" s="377">
        <f t="shared" si="23"/>
        <v>0</v>
      </c>
      <c r="K90" s="377">
        <f t="shared" si="23"/>
        <v>0</v>
      </c>
      <c r="L90" s="377">
        <f t="shared" si="23"/>
        <v>0</v>
      </c>
      <c r="M90" s="377">
        <f t="shared" si="23"/>
        <v>0</v>
      </c>
      <c r="N90" s="377">
        <f t="shared" si="23"/>
        <v>0</v>
      </c>
      <c r="O90" s="377">
        <f t="shared" si="23"/>
        <v>0</v>
      </c>
      <c r="P90" s="377">
        <f t="shared" si="23"/>
        <v>0</v>
      </c>
      <c r="Q90" s="377">
        <f>SUM(E90:P90)</f>
        <v>0</v>
      </c>
      <c r="R90" s="377">
        <f>SUM(R49:R89)</f>
        <v>0</v>
      </c>
      <c r="S90" s="377">
        <f>SUM(S49:S89)</f>
        <v>0</v>
      </c>
      <c r="T90" s="638">
        <f>'RINCIAN B. LANGSUNG USAHA'!Q60</f>
        <v>0</v>
      </c>
    </row>
    <row r="91" spans="1:23" ht="15.75" customHeight="1" x14ac:dyDescent="0.15">
      <c r="A91" s="335" t="s">
        <v>751</v>
      </c>
      <c r="B91" s="407" t="s">
        <v>979</v>
      </c>
      <c r="C91" s="336"/>
      <c r="D91" s="337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456">
        <f>R90-T90</f>
        <v>0</v>
      </c>
    </row>
    <row r="92" spans="1:23" ht="15.75" customHeight="1" x14ac:dyDescent="0.15">
      <c r="A92" s="335" t="s">
        <v>753</v>
      </c>
      <c r="B92" s="407" t="s">
        <v>406</v>
      </c>
      <c r="C92" s="336"/>
      <c r="D92" s="337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>
        <f>SUM(E92:P92)</f>
        <v>0</v>
      </c>
      <c r="R92" s="333">
        <f>'RINCIAN B. LANGSUNG USAHA'!Q62</f>
        <v>0</v>
      </c>
      <c r="S92" s="333">
        <f>Q92-R92</f>
        <v>0</v>
      </c>
      <c r="T92" s="456"/>
    </row>
    <row r="93" spans="1:23" ht="15.75" customHeight="1" x14ac:dyDescent="0.15">
      <c r="A93" s="335" t="s">
        <v>754</v>
      </c>
      <c r="B93" s="407" t="s">
        <v>408</v>
      </c>
      <c r="C93" s="357"/>
      <c r="D93" s="358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>
        <f>SUM(E93:P93)</f>
        <v>0</v>
      </c>
      <c r="R93" s="333">
        <f>'RINCIAN B. LANGSUNG USAHA'!Q63</f>
        <v>0</v>
      </c>
      <c r="S93" s="333">
        <f t="shared" ref="S93:S95" si="24">Q93-R93</f>
        <v>0</v>
      </c>
      <c r="T93" s="456"/>
    </row>
    <row r="94" spans="1:23" ht="15.75" customHeight="1" x14ac:dyDescent="0.15">
      <c r="A94" s="335" t="s">
        <v>755</v>
      </c>
      <c r="B94" s="407" t="s">
        <v>410</v>
      </c>
      <c r="C94" s="336"/>
      <c r="D94" s="337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>
        <f>SUM(E94:P94)</f>
        <v>0</v>
      </c>
      <c r="R94" s="333">
        <f>'RINCIAN B. LANGSUNG USAHA'!Q64</f>
        <v>0</v>
      </c>
      <c r="S94" s="333">
        <f t="shared" si="24"/>
        <v>0</v>
      </c>
      <c r="T94" s="456"/>
    </row>
    <row r="95" spans="1:23" ht="15.75" customHeight="1" x14ac:dyDescent="0.15">
      <c r="A95" s="335" t="s">
        <v>756</v>
      </c>
      <c r="B95" s="407" t="s">
        <v>412</v>
      </c>
      <c r="C95" s="336"/>
      <c r="D95" s="337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>
        <f>SUM(E95:P95)</f>
        <v>0</v>
      </c>
      <c r="R95" s="333">
        <f>'RINCIAN B. LANGSUNG USAHA'!Q65</f>
        <v>0</v>
      </c>
      <c r="S95" s="333">
        <f t="shared" si="24"/>
        <v>0</v>
      </c>
      <c r="T95" s="456"/>
    </row>
    <row r="96" spans="1:23" ht="15.75" customHeight="1" x14ac:dyDescent="0.15">
      <c r="A96" s="326"/>
      <c r="B96" s="866" t="s">
        <v>980</v>
      </c>
      <c r="C96" s="867"/>
      <c r="D96" s="868"/>
      <c r="E96" s="377">
        <f>SUM(E92:E95)</f>
        <v>0</v>
      </c>
      <c r="F96" s="377">
        <f t="shared" ref="F96:P96" si="25">SUM(F92:F95)</f>
        <v>0</v>
      </c>
      <c r="G96" s="377">
        <f t="shared" si="25"/>
        <v>0</v>
      </c>
      <c r="H96" s="377">
        <f t="shared" si="25"/>
        <v>0</v>
      </c>
      <c r="I96" s="377">
        <f t="shared" si="25"/>
        <v>0</v>
      </c>
      <c r="J96" s="377">
        <f t="shared" si="25"/>
        <v>0</v>
      </c>
      <c r="K96" s="377">
        <f t="shared" si="25"/>
        <v>0</v>
      </c>
      <c r="L96" s="377">
        <f t="shared" si="25"/>
        <v>0</v>
      </c>
      <c r="M96" s="377">
        <f t="shared" si="25"/>
        <v>0</v>
      </c>
      <c r="N96" s="377">
        <f t="shared" si="25"/>
        <v>0</v>
      </c>
      <c r="O96" s="377">
        <f t="shared" si="25"/>
        <v>0</v>
      </c>
      <c r="P96" s="377">
        <f t="shared" si="25"/>
        <v>0</v>
      </c>
      <c r="Q96" s="377">
        <f>SUM(Q93:Q95)</f>
        <v>0</v>
      </c>
      <c r="R96" s="377">
        <f>SUM(R92:R95)</f>
        <v>0</v>
      </c>
      <c r="S96" s="377">
        <f>SUM(S92:S95)</f>
        <v>0</v>
      </c>
      <c r="T96" s="638">
        <f>'RINCIAN B. LANGSUNG USAHA'!Q66</f>
        <v>0</v>
      </c>
    </row>
    <row r="97" spans="1:21" ht="15.75" customHeight="1" x14ac:dyDescent="0.15">
      <c r="A97" s="344"/>
      <c r="B97" s="417" t="s">
        <v>391</v>
      </c>
      <c r="C97" s="349"/>
      <c r="D97" s="350"/>
      <c r="E97" s="345">
        <f>E96+E90</f>
        <v>0</v>
      </c>
      <c r="F97" s="345">
        <f t="shared" ref="F97:P97" si="26">F96+F90</f>
        <v>0</v>
      </c>
      <c r="G97" s="345">
        <f t="shared" si="26"/>
        <v>0</v>
      </c>
      <c r="H97" s="345">
        <f t="shared" si="26"/>
        <v>0</v>
      </c>
      <c r="I97" s="345">
        <f t="shared" si="26"/>
        <v>0</v>
      </c>
      <c r="J97" s="345">
        <f t="shared" si="26"/>
        <v>0</v>
      </c>
      <c r="K97" s="345">
        <f t="shared" si="26"/>
        <v>0</v>
      </c>
      <c r="L97" s="345">
        <f>L96+L90</f>
        <v>0</v>
      </c>
      <c r="M97" s="345">
        <f t="shared" si="26"/>
        <v>0</v>
      </c>
      <c r="N97" s="345">
        <f t="shared" si="26"/>
        <v>0</v>
      </c>
      <c r="O97" s="345">
        <f t="shared" si="26"/>
        <v>0</v>
      </c>
      <c r="P97" s="345">
        <f t="shared" si="26"/>
        <v>0</v>
      </c>
      <c r="Q97" s="345">
        <f>SUM(E97:P97)</f>
        <v>0</v>
      </c>
      <c r="R97" s="333">
        <f>'RINCIAN B. LANGSUNG USAHA'!Q67</f>
        <v>0</v>
      </c>
      <c r="S97" s="333">
        <f>Q97-R97</f>
        <v>0</v>
      </c>
      <c r="T97" s="456"/>
    </row>
    <row r="98" spans="1:21" ht="15.75" customHeight="1" x14ac:dyDescent="0.15">
      <c r="A98" s="344" t="s">
        <v>758</v>
      </c>
      <c r="B98" s="417" t="s">
        <v>981</v>
      </c>
      <c r="C98" s="360"/>
      <c r="D98" s="361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33">
        <f>SUM(E98:P98)</f>
        <v>0</v>
      </c>
      <c r="R98" s="333">
        <f>'RINCIAN B. LANGSUNG USAHA'!Q68</f>
        <v>0</v>
      </c>
      <c r="S98" s="333">
        <f>Q98-R98</f>
        <v>0</v>
      </c>
      <c r="T98" s="456"/>
    </row>
    <row r="99" spans="1:21" ht="15.75" customHeight="1" x14ac:dyDescent="0.15">
      <c r="A99" s="344"/>
      <c r="B99" s="857" t="s">
        <v>415</v>
      </c>
      <c r="C99" s="858"/>
      <c r="D99" s="859"/>
      <c r="E99" s="345">
        <f>SUM(E97:E98)</f>
        <v>0</v>
      </c>
      <c r="F99" s="345">
        <f t="shared" ref="F99:P99" si="27">SUM(F97:F98)</f>
        <v>0</v>
      </c>
      <c r="G99" s="345">
        <f t="shared" si="27"/>
        <v>0</v>
      </c>
      <c r="H99" s="345">
        <f t="shared" si="27"/>
        <v>0</v>
      </c>
      <c r="I99" s="345">
        <f t="shared" si="27"/>
        <v>0</v>
      </c>
      <c r="J99" s="345">
        <f t="shared" si="27"/>
        <v>0</v>
      </c>
      <c r="K99" s="345">
        <f t="shared" si="27"/>
        <v>0</v>
      </c>
      <c r="L99" s="345">
        <f t="shared" si="27"/>
        <v>0</v>
      </c>
      <c r="M99" s="345">
        <f t="shared" si="27"/>
        <v>0</v>
      </c>
      <c r="N99" s="345">
        <f t="shared" si="27"/>
        <v>0</v>
      </c>
      <c r="O99" s="345">
        <f t="shared" si="27"/>
        <v>0</v>
      </c>
      <c r="P99" s="345">
        <f t="shared" si="27"/>
        <v>0</v>
      </c>
      <c r="Q99" s="345">
        <f>SUM(E99:P99)</f>
        <v>0</v>
      </c>
      <c r="R99" s="345">
        <f>SUM(R97:R98)</f>
        <v>0</v>
      </c>
      <c r="S99" s="345">
        <f>SUM(S97:S98)</f>
        <v>0</v>
      </c>
      <c r="T99" s="456">
        <f>'RINCIAN B. LANGSUNG USAHA'!Q69</f>
        <v>0</v>
      </c>
    </row>
    <row r="100" spans="1:21" ht="15.75" customHeight="1" x14ac:dyDescent="0.15">
      <c r="A100" s="328" t="s">
        <v>327</v>
      </c>
      <c r="B100" s="329" t="s">
        <v>762</v>
      </c>
      <c r="C100" s="330"/>
      <c r="D100" s="331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3"/>
      <c r="S100" s="333"/>
      <c r="T100" s="456"/>
    </row>
    <row r="101" spans="1:21" ht="15.75" customHeight="1" x14ac:dyDescent="0.15">
      <c r="A101" s="335" t="s">
        <v>417</v>
      </c>
      <c r="B101" s="407" t="s">
        <v>982</v>
      </c>
      <c r="C101" s="336"/>
      <c r="D101" s="337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33"/>
      <c r="T101" s="456"/>
    </row>
    <row r="102" spans="1:21" ht="15.75" customHeight="1" x14ac:dyDescent="0.15">
      <c r="A102" s="335" t="s">
        <v>419</v>
      </c>
      <c r="B102" s="407" t="s">
        <v>358</v>
      </c>
      <c r="C102" s="336"/>
      <c r="D102" s="337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>
        <f t="shared" ref="Q102:Q118" si="28">SUM(E102:P102)</f>
        <v>0</v>
      </c>
      <c r="R102" s="333"/>
      <c r="S102" s="333"/>
      <c r="T102" s="456"/>
    </row>
    <row r="103" spans="1:21" ht="15.75" customHeight="1" x14ac:dyDescent="0.15">
      <c r="A103" s="335"/>
      <c r="B103" s="407" t="s">
        <v>983</v>
      </c>
      <c r="C103" s="336"/>
      <c r="D103" s="337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>
        <f t="shared" si="28"/>
        <v>0</v>
      </c>
      <c r="R103" s="333">
        <f>'RINCIAN B. LANGSUNG USAHA'!Q73+'RINCIAN B. LANGSUNG USAHA'!Q81-R105</f>
        <v>0</v>
      </c>
      <c r="S103" s="333">
        <f>Q103+Q104-R103</f>
        <v>0</v>
      </c>
      <c r="T103" s="456"/>
    </row>
    <row r="104" spans="1:21" ht="15.75" customHeight="1" x14ac:dyDescent="0.15">
      <c r="A104" s="335"/>
      <c r="B104" s="407" t="s">
        <v>984</v>
      </c>
      <c r="C104" s="336"/>
      <c r="D104" s="337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>
        <f t="shared" si="28"/>
        <v>0</v>
      </c>
      <c r="R104" s="333"/>
      <c r="S104" s="333"/>
      <c r="T104" s="456"/>
      <c r="U104" s="692"/>
    </row>
    <row r="105" spans="1:21" ht="15.75" customHeight="1" x14ac:dyDescent="0.15">
      <c r="A105" s="335"/>
      <c r="B105" s="407" t="s">
        <v>956</v>
      </c>
      <c r="C105" s="336"/>
      <c r="D105" s="337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>
        <f t="shared" si="28"/>
        <v>0</v>
      </c>
      <c r="R105" s="333">
        <f>'RINCIAN B. LANGSUNG USAHA'!Q76</f>
        <v>0</v>
      </c>
      <c r="S105" s="333">
        <f>Q105-R105</f>
        <v>0</v>
      </c>
      <c r="T105" s="456"/>
      <c r="U105" s="612">
        <f>G105+K105+P105</f>
        <v>0</v>
      </c>
    </row>
    <row r="106" spans="1:21" ht="15.75" customHeight="1" x14ac:dyDescent="0.15">
      <c r="A106" s="335" t="s">
        <v>420</v>
      </c>
      <c r="B106" s="407" t="s">
        <v>985</v>
      </c>
      <c r="C106" s="336"/>
      <c r="D106" s="337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>
        <f t="shared" si="28"/>
        <v>0</v>
      </c>
      <c r="R106" s="333"/>
      <c r="S106" s="333"/>
      <c r="T106" s="456"/>
    </row>
    <row r="107" spans="1:21" ht="15.75" customHeight="1" x14ac:dyDescent="0.15">
      <c r="A107" s="335"/>
      <c r="B107" s="407" t="s">
        <v>986</v>
      </c>
      <c r="C107" s="336"/>
      <c r="D107" s="337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>
        <f t="shared" si="28"/>
        <v>0</v>
      </c>
      <c r="R107" s="333">
        <f>'RINCIAN B. LANGSUNG USAHA'!Q78</f>
        <v>0</v>
      </c>
      <c r="S107" s="333">
        <f>Q107-R107</f>
        <v>0</v>
      </c>
      <c r="T107" s="456"/>
    </row>
    <row r="108" spans="1:21" ht="15.75" customHeight="1" x14ac:dyDescent="0.15">
      <c r="A108" s="335"/>
      <c r="B108" s="407" t="s">
        <v>987</v>
      </c>
      <c r="C108" s="336"/>
      <c r="D108" s="337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>
        <f t="shared" si="28"/>
        <v>0</v>
      </c>
      <c r="R108" s="333">
        <f>'RINCIAN B. LANGSUNG USAHA'!Q79</f>
        <v>0</v>
      </c>
      <c r="S108" s="333" t="s">
        <v>1076</v>
      </c>
      <c r="T108" s="456"/>
    </row>
    <row r="109" spans="1:21" ht="15.75" customHeight="1" x14ac:dyDescent="0.15">
      <c r="A109" s="335"/>
      <c r="B109" s="407" t="s">
        <v>988</v>
      </c>
      <c r="C109" s="336"/>
      <c r="D109" s="337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>
        <f t="shared" si="28"/>
        <v>0</v>
      </c>
      <c r="R109" s="333">
        <f>'RINCIAN B. LANGSUNG USAHA'!Q80</f>
        <v>0</v>
      </c>
      <c r="S109" s="333">
        <f t="shared" ref="S109:S117" si="29">Q109-R109</f>
        <v>0</v>
      </c>
      <c r="T109" s="456"/>
    </row>
    <row r="110" spans="1:21" ht="15.75" customHeight="1" x14ac:dyDescent="0.15">
      <c r="A110" s="335"/>
      <c r="B110" s="407" t="s">
        <v>989</v>
      </c>
      <c r="C110" s="336"/>
      <c r="D110" s="337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3"/>
      <c r="P110" s="333"/>
      <c r="Q110" s="333">
        <f t="shared" si="28"/>
        <v>0</v>
      </c>
      <c r="R110" s="333"/>
      <c r="S110" s="333">
        <f t="shared" si="29"/>
        <v>0</v>
      </c>
      <c r="T110" s="456"/>
      <c r="U110" s="692"/>
    </row>
    <row r="111" spans="1:21" ht="15.75" customHeight="1" x14ac:dyDescent="0.15">
      <c r="A111" s="335"/>
      <c r="B111" s="407" t="s">
        <v>962</v>
      </c>
      <c r="C111" s="336"/>
      <c r="D111" s="337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>
        <f t="shared" si="28"/>
        <v>0</v>
      </c>
      <c r="R111" s="333">
        <f>'RINCIAN B. LANGSUNG USAHA'!Q82</f>
        <v>0</v>
      </c>
      <c r="S111" s="333">
        <f t="shared" si="29"/>
        <v>0</v>
      </c>
      <c r="T111" s="456"/>
    </row>
    <row r="112" spans="1:21" ht="15.75" customHeight="1" x14ac:dyDescent="0.15">
      <c r="A112" s="335" t="s">
        <v>584</v>
      </c>
      <c r="B112" s="407" t="s">
        <v>713</v>
      </c>
      <c r="C112" s="336"/>
      <c r="D112" s="337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>
        <f t="shared" si="28"/>
        <v>0</v>
      </c>
      <c r="R112" s="333">
        <f>'RINCIAN B. LANGSUNG USAHA'!Q83</f>
        <v>0</v>
      </c>
      <c r="S112" s="333">
        <f t="shared" si="29"/>
        <v>0</v>
      </c>
      <c r="T112" s="456"/>
    </row>
    <row r="113" spans="1:20" ht="15.75" customHeight="1" x14ac:dyDescent="0.15">
      <c r="A113" s="335" t="s">
        <v>764</v>
      </c>
      <c r="B113" s="407" t="s">
        <v>990</v>
      </c>
      <c r="C113" s="336"/>
      <c r="D113" s="337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333"/>
      <c r="Q113" s="333">
        <f t="shared" si="28"/>
        <v>0</v>
      </c>
      <c r="R113" s="333">
        <f>'RINCIAN B. LANGSUNG USAHA'!Q84</f>
        <v>0</v>
      </c>
      <c r="S113" s="333">
        <f t="shared" si="29"/>
        <v>0</v>
      </c>
      <c r="T113" s="456"/>
    </row>
    <row r="114" spans="1:20" ht="15.75" customHeight="1" x14ac:dyDescent="0.15">
      <c r="A114" s="335" t="s">
        <v>765</v>
      </c>
      <c r="B114" s="407" t="s">
        <v>767</v>
      </c>
      <c r="C114" s="336"/>
      <c r="D114" s="337"/>
      <c r="E114" s="333"/>
      <c r="F114" s="333"/>
      <c r="G114" s="333"/>
      <c r="H114" s="333"/>
      <c r="I114" s="333"/>
      <c r="J114" s="333"/>
      <c r="K114" s="333"/>
      <c r="L114" s="333"/>
      <c r="M114" s="333"/>
      <c r="N114" s="333"/>
      <c r="O114" s="333"/>
      <c r="P114" s="333"/>
      <c r="Q114" s="333">
        <f t="shared" si="28"/>
        <v>0</v>
      </c>
      <c r="R114" s="333">
        <f>'RINCIAN B. LANGSUNG USAHA'!Q85</f>
        <v>0</v>
      </c>
      <c r="S114" s="333">
        <f t="shared" si="29"/>
        <v>0</v>
      </c>
      <c r="T114" s="456"/>
    </row>
    <row r="115" spans="1:20" ht="15.75" customHeight="1" x14ac:dyDescent="0.15">
      <c r="A115" s="335" t="s">
        <v>768</v>
      </c>
      <c r="B115" s="407" t="s">
        <v>770</v>
      </c>
      <c r="C115" s="336"/>
      <c r="D115" s="337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333"/>
      <c r="Q115" s="333">
        <f t="shared" si="28"/>
        <v>0</v>
      </c>
      <c r="R115" s="333">
        <f>'RINCIAN B. LANGSUNG USAHA'!Q86</f>
        <v>0</v>
      </c>
      <c r="S115" s="333">
        <f t="shared" si="29"/>
        <v>0</v>
      </c>
      <c r="T115" s="456"/>
    </row>
    <row r="116" spans="1:20" ht="15.75" customHeight="1" x14ac:dyDescent="0.15">
      <c r="A116" s="335" t="s">
        <v>769</v>
      </c>
      <c r="B116" s="863" t="s">
        <v>585</v>
      </c>
      <c r="C116" s="864"/>
      <c r="D116" s="865"/>
      <c r="E116" s="333"/>
      <c r="F116" s="333"/>
      <c r="G116" s="333"/>
      <c r="H116" s="333"/>
      <c r="I116" s="333"/>
      <c r="J116" s="333"/>
      <c r="K116" s="333"/>
      <c r="L116" s="333"/>
      <c r="M116" s="333"/>
      <c r="N116" s="333"/>
      <c r="O116" s="333"/>
      <c r="P116" s="333"/>
      <c r="Q116" s="333">
        <f t="shared" si="28"/>
        <v>0</v>
      </c>
      <c r="R116" s="333">
        <f>'RINCIAN B. LANGSUNG USAHA'!Q87</f>
        <v>0</v>
      </c>
      <c r="S116" s="333">
        <f t="shared" si="29"/>
        <v>0</v>
      </c>
      <c r="T116" s="456"/>
    </row>
    <row r="117" spans="1:20" ht="15.75" customHeight="1" x14ac:dyDescent="0.15">
      <c r="A117" s="335" t="s">
        <v>422</v>
      </c>
      <c r="B117" s="407" t="s">
        <v>370</v>
      </c>
      <c r="C117" s="336"/>
      <c r="D117" s="337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>
        <f t="shared" si="28"/>
        <v>0</v>
      </c>
      <c r="R117" s="333">
        <f>'RINCIAN B. LANGSUNG USAHA'!Q88</f>
        <v>0</v>
      </c>
      <c r="S117" s="333">
        <f t="shared" si="29"/>
        <v>0</v>
      </c>
      <c r="T117" s="456"/>
    </row>
    <row r="118" spans="1:20" ht="15.75" customHeight="1" x14ac:dyDescent="0.15">
      <c r="A118" s="344"/>
      <c r="B118" s="857" t="s">
        <v>423</v>
      </c>
      <c r="C118" s="858"/>
      <c r="D118" s="859"/>
      <c r="E118" s="345">
        <f t="shared" ref="E118:P118" si="30">SUM(E102:E117)</f>
        <v>0</v>
      </c>
      <c r="F118" s="345">
        <f t="shared" si="30"/>
        <v>0</v>
      </c>
      <c r="G118" s="345">
        <f t="shared" si="30"/>
        <v>0</v>
      </c>
      <c r="H118" s="345">
        <f t="shared" si="30"/>
        <v>0</v>
      </c>
      <c r="I118" s="345">
        <f t="shared" si="30"/>
        <v>0</v>
      </c>
      <c r="J118" s="345">
        <f t="shared" si="30"/>
        <v>0</v>
      </c>
      <c r="K118" s="345">
        <f t="shared" si="30"/>
        <v>0</v>
      </c>
      <c r="L118" s="345">
        <f t="shared" si="30"/>
        <v>0</v>
      </c>
      <c r="M118" s="345">
        <f t="shared" si="30"/>
        <v>0</v>
      </c>
      <c r="N118" s="345">
        <f t="shared" si="30"/>
        <v>0</v>
      </c>
      <c r="O118" s="345">
        <f t="shared" si="30"/>
        <v>0</v>
      </c>
      <c r="P118" s="345">
        <f t="shared" si="30"/>
        <v>0</v>
      </c>
      <c r="Q118" s="345">
        <f t="shared" si="28"/>
        <v>0</v>
      </c>
      <c r="R118" s="345">
        <f>SUM(R100:R117)</f>
        <v>0</v>
      </c>
      <c r="S118" s="345">
        <f>SUM(S100:S117)</f>
        <v>0</v>
      </c>
      <c r="T118" s="456">
        <f>'RINCIAN B. LANGSUNG USAHA'!Q89</f>
        <v>0</v>
      </c>
    </row>
    <row r="119" spans="1:20" ht="15.75" customHeight="1" x14ac:dyDescent="0.15">
      <c r="A119" s="335" t="s">
        <v>424</v>
      </c>
      <c r="B119" s="407" t="s">
        <v>772</v>
      </c>
      <c r="C119" s="336"/>
      <c r="D119" s="337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456"/>
    </row>
    <row r="120" spans="1:20" ht="15.75" customHeight="1" x14ac:dyDescent="0.15">
      <c r="A120" s="335" t="s">
        <v>426</v>
      </c>
      <c r="B120" s="407" t="s">
        <v>427</v>
      </c>
      <c r="C120" s="336"/>
      <c r="D120" s="337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>
        <f t="shared" ref="Q120:Q128" si="31">SUM(E120:P120)</f>
        <v>0</v>
      </c>
      <c r="R120" s="333">
        <f>'RINCIAN B. LANGSUNG USAHA'!Q91</f>
        <v>0</v>
      </c>
      <c r="S120" s="333">
        <f>Q120-R120</f>
        <v>0</v>
      </c>
      <c r="T120" s="456"/>
    </row>
    <row r="121" spans="1:20" ht="15.75" customHeight="1" x14ac:dyDescent="0.15">
      <c r="A121" s="335" t="s">
        <v>428</v>
      </c>
      <c r="B121" s="407" t="s">
        <v>429</v>
      </c>
      <c r="C121" s="336"/>
      <c r="D121" s="337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>
        <f t="shared" si="31"/>
        <v>0</v>
      </c>
      <c r="R121" s="333">
        <f>'RINCIAN B. LANGSUNG USAHA'!Q92</f>
        <v>0</v>
      </c>
      <c r="S121" s="333">
        <f t="shared" ref="S121:S125" si="32">Q121-R121</f>
        <v>0</v>
      </c>
      <c r="T121" s="456"/>
    </row>
    <row r="122" spans="1:20" ht="15.75" customHeight="1" x14ac:dyDescent="0.15">
      <c r="A122" s="335" t="s">
        <v>430</v>
      </c>
      <c r="B122" s="407" t="s">
        <v>431</v>
      </c>
      <c r="C122" s="336"/>
      <c r="D122" s="337"/>
      <c r="E122" s="333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333"/>
      <c r="Q122" s="333">
        <f t="shared" si="31"/>
        <v>0</v>
      </c>
      <c r="R122" s="333">
        <f>'RINCIAN B. LANGSUNG USAHA'!Q93</f>
        <v>0</v>
      </c>
      <c r="S122" s="333">
        <f t="shared" si="32"/>
        <v>0</v>
      </c>
      <c r="T122" s="456"/>
    </row>
    <row r="123" spans="1:20" ht="15.75" customHeight="1" x14ac:dyDescent="0.15">
      <c r="A123" s="335" t="s">
        <v>432</v>
      </c>
      <c r="B123" s="407" t="s">
        <v>410</v>
      </c>
      <c r="C123" s="357"/>
      <c r="D123" s="358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>
        <f t="shared" si="31"/>
        <v>0</v>
      </c>
      <c r="R123" s="333">
        <f>'RINCIAN B. LANGSUNG USAHA'!Q94</f>
        <v>0</v>
      </c>
      <c r="S123" s="333">
        <f t="shared" si="32"/>
        <v>0</v>
      </c>
      <c r="T123" s="456"/>
    </row>
    <row r="124" spans="1:20" ht="15.75" customHeight="1" x14ac:dyDescent="0.15">
      <c r="A124" s="335" t="s">
        <v>433</v>
      </c>
      <c r="B124" s="407" t="s">
        <v>434</v>
      </c>
      <c r="C124" s="336"/>
      <c r="D124" s="337"/>
      <c r="E124" s="333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333"/>
      <c r="Q124" s="333">
        <f t="shared" si="31"/>
        <v>0</v>
      </c>
      <c r="R124" s="333">
        <f>'RINCIAN B. LANGSUNG USAHA'!Q95</f>
        <v>0</v>
      </c>
      <c r="S124" s="333">
        <f t="shared" si="32"/>
        <v>0</v>
      </c>
      <c r="T124" s="456"/>
    </row>
    <row r="125" spans="1:20" ht="15.75" customHeight="1" x14ac:dyDescent="0.15">
      <c r="A125" s="335" t="s">
        <v>435</v>
      </c>
      <c r="B125" s="407" t="s">
        <v>436</v>
      </c>
      <c r="C125" s="336"/>
      <c r="D125" s="337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>
        <f t="shared" si="31"/>
        <v>0</v>
      </c>
      <c r="R125" s="333">
        <f>'RINCIAN B. LANGSUNG USAHA'!Q96</f>
        <v>0</v>
      </c>
      <c r="S125" s="333">
        <f t="shared" si="32"/>
        <v>0</v>
      </c>
      <c r="T125" s="456"/>
    </row>
    <row r="126" spans="1:20" ht="15.75" customHeight="1" x14ac:dyDescent="0.15">
      <c r="A126" s="344"/>
      <c r="B126" s="857" t="s">
        <v>991</v>
      </c>
      <c r="C126" s="858"/>
      <c r="D126" s="859"/>
      <c r="E126" s="345">
        <f>SUM(E120:E125)</f>
        <v>0</v>
      </c>
      <c r="F126" s="345">
        <f t="shared" ref="F126:P126" si="33">SUM(F120:F125)</f>
        <v>0</v>
      </c>
      <c r="G126" s="345">
        <f t="shared" si="33"/>
        <v>0</v>
      </c>
      <c r="H126" s="345">
        <f t="shared" si="33"/>
        <v>0</v>
      </c>
      <c r="I126" s="345">
        <f t="shared" si="33"/>
        <v>0</v>
      </c>
      <c r="J126" s="345">
        <f t="shared" si="33"/>
        <v>0</v>
      </c>
      <c r="K126" s="345">
        <f t="shared" si="33"/>
        <v>0</v>
      </c>
      <c r="L126" s="345">
        <f t="shared" si="33"/>
        <v>0</v>
      </c>
      <c r="M126" s="345">
        <f t="shared" si="33"/>
        <v>0</v>
      </c>
      <c r="N126" s="345">
        <f t="shared" si="33"/>
        <v>0</v>
      </c>
      <c r="O126" s="345">
        <f t="shared" si="33"/>
        <v>0</v>
      </c>
      <c r="P126" s="345">
        <f t="shared" si="33"/>
        <v>0</v>
      </c>
      <c r="Q126" s="345">
        <f t="shared" si="31"/>
        <v>0</v>
      </c>
      <c r="R126" s="345">
        <f>SUM(R119:R125)</f>
        <v>0</v>
      </c>
      <c r="S126" s="345">
        <f>SUM(S119:S125)</f>
        <v>0</v>
      </c>
      <c r="T126" s="456">
        <f>'RINCIAN B. LANGSUNG USAHA'!Q97</f>
        <v>0</v>
      </c>
    </row>
    <row r="127" spans="1:20" ht="15.75" customHeight="1" x14ac:dyDescent="0.15">
      <c r="A127" s="344"/>
      <c r="B127" s="417" t="s">
        <v>391</v>
      </c>
      <c r="C127" s="349"/>
      <c r="D127" s="350"/>
      <c r="E127" s="345">
        <f>E126+E118</f>
        <v>0</v>
      </c>
      <c r="F127" s="345">
        <f t="shared" ref="F127:S127" si="34">F126+F118</f>
        <v>0</v>
      </c>
      <c r="G127" s="345">
        <f t="shared" si="34"/>
        <v>0</v>
      </c>
      <c r="H127" s="345">
        <f t="shared" si="34"/>
        <v>0</v>
      </c>
      <c r="I127" s="345">
        <f t="shared" si="34"/>
        <v>0</v>
      </c>
      <c r="J127" s="345">
        <f t="shared" si="34"/>
        <v>0</v>
      </c>
      <c r="K127" s="345">
        <f t="shared" si="34"/>
        <v>0</v>
      </c>
      <c r="L127" s="345">
        <f t="shared" si="34"/>
        <v>0</v>
      </c>
      <c r="M127" s="345">
        <f t="shared" si="34"/>
        <v>0</v>
      </c>
      <c r="N127" s="345">
        <f t="shared" si="34"/>
        <v>0</v>
      </c>
      <c r="O127" s="345">
        <f t="shared" si="34"/>
        <v>0</v>
      </c>
      <c r="P127" s="345">
        <f t="shared" si="34"/>
        <v>0</v>
      </c>
      <c r="Q127" s="345">
        <f t="shared" si="31"/>
        <v>0</v>
      </c>
      <c r="R127" s="345">
        <f t="shared" si="34"/>
        <v>0</v>
      </c>
      <c r="S127" s="345">
        <f t="shared" si="34"/>
        <v>0</v>
      </c>
      <c r="T127" s="456"/>
    </row>
    <row r="128" spans="1:20" ht="15.75" customHeight="1" x14ac:dyDescent="0.15">
      <c r="A128" s="344" t="s">
        <v>773</v>
      </c>
      <c r="B128" s="417" t="s">
        <v>774</v>
      </c>
      <c r="C128" s="349"/>
      <c r="D128" s="350"/>
      <c r="E128" s="345"/>
      <c r="F128" s="345"/>
      <c r="G128" s="345"/>
      <c r="H128" s="345"/>
      <c r="I128" s="345"/>
      <c r="J128" s="345"/>
      <c r="K128" s="345"/>
      <c r="L128" s="345"/>
      <c r="M128" s="345"/>
      <c r="N128" s="345"/>
      <c r="O128" s="345"/>
      <c r="P128" s="345"/>
      <c r="Q128" s="345">
        <f t="shared" si="31"/>
        <v>0</v>
      </c>
      <c r="R128" s="345">
        <f>'RINCIAN B. LANGSUNG USAHA'!Q99</f>
        <v>0</v>
      </c>
      <c r="S128" s="345">
        <f t="shared" ref="S128" si="35">Q128-R128</f>
        <v>0</v>
      </c>
      <c r="T128" s="456"/>
    </row>
    <row r="129" spans="1:20" ht="15.75" customHeight="1" x14ac:dyDescent="0.15">
      <c r="A129" s="344"/>
      <c r="B129" s="866" t="s">
        <v>992</v>
      </c>
      <c r="C129" s="867"/>
      <c r="D129" s="868"/>
      <c r="E129" s="345">
        <f>SUM(E127:E128)</f>
        <v>0</v>
      </c>
      <c r="F129" s="345">
        <f t="shared" ref="F129:P129" si="36">SUM(F127:F128)</f>
        <v>0</v>
      </c>
      <c r="G129" s="345">
        <f>SUM(G127:G128)</f>
        <v>0</v>
      </c>
      <c r="H129" s="345">
        <f t="shared" si="36"/>
        <v>0</v>
      </c>
      <c r="I129" s="345">
        <f t="shared" si="36"/>
        <v>0</v>
      </c>
      <c r="J129" s="345">
        <f t="shared" si="36"/>
        <v>0</v>
      </c>
      <c r="K129" s="345">
        <f t="shared" si="36"/>
        <v>0</v>
      </c>
      <c r="L129" s="345">
        <f t="shared" si="36"/>
        <v>0</v>
      </c>
      <c r="M129" s="345">
        <f t="shared" si="36"/>
        <v>0</v>
      </c>
      <c r="N129" s="345">
        <f t="shared" si="36"/>
        <v>0</v>
      </c>
      <c r="O129" s="345">
        <f t="shared" si="36"/>
        <v>0</v>
      </c>
      <c r="P129" s="345">
        <f t="shared" si="36"/>
        <v>0</v>
      </c>
      <c r="Q129" s="345">
        <f>SUM(Q127:Q128)</f>
        <v>0</v>
      </c>
      <c r="R129" s="345">
        <f>SUM(R127:R128)</f>
        <v>0</v>
      </c>
      <c r="S129" s="345">
        <f>SUM(S127:S128)</f>
        <v>0</v>
      </c>
      <c r="T129" s="456">
        <f>'RINCIAN B. LANGSUNG USAHA'!Q100</f>
        <v>0</v>
      </c>
    </row>
    <row r="130" spans="1:20" ht="15.75" customHeight="1" x14ac:dyDescent="0.15">
      <c r="A130" s="326" t="s">
        <v>337</v>
      </c>
      <c r="B130" s="623" t="s">
        <v>993</v>
      </c>
      <c r="C130" s="607"/>
      <c r="D130" s="608"/>
      <c r="E130" s="345"/>
      <c r="F130" s="345"/>
      <c r="G130" s="345"/>
      <c r="H130" s="345"/>
      <c r="I130" s="345"/>
      <c r="J130" s="345"/>
      <c r="K130" s="345"/>
      <c r="L130" s="345"/>
      <c r="M130" s="345"/>
      <c r="N130" s="345"/>
      <c r="O130" s="345"/>
      <c r="P130" s="345"/>
      <c r="Q130" s="345">
        <f>SUM(E130:P130)</f>
        <v>0</v>
      </c>
      <c r="R130" s="345">
        <f>'RINCIAN B. LANGSUNG USAHA'!Q101</f>
        <v>0</v>
      </c>
      <c r="S130" s="345">
        <f>Q130-R130</f>
        <v>0</v>
      </c>
      <c r="T130" s="456"/>
    </row>
    <row r="131" spans="1:20" ht="15.75" customHeight="1" x14ac:dyDescent="0.15">
      <c r="A131" s="362"/>
      <c r="B131" s="363" t="s">
        <v>994</v>
      </c>
      <c r="C131" s="336"/>
      <c r="D131" s="337"/>
      <c r="E131" s="386">
        <f t="shared" ref="E131:S131" si="37">E130+E127+E97+E46</f>
        <v>0</v>
      </c>
      <c r="F131" s="386">
        <f t="shared" si="37"/>
        <v>0</v>
      </c>
      <c r="G131" s="386">
        <f t="shared" si="37"/>
        <v>0</v>
      </c>
      <c r="H131" s="386">
        <f t="shared" si="37"/>
        <v>0</v>
      </c>
      <c r="I131" s="386">
        <f t="shared" si="37"/>
        <v>0</v>
      </c>
      <c r="J131" s="386">
        <f t="shared" si="37"/>
        <v>0</v>
      </c>
      <c r="K131" s="386">
        <f t="shared" si="37"/>
        <v>0</v>
      </c>
      <c r="L131" s="386">
        <f t="shared" si="37"/>
        <v>0</v>
      </c>
      <c r="M131" s="386">
        <f t="shared" si="37"/>
        <v>0</v>
      </c>
      <c r="N131" s="386">
        <f t="shared" si="37"/>
        <v>0</v>
      </c>
      <c r="O131" s="386">
        <f t="shared" si="37"/>
        <v>0</v>
      </c>
      <c r="P131" s="386">
        <f t="shared" si="37"/>
        <v>0</v>
      </c>
      <c r="Q131" s="345">
        <f>SUM(E131:P131)</f>
        <v>0</v>
      </c>
      <c r="R131" s="345">
        <f t="shared" si="37"/>
        <v>0</v>
      </c>
      <c r="S131" s="345">
        <f t="shared" si="37"/>
        <v>0</v>
      </c>
      <c r="T131" s="456"/>
    </row>
    <row r="132" spans="1:20" ht="15.75" customHeight="1" x14ac:dyDescent="0.15">
      <c r="A132" s="344"/>
      <c r="B132" s="417" t="s">
        <v>775</v>
      </c>
      <c r="C132" s="349"/>
      <c r="D132" s="350"/>
      <c r="E132" s="333">
        <f t="shared" ref="E132:S132" si="38">E128+E98+E47</f>
        <v>0</v>
      </c>
      <c r="F132" s="333">
        <f t="shared" si="38"/>
        <v>0</v>
      </c>
      <c r="G132" s="333">
        <f t="shared" si="38"/>
        <v>0</v>
      </c>
      <c r="H132" s="333">
        <f t="shared" si="38"/>
        <v>0</v>
      </c>
      <c r="I132" s="333">
        <f t="shared" si="38"/>
        <v>0</v>
      </c>
      <c r="J132" s="333">
        <f t="shared" si="38"/>
        <v>0</v>
      </c>
      <c r="K132" s="333">
        <f t="shared" si="38"/>
        <v>0</v>
      </c>
      <c r="L132" s="333">
        <f t="shared" si="38"/>
        <v>0</v>
      </c>
      <c r="M132" s="333">
        <f t="shared" si="38"/>
        <v>0</v>
      </c>
      <c r="N132" s="333">
        <f t="shared" si="38"/>
        <v>0</v>
      </c>
      <c r="O132" s="333">
        <f t="shared" si="38"/>
        <v>0</v>
      </c>
      <c r="P132" s="333">
        <f t="shared" si="38"/>
        <v>0</v>
      </c>
      <c r="Q132" s="333">
        <f>SUM(E132:P132)</f>
        <v>0</v>
      </c>
      <c r="R132" s="333">
        <f t="shared" si="38"/>
        <v>0</v>
      </c>
      <c r="S132" s="333">
        <f t="shared" si="38"/>
        <v>0</v>
      </c>
      <c r="T132" s="456"/>
    </row>
    <row r="133" spans="1:20" ht="15.75" customHeight="1" thickBot="1" x14ac:dyDescent="0.2">
      <c r="A133" s="364"/>
      <c r="B133" s="869" t="s">
        <v>995</v>
      </c>
      <c r="C133" s="870"/>
      <c r="D133" s="871"/>
      <c r="E133" s="365">
        <f>SUM(E131:E132)</f>
        <v>0</v>
      </c>
      <c r="F133" s="365">
        <f t="shared" ref="F133:S133" si="39">SUM(F131:F132)</f>
        <v>0</v>
      </c>
      <c r="G133" s="365">
        <f t="shared" si="39"/>
        <v>0</v>
      </c>
      <c r="H133" s="365">
        <f t="shared" si="39"/>
        <v>0</v>
      </c>
      <c r="I133" s="365">
        <f t="shared" si="39"/>
        <v>0</v>
      </c>
      <c r="J133" s="365">
        <f t="shared" si="39"/>
        <v>0</v>
      </c>
      <c r="K133" s="365">
        <f t="shared" si="39"/>
        <v>0</v>
      </c>
      <c r="L133" s="365">
        <f t="shared" si="39"/>
        <v>0</v>
      </c>
      <c r="M133" s="365">
        <f t="shared" si="39"/>
        <v>0</v>
      </c>
      <c r="N133" s="365">
        <f t="shared" si="39"/>
        <v>0</v>
      </c>
      <c r="O133" s="365">
        <f t="shared" si="39"/>
        <v>0</v>
      </c>
      <c r="P133" s="365">
        <f t="shared" si="39"/>
        <v>0</v>
      </c>
      <c r="Q133" s="365">
        <f t="shared" si="39"/>
        <v>0</v>
      </c>
      <c r="R133" s="365">
        <f t="shared" si="39"/>
        <v>0</v>
      </c>
      <c r="S133" s="365">
        <f t="shared" si="39"/>
        <v>0</v>
      </c>
      <c r="T133" s="638">
        <f>S133-S134</f>
        <v>0</v>
      </c>
    </row>
    <row r="134" spans="1:20" ht="12.75" customHeight="1" thickTop="1" x14ac:dyDescent="0.15">
      <c r="A134" s="367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>
        <f>'RINCIAN B. LANGSUNG USAHA'!Q104</f>
        <v>0</v>
      </c>
      <c r="S134" s="369">
        <f>Q133-R134</f>
        <v>0</v>
      </c>
      <c r="T134" s="369"/>
    </row>
    <row r="135" spans="1:20" ht="12.75" customHeight="1" x14ac:dyDescent="0.15">
      <c r="A135" s="367"/>
      <c r="E135" s="369">
        <f>E55+E61+E104+E110</f>
        <v>0</v>
      </c>
      <c r="F135" s="369">
        <f>F55+F61+F104+F110</f>
        <v>0</v>
      </c>
      <c r="G135" s="369">
        <f>G55+G61+G104+G110</f>
        <v>0</v>
      </c>
      <c r="H135" s="369">
        <f t="shared" ref="H135:P135" si="40">H55+H61+H104+H110</f>
        <v>0</v>
      </c>
      <c r="I135" s="369">
        <f t="shared" si="40"/>
        <v>0</v>
      </c>
      <c r="J135" s="369">
        <f t="shared" si="40"/>
        <v>0</v>
      </c>
      <c r="K135" s="369">
        <f t="shared" si="40"/>
        <v>0</v>
      </c>
      <c r="L135" s="369">
        <f t="shared" si="40"/>
        <v>0</v>
      </c>
      <c r="M135" s="369">
        <f t="shared" si="40"/>
        <v>0</v>
      </c>
      <c r="N135" s="369">
        <f t="shared" si="40"/>
        <v>0</v>
      </c>
      <c r="O135" s="369">
        <f t="shared" si="40"/>
        <v>0</v>
      </c>
      <c r="P135" s="369">
        <f t="shared" si="40"/>
        <v>0</v>
      </c>
      <c r="Q135" s="624"/>
      <c r="R135" s="624"/>
      <c r="S135" s="624">
        <f>R133-R134</f>
        <v>0</v>
      </c>
      <c r="T135" s="624"/>
    </row>
    <row r="136" spans="1:20" ht="12.75" customHeight="1" x14ac:dyDescent="0.15">
      <c r="A136" s="367"/>
      <c r="E136" s="371">
        <f>E133-E135</f>
        <v>0</v>
      </c>
      <c r="F136" s="371">
        <f>F133-F135</f>
        <v>0</v>
      </c>
      <c r="G136" s="371">
        <f>G133-G135</f>
        <v>0</v>
      </c>
      <c r="H136" s="371">
        <f t="shared" ref="H136:P136" si="41">H133-H135</f>
        <v>0</v>
      </c>
      <c r="I136" s="371">
        <f t="shared" si="41"/>
        <v>0</v>
      </c>
      <c r="J136" s="371">
        <f t="shared" si="41"/>
        <v>0</v>
      </c>
      <c r="K136" s="371">
        <f t="shared" si="41"/>
        <v>0</v>
      </c>
      <c r="L136" s="371">
        <f t="shared" si="41"/>
        <v>0</v>
      </c>
      <c r="M136" s="371">
        <f t="shared" si="41"/>
        <v>0</v>
      </c>
      <c r="N136" s="371">
        <f t="shared" si="41"/>
        <v>0</v>
      </c>
      <c r="O136" s="371">
        <f t="shared" si="41"/>
        <v>0</v>
      </c>
      <c r="P136" s="371">
        <f t="shared" si="41"/>
        <v>0</v>
      </c>
      <c r="Q136" s="371"/>
      <c r="R136" s="371"/>
      <c r="S136" s="371"/>
      <c r="T136" s="371"/>
    </row>
    <row r="137" spans="1:20" ht="12.75" customHeight="1" x14ac:dyDescent="0.15">
      <c r="A137" s="367"/>
      <c r="K137" s="343"/>
      <c r="Q137" s="343"/>
      <c r="R137" s="343"/>
      <c r="S137" s="343"/>
      <c r="T137" s="343"/>
    </row>
    <row r="138" spans="1:20" ht="12.75" customHeight="1" x14ac:dyDescent="0.15">
      <c r="A138" s="367"/>
      <c r="K138" s="343"/>
    </row>
    <row r="139" spans="1:20" ht="12.75" customHeight="1" x14ac:dyDescent="0.15">
      <c r="A139" s="367"/>
      <c r="K139" s="856"/>
      <c r="L139" s="856"/>
    </row>
    <row r="140" spans="1:20" ht="12.75" customHeight="1" x14ac:dyDescent="0.15">
      <c r="A140" s="367"/>
      <c r="B140" s="323"/>
    </row>
    <row r="141" spans="1:20" ht="12.75" customHeight="1" x14ac:dyDescent="0.15">
      <c r="A141" s="367"/>
      <c r="B141" s="323"/>
    </row>
    <row r="142" spans="1:20" ht="12.75" customHeight="1" x14ac:dyDescent="0.15">
      <c r="A142" s="367"/>
      <c r="B142" s="323"/>
    </row>
    <row r="143" spans="1:20" ht="12.75" customHeight="1" x14ac:dyDescent="0.15">
      <c r="A143" s="367"/>
      <c r="B143" s="323"/>
    </row>
    <row r="144" spans="1:20" ht="12.75" customHeight="1" x14ac:dyDescent="0.15">
      <c r="A144" s="367"/>
      <c r="B144" s="323"/>
    </row>
    <row r="145" spans="1:2" ht="12.75" customHeight="1" x14ac:dyDescent="0.15">
      <c r="A145" s="367"/>
      <c r="B145" s="323"/>
    </row>
    <row r="146" spans="1:2" ht="12.75" customHeight="1" x14ac:dyDescent="0.15">
      <c r="A146" s="367"/>
      <c r="B146" s="323"/>
    </row>
    <row r="147" spans="1:2" ht="12.75" customHeight="1" x14ac:dyDescent="0.15">
      <c r="A147" s="367"/>
      <c r="B147" s="323"/>
    </row>
    <row r="148" spans="1:2" ht="12.75" customHeight="1" x14ac:dyDescent="0.15">
      <c r="A148" s="367"/>
      <c r="B148" s="323"/>
    </row>
    <row r="149" spans="1:2" ht="12.75" customHeight="1" x14ac:dyDescent="0.15">
      <c r="A149" s="367"/>
      <c r="B149" s="323"/>
    </row>
    <row r="150" spans="1:2" ht="12.75" customHeight="1" x14ac:dyDescent="0.15">
      <c r="A150" s="367"/>
      <c r="B150" s="323"/>
    </row>
    <row r="151" spans="1:2" ht="12.75" customHeight="1" x14ac:dyDescent="0.15">
      <c r="A151" s="367"/>
      <c r="B151" s="323"/>
    </row>
    <row r="152" spans="1:2" ht="12.75" customHeight="1" x14ac:dyDescent="0.15">
      <c r="A152" s="367"/>
      <c r="B152" s="323"/>
    </row>
    <row r="153" spans="1:2" ht="12.75" customHeight="1" x14ac:dyDescent="0.15">
      <c r="A153" s="367"/>
      <c r="B153" s="323"/>
    </row>
    <row r="154" spans="1:2" ht="12.75" customHeight="1" x14ac:dyDescent="0.15">
      <c r="A154" s="367"/>
      <c r="B154" s="323"/>
    </row>
    <row r="155" spans="1:2" ht="12.75" customHeight="1" x14ac:dyDescent="0.15">
      <c r="A155" s="367"/>
      <c r="B155" s="323"/>
    </row>
    <row r="156" spans="1:2" ht="12.75" customHeight="1" x14ac:dyDescent="0.15">
      <c r="A156" s="367"/>
      <c r="B156" s="323"/>
    </row>
    <row r="157" spans="1:2" ht="12.75" customHeight="1" x14ac:dyDescent="0.15">
      <c r="A157" s="367"/>
      <c r="B157" s="323"/>
    </row>
    <row r="158" spans="1:2" ht="12.75" customHeight="1" x14ac:dyDescent="0.15">
      <c r="A158" s="367"/>
      <c r="B158" s="323"/>
    </row>
    <row r="159" spans="1:2" ht="12.75" customHeight="1" x14ac:dyDescent="0.15">
      <c r="A159" s="367"/>
      <c r="B159" s="323"/>
    </row>
    <row r="160" spans="1:2" ht="12.75" customHeight="1" x14ac:dyDescent="0.15">
      <c r="A160" s="367"/>
      <c r="B160" s="323"/>
    </row>
    <row r="161" spans="1:2" ht="12.75" customHeight="1" x14ac:dyDescent="0.15">
      <c r="A161" s="367"/>
      <c r="B161" s="323"/>
    </row>
    <row r="162" spans="1:2" ht="12.75" customHeight="1" x14ac:dyDescent="0.15">
      <c r="A162" s="367"/>
      <c r="B162" s="323"/>
    </row>
    <row r="163" spans="1:2" ht="12.75" customHeight="1" x14ac:dyDescent="0.15">
      <c r="A163" s="367"/>
      <c r="B163" s="323"/>
    </row>
    <row r="164" spans="1:2" ht="12.75" customHeight="1" x14ac:dyDescent="0.15">
      <c r="A164" s="367"/>
      <c r="B164" s="323"/>
    </row>
    <row r="165" spans="1:2" ht="12.75" customHeight="1" x14ac:dyDescent="0.15">
      <c r="A165" s="367"/>
      <c r="B165" s="323"/>
    </row>
    <row r="166" spans="1:2" ht="12.75" customHeight="1" x14ac:dyDescent="0.15">
      <c r="A166" s="367"/>
      <c r="B166" s="323"/>
    </row>
    <row r="167" spans="1:2" ht="12.75" customHeight="1" x14ac:dyDescent="0.15">
      <c r="A167" s="367"/>
      <c r="B167" s="323"/>
    </row>
    <row r="168" spans="1:2" ht="12.75" customHeight="1" x14ac:dyDescent="0.15">
      <c r="A168" s="367"/>
      <c r="B168" s="323"/>
    </row>
    <row r="169" spans="1:2" ht="12.75" customHeight="1" x14ac:dyDescent="0.15">
      <c r="A169" s="367"/>
      <c r="B169" s="323"/>
    </row>
    <row r="170" spans="1:2" ht="12.75" customHeight="1" x14ac:dyDescent="0.15">
      <c r="A170" s="367"/>
      <c r="B170" s="323"/>
    </row>
    <row r="171" spans="1:2" ht="12.75" customHeight="1" x14ac:dyDescent="0.15">
      <c r="A171" s="367"/>
      <c r="B171" s="323"/>
    </row>
    <row r="172" spans="1:2" ht="12.75" customHeight="1" x14ac:dyDescent="0.15">
      <c r="A172" s="367"/>
      <c r="B172" s="323"/>
    </row>
    <row r="173" spans="1:2" ht="12.75" customHeight="1" x14ac:dyDescent="0.15">
      <c r="A173" s="367"/>
      <c r="B173" s="323"/>
    </row>
    <row r="174" spans="1:2" ht="12.75" customHeight="1" x14ac:dyDescent="0.15">
      <c r="A174" s="367"/>
      <c r="B174" s="323"/>
    </row>
    <row r="175" spans="1:2" ht="12.75" customHeight="1" x14ac:dyDescent="0.15">
      <c r="A175" s="367"/>
      <c r="B175" s="323"/>
    </row>
    <row r="176" spans="1:2" ht="12.75" customHeight="1" x14ac:dyDescent="0.15">
      <c r="A176" s="367"/>
      <c r="B176" s="323"/>
    </row>
    <row r="177" spans="1:2" ht="12.75" customHeight="1" x14ac:dyDescent="0.15">
      <c r="A177" s="367"/>
      <c r="B177" s="323"/>
    </row>
    <row r="178" spans="1:2" ht="12.75" customHeight="1" x14ac:dyDescent="0.15">
      <c r="A178" s="367"/>
      <c r="B178" s="323"/>
    </row>
    <row r="179" spans="1:2" ht="12.75" customHeight="1" x14ac:dyDescent="0.15">
      <c r="A179" s="367"/>
      <c r="B179" s="323"/>
    </row>
    <row r="180" spans="1:2" ht="12.75" customHeight="1" x14ac:dyDescent="0.15">
      <c r="A180" s="367"/>
      <c r="B180" s="323"/>
    </row>
    <row r="181" spans="1:2" ht="12.75" customHeight="1" x14ac:dyDescent="0.15">
      <c r="A181" s="367"/>
      <c r="B181" s="323"/>
    </row>
    <row r="182" spans="1:2" ht="12.75" customHeight="1" x14ac:dyDescent="0.15">
      <c r="A182" s="367"/>
      <c r="B182" s="323"/>
    </row>
    <row r="183" spans="1:2" ht="12.75" customHeight="1" x14ac:dyDescent="0.15">
      <c r="A183" s="367"/>
      <c r="B183" s="323"/>
    </row>
    <row r="184" spans="1:2" ht="12.75" customHeight="1" x14ac:dyDescent="0.15">
      <c r="A184" s="367"/>
      <c r="B184" s="323"/>
    </row>
    <row r="185" spans="1:2" ht="12.75" customHeight="1" x14ac:dyDescent="0.15">
      <c r="A185" s="367"/>
      <c r="B185" s="323"/>
    </row>
    <row r="186" spans="1:2" ht="12.75" customHeight="1" x14ac:dyDescent="0.15">
      <c r="A186" s="367"/>
      <c r="B186" s="323"/>
    </row>
    <row r="187" spans="1:2" ht="12.75" customHeight="1" x14ac:dyDescent="0.15">
      <c r="A187" s="367"/>
      <c r="B187" s="323"/>
    </row>
  </sheetData>
  <mergeCells count="24">
    <mergeCell ref="B46:D46"/>
    <mergeCell ref="K2:L2"/>
    <mergeCell ref="N2:O2"/>
    <mergeCell ref="P2:Q2"/>
    <mergeCell ref="A4:Q4"/>
    <mergeCell ref="A5:Q5"/>
    <mergeCell ref="P7:Q7"/>
    <mergeCell ref="B8:D9"/>
    <mergeCell ref="B10:D10"/>
    <mergeCell ref="B36:D36"/>
    <mergeCell ref="B44:D44"/>
    <mergeCell ref="E8:P8"/>
    <mergeCell ref="K139:L139"/>
    <mergeCell ref="B48:D48"/>
    <mergeCell ref="B87:D87"/>
    <mergeCell ref="B88:D88"/>
    <mergeCell ref="B90:D90"/>
    <mergeCell ref="B96:D96"/>
    <mergeCell ref="B99:D99"/>
    <mergeCell ref="B116:D116"/>
    <mergeCell ref="B118:D118"/>
    <mergeCell ref="B126:D126"/>
    <mergeCell ref="B129:D129"/>
    <mergeCell ref="B133:D133"/>
  </mergeCells>
  <pageMargins left="0.39370078740157483" right="0.31496062992125984" top="0.78740157480314965" bottom="0.59055118110236227" header="0.31496062992125984" footer="0.31496062992125984"/>
  <pageSetup paperSize="9" scale="78" firstPageNumber="31" orientation="landscape" useFirstPageNumber="1" horizontalDpi="4294967293" verticalDpi="300" r:id="rId1"/>
  <headerFooter>
    <oddFooter>&amp;C&amp;"Times New Roman,Regular"&amp;10~ &amp;P ~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D70B-166C-428F-87F2-723EC1D36AF1}">
  <sheetPr>
    <tabColor rgb="FFFF0000"/>
  </sheetPr>
  <dimension ref="A1:V139"/>
  <sheetViews>
    <sheetView showGridLines="0" showWhiteSpace="0" view="pageBreakPreview" zoomScale="145" zoomScaleSheetLayoutView="145" zoomScalePageLayoutView="110" workbookViewId="0">
      <pane ySplit="11" topLeftCell="A125" activePane="bottomLeft" state="frozen"/>
      <selection activeCell="B1" sqref="B1"/>
      <selection pane="bottomLeft" activeCell="U17" sqref="U17"/>
    </sheetView>
  </sheetViews>
  <sheetFormatPr defaultColWidth="9.140625" defaultRowHeight="12.75" customHeight="1" x14ac:dyDescent="0.15"/>
  <cols>
    <col min="1" max="1" width="5.42578125" style="323" customWidth="1"/>
    <col min="2" max="2" width="2.85546875" style="368" customWidth="1"/>
    <col min="3" max="3" width="3.140625" style="323" customWidth="1"/>
    <col min="4" max="4" width="20.5703125" style="323" customWidth="1"/>
    <col min="5" max="16" width="8.5703125" style="323" customWidth="1"/>
    <col min="17" max="17" width="12.140625" style="323" customWidth="1"/>
    <col min="18" max="18" width="10.85546875" style="323" customWidth="1"/>
    <col min="19" max="20" width="9.7109375" style="323" customWidth="1"/>
    <col min="21" max="21" width="15.140625" style="612" customWidth="1"/>
    <col min="22" max="16384" width="9.140625" style="323"/>
  </cols>
  <sheetData>
    <row r="1" spans="1:21" s="628" customFormat="1" ht="12.75" customHeight="1" thickBot="1" x14ac:dyDescent="0.3">
      <c r="A1" s="625" t="s">
        <v>34</v>
      </c>
      <c r="B1" s="626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7"/>
    </row>
    <row r="2" spans="1:21" s="628" customFormat="1" ht="13.5" customHeight="1" thickBot="1" x14ac:dyDescent="0.3">
      <c r="A2" s="625" t="s">
        <v>952</v>
      </c>
      <c r="B2" s="626"/>
      <c r="C2" s="625"/>
      <c r="D2" s="625"/>
      <c r="E2" s="625"/>
      <c r="F2" s="625"/>
      <c r="G2" s="625"/>
      <c r="H2" s="625"/>
      <c r="I2" s="625"/>
      <c r="J2" s="625"/>
      <c r="K2" s="625"/>
      <c r="L2" s="895"/>
      <c r="M2" s="895"/>
      <c r="N2" s="625"/>
      <c r="O2" s="625"/>
      <c r="P2" s="877" t="s">
        <v>996</v>
      </c>
      <c r="Q2" s="878"/>
      <c r="R2" s="320"/>
      <c r="S2" s="320"/>
      <c r="T2" s="320"/>
      <c r="U2" s="627"/>
    </row>
    <row r="3" spans="1:21" s="628" customFormat="1" ht="12.75" customHeight="1" x14ac:dyDescent="0.25">
      <c r="A3" s="625" t="s">
        <v>954</v>
      </c>
      <c r="B3" s="626"/>
      <c r="C3" s="625"/>
      <c r="D3" s="625"/>
      <c r="E3" s="625"/>
      <c r="F3" s="625"/>
      <c r="G3" s="625"/>
      <c r="H3" s="625"/>
      <c r="I3" s="625"/>
      <c r="J3" s="625"/>
      <c r="K3" s="625"/>
      <c r="L3" s="609"/>
      <c r="M3" s="609"/>
      <c r="N3" s="625"/>
      <c r="O3" s="625"/>
      <c r="P3" s="625"/>
      <c r="Q3" s="320"/>
      <c r="R3" s="320"/>
      <c r="S3" s="320"/>
      <c r="T3" s="320"/>
      <c r="U3" s="627"/>
    </row>
    <row r="4" spans="1:21" s="315" customFormat="1" ht="3.75" customHeight="1" x14ac:dyDescent="0.2">
      <c r="A4" s="449"/>
      <c r="B4" s="450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629"/>
    </row>
    <row r="5" spans="1:21" s="315" customFormat="1" ht="12.75" customHeight="1" x14ac:dyDescent="0.2">
      <c r="A5" s="895" t="s">
        <v>600</v>
      </c>
      <c r="B5" s="895"/>
      <c r="C5" s="895"/>
      <c r="D5" s="895"/>
      <c r="E5" s="895"/>
      <c r="F5" s="895"/>
      <c r="G5" s="895"/>
      <c r="H5" s="895"/>
      <c r="I5" s="895"/>
      <c r="J5" s="895"/>
      <c r="K5" s="895"/>
      <c r="L5" s="895"/>
      <c r="M5" s="895"/>
      <c r="N5" s="895"/>
      <c r="O5" s="895"/>
      <c r="P5" s="895"/>
      <c r="Q5" s="895"/>
      <c r="R5" s="609"/>
      <c r="S5" s="609"/>
      <c r="T5" s="609"/>
      <c r="U5" s="629"/>
    </row>
    <row r="6" spans="1:21" s="315" customFormat="1" ht="14.25" customHeight="1" x14ac:dyDescent="0.2">
      <c r="A6" s="895" t="s">
        <v>1075</v>
      </c>
      <c r="B6" s="895"/>
      <c r="C6" s="895"/>
      <c r="D6" s="895"/>
      <c r="E6" s="895"/>
      <c r="F6" s="895"/>
      <c r="G6" s="895"/>
      <c r="H6" s="895"/>
      <c r="I6" s="895"/>
      <c r="J6" s="895"/>
      <c r="K6" s="895"/>
      <c r="L6" s="895"/>
      <c r="M6" s="895"/>
      <c r="N6" s="895"/>
      <c r="O6" s="895"/>
      <c r="P6" s="895"/>
      <c r="Q6" s="895"/>
      <c r="R6" s="609"/>
      <c r="S6" s="609"/>
      <c r="T6" s="609"/>
      <c r="U6" s="629"/>
    </row>
    <row r="7" spans="1:21" s="315" customFormat="1" ht="9" customHeight="1" x14ac:dyDescent="0.2">
      <c r="A7" s="413"/>
      <c r="B7" s="450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59"/>
      <c r="N7" s="413"/>
      <c r="O7" s="413"/>
      <c r="P7" s="413"/>
      <c r="Q7" s="413"/>
      <c r="R7" s="413"/>
      <c r="S7" s="413"/>
      <c r="T7" s="413"/>
      <c r="U7" s="629"/>
    </row>
    <row r="8" spans="1:21" s="315" customFormat="1" ht="15.75" customHeight="1" thickBot="1" x14ac:dyDescent="0.25">
      <c r="A8" s="630" t="s">
        <v>650</v>
      </c>
      <c r="B8" s="450"/>
      <c r="C8" s="44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60"/>
      <c r="P8" s="896"/>
      <c r="Q8" s="896"/>
      <c r="R8" s="610"/>
      <c r="S8" s="610"/>
      <c r="T8" s="610"/>
      <c r="U8" s="629"/>
    </row>
    <row r="9" spans="1:21" ht="15.75" customHeight="1" thickTop="1" x14ac:dyDescent="0.15">
      <c r="A9" s="322" t="s">
        <v>350</v>
      </c>
      <c r="B9" s="880" t="s">
        <v>30</v>
      </c>
      <c r="C9" s="880"/>
      <c r="D9" s="880"/>
      <c r="E9" s="894" t="s">
        <v>351</v>
      </c>
      <c r="F9" s="894"/>
      <c r="G9" s="894"/>
      <c r="H9" s="894"/>
      <c r="I9" s="894"/>
      <c r="J9" s="894"/>
      <c r="K9" s="894"/>
      <c r="L9" s="894"/>
      <c r="M9" s="894"/>
      <c r="N9" s="894"/>
      <c r="O9" s="894"/>
      <c r="P9" s="894"/>
      <c r="Q9" s="414" t="s">
        <v>12</v>
      </c>
      <c r="R9" s="639" t="s">
        <v>608</v>
      </c>
      <c r="S9" s="639" t="s">
        <v>1015</v>
      </c>
      <c r="T9" s="380"/>
    </row>
    <row r="10" spans="1:21" ht="15.75" customHeight="1" x14ac:dyDescent="0.15">
      <c r="A10" s="324" t="s">
        <v>353</v>
      </c>
      <c r="B10" s="881"/>
      <c r="C10" s="881"/>
      <c r="D10" s="881"/>
      <c r="E10" s="415">
        <v>1</v>
      </c>
      <c r="F10" s="415">
        <v>2</v>
      </c>
      <c r="G10" s="415">
        <v>3</v>
      </c>
      <c r="H10" s="415">
        <v>4</v>
      </c>
      <c r="I10" s="415">
        <v>5</v>
      </c>
      <c r="J10" s="415">
        <v>6</v>
      </c>
      <c r="K10" s="415">
        <v>7</v>
      </c>
      <c r="L10" s="415">
        <v>8</v>
      </c>
      <c r="M10" s="415">
        <v>9</v>
      </c>
      <c r="N10" s="415">
        <v>10</v>
      </c>
      <c r="O10" s="415">
        <v>11</v>
      </c>
      <c r="P10" s="415">
        <v>12</v>
      </c>
      <c r="Q10" s="325">
        <v>2026</v>
      </c>
      <c r="R10" s="640">
        <v>2026</v>
      </c>
      <c r="S10" s="640">
        <v>2026</v>
      </c>
      <c r="T10" s="637"/>
    </row>
    <row r="11" spans="1:21" ht="15.75" customHeight="1" x14ac:dyDescent="0.15">
      <c r="A11" s="326">
        <v>1</v>
      </c>
      <c r="B11" s="882">
        <v>2</v>
      </c>
      <c r="C11" s="882"/>
      <c r="D11" s="882"/>
      <c r="E11" s="416">
        <v>3</v>
      </c>
      <c r="F11" s="416">
        <v>4</v>
      </c>
      <c r="G11" s="416">
        <v>5</v>
      </c>
      <c r="H11" s="416">
        <v>6</v>
      </c>
      <c r="I11" s="416">
        <v>7</v>
      </c>
      <c r="J11" s="416">
        <v>8</v>
      </c>
      <c r="K11" s="416">
        <v>9</v>
      </c>
      <c r="L11" s="416">
        <v>10</v>
      </c>
      <c r="M11" s="416">
        <v>11</v>
      </c>
      <c r="N11" s="416">
        <v>12</v>
      </c>
      <c r="O11" s="416">
        <v>13</v>
      </c>
      <c r="P11" s="416">
        <v>14</v>
      </c>
      <c r="Q11" s="416">
        <v>15</v>
      </c>
      <c r="R11" s="639"/>
      <c r="S11" s="639"/>
      <c r="T11" s="380"/>
    </row>
    <row r="12" spans="1:21" ht="15.75" customHeight="1" x14ac:dyDescent="0.15">
      <c r="A12" s="328" t="s">
        <v>674</v>
      </c>
      <c r="B12" s="329" t="s">
        <v>882</v>
      </c>
      <c r="C12" s="330"/>
      <c r="D12" s="331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3"/>
      <c r="S12" s="333"/>
      <c r="T12" s="456"/>
    </row>
    <row r="13" spans="1:21" ht="15.75" customHeight="1" x14ac:dyDescent="0.15">
      <c r="A13" s="335" t="s">
        <v>778</v>
      </c>
      <c r="B13" s="407" t="s">
        <v>997</v>
      </c>
      <c r="C13" s="336"/>
      <c r="D13" s="337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/>
      <c r="R13" s="333">
        <f>'RINCIAN B. TDK LANGSUNG'!Q12</f>
        <v>0</v>
      </c>
      <c r="S13" s="333">
        <f>SUM(Q14:Q17)-R13</f>
        <v>0</v>
      </c>
      <c r="T13" s="456"/>
    </row>
    <row r="14" spans="1:21" ht="15.75" customHeight="1" x14ac:dyDescent="0.15">
      <c r="A14" s="335"/>
      <c r="B14" s="407" t="s">
        <v>601</v>
      </c>
      <c r="C14" s="336"/>
      <c r="D14" s="337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>
        <f t="shared" ref="Q14:Q29" si="0">SUM(E14:P14)</f>
        <v>0</v>
      </c>
      <c r="R14" s="333"/>
      <c r="S14" s="333"/>
      <c r="T14" s="456"/>
    </row>
    <row r="15" spans="1:21" ht="15.75" customHeight="1" x14ac:dyDescent="0.15">
      <c r="A15" s="335"/>
      <c r="B15" s="407" t="s">
        <v>998</v>
      </c>
      <c r="C15" s="336"/>
      <c r="D15" s="337"/>
      <c r="E15" s="333"/>
      <c r="F15" s="333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>
        <f t="shared" si="0"/>
        <v>0</v>
      </c>
      <c r="R15" s="333"/>
      <c r="S15" s="333"/>
      <c r="T15" s="456"/>
    </row>
    <row r="16" spans="1:21" ht="15.75" customHeight="1" x14ac:dyDescent="0.15">
      <c r="A16" s="335"/>
      <c r="B16" s="407" t="s">
        <v>999</v>
      </c>
      <c r="C16" s="336"/>
      <c r="D16" s="337"/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>
        <f t="shared" si="0"/>
        <v>0</v>
      </c>
      <c r="R16" s="333"/>
      <c r="S16" s="333"/>
      <c r="T16" s="456"/>
    </row>
    <row r="17" spans="1:22" ht="15.75" customHeight="1" x14ac:dyDescent="0.15">
      <c r="A17" s="335"/>
      <c r="B17" s="888" t="s">
        <v>1000</v>
      </c>
      <c r="C17" s="889"/>
      <c r="D17" s="890"/>
      <c r="E17" s="333"/>
      <c r="F17" s="333"/>
      <c r="G17" s="333">
        <f>G14+G15</f>
        <v>0</v>
      </c>
      <c r="H17" s="333"/>
      <c r="I17" s="333"/>
      <c r="J17" s="333"/>
      <c r="K17" s="333"/>
      <c r="L17" s="333"/>
      <c r="M17" s="333"/>
      <c r="N17" s="333"/>
      <c r="O17" s="333"/>
      <c r="P17" s="333">
        <f>P14+P15</f>
        <v>0</v>
      </c>
      <c r="Q17" s="333">
        <f t="shared" si="0"/>
        <v>0</v>
      </c>
      <c r="R17" s="333"/>
      <c r="S17" s="333"/>
      <c r="T17" s="456"/>
    </row>
    <row r="18" spans="1:22" ht="15.75" customHeight="1" x14ac:dyDescent="0.15">
      <c r="A18" s="335" t="s">
        <v>784</v>
      </c>
      <c r="B18" s="407" t="s">
        <v>1001</v>
      </c>
      <c r="C18" s="336"/>
      <c r="D18" s="337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>
        <f t="shared" si="0"/>
        <v>0</v>
      </c>
      <c r="R18" s="333"/>
      <c r="S18" s="333"/>
      <c r="T18" s="456"/>
    </row>
    <row r="19" spans="1:22" ht="15.75" customHeight="1" x14ac:dyDescent="0.15">
      <c r="A19" s="335"/>
      <c r="B19" s="407" t="s">
        <v>1002</v>
      </c>
      <c r="C19" s="336"/>
      <c r="D19" s="337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>
        <f t="shared" si="0"/>
        <v>0</v>
      </c>
      <c r="R19" s="333">
        <f>'RINCIAN B. TDK LANGSUNG'!Q18</f>
        <v>0</v>
      </c>
      <c r="S19" s="333">
        <f>Q19-R19</f>
        <v>0</v>
      </c>
      <c r="T19" s="456"/>
    </row>
    <row r="20" spans="1:22" ht="15.75" customHeight="1" x14ac:dyDescent="0.15">
      <c r="A20" s="335"/>
      <c r="B20" s="407" t="s">
        <v>1003</v>
      </c>
      <c r="C20" s="336"/>
      <c r="D20" s="337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>
        <f t="shared" si="0"/>
        <v>0</v>
      </c>
      <c r="R20" s="333">
        <f>'RINCIAN B. TDK LANGSUNG'!Q19</f>
        <v>0</v>
      </c>
      <c r="S20" s="333">
        <f t="shared" ref="S20:S29" si="1">Q20-R20</f>
        <v>0</v>
      </c>
      <c r="T20" s="456"/>
    </row>
    <row r="21" spans="1:22" ht="15.75" customHeight="1" x14ac:dyDescent="0.15">
      <c r="A21" s="335"/>
      <c r="B21" s="407" t="s">
        <v>1004</v>
      </c>
      <c r="C21" s="336"/>
      <c r="D21" s="337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>
        <f t="shared" si="0"/>
        <v>0</v>
      </c>
      <c r="R21" s="333">
        <f>'RINCIAN B. TDK LANGSUNG'!Q20</f>
        <v>0</v>
      </c>
      <c r="S21" s="333">
        <f t="shared" si="1"/>
        <v>0</v>
      </c>
      <c r="T21" s="456"/>
    </row>
    <row r="22" spans="1:22" ht="15.75" customHeight="1" x14ac:dyDescent="0.15">
      <c r="A22" s="335"/>
      <c r="B22" s="407" t="s">
        <v>663</v>
      </c>
      <c r="C22" s="336"/>
      <c r="D22" s="337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>
        <f t="shared" si="0"/>
        <v>0</v>
      </c>
      <c r="R22" s="333">
        <f>'RINCIAN B. TDK LANGSUNG'!Q21</f>
        <v>0</v>
      </c>
      <c r="S22" s="333">
        <f t="shared" si="1"/>
        <v>0</v>
      </c>
      <c r="T22" s="456"/>
    </row>
    <row r="23" spans="1:22" ht="15.75" customHeight="1" x14ac:dyDescent="0.15">
      <c r="A23" s="335"/>
      <c r="B23" s="407" t="s">
        <v>962</v>
      </c>
      <c r="C23" s="336"/>
      <c r="D23" s="337"/>
      <c r="E23" s="333"/>
      <c r="F23" s="333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>
        <f t="shared" si="0"/>
        <v>0</v>
      </c>
      <c r="R23" s="333">
        <f>'RINCIAN B. TDK LANGSUNG'!Q22</f>
        <v>0</v>
      </c>
      <c r="S23" s="333">
        <f t="shared" si="1"/>
        <v>0</v>
      </c>
      <c r="T23" s="456"/>
    </row>
    <row r="24" spans="1:22" ht="15.75" customHeight="1" x14ac:dyDescent="0.15">
      <c r="A24" s="335" t="s">
        <v>785</v>
      </c>
      <c r="B24" s="407" t="s">
        <v>713</v>
      </c>
      <c r="C24" s="336"/>
      <c r="D24" s="337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>
        <f t="shared" si="0"/>
        <v>0</v>
      </c>
      <c r="R24" s="333">
        <f>'RINCIAN B. TDK LANGSUNG'!Q23</f>
        <v>0</v>
      </c>
      <c r="S24" s="333">
        <f t="shared" si="1"/>
        <v>0</v>
      </c>
      <c r="T24" s="456"/>
    </row>
    <row r="25" spans="1:22" ht="15.75" customHeight="1" x14ac:dyDescent="0.15">
      <c r="A25" s="335" t="s">
        <v>789</v>
      </c>
      <c r="B25" s="407" t="s">
        <v>1005</v>
      </c>
      <c r="C25" s="336"/>
      <c r="D25" s="337"/>
      <c r="E25" s="614"/>
      <c r="F25" s="614"/>
      <c r="G25" s="614"/>
      <c r="H25" s="614"/>
      <c r="I25" s="614"/>
      <c r="J25" s="614"/>
      <c r="K25" s="614"/>
      <c r="L25" s="614"/>
      <c r="M25" s="614"/>
      <c r="N25" s="614"/>
      <c r="O25" s="614"/>
      <c r="P25" s="614"/>
      <c r="Q25" s="333">
        <f t="shared" si="0"/>
        <v>0</v>
      </c>
      <c r="R25" s="333">
        <f>'RINCIAN B. TDK LANGSUNG'!Q24</f>
        <v>0</v>
      </c>
      <c r="S25" s="333">
        <f t="shared" si="1"/>
        <v>0</v>
      </c>
      <c r="T25" s="456"/>
      <c r="V25" s="343"/>
    </row>
    <row r="26" spans="1:22" ht="15.75" customHeight="1" x14ac:dyDescent="0.15">
      <c r="A26" s="335" t="s">
        <v>790</v>
      </c>
      <c r="B26" s="407" t="s">
        <v>1006</v>
      </c>
      <c r="C26" s="336"/>
      <c r="D26" s="337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>
        <f t="shared" si="0"/>
        <v>0</v>
      </c>
      <c r="R26" s="333">
        <f>'RINCIAN B. TDK LANGSUNG'!Q25</f>
        <v>0</v>
      </c>
      <c r="S26" s="333">
        <f t="shared" si="1"/>
        <v>0</v>
      </c>
      <c r="T26" s="456"/>
    </row>
    <row r="27" spans="1:22" ht="15.75" customHeight="1" x14ac:dyDescent="0.15">
      <c r="A27" s="335" t="s">
        <v>791</v>
      </c>
      <c r="B27" s="407" t="s">
        <v>1007</v>
      </c>
      <c r="C27" s="336"/>
      <c r="D27" s="337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>
        <f t="shared" si="0"/>
        <v>0</v>
      </c>
      <c r="R27" s="333">
        <f>'RINCIAN B. TDK LANGSUNG'!Q26</f>
        <v>0</v>
      </c>
      <c r="S27" s="333">
        <f t="shared" si="1"/>
        <v>0</v>
      </c>
      <c r="T27" s="456"/>
    </row>
    <row r="28" spans="1:22" ht="15.75" customHeight="1" x14ac:dyDescent="0.15">
      <c r="A28" s="335" t="s">
        <v>792</v>
      </c>
      <c r="B28" s="407" t="s">
        <v>459</v>
      </c>
      <c r="C28" s="336"/>
      <c r="D28" s="337"/>
      <c r="E28" s="333"/>
      <c r="F28" s="333"/>
      <c r="G28" s="333"/>
      <c r="H28" s="333"/>
      <c r="I28" s="333"/>
      <c r="J28" s="333"/>
      <c r="K28" s="333"/>
      <c r="L28" s="333"/>
      <c r="M28" s="333"/>
      <c r="N28" s="333"/>
      <c r="O28" s="333"/>
      <c r="P28" s="333"/>
      <c r="Q28" s="333">
        <f t="shared" si="0"/>
        <v>0</v>
      </c>
      <c r="R28" s="333">
        <f>'RINCIAN B. TDK LANGSUNG'!Q27</f>
        <v>0</v>
      </c>
      <c r="S28" s="333">
        <f t="shared" si="1"/>
        <v>0</v>
      </c>
      <c r="T28" s="456"/>
    </row>
    <row r="29" spans="1:22" ht="15.75" customHeight="1" x14ac:dyDescent="0.15">
      <c r="A29" s="335"/>
      <c r="B29" s="407" t="s">
        <v>668</v>
      </c>
      <c r="C29" s="357"/>
      <c r="D29" s="358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>
        <f t="shared" si="0"/>
        <v>0</v>
      </c>
      <c r="R29" s="333">
        <f>'RINCIAN B. TDK LANGSUNG'!Q28</f>
        <v>0</v>
      </c>
      <c r="S29" s="333">
        <f t="shared" si="1"/>
        <v>0</v>
      </c>
      <c r="T29" s="456"/>
    </row>
    <row r="30" spans="1:22" ht="16.5" customHeight="1" x14ac:dyDescent="0.15">
      <c r="A30" s="344"/>
      <c r="B30" s="857" t="s">
        <v>461</v>
      </c>
      <c r="C30" s="858"/>
      <c r="D30" s="859"/>
      <c r="E30" s="377">
        <f>SUM(E14:E29)</f>
        <v>0</v>
      </c>
      <c r="F30" s="377">
        <f t="shared" ref="F30:P30" si="2">SUM(F14:F29)</f>
        <v>0</v>
      </c>
      <c r="G30" s="377">
        <f t="shared" si="2"/>
        <v>0</v>
      </c>
      <c r="H30" s="377">
        <f t="shared" si="2"/>
        <v>0</v>
      </c>
      <c r="I30" s="377">
        <f t="shared" si="2"/>
        <v>0</v>
      </c>
      <c r="J30" s="377">
        <f t="shared" si="2"/>
        <v>0</v>
      </c>
      <c r="K30" s="377">
        <f t="shared" si="2"/>
        <v>0</v>
      </c>
      <c r="L30" s="377">
        <f t="shared" si="2"/>
        <v>0</v>
      </c>
      <c r="M30" s="377">
        <f t="shared" si="2"/>
        <v>0</v>
      </c>
      <c r="N30" s="377">
        <f t="shared" si="2"/>
        <v>0</v>
      </c>
      <c r="O30" s="377">
        <f t="shared" si="2"/>
        <v>0</v>
      </c>
      <c r="P30" s="377">
        <f t="shared" si="2"/>
        <v>0</v>
      </c>
      <c r="Q30" s="377">
        <f t="shared" ref="Q30:Q84" si="3">SUM(E30:P30)</f>
        <v>0</v>
      </c>
      <c r="R30" s="377">
        <f>SUM(R11:R29)</f>
        <v>0</v>
      </c>
      <c r="S30" s="377">
        <f>SUM(S11:S29)</f>
        <v>0</v>
      </c>
      <c r="T30" s="638">
        <f>'RINCIAN B. TDK LANGSUNG'!Q29</f>
        <v>0</v>
      </c>
    </row>
    <row r="31" spans="1:22" ht="15.75" customHeight="1" x14ac:dyDescent="0.15">
      <c r="A31" s="335" t="s">
        <v>793</v>
      </c>
      <c r="B31" s="363" t="s">
        <v>629</v>
      </c>
      <c r="C31" s="336"/>
      <c r="D31" s="337"/>
      <c r="E31" s="333"/>
      <c r="F31" s="333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456"/>
    </row>
    <row r="32" spans="1:22" ht="15.75" customHeight="1" x14ac:dyDescent="0.15">
      <c r="A32" s="335" t="s">
        <v>802</v>
      </c>
      <c r="B32" s="863" t="s">
        <v>795</v>
      </c>
      <c r="C32" s="864"/>
      <c r="D32" s="865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>
        <f t="shared" si="3"/>
        <v>0</v>
      </c>
      <c r="R32" s="333">
        <f>'RINCIAN B. TDK LANGSUNG'!Q31</f>
        <v>0</v>
      </c>
      <c r="S32" s="333">
        <f>Q32-R32</f>
        <v>0</v>
      </c>
      <c r="T32" s="456"/>
      <c r="U32" s="631"/>
    </row>
    <row r="33" spans="1:21" ht="15.75" customHeight="1" x14ac:dyDescent="0.15">
      <c r="A33" s="335" t="s">
        <v>803</v>
      </c>
      <c r="B33" s="337" t="s">
        <v>467</v>
      </c>
      <c r="C33" s="336"/>
      <c r="D33" s="336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>
        <f t="shared" si="3"/>
        <v>0</v>
      </c>
      <c r="R33" s="333">
        <f>'RINCIAN B. TDK LANGSUNG'!Q32</f>
        <v>0</v>
      </c>
      <c r="S33" s="333">
        <f t="shared" ref="S33:S42" si="4">Q33-R33</f>
        <v>0</v>
      </c>
      <c r="T33" s="456"/>
    </row>
    <row r="34" spans="1:21" ht="15.75" customHeight="1" x14ac:dyDescent="0.15">
      <c r="A34" s="335" t="s">
        <v>804</v>
      </c>
      <c r="B34" s="407" t="s">
        <v>244</v>
      </c>
      <c r="C34" s="336"/>
      <c r="D34" s="337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>
        <f t="shared" si="3"/>
        <v>0</v>
      </c>
      <c r="R34" s="333">
        <f>'RINCIAN B. TDK LANGSUNG'!Q33</f>
        <v>0</v>
      </c>
      <c r="S34" s="333">
        <f t="shared" si="4"/>
        <v>0</v>
      </c>
      <c r="T34" s="456"/>
      <c r="U34" s="622"/>
    </row>
    <row r="35" spans="1:21" ht="15.75" customHeight="1" x14ac:dyDescent="0.15">
      <c r="A35" s="335" t="s">
        <v>805</v>
      </c>
      <c r="B35" s="407" t="s">
        <v>796</v>
      </c>
      <c r="C35" s="357"/>
      <c r="D35" s="358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>
        <f t="shared" si="3"/>
        <v>0</v>
      </c>
      <c r="R35" s="333">
        <f>'RINCIAN B. TDK LANGSUNG'!Q34</f>
        <v>0</v>
      </c>
      <c r="S35" s="333">
        <f t="shared" si="4"/>
        <v>0</v>
      </c>
      <c r="T35" s="456"/>
    </row>
    <row r="36" spans="1:21" ht="15.75" customHeight="1" x14ac:dyDescent="0.15">
      <c r="A36" s="335" t="s">
        <v>806</v>
      </c>
      <c r="B36" s="407" t="s">
        <v>797</v>
      </c>
      <c r="C36" s="336"/>
      <c r="D36" s="337"/>
      <c r="E36" s="333"/>
      <c r="F36" s="333"/>
      <c r="G36" s="333"/>
      <c r="H36" s="333"/>
      <c r="I36" s="333"/>
      <c r="J36" s="333"/>
      <c r="K36" s="333"/>
      <c r="L36" s="333"/>
      <c r="M36" s="333"/>
      <c r="N36" s="333"/>
      <c r="O36" s="333"/>
      <c r="P36" s="333"/>
      <c r="Q36" s="333">
        <f t="shared" si="3"/>
        <v>0</v>
      </c>
      <c r="R36" s="333">
        <f>'RINCIAN B. TDK LANGSUNG'!Q36+'RINCIAN B. TDK LANGSUNG'!Q37</f>
        <v>0</v>
      </c>
      <c r="S36" s="333">
        <f t="shared" si="4"/>
        <v>0</v>
      </c>
      <c r="T36" s="456"/>
      <c r="U36" s="622"/>
    </row>
    <row r="37" spans="1:21" ht="18" customHeight="1" x14ac:dyDescent="0.15">
      <c r="A37" s="335" t="s">
        <v>807</v>
      </c>
      <c r="B37" s="407" t="s">
        <v>475</v>
      </c>
      <c r="C37" s="336"/>
      <c r="D37" s="337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>
        <f t="shared" si="3"/>
        <v>0</v>
      </c>
      <c r="R37" s="333">
        <f>'RINCIAN B. TDK LANGSUNG'!Q38</f>
        <v>0</v>
      </c>
      <c r="S37" s="333">
        <f t="shared" si="4"/>
        <v>0</v>
      </c>
      <c r="T37" s="456"/>
    </row>
    <row r="38" spans="1:21" ht="16.5" customHeight="1" x14ac:dyDescent="0.15">
      <c r="A38" s="335" t="s">
        <v>808</v>
      </c>
      <c r="B38" s="863" t="s">
        <v>798</v>
      </c>
      <c r="C38" s="864"/>
      <c r="D38" s="865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>
        <f t="shared" si="3"/>
        <v>0</v>
      </c>
      <c r="R38" s="333">
        <f>'RINCIAN B. TDK LANGSUNG'!Q39</f>
        <v>0</v>
      </c>
      <c r="S38" s="333">
        <f t="shared" si="4"/>
        <v>0</v>
      </c>
      <c r="T38" s="456"/>
    </row>
    <row r="39" spans="1:21" ht="17.25" customHeight="1" x14ac:dyDescent="0.15">
      <c r="A39" s="382" t="s">
        <v>809</v>
      </c>
      <c r="B39" s="891" t="s">
        <v>799</v>
      </c>
      <c r="C39" s="892"/>
      <c r="D39" s="893"/>
      <c r="E39" s="386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6"/>
      <c r="Q39" s="386">
        <f t="shared" si="3"/>
        <v>0</v>
      </c>
      <c r="R39" s="333">
        <f>'RINCIAN B. TDK LANGSUNG'!Q40</f>
        <v>0</v>
      </c>
      <c r="S39" s="333">
        <f t="shared" si="4"/>
        <v>0</v>
      </c>
      <c r="T39" s="456"/>
    </row>
    <row r="40" spans="1:21" ht="15.75" customHeight="1" x14ac:dyDescent="0.15">
      <c r="A40" s="355" t="s">
        <v>810</v>
      </c>
      <c r="B40" s="410" t="s">
        <v>800</v>
      </c>
      <c r="C40" s="330"/>
      <c r="D40" s="331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3"/>
      <c r="S40" s="333">
        <f t="shared" si="4"/>
        <v>0</v>
      </c>
      <c r="T40" s="456"/>
    </row>
    <row r="41" spans="1:21" ht="15.75" customHeight="1" x14ac:dyDescent="0.15">
      <c r="A41" s="362"/>
      <c r="B41" s="407" t="s">
        <v>483</v>
      </c>
      <c r="C41" s="336"/>
      <c r="D41" s="337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>
        <f t="shared" si="3"/>
        <v>0</v>
      </c>
      <c r="R41" s="333">
        <f>'RINCIAN B. TDK LANGSUNG'!Q42</f>
        <v>0</v>
      </c>
      <c r="S41" s="333">
        <f t="shared" si="4"/>
        <v>0</v>
      </c>
      <c r="T41" s="456"/>
    </row>
    <row r="42" spans="1:21" ht="15.75" customHeight="1" x14ac:dyDescent="0.15">
      <c r="A42" s="362"/>
      <c r="B42" s="407" t="s">
        <v>801</v>
      </c>
      <c r="C42" s="336"/>
      <c r="D42" s="337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>
        <f t="shared" si="3"/>
        <v>0</v>
      </c>
      <c r="R42" s="333">
        <f>'RINCIAN B. TDK LANGSUNG'!Q43</f>
        <v>0</v>
      </c>
      <c r="S42" s="333">
        <f t="shared" si="4"/>
        <v>0</v>
      </c>
      <c r="T42" s="456"/>
    </row>
    <row r="43" spans="1:21" ht="15.75" customHeight="1" x14ac:dyDescent="0.15">
      <c r="A43" s="326"/>
      <c r="B43" s="857" t="s">
        <v>811</v>
      </c>
      <c r="C43" s="858"/>
      <c r="D43" s="859"/>
      <c r="E43" s="345">
        <f>SUM(E32:E42)</f>
        <v>0</v>
      </c>
      <c r="F43" s="345">
        <f t="shared" ref="F43:P43" si="5">SUM(F32:F42)</f>
        <v>0</v>
      </c>
      <c r="G43" s="345">
        <f t="shared" si="5"/>
        <v>0</v>
      </c>
      <c r="H43" s="345">
        <f t="shared" si="5"/>
        <v>0</v>
      </c>
      <c r="I43" s="345">
        <f t="shared" si="5"/>
        <v>0</v>
      </c>
      <c r="J43" s="345">
        <f t="shared" si="5"/>
        <v>0</v>
      </c>
      <c r="K43" s="345">
        <f t="shared" si="5"/>
        <v>0</v>
      </c>
      <c r="L43" s="345">
        <f t="shared" si="5"/>
        <v>0</v>
      </c>
      <c r="M43" s="345">
        <f t="shared" si="5"/>
        <v>0</v>
      </c>
      <c r="N43" s="345">
        <f t="shared" si="5"/>
        <v>0</v>
      </c>
      <c r="O43" s="345">
        <f t="shared" si="5"/>
        <v>0</v>
      </c>
      <c r="P43" s="345">
        <f t="shared" si="5"/>
        <v>0</v>
      </c>
      <c r="Q43" s="345">
        <f>SUM(E43:P43)</f>
        <v>0</v>
      </c>
      <c r="R43" s="345">
        <f>SUM(R32:R42)</f>
        <v>0</v>
      </c>
      <c r="S43" s="345">
        <f>SUM(S32:S42)</f>
        <v>0</v>
      </c>
      <c r="T43" s="456">
        <f>'RINCIAN B. TDK LANGSUNG'!Q44</f>
        <v>0</v>
      </c>
    </row>
    <row r="44" spans="1:21" ht="15.75" customHeight="1" x14ac:dyDescent="0.15">
      <c r="A44" s="335" t="s">
        <v>815</v>
      </c>
      <c r="B44" s="407" t="s">
        <v>487</v>
      </c>
      <c r="C44" s="336"/>
      <c r="D44" s="337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>
        <f t="shared" si="3"/>
        <v>0</v>
      </c>
      <c r="R44" s="333"/>
      <c r="S44" s="333"/>
      <c r="T44" s="456"/>
    </row>
    <row r="45" spans="1:21" ht="15.75" customHeight="1" x14ac:dyDescent="0.15">
      <c r="A45" s="335" t="s">
        <v>816</v>
      </c>
      <c r="B45" s="407" t="s">
        <v>1008</v>
      </c>
      <c r="C45" s="336"/>
      <c r="D45" s="337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33">
        <f t="shared" si="3"/>
        <v>0</v>
      </c>
      <c r="R45" s="333">
        <f>'RINCIAN B. TDK LANGSUNG'!Q46</f>
        <v>0</v>
      </c>
      <c r="S45" s="333">
        <f>Q45-R45</f>
        <v>0</v>
      </c>
      <c r="T45" s="456"/>
      <c r="U45" s="622"/>
    </row>
    <row r="46" spans="1:21" ht="15.75" customHeight="1" x14ac:dyDescent="0.15">
      <c r="A46" s="335" t="s">
        <v>817</v>
      </c>
      <c r="B46" s="407" t="s">
        <v>81</v>
      </c>
      <c r="C46" s="336"/>
      <c r="D46" s="337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>
        <f t="shared" si="3"/>
        <v>0</v>
      </c>
      <c r="R46" s="333">
        <f>'RINCIAN B. TDK LANGSUNG'!Q47</f>
        <v>0</v>
      </c>
      <c r="S46" s="333">
        <f t="shared" ref="S46:S47" si="6">Q46-R46</f>
        <v>0</v>
      </c>
      <c r="T46" s="456"/>
    </row>
    <row r="47" spans="1:21" ht="15.75" customHeight="1" x14ac:dyDescent="0.15">
      <c r="A47" s="335" t="s">
        <v>818</v>
      </c>
      <c r="B47" s="407" t="s">
        <v>492</v>
      </c>
      <c r="C47" s="336"/>
      <c r="D47" s="337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>
        <f t="shared" si="3"/>
        <v>0</v>
      </c>
      <c r="R47" s="333">
        <f>'RINCIAN B. TDK LANGSUNG'!Q48</f>
        <v>0</v>
      </c>
      <c r="S47" s="333">
        <f t="shared" si="6"/>
        <v>0</v>
      </c>
      <c r="T47" s="456"/>
    </row>
    <row r="48" spans="1:21" ht="15.75" customHeight="1" x14ac:dyDescent="0.15">
      <c r="A48" s="326"/>
      <c r="B48" s="866" t="s">
        <v>493</v>
      </c>
      <c r="C48" s="867"/>
      <c r="D48" s="868"/>
      <c r="E48" s="377">
        <f>SUM(E45:E47)</f>
        <v>0</v>
      </c>
      <c r="F48" s="377">
        <f t="shared" ref="F48:P48" si="7">SUM(F45:F47)</f>
        <v>0</v>
      </c>
      <c r="G48" s="377">
        <f t="shared" si="7"/>
        <v>0</v>
      </c>
      <c r="H48" s="377">
        <f t="shared" si="7"/>
        <v>0</v>
      </c>
      <c r="I48" s="377">
        <f t="shared" si="7"/>
        <v>0</v>
      </c>
      <c r="J48" s="377">
        <f t="shared" si="7"/>
        <v>0</v>
      </c>
      <c r="K48" s="377">
        <f t="shared" si="7"/>
        <v>0</v>
      </c>
      <c r="L48" s="377">
        <f t="shared" si="7"/>
        <v>0</v>
      </c>
      <c r="M48" s="377">
        <f t="shared" si="7"/>
        <v>0</v>
      </c>
      <c r="N48" s="377">
        <f t="shared" si="7"/>
        <v>0</v>
      </c>
      <c r="O48" s="377">
        <f t="shared" si="7"/>
        <v>0</v>
      </c>
      <c r="P48" s="377">
        <f t="shared" si="7"/>
        <v>0</v>
      </c>
      <c r="Q48" s="377">
        <f t="shared" si="3"/>
        <v>0</v>
      </c>
      <c r="R48" s="377">
        <f>SUM(R45:R47)</f>
        <v>0</v>
      </c>
      <c r="S48" s="377">
        <f>SUM(S45:S47)</f>
        <v>0</v>
      </c>
      <c r="T48" s="638">
        <f>'RINCIAN B. TDK LANGSUNG'!Q49</f>
        <v>0</v>
      </c>
    </row>
    <row r="49" spans="1:21" ht="15.75" customHeight="1" x14ac:dyDescent="0.15">
      <c r="A49" s="335" t="s">
        <v>821</v>
      </c>
      <c r="B49" s="863" t="s">
        <v>820</v>
      </c>
      <c r="C49" s="864"/>
      <c r="D49" s="865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456"/>
    </row>
    <row r="50" spans="1:21" ht="15.75" customHeight="1" x14ac:dyDescent="0.15">
      <c r="A50" s="335"/>
      <c r="B50" s="407" t="s">
        <v>1089</v>
      </c>
      <c r="C50" s="408"/>
      <c r="D50" s="409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>
        <f t="shared" si="3"/>
        <v>0</v>
      </c>
      <c r="R50" s="333"/>
      <c r="S50" s="333"/>
      <c r="T50" s="456"/>
    </row>
    <row r="51" spans="1:21" ht="15.75" customHeight="1" x14ac:dyDescent="0.15">
      <c r="A51" s="335"/>
      <c r="B51" s="407" t="s">
        <v>1090</v>
      </c>
      <c r="C51" s="408"/>
      <c r="D51" s="409"/>
      <c r="E51" s="333"/>
      <c r="F51" s="333"/>
      <c r="G51" s="333">
        <v>0</v>
      </c>
      <c r="H51" s="333"/>
      <c r="I51" s="333"/>
      <c r="J51" s="333"/>
      <c r="K51" s="333"/>
      <c r="L51" s="333"/>
      <c r="M51" s="333"/>
      <c r="N51" s="333"/>
      <c r="O51" s="333"/>
      <c r="P51" s="333"/>
      <c r="Q51" s="333">
        <f t="shared" si="3"/>
        <v>0</v>
      </c>
      <c r="R51" s="333"/>
      <c r="S51" s="333"/>
      <c r="T51" s="456"/>
    </row>
    <row r="52" spans="1:21" ht="15.75" customHeight="1" x14ac:dyDescent="0.15">
      <c r="A52" s="335"/>
      <c r="B52" s="407" t="s">
        <v>1091</v>
      </c>
      <c r="C52" s="408"/>
      <c r="D52" s="409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>
        <f t="shared" si="3"/>
        <v>0</v>
      </c>
      <c r="R52" s="333"/>
      <c r="S52" s="333"/>
      <c r="T52" s="456"/>
    </row>
    <row r="53" spans="1:21" ht="15.75" customHeight="1" x14ac:dyDescent="0.15">
      <c r="A53" s="335"/>
      <c r="B53" s="407" t="s">
        <v>1092</v>
      </c>
      <c r="C53" s="408"/>
      <c r="D53" s="409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456"/>
    </row>
    <row r="54" spans="1:21" ht="15.75" customHeight="1" x14ac:dyDescent="0.15">
      <c r="A54" s="335"/>
      <c r="B54" s="407" t="s">
        <v>1093</v>
      </c>
      <c r="C54" s="336"/>
      <c r="D54" s="337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>
        <f t="shared" si="3"/>
        <v>0</v>
      </c>
      <c r="R54" s="333"/>
      <c r="S54" s="333"/>
      <c r="T54" s="456"/>
    </row>
    <row r="55" spans="1:21" ht="15.75" customHeight="1" x14ac:dyDescent="0.15">
      <c r="A55" s="344"/>
      <c r="B55" s="857" t="s">
        <v>497</v>
      </c>
      <c r="C55" s="858"/>
      <c r="D55" s="859"/>
      <c r="E55" s="345">
        <f>SUM(E50:E54)</f>
        <v>0</v>
      </c>
      <c r="F55" s="345">
        <f t="shared" ref="F55:P55" si="8">SUM(F50:F54)</f>
        <v>0</v>
      </c>
      <c r="G55" s="345">
        <f t="shared" si="8"/>
        <v>0</v>
      </c>
      <c r="H55" s="345">
        <f t="shared" si="8"/>
        <v>0</v>
      </c>
      <c r="I55" s="345">
        <f t="shared" si="8"/>
        <v>0</v>
      </c>
      <c r="J55" s="345">
        <f t="shared" si="8"/>
        <v>0</v>
      </c>
      <c r="K55" s="345">
        <f t="shared" si="8"/>
        <v>0</v>
      </c>
      <c r="L55" s="345">
        <f t="shared" si="8"/>
        <v>0</v>
      </c>
      <c r="M55" s="345">
        <f t="shared" si="8"/>
        <v>0</v>
      </c>
      <c r="N55" s="345">
        <f t="shared" si="8"/>
        <v>0</v>
      </c>
      <c r="O55" s="345">
        <f t="shared" si="8"/>
        <v>0</v>
      </c>
      <c r="P55" s="345">
        <f t="shared" si="8"/>
        <v>0</v>
      </c>
      <c r="Q55" s="345">
        <f>SUM(E55:P55)</f>
        <v>0</v>
      </c>
      <c r="R55" s="345">
        <f>'RINCIAN B. TDK LANGSUNG'!Q52</f>
        <v>0</v>
      </c>
      <c r="S55" s="345">
        <f>Q55-R55</f>
        <v>0</v>
      </c>
      <c r="T55" s="456"/>
    </row>
    <row r="56" spans="1:21" ht="15.75" customHeight="1" x14ac:dyDescent="0.15">
      <c r="A56" s="335" t="s">
        <v>822</v>
      </c>
      <c r="B56" s="863" t="s">
        <v>632</v>
      </c>
      <c r="C56" s="864"/>
      <c r="D56" s="865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>
        <f t="shared" si="3"/>
        <v>0</v>
      </c>
      <c r="R56" s="333"/>
      <c r="S56" s="333"/>
      <c r="T56" s="456"/>
    </row>
    <row r="57" spans="1:21" ht="15.75" customHeight="1" x14ac:dyDescent="0.15">
      <c r="A57" s="335" t="s">
        <v>824</v>
      </c>
      <c r="B57" s="407" t="s">
        <v>501</v>
      </c>
      <c r="C57" s="336"/>
      <c r="D57" s="337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>
        <f t="shared" si="3"/>
        <v>0</v>
      </c>
      <c r="R57" s="333">
        <f>'RINCIAN B. TDK LANGSUNG'!Q54</f>
        <v>0</v>
      </c>
      <c r="S57" s="333">
        <f>Q57-R57</f>
        <v>0</v>
      </c>
      <c r="T57" s="456"/>
    </row>
    <row r="58" spans="1:21" ht="15.75" customHeight="1" x14ac:dyDescent="0.15">
      <c r="A58" s="335" t="s">
        <v>825</v>
      </c>
      <c r="B58" s="407" t="s">
        <v>503</v>
      </c>
      <c r="C58" s="357"/>
      <c r="D58" s="358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/>
      <c r="Q58" s="333">
        <f t="shared" si="3"/>
        <v>0</v>
      </c>
      <c r="R58" s="333">
        <f>'RINCIAN B. TDK LANGSUNG'!Q55</f>
        <v>0</v>
      </c>
      <c r="S58" s="333">
        <f t="shared" ref="S58:S61" si="9">Q58-R58</f>
        <v>0</v>
      </c>
      <c r="T58" s="456"/>
    </row>
    <row r="59" spans="1:21" ht="15.75" customHeight="1" x14ac:dyDescent="0.15">
      <c r="A59" s="335" t="s">
        <v>826</v>
      </c>
      <c r="B59" s="407" t="s">
        <v>505</v>
      </c>
      <c r="C59" s="336"/>
      <c r="D59" s="337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>
        <f t="shared" si="3"/>
        <v>0</v>
      </c>
      <c r="R59" s="333">
        <f>'RINCIAN B. TDK LANGSUNG'!Q56</f>
        <v>0</v>
      </c>
      <c r="S59" s="333">
        <f t="shared" si="9"/>
        <v>0</v>
      </c>
      <c r="T59" s="456"/>
      <c r="U59" s="622"/>
    </row>
    <row r="60" spans="1:21" ht="15.75" customHeight="1" x14ac:dyDescent="0.15">
      <c r="A60" s="335" t="s">
        <v>827</v>
      </c>
      <c r="B60" s="863" t="s">
        <v>587</v>
      </c>
      <c r="C60" s="864"/>
      <c r="D60" s="865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>
        <f t="shared" si="3"/>
        <v>0</v>
      </c>
      <c r="R60" s="333">
        <f>'RINCIAN B. TDK LANGSUNG'!Q57</f>
        <v>0</v>
      </c>
      <c r="S60" s="333">
        <f t="shared" si="9"/>
        <v>0</v>
      </c>
      <c r="T60" s="456"/>
    </row>
    <row r="61" spans="1:21" ht="15.75" customHeight="1" x14ac:dyDescent="0.15">
      <c r="A61" s="335" t="s">
        <v>828</v>
      </c>
      <c r="B61" s="863" t="s">
        <v>507</v>
      </c>
      <c r="C61" s="864"/>
      <c r="D61" s="865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>
        <f t="shared" si="3"/>
        <v>0</v>
      </c>
      <c r="R61" s="333">
        <f>'RINCIAN B. TDK LANGSUNG'!Q58</f>
        <v>0</v>
      </c>
      <c r="S61" s="333">
        <f t="shared" si="9"/>
        <v>0</v>
      </c>
      <c r="T61" s="456"/>
    </row>
    <row r="62" spans="1:21" ht="15.75" customHeight="1" x14ac:dyDescent="0.15">
      <c r="A62" s="344"/>
      <c r="B62" s="857" t="s">
        <v>413</v>
      </c>
      <c r="C62" s="858"/>
      <c r="D62" s="859"/>
      <c r="E62" s="345">
        <f t="shared" ref="E62:P62" si="10">SUM(E57:E61)</f>
        <v>0</v>
      </c>
      <c r="F62" s="345">
        <f t="shared" si="10"/>
        <v>0</v>
      </c>
      <c r="G62" s="345">
        <f t="shared" si="10"/>
        <v>0</v>
      </c>
      <c r="H62" s="345">
        <f t="shared" si="10"/>
        <v>0</v>
      </c>
      <c r="I62" s="345">
        <f t="shared" si="10"/>
        <v>0</v>
      </c>
      <c r="J62" s="345">
        <f t="shared" si="10"/>
        <v>0</v>
      </c>
      <c r="K62" s="345">
        <f t="shared" si="10"/>
        <v>0</v>
      </c>
      <c r="L62" s="345">
        <f t="shared" si="10"/>
        <v>0</v>
      </c>
      <c r="M62" s="345">
        <f t="shared" si="10"/>
        <v>0</v>
      </c>
      <c r="N62" s="345">
        <f t="shared" si="10"/>
        <v>0</v>
      </c>
      <c r="O62" s="345">
        <f t="shared" si="10"/>
        <v>0</v>
      </c>
      <c r="P62" s="345">
        <f t="shared" si="10"/>
        <v>0</v>
      </c>
      <c r="Q62" s="345">
        <f>SUM(E62:P62)</f>
        <v>0</v>
      </c>
      <c r="R62" s="345">
        <f>SUM(R57:R61)</f>
        <v>0</v>
      </c>
      <c r="S62" s="345">
        <f>SUM(S57:S61)</f>
        <v>0</v>
      </c>
      <c r="T62" s="456"/>
    </row>
    <row r="63" spans="1:21" ht="12" customHeight="1" x14ac:dyDescent="0.15">
      <c r="A63" s="335" t="s">
        <v>829</v>
      </c>
      <c r="B63" s="407" t="s">
        <v>1009</v>
      </c>
      <c r="C63" s="380"/>
      <c r="D63" s="381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>
        <f t="shared" si="3"/>
        <v>0</v>
      </c>
      <c r="R63" s="333"/>
      <c r="S63" s="333"/>
      <c r="T63" s="456"/>
    </row>
    <row r="64" spans="1:21" ht="15" customHeight="1" x14ac:dyDescent="0.15">
      <c r="A64" s="335" t="s">
        <v>830</v>
      </c>
      <c r="B64" s="407" t="s">
        <v>831</v>
      </c>
      <c r="C64" s="380"/>
      <c r="D64" s="381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3"/>
      <c r="S64" s="333"/>
      <c r="T64" s="456"/>
    </row>
    <row r="65" spans="1:20" ht="15" customHeight="1" x14ac:dyDescent="0.15">
      <c r="A65" s="335"/>
      <c r="B65" s="407" t="s">
        <v>1010</v>
      </c>
      <c r="C65" s="380"/>
      <c r="D65" s="381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>
        <f t="shared" si="3"/>
        <v>0</v>
      </c>
      <c r="R65" s="333">
        <f>'RINCIAN B. TDK LANGSUNG'!Q61</f>
        <v>0</v>
      </c>
      <c r="S65" s="333">
        <f>SUM(Q65:Q66)-R65</f>
        <v>0</v>
      </c>
      <c r="T65" s="456"/>
    </row>
    <row r="66" spans="1:20" ht="15" customHeight="1" x14ac:dyDescent="0.15">
      <c r="A66" s="335"/>
      <c r="B66" s="407" t="s">
        <v>1011</v>
      </c>
      <c r="C66" s="408"/>
      <c r="D66" s="409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>
        <f t="shared" si="3"/>
        <v>0</v>
      </c>
      <c r="R66" s="333"/>
      <c r="S66" s="333"/>
      <c r="T66" s="456"/>
    </row>
    <row r="67" spans="1:20" ht="15" customHeight="1" x14ac:dyDescent="0.15">
      <c r="A67" s="335" t="s">
        <v>832</v>
      </c>
      <c r="B67" s="407" t="s">
        <v>1012</v>
      </c>
      <c r="C67" s="408"/>
      <c r="D67" s="409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>
        <f t="shared" si="3"/>
        <v>0</v>
      </c>
      <c r="R67" s="333">
        <f>'RINCIAN B. TDK LANGSUNG'!Q62</f>
        <v>0</v>
      </c>
      <c r="S67" s="333">
        <f>Q67-R67</f>
        <v>0</v>
      </c>
      <c r="T67" s="456"/>
    </row>
    <row r="68" spans="1:20" ht="15" customHeight="1" x14ac:dyDescent="0.15">
      <c r="A68" s="335" t="s">
        <v>834</v>
      </c>
      <c r="B68" s="407" t="s">
        <v>833</v>
      </c>
      <c r="C68" s="408"/>
      <c r="D68" s="409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>
        <f t="shared" si="3"/>
        <v>0</v>
      </c>
      <c r="R68" s="333">
        <f>'RINCIAN B. TDK LANGSUNG'!Q63</f>
        <v>0</v>
      </c>
      <c r="S68" s="333">
        <f t="shared" ref="S68:S71" si="11">Q68-R68</f>
        <v>0</v>
      </c>
      <c r="T68" s="456"/>
    </row>
    <row r="69" spans="1:20" ht="15.75" customHeight="1" x14ac:dyDescent="0.15">
      <c r="A69" s="335" t="s">
        <v>835</v>
      </c>
      <c r="B69" s="407" t="s">
        <v>837</v>
      </c>
      <c r="C69" s="408"/>
      <c r="D69" s="409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>
        <f t="shared" si="3"/>
        <v>0</v>
      </c>
      <c r="R69" s="333">
        <f>'RINCIAN B. TDK LANGSUNG'!Q64</f>
        <v>0</v>
      </c>
      <c r="S69" s="333">
        <f t="shared" si="11"/>
        <v>0</v>
      </c>
      <c r="T69" s="456"/>
    </row>
    <row r="70" spans="1:20" ht="14.25" customHeight="1" x14ac:dyDescent="0.15">
      <c r="A70" s="335" t="s">
        <v>836</v>
      </c>
      <c r="B70" s="407" t="s">
        <v>838</v>
      </c>
      <c r="C70" s="408"/>
      <c r="D70" s="409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>
        <f t="shared" si="3"/>
        <v>0</v>
      </c>
      <c r="R70" s="472"/>
      <c r="S70" s="333"/>
      <c r="T70" s="456"/>
    </row>
    <row r="71" spans="1:20" ht="15.75" customHeight="1" x14ac:dyDescent="0.15">
      <c r="A71" s="335"/>
      <c r="B71" s="407" t="s">
        <v>839</v>
      </c>
      <c r="C71" s="408"/>
      <c r="D71" s="409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>
        <f t="shared" si="3"/>
        <v>0</v>
      </c>
      <c r="R71" s="333">
        <f>'RINCIAN B. TDK LANGSUNG'!Q66+'RINCIAN B. TDK LANGSUNG'!Q67</f>
        <v>0</v>
      </c>
      <c r="S71" s="333">
        <f t="shared" si="11"/>
        <v>0</v>
      </c>
      <c r="T71" s="456"/>
    </row>
    <row r="72" spans="1:20" ht="14.25" customHeight="1" x14ac:dyDescent="0.15">
      <c r="A72" s="335"/>
      <c r="B72" s="407" t="s">
        <v>840</v>
      </c>
      <c r="C72" s="408"/>
      <c r="D72" s="409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>
        <f t="shared" si="3"/>
        <v>0</v>
      </c>
      <c r="R72" s="333"/>
      <c r="S72" s="333"/>
      <c r="T72" s="456"/>
    </row>
    <row r="73" spans="1:20" ht="15.75" customHeight="1" x14ac:dyDescent="0.15">
      <c r="A73" s="335" t="s">
        <v>846</v>
      </c>
      <c r="B73" s="407" t="s">
        <v>841</v>
      </c>
      <c r="C73" s="408"/>
      <c r="D73" s="409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>
        <f t="shared" si="3"/>
        <v>0</v>
      </c>
      <c r="R73" s="333"/>
      <c r="S73" s="333"/>
      <c r="T73" s="456"/>
    </row>
    <row r="74" spans="1:20" ht="15.75" customHeight="1" x14ac:dyDescent="0.15">
      <c r="A74" s="335" t="s">
        <v>847</v>
      </c>
      <c r="B74" s="407" t="s">
        <v>842</v>
      </c>
      <c r="C74" s="408"/>
      <c r="D74" s="409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>
        <f t="shared" si="3"/>
        <v>0</v>
      </c>
      <c r="R74" s="333"/>
      <c r="S74" s="333"/>
      <c r="T74" s="456"/>
    </row>
    <row r="75" spans="1:20" ht="15" customHeight="1" x14ac:dyDescent="0.15">
      <c r="A75" s="335"/>
      <c r="B75" s="407" t="s">
        <v>1013</v>
      </c>
      <c r="C75" s="408"/>
      <c r="D75" s="409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>
        <f t="shared" si="3"/>
        <v>0</v>
      </c>
      <c r="R75" s="333">
        <f>'RINCIAN B. TDK LANGSUNG'!Q69</f>
        <v>0</v>
      </c>
      <c r="S75" s="333">
        <f t="shared" ref="S75" si="12">Q75-R75</f>
        <v>0</v>
      </c>
      <c r="T75" s="456"/>
    </row>
    <row r="76" spans="1:20" ht="15" customHeight="1" x14ac:dyDescent="0.15">
      <c r="A76" s="335" t="s">
        <v>848</v>
      </c>
      <c r="B76" s="407" t="s">
        <v>843</v>
      </c>
      <c r="C76" s="408"/>
      <c r="D76" s="409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>
        <f t="shared" si="3"/>
        <v>0</v>
      </c>
      <c r="R76" s="333"/>
      <c r="S76" s="333"/>
      <c r="T76" s="456"/>
    </row>
    <row r="77" spans="1:20" ht="15.75" customHeight="1" x14ac:dyDescent="0.15">
      <c r="A77" s="335"/>
      <c r="B77" s="407" t="s">
        <v>536</v>
      </c>
      <c r="C77" s="408"/>
      <c r="D77" s="409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>
        <f t="shared" si="3"/>
        <v>0</v>
      </c>
      <c r="R77" s="333">
        <f>'RINCIAN B. TDK LANGSUNG'!Q70</f>
        <v>0</v>
      </c>
      <c r="S77" s="333">
        <f t="shared" ref="S77" si="13">Q77-R77</f>
        <v>0</v>
      </c>
      <c r="T77" s="456"/>
    </row>
    <row r="78" spans="1:20" ht="15.75" customHeight="1" x14ac:dyDescent="0.15">
      <c r="A78" s="335" t="s">
        <v>849</v>
      </c>
      <c r="B78" s="407" t="s">
        <v>844</v>
      </c>
      <c r="C78" s="408"/>
      <c r="D78" s="409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>
        <f t="shared" si="3"/>
        <v>0</v>
      </c>
      <c r="R78" s="333">
        <f>'RINCIAN B. TDK LANGSUNG'!Q73+'RINCIAN B. TDK LANGSUNG'!Q74</f>
        <v>0</v>
      </c>
      <c r="S78" s="333">
        <f>SUM(Q79:Q81)-R78</f>
        <v>0</v>
      </c>
      <c r="T78" s="456"/>
    </row>
    <row r="79" spans="1:20" ht="15.75" customHeight="1" x14ac:dyDescent="0.15">
      <c r="A79" s="335"/>
      <c r="B79" s="863" t="s">
        <v>672</v>
      </c>
      <c r="C79" s="864"/>
      <c r="D79" s="865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>
        <f t="shared" ref="Q79:Q83" si="14">SUM(E79:P79)</f>
        <v>0</v>
      </c>
      <c r="R79" s="333"/>
      <c r="S79" s="333"/>
      <c r="T79" s="456"/>
    </row>
    <row r="80" spans="1:20" ht="15.75" customHeight="1" x14ac:dyDescent="0.15">
      <c r="A80" s="335"/>
      <c r="B80" s="407" t="s">
        <v>640</v>
      </c>
      <c r="C80" s="408"/>
      <c r="D80" s="409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>
        <f t="shared" si="14"/>
        <v>0</v>
      </c>
      <c r="R80" s="333"/>
      <c r="S80" s="333"/>
      <c r="T80" s="456"/>
    </row>
    <row r="81" spans="1:21" ht="15.75" customHeight="1" x14ac:dyDescent="0.15">
      <c r="A81" s="335"/>
      <c r="B81" s="407" t="s">
        <v>845</v>
      </c>
      <c r="C81" s="408"/>
      <c r="D81" s="409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>
        <f t="shared" si="14"/>
        <v>0</v>
      </c>
      <c r="R81" s="333"/>
      <c r="S81" s="333"/>
      <c r="T81" s="456"/>
    </row>
    <row r="82" spans="1:21" ht="15.75" customHeight="1" x14ac:dyDescent="0.15">
      <c r="A82" s="344"/>
      <c r="B82" s="857" t="s">
        <v>852</v>
      </c>
      <c r="C82" s="858"/>
      <c r="D82" s="859"/>
      <c r="E82" s="345">
        <f>SUM(E63:E81)</f>
        <v>0</v>
      </c>
      <c r="F82" s="345">
        <f t="shared" ref="F82:P82" si="15">SUM(F63:F81)</f>
        <v>0</v>
      </c>
      <c r="G82" s="345">
        <f t="shared" si="15"/>
        <v>0</v>
      </c>
      <c r="H82" s="345">
        <f t="shared" si="15"/>
        <v>0</v>
      </c>
      <c r="I82" s="345">
        <f t="shared" si="15"/>
        <v>0</v>
      </c>
      <c r="J82" s="345">
        <f t="shared" si="15"/>
        <v>0</v>
      </c>
      <c r="K82" s="345">
        <f t="shared" si="15"/>
        <v>0</v>
      </c>
      <c r="L82" s="345">
        <f t="shared" si="15"/>
        <v>0</v>
      </c>
      <c r="M82" s="345">
        <f t="shared" si="15"/>
        <v>0</v>
      </c>
      <c r="N82" s="345">
        <f t="shared" si="15"/>
        <v>0</v>
      </c>
      <c r="O82" s="345">
        <f t="shared" si="15"/>
        <v>0</v>
      </c>
      <c r="P82" s="345">
        <f t="shared" si="15"/>
        <v>0</v>
      </c>
      <c r="Q82" s="345">
        <f t="shared" si="14"/>
        <v>0</v>
      </c>
      <c r="R82" s="377">
        <f>SUM(R65:R81)</f>
        <v>0</v>
      </c>
      <c r="S82" s="377">
        <f>SUM(S65:S81)</f>
        <v>0</v>
      </c>
      <c r="T82" s="456"/>
    </row>
    <row r="83" spans="1:21" ht="15.75" customHeight="1" x14ac:dyDescent="0.15">
      <c r="A83" s="344"/>
      <c r="B83" s="857" t="s">
        <v>547</v>
      </c>
      <c r="C83" s="858"/>
      <c r="D83" s="859"/>
      <c r="E83" s="386">
        <f t="shared" ref="E83:S83" si="16">E82+E62+E48+E43+E30+E55</f>
        <v>0</v>
      </c>
      <c r="F83" s="386">
        <f t="shared" si="16"/>
        <v>0</v>
      </c>
      <c r="G83" s="386">
        <f>G82+G62+G48+G43+G30+G55</f>
        <v>0</v>
      </c>
      <c r="H83" s="386">
        <f t="shared" si="16"/>
        <v>0</v>
      </c>
      <c r="I83" s="386">
        <f t="shared" si="16"/>
        <v>0</v>
      </c>
      <c r="J83" s="386">
        <f t="shared" si="16"/>
        <v>0</v>
      </c>
      <c r="K83" s="386">
        <f t="shared" si="16"/>
        <v>0</v>
      </c>
      <c r="L83" s="386">
        <f t="shared" si="16"/>
        <v>0</v>
      </c>
      <c r="M83" s="386">
        <f t="shared" si="16"/>
        <v>0</v>
      </c>
      <c r="N83" s="386">
        <f t="shared" si="16"/>
        <v>0</v>
      </c>
      <c r="O83" s="386">
        <f t="shared" si="16"/>
        <v>0</v>
      </c>
      <c r="P83" s="386">
        <f t="shared" si="16"/>
        <v>0</v>
      </c>
      <c r="Q83" s="345">
        <f t="shared" si="14"/>
        <v>0</v>
      </c>
      <c r="R83" s="386">
        <f t="shared" si="16"/>
        <v>0</v>
      </c>
      <c r="S83" s="386">
        <f t="shared" si="16"/>
        <v>0</v>
      </c>
      <c r="T83" s="456"/>
    </row>
    <row r="84" spans="1:21" ht="21" customHeight="1" x14ac:dyDescent="0.15">
      <c r="A84" s="335" t="s">
        <v>851</v>
      </c>
      <c r="B84" s="885" t="s">
        <v>1014</v>
      </c>
      <c r="C84" s="886"/>
      <c r="D84" s="887"/>
      <c r="E84" s="345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33">
        <f t="shared" si="3"/>
        <v>0</v>
      </c>
      <c r="R84" s="345">
        <f>'RINCIAN B. TDK LANGSUNG'!Q78+'RINCIAN B. TDK LANGSUNG'!Q79</f>
        <v>0</v>
      </c>
      <c r="S84" s="345">
        <f>Q84-R84</f>
        <v>0</v>
      </c>
      <c r="T84" s="456"/>
    </row>
    <row r="85" spans="1:21" ht="20.25" customHeight="1" thickBot="1" x14ac:dyDescent="0.2">
      <c r="A85" s="364"/>
      <c r="B85" s="869" t="s">
        <v>550</v>
      </c>
      <c r="C85" s="870"/>
      <c r="D85" s="871"/>
      <c r="E85" s="390">
        <f>SUM(E83:E84)</f>
        <v>0</v>
      </c>
      <c r="F85" s="390">
        <f t="shared" ref="F85:S85" si="17">SUM(F83:F84)</f>
        <v>0</v>
      </c>
      <c r="G85" s="390">
        <f t="shared" si="17"/>
        <v>0</v>
      </c>
      <c r="H85" s="390">
        <f t="shared" si="17"/>
        <v>0</v>
      </c>
      <c r="I85" s="390">
        <f t="shared" si="17"/>
        <v>0</v>
      </c>
      <c r="J85" s="390">
        <f t="shared" si="17"/>
        <v>0</v>
      </c>
      <c r="K85" s="390">
        <f t="shared" si="17"/>
        <v>0</v>
      </c>
      <c r="L85" s="390">
        <f t="shared" si="17"/>
        <v>0</v>
      </c>
      <c r="M85" s="390">
        <f t="shared" si="17"/>
        <v>0</v>
      </c>
      <c r="N85" s="390">
        <f t="shared" si="17"/>
        <v>0</v>
      </c>
      <c r="O85" s="390">
        <f t="shared" si="17"/>
        <v>0</v>
      </c>
      <c r="P85" s="390">
        <f t="shared" si="17"/>
        <v>0</v>
      </c>
      <c r="Q85" s="390">
        <f>SUM(Q83:Q84)</f>
        <v>0</v>
      </c>
      <c r="R85" s="643">
        <f t="shared" si="17"/>
        <v>0</v>
      </c>
      <c r="S85" s="643">
        <f t="shared" si="17"/>
        <v>0</v>
      </c>
      <c r="T85" s="641"/>
    </row>
    <row r="86" spans="1:21" ht="12.75" customHeight="1" thickTop="1" x14ac:dyDescent="0.15">
      <c r="A86" s="367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632"/>
      <c r="R86" s="642">
        <f>'RINCIAN B. TDK LANGSUNG'!Q80</f>
        <v>0</v>
      </c>
      <c r="S86" s="644">
        <f>Q85-R85</f>
        <v>0</v>
      </c>
      <c r="T86" s="642"/>
    </row>
    <row r="87" spans="1:21" ht="12.75" customHeight="1" x14ac:dyDescent="0.15">
      <c r="A87" s="367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633"/>
      <c r="R87" s="633"/>
      <c r="S87" s="633"/>
      <c r="T87" s="633"/>
    </row>
    <row r="88" spans="1:21" ht="12.75" customHeight="1" x14ac:dyDescent="0.15">
      <c r="A88" s="367"/>
      <c r="L88" s="343"/>
      <c r="M88" s="343"/>
      <c r="P88" s="634"/>
      <c r="Q88" s="343"/>
      <c r="R88" s="343"/>
      <c r="S88" s="343">
        <f>S86-S85</f>
        <v>0</v>
      </c>
      <c r="T88" s="343"/>
    </row>
    <row r="89" spans="1:21" ht="12.75" customHeight="1" x14ac:dyDescent="0.15">
      <c r="A89" s="367"/>
      <c r="Q89" s="343"/>
      <c r="R89" s="343"/>
      <c r="S89" s="343"/>
      <c r="T89" s="343"/>
    </row>
    <row r="90" spans="1:21" ht="12.75" customHeight="1" x14ac:dyDescent="0.15">
      <c r="A90" s="367"/>
      <c r="M90" s="343"/>
    </row>
    <row r="91" spans="1:21" ht="12.75" customHeight="1" x14ac:dyDescent="0.15">
      <c r="A91" s="367"/>
    </row>
    <row r="92" spans="1:21" ht="12.75" customHeight="1" x14ac:dyDescent="0.15">
      <c r="A92" s="367"/>
      <c r="Q92" s="343"/>
      <c r="R92" s="343"/>
      <c r="S92" s="343"/>
      <c r="T92" s="343"/>
    </row>
    <row r="93" spans="1:21" ht="12.75" customHeight="1" x14ac:dyDescent="0.15">
      <c r="A93" s="367"/>
    </row>
    <row r="94" spans="1:21" s="368" customFormat="1" ht="12.75" customHeight="1" x14ac:dyDescent="0.15">
      <c r="A94" s="367"/>
      <c r="C94" s="323"/>
      <c r="D94" s="323"/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43"/>
      <c r="R94" s="343"/>
      <c r="S94" s="343"/>
      <c r="T94" s="343"/>
      <c r="U94" s="635"/>
    </row>
    <row r="95" spans="1:21" s="368" customFormat="1" ht="12.75" customHeight="1" x14ac:dyDescent="0.15">
      <c r="A95" s="367"/>
      <c r="C95" s="323"/>
      <c r="D95" s="323"/>
      <c r="E95" s="323"/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43"/>
      <c r="R95" s="343"/>
      <c r="S95" s="343"/>
      <c r="T95" s="343"/>
      <c r="U95" s="635"/>
    </row>
    <row r="96" spans="1:21" s="368" customFormat="1" ht="12.75" customHeight="1" x14ac:dyDescent="0.15">
      <c r="A96" s="367"/>
      <c r="C96" s="323"/>
      <c r="D96" s="323"/>
      <c r="E96" s="323"/>
      <c r="F96" s="323"/>
      <c r="G96" s="323"/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635"/>
    </row>
    <row r="97" spans="1:21" s="368" customFormat="1" ht="12.75" customHeight="1" x14ac:dyDescent="0.15">
      <c r="A97" s="367"/>
      <c r="C97" s="323"/>
      <c r="D97" s="323"/>
      <c r="E97" s="323"/>
      <c r="F97" s="323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635"/>
    </row>
    <row r="98" spans="1:21" s="368" customFormat="1" ht="12.75" customHeight="1" x14ac:dyDescent="0.15">
      <c r="A98" s="367"/>
      <c r="C98" s="323"/>
      <c r="D98" s="323"/>
      <c r="E98" s="323"/>
      <c r="F98" s="323"/>
      <c r="G98" s="323"/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635"/>
    </row>
    <row r="99" spans="1:21" s="368" customFormat="1" ht="12.75" customHeight="1" x14ac:dyDescent="0.15">
      <c r="A99" s="367"/>
      <c r="C99" s="323"/>
      <c r="D99" s="323"/>
      <c r="E99" s="323"/>
      <c r="F99" s="323"/>
      <c r="G99" s="323"/>
      <c r="H99" s="323"/>
      <c r="I99" s="323"/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635"/>
    </row>
    <row r="100" spans="1:21" s="368" customFormat="1" ht="12.75" customHeight="1" x14ac:dyDescent="0.15">
      <c r="A100" s="367"/>
      <c r="C100" s="323"/>
      <c r="D100" s="323"/>
      <c r="E100" s="323"/>
      <c r="F100" s="323"/>
      <c r="G100" s="323"/>
      <c r="H100" s="323"/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635"/>
    </row>
    <row r="101" spans="1:21" s="368" customFormat="1" ht="12.75" customHeight="1" x14ac:dyDescent="0.15">
      <c r="A101" s="367"/>
      <c r="C101" s="323"/>
      <c r="D101" s="323"/>
      <c r="E101" s="323"/>
      <c r="F101" s="323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635"/>
    </row>
    <row r="102" spans="1:21" s="368" customFormat="1" ht="12.75" customHeight="1" x14ac:dyDescent="0.15">
      <c r="A102" s="367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635"/>
    </row>
    <row r="103" spans="1:21" s="368" customFormat="1" ht="12.75" customHeight="1" x14ac:dyDescent="0.15">
      <c r="A103" s="367"/>
      <c r="C103" s="323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635"/>
    </row>
    <row r="104" spans="1:21" s="368" customFormat="1" ht="12.75" customHeight="1" x14ac:dyDescent="0.15">
      <c r="A104" s="367"/>
      <c r="C104" s="323"/>
      <c r="D104" s="323"/>
      <c r="E104" s="323"/>
      <c r="F104" s="323"/>
      <c r="G104" s="323"/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635"/>
    </row>
    <row r="105" spans="1:21" s="368" customFormat="1" ht="12.75" customHeight="1" x14ac:dyDescent="0.15">
      <c r="A105" s="367"/>
      <c r="C105" s="323"/>
      <c r="D105" s="323"/>
      <c r="E105" s="323"/>
      <c r="F105" s="323"/>
      <c r="G105" s="323"/>
      <c r="H105" s="323"/>
      <c r="I105" s="323"/>
      <c r="J105" s="323"/>
      <c r="K105" s="323"/>
      <c r="L105" s="323"/>
      <c r="M105" s="323"/>
      <c r="N105" s="323"/>
      <c r="O105" s="323"/>
      <c r="P105" s="323"/>
      <c r="Q105" s="323"/>
      <c r="R105" s="323"/>
      <c r="S105" s="323"/>
      <c r="T105" s="323"/>
      <c r="U105" s="635"/>
    </row>
    <row r="106" spans="1:21" s="368" customFormat="1" ht="12.75" customHeight="1" x14ac:dyDescent="0.15">
      <c r="A106" s="367"/>
      <c r="C106" s="323"/>
      <c r="D106" s="323"/>
      <c r="E106" s="323"/>
      <c r="F106" s="323"/>
      <c r="G106" s="323"/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635"/>
    </row>
    <row r="107" spans="1:21" s="368" customFormat="1" ht="12.75" customHeight="1" x14ac:dyDescent="0.15">
      <c r="A107" s="367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635"/>
    </row>
    <row r="108" spans="1:21" s="368" customFormat="1" ht="12.75" customHeight="1" x14ac:dyDescent="0.15">
      <c r="A108" s="367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635"/>
    </row>
    <row r="109" spans="1:21" s="368" customFormat="1" ht="12.75" customHeight="1" x14ac:dyDescent="0.15">
      <c r="A109" s="367"/>
      <c r="C109" s="323"/>
      <c r="D109" s="323"/>
      <c r="E109" s="323"/>
      <c r="F109" s="323"/>
      <c r="G109" s="323"/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3"/>
      <c r="T109" s="323"/>
      <c r="U109" s="635"/>
    </row>
    <row r="110" spans="1:21" s="368" customFormat="1" ht="12.75" customHeight="1" x14ac:dyDescent="0.15">
      <c r="A110" s="367"/>
      <c r="C110" s="323"/>
      <c r="D110" s="323"/>
      <c r="E110" s="323"/>
      <c r="F110" s="323"/>
      <c r="G110" s="323"/>
      <c r="H110" s="323"/>
      <c r="I110" s="323"/>
      <c r="J110" s="323"/>
      <c r="K110" s="323"/>
      <c r="L110" s="323"/>
      <c r="M110" s="323"/>
      <c r="N110" s="323"/>
      <c r="O110" s="323"/>
      <c r="P110" s="323"/>
      <c r="Q110" s="323"/>
      <c r="R110" s="323"/>
      <c r="S110" s="323"/>
      <c r="T110" s="323"/>
      <c r="U110" s="635"/>
    </row>
    <row r="111" spans="1:21" s="368" customFormat="1" ht="12.75" customHeight="1" x14ac:dyDescent="0.15">
      <c r="A111" s="367"/>
      <c r="C111" s="323"/>
      <c r="D111" s="323"/>
      <c r="E111" s="323"/>
      <c r="F111" s="323"/>
      <c r="G111" s="323"/>
      <c r="H111" s="323"/>
      <c r="I111" s="323"/>
      <c r="J111" s="323"/>
      <c r="K111" s="323"/>
      <c r="L111" s="323"/>
      <c r="M111" s="323"/>
      <c r="N111" s="323"/>
      <c r="O111" s="323"/>
      <c r="P111" s="323"/>
      <c r="Q111" s="323"/>
      <c r="R111" s="323"/>
      <c r="S111" s="323"/>
      <c r="T111" s="323"/>
      <c r="U111" s="635"/>
    </row>
    <row r="112" spans="1:21" s="368" customFormat="1" ht="12.75" customHeight="1" x14ac:dyDescent="0.15">
      <c r="A112" s="367"/>
      <c r="C112" s="323"/>
      <c r="D112" s="323"/>
      <c r="E112" s="323"/>
      <c r="F112" s="323"/>
      <c r="G112" s="323"/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3"/>
      <c r="T112" s="323"/>
      <c r="U112" s="635"/>
    </row>
    <row r="113" spans="1:21" s="368" customFormat="1" ht="12.75" customHeight="1" x14ac:dyDescent="0.15">
      <c r="A113" s="367"/>
      <c r="C113" s="323"/>
      <c r="D113" s="323"/>
      <c r="E113" s="323"/>
      <c r="F113" s="323"/>
      <c r="G113" s="323"/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635"/>
    </row>
    <row r="114" spans="1:21" s="368" customFormat="1" ht="12.75" customHeight="1" x14ac:dyDescent="0.15">
      <c r="A114" s="367"/>
      <c r="C114" s="323"/>
      <c r="D114" s="323"/>
      <c r="E114" s="323"/>
      <c r="F114" s="323"/>
      <c r="G114" s="323"/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635"/>
    </row>
    <row r="115" spans="1:21" s="368" customFormat="1" ht="12.75" customHeight="1" x14ac:dyDescent="0.15">
      <c r="A115" s="367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635"/>
    </row>
    <row r="116" spans="1:21" s="368" customFormat="1" ht="12.75" customHeight="1" x14ac:dyDescent="0.15">
      <c r="A116" s="367"/>
      <c r="C116" s="323"/>
      <c r="D116" s="323"/>
      <c r="E116" s="323"/>
      <c r="F116" s="323"/>
      <c r="G116" s="323"/>
      <c r="H116" s="323"/>
      <c r="I116" s="323"/>
      <c r="J116" s="323"/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635"/>
    </row>
    <row r="117" spans="1:21" s="368" customFormat="1" ht="12.75" customHeight="1" x14ac:dyDescent="0.15">
      <c r="A117" s="367"/>
      <c r="C117" s="323"/>
      <c r="D117" s="323"/>
      <c r="E117" s="323"/>
      <c r="F117" s="323"/>
      <c r="G117" s="323"/>
      <c r="H117" s="323"/>
      <c r="I117" s="323"/>
      <c r="J117" s="323"/>
      <c r="K117" s="323"/>
      <c r="L117" s="323"/>
      <c r="M117" s="323"/>
      <c r="N117" s="323"/>
      <c r="O117" s="323"/>
      <c r="P117" s="323"/>
      <c r="Q117" s="323"/>
      <c r="R117" s="323"/>
      <c r="S117" s="323"/>
      <c r="T117" s="323"/>
      <c r="U117" s="635"/>
    </row>
    <row r="118" spans="1:21" s="368" customFormat="1" ht="12.75" customHeight="1" x14ac:dyDescent="0.15">
      <c r="A118" s="367"/>
      <c r="C118" s="323"/>
      <c r="D118" s="323"/>
      <c r="E118" s="323"/>
      <c r="F118" s="323"/>
      <c r="G118" s="323"/>
      <c r="H118" s="323"/>
      <c r="I118" s="323"/>
      <c r="J118" s="323"/>
      <c r="K118" s="323"/>
      <c r="L118" s="323"/>
      <c r="M118" s="323"/>
      <c r="N118" s="323"/>
      <c r="O118" s="323"/>
      <c r="P118" s="323"/>
      <c r="Q118" s="323"/>
      <c r="R118" s="323"/>
      <c r="S118" s="323"/>
      <c r="T118" s="323"/>
      <c r="U118" s="635"/>
    </row>
    <row r="119" spans="1:21" s="368" customFormat="1" ht="12.75" customHeight="1" x14ac:dyDescent="0.15">
      <c r="A119" s="367"/>
      <c r="C119" s="323"/>
      <c r="D119" s="323"/>
      <c r="E119" s="323"/>
      <c r="F119" s="323"/>
      <c r="G119" s="323"/>
      <c r="H119" s="323"/>
      <c r="I119" s="323"/>
      <c r="J119" s="323"/>
      <c r="K119" s="323"/>
      <c r="L119" s="323"/>
      <c r="M119" s="323"/>
      <c r="N119" s="323"/>
      <c r="O119" s="323"/>
      <c r="P119" s="323"/>
      <c r="Q119" s="323"/>
      <c r="R119" s="323"/>
      <c r="S119" s="323"/>
      <c r="T119" s="323"/>
      <c r="U119" s="635"/>
    </row>
    <row r="120" spans="1:21" s="368" customFormat="1" ht="12.75" customHeight="1" x14ac:dyDescent="0.15">
      <c r="A120" s="367"/>
      <c r="C120" s="323"/>
      <c r="D120" s="323"/>
      <c r="E120" s="323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635"/>
    </row>
    <row r="121" spans="1:21" s="368" customFormat="1" ht="12.75" customHeight="1" x14ac:dyDescent="0.15">
      <c r="A121" s="367"/>
      <c r="C121" s="323"/>
      <c r="D121" s="323"/>
      <c r="E121" s="323"/>
      <c r="F121" s="323"/>
      <c r="G121" s="323"/>
      <c r="H121" s="323"/>
      <c r="I121" s="323"/>
      <c r="J121" s="323"/>
      <c r="K121" s="323"/>
      <c r="L121" s="323"/>
      <c r="M121" s="323"/>
      <c r="N121" s="323"/>
      <c r="O121" s="323"/>
      <c r="P121" s="323"/>
      <c r="Q121" s="323"/>
      <c r="R121" s="323"/>
      <c r="S121" s="323"/>
      <c r="T121" s="323"/>
      <c r="U121" s="635"/>
    </row>
    <row r="122" spans="1:21" s="368" customFormat="1" ht="12.75" customHeight="1" x14ac:dyDescent="0.15">
      <c r="A122" s="367"/>
      <c r="C122" s="323"/>
      <c r="D122" s="323"/>
      <c r="E122" s="323"/>
      <c r="F122" s="323"/>
      <c r="G122" s="323"/>
      <c r="H122" s="323"/>
      <c r="I122" s="323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323"/>
      <c r="U122" s="635"/>
    </row>
    <row r="123" spans="1:21" s="368" customFormat="1" ht="12.75" customHeight="1" x14ac:dyDescent="0.15">
      <c r="A123" s="367"/>
      <c r="C123" s="323"/>
      <c r="D123" s="323"/>
      <c r="E123" s="323"/>
      <c r="F123" s="323"/>
      <c r="G123" s="323"/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635"/>
    </row>
    <row r="124" spans="1:21" s="368" customFormat="1" ht="12.75" customHeight="1" x14ac:dyDescent="0.15">
      <c r="A124" s="367"/>
      <c r="C124" s="323"/>
      <c r="D124" s="323"/>
      <c r="E124" s="323"/>
      <c r="F124" s="323"/>
      <c r="G124" s="323"/>
      <c r="H124" s="323"/>
      <c r="I124" s="323"/>
      <c r="J124" s="323"/>
      <c r="K124" s="323"/>
      <c r="L124" s="323"/>
      <c r="M124" s="323"/>
      <c r="N124" s="323"/>
      <c r="O124" s="323"/>
      <c r="P124" s="323"/>
      <c r="Q124" s="323"/>
      <c r="R124" s="323"/>
      <c r="S124" s="323"/>
      <c r="T124" s="323"/>
      <c r="U124" s="635"/>
    </row>
    <row r="125" spans="1:21" s="368" customFormat="1" ht="12.75" customHeight="1" x14ac:dyDescent="0.15">
      <c r="A125" s="367"/>
      <c r="C125" s="323"/>
      <c r="D125" s="323"/>
      <c r="E125" s="323"/>
      <c r="F125" s="323"/>
      <c r="G125" s="323"/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635"/>
    </row>
    <row r="126" spans="1:21" s="368" customFormat="1" ht="12.75" customHeight="1" x14ac:dyDescent="0.15">
      <c r="A126" s="367"/>
      <c r="C126" s="323"/>
      <c r="D126" s="323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635"/>
    </row>
    <row r="127" spans="1:21" s="368" customFormat="1" ht="12.75" customHeight="1" x14ac:dyDescent="0.15">
      <c r="A127" s="367"/>
      <c r="C127" s="323"/>
      <c r="D127" s="323"/>
      <c r="E127" s="323"/>
      <c r="F127" s="323"/>
      <c r="G127" s="323"/>
      <c r="H127" s="323"/>
      <c r="I127" s="323"/>
      <c r="J127" s="323"/>
      <c r="K127" s="323"/>
      <c r="L127" s="323"/>
      <c r="M127" s="323"/>
      <c r="N127" s="323"/>
      <c r="O127" s="323"/>
      <c r="P127" s="323"/>
      <c r="Q127" s="323"/>
      <c r="R127" s="323"/>
      <c r="S127" s="323"/>
      <c r="T127" s="323"/>
      <c r="U127" s="635"/>
    </row>
    <row r="128" spans="1:21" s="368" customFormat="1" ht="12.75" customHeight="1" x14ac:dyDescent="0.15">
      <c r="A128" s="367"/>
      <c r="C128" s="323"/>
      <c r="D128" s="323"/>
      <c r="E128" s="323"/>
      <c r="F128" s="323"/>
      <c r="G128" s="323"/>
      <c r="H128" s="323"/>
      <c r="I128" s="323"/>
      <c r="J128" s="323"/>
      <c r="K128" s="323"/>
      <c r="L128" s="323"/>
      <c r="M128" s="323"/>
      <c r="N128" s="323"/>
      <c r="O128" s="323"/>
      <c r="P128" s="323"/>
      <c r="Q128" s="323"/>
      <c r="R128" s="323"/>
      <c r="S128" s="323"/>
      <c r="T128" s="323"/>
      <c r="U128" s="635"/>
    </row>
    <row r="129" spans="1:21" s="368" customFormat="1" ht="12.75" customHeight="1" x14ac:dyDescent="0.15">
      <c r="A129" s="367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635"/>
    </row>
    <row r="130" spans="1:21" s="368" customFormat="1" ht="12.75" customHeight="1" x14ac:dyDescent="0.15">
      <c r="A130" s="367"/>
      <c r="C130" s="323"/>
      <c r="D130" s="323"/>
      <c r="E130" s="323"/>
      <c r="F130" s="323"/>
      <c r="G130" s="323"/>
      <c r="H130" s="323"/>
      <c r="I130" s="323"/>
      <c r="J130" s="323"/>
      <c r="K130" s="323"/>
      <c r="L130" s="323"/>
      <c r="M130" s="323"/>
      <c r="N130" s="323"/>
      <c r="O130" s="323"/>
      <c r="P130" s="323"/>
      <c r="Q130" s="323"/>
      <c r="R130" s="323"/>
      <c r="S130" s="323"/>
      <c r="T130" s="323"/>
      <c r="U130" s="635"/>
    </row>
    <row r="131" spans="1:21" s="368" customFormat="1" ht="12.75" customHeight="1" x14ac:dyDescent="0.15">
      <c r="A131" s="367"/>
      <c r="C131" s="323"/>
      <c r="D131" s="323"/>
      <c r="E131" s="323"/>
      <c r="F131" s="323"/>
      <c r="G131" s="323"/>
      <c r="H131" s="323"/>
      <c r="I131" s="323"/>
      <c r="J131" s="323"/>
      <c r="K131" s="323"/>
      <c r="L131" s="323"/>
      <c r="M131" s="323"/>
      <c r="N131" s="323"/>
      <c r="O131" s="323"/>
      <c r="P131" s="323"/>
      <c r="Q131" s="323"/>
      <c r="R131" s="323"/>
      <c r="S131" s="323"/>
      <c r="T131" s="323"/>
      <c r="U131" s="635"/>
    </row>
    <row r="132" spans="1:21" s="368" customFormat="1" ht="12.75" customHeight="1" x14ac:dyDescent="0.15">
      <c r="A132" s="367"/>
      <c r="C132" s="323"/>
      <c r="D132" s="323"/>
      <c r="E132" s="323"/>
      <c r="F132" s="323"/>
      <c r="G132" s="323"/>
      <c r="H132" s="323"/>
      <c r="I132" s="323"/>
      <c r="J132" s="323"/>
      <c r="K132" s="323"/>
      <c r="L132" s="323"/>
      <c r="M132" s="323"/>
      <c r="N132" s="323"/>
      <c r="O132" s="323"/>
      <c r="P132" s="323"/>
      <c r="Q132" s="323"/>
      <c r="R132" s="323"/>
      <c r="S132" s="323"/>
      <c r="T132" s="323"/>
      <c r="U132" s="635"/>
    </row>
    <row r="133" spans="1:21" s="368" customFormat="1" ht="12.75" customHeight="1" x14ac:dyDescent="0.15">
      <c r="A133" s="367"/>
      <c r="C133" s="323"/>
      <c r="D133" s="323"/>
      <c r="E133" s="323"/>
      <c r="F133" s="323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635"/>
    </row>
    <row r="134" spans="1:21" s="368" customFormat="1" ht="12.75" customHeight="1" x14ac:dyDescent="0.15">
      <c r="A134" s="367"/>
      <c r="C134" s="323"/>
      <c r="D134" s="323"/>
      <c r="E134" s="323"/>
      <c r="F134" s="323"/>
      <c r="G134" s="323"/>
      <c r="H134" s="323"/>
      <c r="I134" s="323"/>
      <c r="J134" s="323"/>
      <c r="K134" s="323"/>
      <c r="L134" s="323"/>
      <c r="M134" s="323"/>
      <c r="N134" s="323"/>
      <c r="O134" s="323"/>
      <c r="P134" s="323"/>
      <c r="Q134" s="323"/>
      <c r="R134" s="323"/>
      <c r="S134" s="323"/>
      <c r="T134" s="323"/>
      <c r="U134" s="635"/>
    </row>
    <row r="135" spans="1:21" s="368" customFormat="1" ht="12.75" customHeight="1" x14ac:dyDescent="0.15">
      <c r="A135" s="367"/>
      <c r="C135" s="323"/>
      <c r="D135" s="323"/>
      <c r="E135" s="323"/>
      <c r="F135" s="323"/>
      <c r="G135" s="323"/>
      <c r="H135" s="323"/>
      <c r="I135" s="323"/>
      <c r="J135" s="323"/>
      <c r="K135" s="323"/>
      <c r="L135" s="323"/>
      <c r="M135" s="323"/>
      <c r="N135" s="323"/>
      <c r="O135" s="323"/>
      <c r="P135" s="323"/>
      <c r="Q135" s="323"/>
      <c r="R135" s="323"/>
      <c r="S135" s="323"/>
      <c r="T135" s="323"/>
      <c r="U135" s="635"/>
    </row>
    <row r="136" spans="1:21" s="368" customFormat="1" ht="12.75" customHeight="1" x14ac:dyDescent="0.15">
      <c r="A136" s="367"/>
      <c r="C136" s="323"/>
      <c r="D136" s="323"/>
      <c r="E136" s="323"/>
      <c r="F136" s="323"/>
      <c r="G136" s="323"/>
      <c r="H136" s="323"/>
      <c r="I136" s="323"/>
      <c r="J136" s="323"/>
      <c r="K136" s="323"/>
      <c r="L136" s="323"/>
      <c r="M136" s="323"/>
      <c r="N136" s="323"/>
      <c r="O136" s="323"/>
      <c r="P136" s="323"/>
      <c r="Q136" s="323"/>
      <c r="R136" s="323"/>
      <c r="S136" s="323"/>
      <c r="T136" s="323"/>
      <c r="U136" s="635"/>
    </row>
    <row r="137" spans="1:21" s="368" customFormat="1" ht="12.75" customHeight="1" x14ac:dyDescent="0.15">
      <c r="A137" s="367"/>
      <c r="C137" s="323"/>
      <c r="D137" s="323"/>
      <c r="E137" s="323"/>
      <c r="F137" s="323"/>
      <c r="G137" s="323"/>
      <c r="H137" s="323"/>
      <c r="I137" s="323"/>
      <c r="J137" s="323"/>
      <c r="K137" s="323"/>
      <c r="L137" s="323"/>
      <c r="M137" s="323"/>
      <c r="N137" s="323"/>
      <c r="O137" s="323"/>
      <c r="P137" s="323"/>
      <c r="Q137" s="323"/>
      <c r="R137" s="323"/>
      <c r="S137" s="323"/>
      <c r="T137" s="323"/>
      <c r="U137" s="635"/>
    </row>
    <row r="138" spans="1:21" s="368" customFormat="1" ht="12.75" customHeight="1" x14ac:dyDescent="0.15">
      <c r="A138" s="367"/>
      <c r="C138" s="323"/>
      <c r="D138" s="323"/>
      <c r="E138" s="323"/>
      <c r="F138" s="323"/>
      <c r="G138" s="323"/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635"/>
    </row>
    <row r="139" spans="1:21" s="368" customFormat="1" ht="12.75" customHeight="1" x14ac:dyDescent="0.15">
      <c r="A139" s="367"/>
      <c r="C139" s="323"/>
      <c r="D139" s="323"/>
      <c r="E139" s="323"/>
      <c r="F139" s="323"/>
      <c r="G139" s="323"/>
      <c r="H139" s="323"/>
      <c r="I139" s="323"/>
      <c r="J139" s="323"/>
      <c r="K139" s="323"/>
      <c r="L139" s="323"/>
      <c r="M139" s="323"/>
      <c r="N139" s="323"/>
      <c r="O139" s="323"/>
      <c r="P139" s="323"/>
      <c r="Q139" s="323"/>
      <c r="R139" s="323"/>
      <c r="S139" s="323"/>
      <c r="T139" s="323"/>
      <c r="U139" s="635"/>
    </row>
  </sheetData>
  <mergeCells count="26">
    <mergeCell ref="B9:D10"/>
    <mergeCell ref="E9:P9"/>
    <mergeCell ref="L2:M2"/>
    <mergeCell ref="P2:Q2"/>
    <mergeCell ref="A5:Q5"/>
    <mergeCell ref="A6:Q6"/>
    <mergeCell ref="P8:Q8"/>
    <mergeCell ref="B60:D60"/>
    <mergeCell ref="B11:D11"/>
    <mergeCell ref="B17:D17"/>
    <mergeCell ref="B30:D30"/>
    <mergeCell ref="B32:D32"/>
    <mergeCell ref="B38:D38"/>
    <mergeCell ref="B39:D39"/>
    <mergeCell ref="B43:D43"/>
    <mergeCell ref="B48:D48"/>
    <mergeCell ref="B49:D49"/>
    <mergeCell ref="B55:D55"/>
    <mergeCell ref="B56:D56"/>
    <mergeCell ref="B85:D85"/>
    <mergeCell ref="B61:D61"/>
    <mergeCell ref="B62:D62"/>
    <mergeCell ref="B79:D79"/>
    <mergeCell ref="B82:D82"/>
    <mergeCell ref="B83:D83"/>
    <mergeCell ref="B84:D84"/>
  </mergeCells>
  <pageMargins left="0.39370078740157483" right="0.31496062992125984" top="0.78740157480314965" bottom="0.59055118110236227" header="0.31496062992125984" footer="0.31496062992125984"/>
  <pageSetup paperSize="9" scale="97" firstPageNumber="35" orientation="landscape" useFirstPageNumber="1" horizontalDpi="4294967293" verticalDpi="300" r:id="rId1"/>
  <headerFooter>
    <oddFooter>&amp;C&amp;"Times New Roman,Regular"&amp;10~ &amp;P ~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B494-66EB-4305-BE15-E614A5BCCA9D}">
  <sheetPr>
    <tabColor rgb="FFFF0000"/>
  </sheetPr>
  <dimension ref="A5:B31"/>
  <sheetViews>
    <sheetView workbookViewId="0">
      <selection activeCell="K17" sqref="K17"/>
    </sheetView>
  </sheetViews>
  <sheetFormatPr defaultRowHeight="15" x14ac:dyDescent="0.25"/>
  <cols>
    <col min="1" max="1" width="34.140625" customWidth="1"/>
    <col min="2" max="2" width="20.85546875" customWidth="1"/>
  </cols>
  <sheetData>
    <row r="5" spans="1:2" x14ac:dyDescent="0.25">
      <c r="A5" t="str">
        <f>'RINCIAN B. LANGSUNG USAHA'!B37</f>
        <v>Beban Pegawai</v>
      </c>
      <c r="B5" s="646">
        <f>'P-9. Beban Operasi'!Q52+'P-9. Beban Operasi'!Q53+'P-9. Beban Operasi'!Q54+'P-9. Beban Operasi'!Q55+'P-9. Beban Operasi'!Q56+'P-9. Beban Operasi'!Q58+'P-9. Beban Operasi'!Q59+'P-9. Beban Operasi'!Q60+'P-9. Beban Operasi'!Q61+'P-9. Beban Operasi'!Q63+'P-9. Beban Operasi'!Q64</f>
        <v>0</v>
      </c>
    </row>
    <row r="6" spans="1:2" x14ac:dyDescent="0.25">
      <c r="B6" s="646">
        <f>'P-9. Beban Operasi'!Q118-'P-9. Beban Operasi'!Q115-'P-9. Beban Operasi'!Q116-'P-9. Beban Operasi'!Q117</f>
        <v>0</v>
      </c>
    </row>
    <row r="7" spans="1:2" x14ac:dyDescent="0.25">
      <c r="B7" s="646">
        <f>'P-10. Beban Umum &amp; Adm'!Q30+'P-10. Beban Umum &amp; Adm'!Q68-B24</f>
        <v>0</v>
      </c>
    </row>
    <row r="8" spans="1:2" x14ac:dyDescent="0.25">
      <c r="B8" s="647">
        <f>SUM(B5:B7)</f>
        <v>0</v>
      </c>
    </row>
    <row r="11" spans="1:2" x14ac:dyDescent="0.25">
      <c r="A11" s="124" t="s">
        <v>77</v>
      </c>
      <c r="B11" s="646">
        <f>'P-9. Beban Operasi'!Q33</f>
        <v>0</v>
      </c>
    </row>
    <row r="12" spans="1:2" x14ac:dyDescent="0.25">
      <c r="A12" s="124" t="s">
        <v>563</v>
      </c>
      <c r="B12" s="646">
        <f>'P-9. Beban Operasi'!Q87</f>
        <v>0</v>
      </c>
    </row>
    <row r="13" spans="1:2" x14ac:dyDescent="0.25">
      <c r="A13" s="124" t="s">
        <v>306</v>
      </c>
      <c r="B13" s="646">
        <f>'P-10. Beban Umum &amp; Adm'!Q48</f>
        <v>0</v>
      </c>
    </row>
    <row r="14" spans="1:2" x14ac:dyDescent="0.25">
      <c r="A14" s="124" t="s">
        <v>80</v>
      </c>
      <c r="B14" s="646">
        <f>'P-9. Beban Operasi'!Q44+'P-9. Beban Operasi'!Q96+'P-9. Beban Operasi'!Q126+'P-10. Beban Umum &amp; Adm'!Q62</f>
        <v>0</v>
      </c>
    </row>
    <row r="15" spans="1:2" x14ac:dyDescent="0.25">
      <c r="A15" s="124" t="s">
        <v>642</v>
      </c>
      <c r="B15">
        <v>0</v>
      </c>
    </row>
    <row r="16" spans="1:2" x14ac:dyDescent="0.25">
      <c r="A16" s="124" t="s">
        <v>627</v>
      </c>
      <c r="B16" s="646">
        <f>'P-9. Beban Operasi'!Q132+'P-10. Beban Umum &amp; Adm'!Q84-B17</f>
        <v>0</v>
      </c>
    </row>
    <row r="17" spans="1:2" x14ac:dyDescent="0.25">
      <c r="A17" s="124" t="s">
        <v>624</v>
      </c>
    </row>
    <row r="18" spans="1:2" x14ac:dyDescent="0.25">
      <c r="A18" s="124" t="s">
        <v>625</v>
      </c>
      <c r="B18" s="646">
        <f>'P-10. Beban Umum &amp; Adm'!Q67</f>
        <v>0</v>
      </c>
    </row>
    <row r="19" spans="1:2" x14ac:dyDescent="0.25">
      <c r="A19" s="124" t="s">
        <v>79</v>
      </c>
      <c r="B19" s="646">
        <f>'P-9. Beban Operasi'!Q34+'P-9. Beban Operasi'!Q88+'P-9. Beban Operasi'!Q115</f>
        <v>0</v>
      </c>
    </row>
    <row r="20" spans="1:2" x14ac:dyDescent="0.25">
      <c r="A20" s="124" t="s">
        <v>564</v>
      </c>
      <c r="B20" s="646">
        <f>'P-9. Beban Operasi'!Q28+'P-9. Beban Operasi'!Q116</f>
        <v>0</v>
      </c>
    </row>
    <row r="21" spans="1:2" x14ac:dyDescent="0.25">
      <c r="A21" s="124" t="s">
        <v>75</v>
      </c>
      <c r="B21" s="646">
        <f>'P-10. Beban Umum &amp; Adm'!Q43</f>
        <v>0</v>
      </c>
    </row>
    <row r="22" spans="1:2" x14ac:dyDescent="0.25">
      <c r="A22" s="124" t="s">
        <v>565</v>
      </c>
      <c r="B22" s="646">
        <f>'P-10. Beban Umum &amp; Adm'!Q55</f>
        <v>0</v>
      </c>
    </row>
    <row r="23" spans="1:2" x14ac:dyDescent="0.25">
      <c r="A23" s="124" t="s">
        <v>626</v>
      </c>
      <c r="B23" s="646">
        <f>'P-9. Beban Operasi'!Q45</f>
        <v>0</v>
      </c>
    </row>
    <row r="24" spans="1:2" x14ac:dyDescent="0.25">
      <c r="A24" s="124" t="s">
        <v>646</v>
      </c>
      <c r="B24" s="646">
        <f>'P-10. Beban Umum &amp; Adm'!Q29</f>
        <v>0</v>
      </c>
    </row>
    <row r="25" spans="1:2" x14ac:dyDescent="0.25">
      <c r="A25" s="124" t="s">
        <v>82</v>
      </c>
      <c r="B25" s="646">
        <f>'P-9. Beban Operasi'!Q35+'P-9. Beban Operasi'!Q89+'P-9. Beban Operasi'!Q117+'P-10. Beban Umum &amp; Adm'!Q82-'P-10. Beban Umum &amp; Adm'!Q68-B18</f>
        <v>0</v>
      </c>
    </row>
    <row r="26" spans="1:2" x14ac:dyDescent="0.25">
      <c r="A26" s="124" t="s">
        <v>860</v>
      </c>
      <c r="B26" s="646">
        <f>'P-9. Beban Operasi'!Q130</f>
        <v>0</v>
      </c>
    </row>
    <row r="27" spans="1:2" x14ac:dyDescent="0.25">
      <c r="B27" s="647">
        <f>SUM(B8:B26)</f>
        <v>0</v>
      </c>
    </row>
    <row r="29" spans="1:2" x14ac:dyDescent="0.25">
      <c r="B29" s="646"/>
    </row>
    <row r="31" spans="1:2" x14ac:dyDescent="0.25">
      <c r="B31" s="646">
        <f>B27-B29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D740-BC15-4584-855F-CFE9FFD93EEE}">
  <sheetPr>
    <tabColor rgb="FFFFFF00"/>
  </sheetPr>
  <dimension ref="A1:U151"/>
  <sheetViews>
    <sheetView showGridLines="0" showWhiteSpace="0" view="pageBreakPreview" topLeftCell="B1" zoomScale="130" zoomScaleNormal="130" zoomScaleSheetLayoutView="130" zoomScalePageLayoutView="110" workbookViewId="0">
      <pane ySplit="10" topLeftCell="A20" activePane="bottomLeft" state="frozen"/>
      <selection pane="bottomLeft" activeCell="S32" sqref="S32"/>
    </sheetView>
  </sheetViews>
  <sheetFormatPr defaultColWidth="9.140625" defaultRowHeight="12.75" customHeight="1" x14ac:dyDescent="0.15"/>
  <cols>
    <col min="1" max="1" width="5.7109375" style="323" customWidth="1"/>
    <col min="2" max="2" width="2.85546875" style="368" customWidth="1"/>
    <col min="3" max="3" width="3.140625" style="323" customWidth="1"/>
    <col min="4" max="4" width="20.42578125" style="323" customWidth="1"/>
    <col min="5" max="16" width="9.28515625" style="323" customWidth="1"/>
    <col min="17" max="17" width="11.28515625" style="323" bestFit="1" customWidth="1"/>
    <col min="18" max="18" width="14" style="370" customWidth="1"/>
    <col min="19" max="20" width="14.140625" style="323" customWidth="1"/>
    <col min="21" max="21" width="12.28515625" style="323" customWidth="1"/>
    <col min="22" max="16384" width="9.140625" style="323"/>
  </cols>
  <sheetData>
    <row r="1" spans="1:20" s="318" customFormat="1" ht="12.75" customHeight="1" x14ac:dyDescent="0.2">
      <c r="A1" s="449" t="s">
        <v>34</v>
      </c>
      <c r="B1" s="450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13"/>
    </row>
    <row r="2" spans="1:20" s="318" customFormat="1" ht="12.75" customHeight="1" x14ac:dyDescent="0.2">
      <c r="A2" s="449" t="s">
        <v>111</v>
      </c>
      <c r="B2" s="450"/>
      <c r="C2" s="449"/>
      <c r="D2" s="449"/>
      <c r="E2" s="449"/>
      <c r="F2" s="449"/>
      <c r="G2" s="449"/>
      <c r="H2" s="449"/>
      <c r="I2" s="449"/>
      <c r="J2" s="449"/>
      <c r="K2" s="875"/>
      <c r="L2" s="876"/>
      <c r="M2" s="449"/>
      <c r="N2" s="876"/>
      <c r="O2" s="876"/>
      <c r="P2" s="449"/>
      <c r="Q2" s="319" t="s">
        <v>594</v>
      </c>
      <c r="R2" s="413"/>
    </row>
    <row r="3" spans="1:20" s="318" customFormat="1" ht="12.75" customHeight="1" x14ac:dyDescent="0.2">
      <c r="A3" s="449"/>
      <c r="B3" s="450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320"/>
      <c r="R3" s="413"/>
    </row>
    <row r="4" spans="1:20" s="318" customFormat="1" ht="12.75" customHeight="1" x14ac:dyDescent="0.2">
      <c r="A4" s="876" t="s">
        <v>595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  <c r="R4" s="876"/>
    </row>
    <row r="5" spans="1:20" s="318" customFormat="1" ht="12.75" customHeight="1" x14ac:dyDescent="0.2">
      <c r="A5" s="876" t="s">
        <v>660</v>
      </c>
      <c r="B5" s="876"/>
      <c r="C5" s="876"/>
      <c r="D5" s="876"/>
      <c r="E5" s="876"/>
      <c r="F5" s="876"/>
      <c r="G5" s="876"/>
      <c r="H5" s="876"/>
      <c r="I5" s="876"/>
      <c r="J5" s="876"/>
      <c r="K5" s="876"/>
      <c r="L5" s="876"/>
      <c r="M5" s="876"/>
      <c r="N5" s="876"/>
      <c r="O5" s="876"/>
      <c r="P5" s="876"/>
      <c r="Q5" s="876"/>
      <c r="R5" s="876"/>
    </row>
    <row r="6" spans="1:20" s="318" customFormat="1" ht="7.5" customHeight="1" x14ac:dyDescent="0.2">
      <c r="A6" s="413"/>
      <c r="B6" s="413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</row>
    <row r="7" spans="1:20" s="318" customFormat="1" ht="12.75" customHeight="1" thickBot="1" x14ac:dyDescent="0.3">
      <c r="A7" s="451" t="s">
        <v>14</v>
      </c>
      <c r="B7" s="413"/>
      <c r="C7" s="413"/>
      <c r="D7" s="413"/>
      <c r="E7" s="413"/>
      <c r="F7" s="413"/>
      <c r="G7" s="413"/>
      <c r="H7" s="413"/>
      <c r="I7" s="413"/>
      <c r="J7" s="413"/>
      <c r="K7" s="413"/>
      <c r="L7" s="413"/>
      <c r="M7" s="413"/>
      <c r="N7" s="413"/>
      <c r="O7" s="413"/>
      <c r="P7" s="413"/>
      <c r="Q7" s="413"/>
      <c r="R7" s="413"/>
    </row>
    <row r="8" spans="1:20" ht="15.75" customHeight="1" thickTop="1" x14ac:dyDescent="0.15">
      <c r="A8" s="322" t="s">
        <v>350</v>
      </c>
      <c r="B8" s="880" t="s">
        <v>30</v>
      </c>
      <c r="C8" s="880"/>
      <c r="D8" s="880"/>
      <c r="E8" s="894" t="s">
        <v>351</v>
      </c>
      <c r="F8" s="894"/>
      <c r="G8" s="894"/>
      <c r="H8" s="894"/>
      <c r="I8" s="894"/>
      <c r="J8" s="894"/>
      <c r="K8" s="894"/>
      <c r="L8" s="894"/>
      <c r="M8" s="894"/>
      <c r="N8" s="894"/>
      <c r="O8" s="894"/>
      <c r="P8" s="894"/>
      <c r="Q8" s="414" t="s">
        <v>12</v>
      </c>
      <c r="R8" s="897" t="s">
        <v>352</v>
      </c>
      <c r="S8" s="474" t="s">
        <v>608</v>
      </c>
      <c r="T8" s="474" t="s">
        <v>623</v>
      </c>
    </row>
    <row r="9" spans="1:20" ht="14.25" customHeight="1" x14ac:dyDescent="0.15">
      <c r="A9" s="324" t="s">
        <v>353</v>
      </c>
      <c r="B9" s="881"/>
      <c r="C9" s="881"/>
      <c r="D9" s="881"/>
      <c r="E9" s="415">
        <v>1</v>
      </c>
      <c r="F9" s="415">
        <v>2</v>
      </c>
      <c r="G9" s="415">
        <v>3</v>
      </c>
      <c r="H9" s="415">
        <v>4</v>
      </c>
      <c r="I9" s="415">
        <v>5</v>
      </c>
      <c r="J9" s="415">
        <v>6</v>
      </c>
      <c r="K9" s="415">
        <v>7</v>
      </c>
      <c r="L9" s="415">
        <v>8</v>
      </c>
      <c r="M9" s="415">
        <v>9</v>
      </c>
      <c r="N9" s="415">
        <v>10</v>
      </c>
      <c r="O9" s="415">
        <v>11</v>
      </c>
      <c r="P9" s="415">
        <v>12</v>
      </c>
      <c r="Q9" s="325">
        <v>2023</v>
      </c>
      <c r="R9" s="898"/>
      <c r="S9" s="475">
        <v>2023</v>
      </c>
      <c r="T9" s="475">
        <v>2023</v>
      </c>
    </row>
    <row r="10" spans="1:20" ht="15.75" customHeight="1" x14ac:dyDescent="0.15">
      <c r="A10" s="326">
        <v>1</v>
      </c>
      <c r="B10" s="882">
        <v>2</v>
      </c>
      <c r="C10" s="882"/>
      <c r="D10" s="882"/>
      <c r="E10" s="416">
        <v>3</v>
      </c>
      <c r="F10" s="416">
        <v>4</v>
      </c>
      <c r="G10" s="416">
        <v>5</v>
      </c>
      <c r="H10" s="416">
        <v>6</v>
      </c>
      <c r="I10" s="416">
        <v>7</v>
      </c>
      <c r="J10" s="416">
        <v>8</v>
      </c>
      <c r="K10" s="416">
        <v>9</v>
      </c>
      <c r="L10" s="416">
        <v>10</v>
      </c>
      <c r="M10" s="416">
        <v>11</v>
      </c>
      <c r="N10" s="416">
        <v>12</v>
      </c>
      <c r="O10" s="416">
        <v>13</v>
      </c>
      <c r="P10" s="416">
        <v>14</v>
      </c>
      <c r="Q10" s="416">
        <v>15</v>
      </c>
      <c r="R10" s="327">
        <v>16</v>
      </c>
      <c r="S10" s="476">
        <v>17</v>
      </c>
      <c r="T10" s="476">
        <v>17</v>
      </c>
    </row>
    <row r="11" spans="1:20" ht="15.75" customHeight="1" x14ac:dyDescent="0.15">
      <c r="A11" s="328" t="s">
        <v>325</v>
      </c>
      <c r="B11" s="329" t="s">
        <v>354</v>
      </c>
      <c r="C11" s="330"/>
      <c r="D11" s="331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3">
        <f t="shared" ref="Q11:Q12" si="0">SUM(F11:P11)</f>
        <v>0</v>
      </c>
      <c r="R11" s="352"/>
      <c r="S11" s="471"/>
      <c r="T11" s="471"/>
    </row>
    <row r="12" spans="1:20" ht="15.75" customHeight="1" x14ac:dyDescent="0.15">
      <c r="A12" s="335" t="s">
        <v>355</v>
      </c>
      <c r="B12" s="407" t="s">
        <v>356</v>
      </c>
      <c r="C12" s="336"/>
      <c r="D12" s="337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>
        <f t="shared" si="0"/>
        <v>0</v>
      </c>
      <c r="R12" s="352"/>
      <c r="S12" s="472"/>
      <c r="T12" s="472"/>
    </row>
    <row r="13" spans="1:20" ht="15.75" customHeight="1" x14ac:dyDescent="0.15">
      <c r="A13" s="335" t="s">
        <v>357</v>
      </c>
      <c r="B13" s="407" t="s">
        <v>358</v>
      </c>
      <c r="C13" s="336"/>
      <c r="D13" s="337"/>
      <c r="E13" s="333"/>
      <c r="F13" s="333"/>
      <c r="G13" s="333"/>
      <c r="H13" s="333"/>
      <c r="I13" s="333"/>
      <c r="J13" s="333">
        <v>3000000</v>
      </c>
      <c r="K13" s="333">
        <v>3000000</v>
      </c>
      <c r="L13" s="333">
        <v>3000000</v>
      </c>
      <c r="M13" s="333">
        <v>3000000</v>
      </c>
      <c r="N13" s="333">
        <v>3000000</v>
      </c>
      <c r="O13" s="333"/>
      <c r="P13" s="333"/>
      <c r="Q13" s="333">
        <f t="shared" ref="Q13:Q16" si="1">SUM(E13:P13)</f>
        <v>15000000</v>
      </c>
      <c r="R13" s="352" t="s">
        <v>359</v>
      </c>
      <c r="S13" s="473">
        <f>'RINCIAN B. LANGSUNG USAHA'!Q13</f>
        <v>0</v>
      </c>
      <c r="T13" s="473">
        <f>Q13-S13</f>
        <v>15000000</v>
      </c>
    </row>
    <row r="14" spans="1:20" ht="15.75" customHeight="1" x14ac:dyDescent="0.15">
      <c r="A14" s="335" t="s">
        <v>360</v>
      </c>
      <c r="B14" s="407" t="s">
        <v>361</v>
      </c>
      <c r="C14" s="336"/>
      <c r="D14" s="337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>
        <f t="shared" si="1"/>
        <v>0</v>
      </c>
      <c r="R14" s="463"/>
      <c r="S14" s="472"/>
      <c r="T14" s="473"/>
    </row>
    <row r="15" spans="1:20" ht="15.75" customHeight="1" x14ac:dyDescent="0.15">
      <c r="A15" s="335"/>
      <c r="B15" s="407"/>
      <c r="C15" s="336" t="s">
        <v>596</v>
      </c>
      <c r="D15" s="337"/>
      <c r="E15" s="333">
        <f>16000*35</f>
        <v>560000</v>
      </c>
      <c r="F15" s="333">
        <f t="shared" ref="F15:P15" si="2">16000*35</f>
        <v>560000</v>
      </c>
      <c r="G15" s="333">
        <f t="shared" si="2"/>
        <v>560000</v>
      </c>
      <c r="H15" s="333">
        <f t="shared" si="2"/>
        <v>560000</v>
      </c>
      <c r="I15" s="333">
        <f t="shared" si="2"/>
        <v>560000</v>
      </c>
      <c r="J15" s="333">
        <f t="shared" si="2"/>
        <v>560000</v>
      </c>
      <c r="K15" s="333">
        <f t="shared" si="2"/>
        <v>560000</v>
      </c>
      <c r="L15" s="333">
        <f t="shared" si="2"/>
        <v>560000</v>
      </c>
      <c r="M15" s="333">
        <f t="shared" si="2"/>
        <v>560000</v>
      </c>
      <c r="N15" s="333">
        <f t="shared" si="2"/>
        <v>560000</v>
      </c>
      <c r="O15" s="333">
        <f t="shared" si="2"/>
        <v>560000</v>
      </c>
      <c r="P15" s="333">
        <f t="shared" si="2"/>
        <v>560000</v>
      </c>
      <c r="Q15" s="333">
        <f t="shared" si="1"/>
        <v>6720000</v>
      </c>
      <c r="R15" s="464"/>
      <c r="S15" s="472"/>
      <c r="T15" s="473"/>
    </row>
    <row r="16" spans="1:20" ht="15.75" customHeight="1" x14ac:dyDescent="0.15">
      <c r="A16" s="335"/>
      <c r="B16" s="407"/>
      <c r="C16" s="336" t="s">
        <v>597</v>
      </c>
      <c r="D16" s="337"/>
      <c r="E16" s="333"/>
      <c r="F16" s="333"/>
      <c r="G16" s="333"/>
      <c r="H16" s="333"/>
      <c r="I16" s="333"/>
      <c r="J16" s="333">
        <f>16000*1300</f>
        <v>20800000</v>
      </c>
      <c r="K16" s="333">
        <f t="shared" ref="K16:N16" si="3">16000*1300</f>
        <v>20800000</v>
      </c>
      <c r="L16" s="333">
        <f t="shared" si="3"/>
        <v>20800000</v>
      </c>
      <c r="M16" s="333">
        <f t="shared" si="3"/>
        <v>20800000</v>
      </c>
      <c r="N16" s="333">
        <f t="shared" si="3"/>
        <v>20800000</v>
      </c>
      <c r="O16" s="333"/>
      <c r="P16" s="333"/>
      <c r="Q16" s="333">
        <f t="shared" si="1"/>
        <v>104000000</v>
      </c>
      <c r="R16" s="464"/>
      <c r="S16" s="472"/>
      <c r="T16" s="473"/>
    </row>
    <row r="17" spans="1:21" s="418" customFormat="1" ht="15.75" customHeight="1" x14ac:dyDescent="0.15">
      <c r="A17" s="362"/>
      <c r="B17" s="363"/>
      <c r="C17" s="357" t="s">
        <v>611</v>
      </c>
      <c r="D17" s="358"/>
      <c r="E17" s="342">
        <f>SUM(E15:E16)</f>
        <v>560000</v>
      </c>
      <c r="F17" s="342">
        <f t="shared" ref="F17:P17" si="4">SUM(F15:F16)</f>
        <v>560000</v>
      </c>
      <c r="G17" s="342">
        <f t="shared" si="4"/>
        <v>560000</v>
      </c>
      <c r="H17" s="342">
        <f t="shared" si="4"/>
        <v>560000</v>
      </c>
      <c r="I17" s="342">
        <f t="shared" si="4"/>
        <v>560000</v>
      </c>
      <c r="J17" s="342">
        <f t="shared" si="4"/>
        <v>21360000</v>
      </c>
      <c r="K17" s="342">
        <f t="shared" si="4"/>
        <v>21360000</v>
      </c>
      <c r="L17" s="342">
        <f t="shared" si="4"/>
        <v>21360000</v>
      </c>
      <c r="M17" s="342">
        <f t="shared" si="4"/>
        <v>21360000</v>
      </c>
      <c r="N17" s="342">
        <f t="shared" si="4"/>
        <v>21360000</v>
      </c>
      <c r="O17" s="342">
        <f t="shared" si="4"/>
        <v>560000</v>
      </c>
      <c r="P17" s="342">
        <f t="shared" si="4"/>
        <v>560000</v>
      </c>
      <c r="Q17" s="342">
        <f>SUM(Q15:Q16)</f>
        <v>110720000</v>
      </c>
      <c r="R17" s="464" t="s">
        <v>362</v>
      </c>
      <c r="S17" s="473">
        <f>'RINCIAN B. LANGSUNG USAHA'!Q18</f>
        <v>0</v>
      </c>
      <c r="T17" s="473">
        <f t="shared" ref="T17:T24" si="5">Q17-S17</f>
        <v>110720000</v>
      </c>
    </row>
    <row r="18" spans="1:21" ht="15.75" customHeight="1" x14ac:dyDescent="0.15">
      <c r="A18" s="335" t="s">
        <v>363</v>
      </c>
      <c r="B18" s="407" t="s">
        <v>364</v>
      </c>
      <c r="C18" s="336"/>
      <c r="D18" s="337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>
        <f>SUM(E18:P18)</f>
        <v>0</v>
      </c>
      <c r="R18" s="465"/>
      <c r="S18" s="472"/>
      <c r="T18" s="473">
        <f t="shared" si="5"/>
        <v>0</v>
      </c>
    </row>
    <row r="19" spans="1:21" ht="15.75" customHeight="1" x14ac:dyDescent="0.15">
      <c r="A19" s="335"/>
      <c r="B19" s="407"/>
      <c r="C19" s="336" t="s">
        <v>612</v>
      </c>
      <c r="D19" s="337"/>
      <c r="E19" s="333">
        <v>49000000</v>
      </c>
      <c r="F19" s="333">
        <v>49000000</v>
      </c>
      <c r="G19" s="333">
        <v>49000000</v>
      </c>
      <c r="H19" s="333">
        <v>49000000</v>
      </c>
      <c r="I19" s="333">
        <v>49000000</v>
      </c>
      <c r="J19" s="333">
        <v>49000000</v>
      </c>
      <c r="K19" s="333">
        <v>49000000</v>
      </c>
      <c r="L19" s="333">
        <v>49000000</v>
      </c>
      <c r="M19" s="333">
        <v>49000000</v>
      </c>
      <c r="N19" s="333">
        <v>49000000</v>
      </c>
      <c r="O19" s="333">
        <v>49000000</v>
      </c>
      <c r="P19" s="333">
        <v>49000000</v>
      </c>
      <c r="Q19" s="333">
        <f>SUM(E19:P19)</f>
        <v>588000000</v>
      </c>
      <c r="R19" s="465"/>
      <c r="S19" s="472"/>
      <c r="T19" s="473"/>
    </row>
    <row r="20" spans="1:21" ht="15.75" customHeight="1" x14ac:dyDescent="0.15">
      <c r="A20" s="335"/>
      <c r="B20" s="407"/>
      <c r="C20" s="336" t="s">
        <v>613</v>
      </c>
      <c r="D20" s="337"/>
      <c r="E20" s="333">
        <v>9000000</v>
      </c>
      <c r="F20" s="333">
        <v>9000000</v>
      </c>
      <c r="G20" s="333">
        <v>9000000</v>
      </c>
      <c r="H20" s="333">
        <v>9000000</v>
      </c>
      <c r="I20" s="333">
        <v>9000000</v>
      </c>
      <c r="J20" s="333">
        <v>9000000</v>
      </c>
      <c r="K20" s="333">
        <v>9000000</v>
      </c>
      <c r="L20" s="333">
        <v>9000000</v>
      </c>
      <c r="M20" s="333">
        <v>9000000</v>
      </c>
      <c r="N20" s="333">
        <v>9000000</v>
      </c>
      <c r="O20" s="333">
        <v>9000000</v>
      </c>
      <c r="P20" s="333">
        <v>9000000</v>
      </c>
      <c r="Q20" s="333">
        <f>SUM(E20:P20)</f>
        <v>108000000</v>
      </c>
      <c r="R20" s="465"/>
      <c r="S20" s="472"/>
      <c r="T20" s="473"/>
    </row>
    <row r="21" spans="1:21" ht="15.75" customHeight="1" x14ac:dyDescent="0.15">
      <c r="A21" s="335"/>
      <c r="B21" s="407"/>
      <c r="C21" s="336" t="s">
        <v>614</v>
      </c>
      <c r="D21" s="337"/>
      <c r="E21" s="333">
        <v>22000000</v>
      </c>
      <c r="F21" s="333">
        <v>22000000</v>
      </c>
      <c r="G21" s="333">
        <v>22000000</v>
      </c>
      <c r="H21" s="333">
        <v>22000000</v>
      </c>
      <c r="I21" s="333">
        <v>22000000</v>
      </c>
      <c r="J21" s="333">
        <v>22000000</v>
      </c>
      <c r="K21" s="333">
        <v>22000000</v>
      </c>
      <c r="L21" s="333">
        <v>22000000</v>
      </c>
      <c r="M21" s="333">
        <v>22000000</v>
      </c>
      <c r="N21" s="333">
        <v>22000000</v>
      </c>
      <c r="O21" s="333">
        <v>22000000</v>
      </c>
      <c r="P21" s="333">
        <v>22000000</v>
      </c>
      <c r="Q21" s="333">
        <f>SUM(E21:P21)</f>
        <v>264000000</v>
      </c>
      <c r="R21" s="465"/>
      <c r="S21" s="472"/>
      <c r="T21" s="473"/>
    </row>
    <row r="22" spans="1:21" s="418" customFormat="1" ht="15.75" customHeight="1" x14ac:dyDescent="0.15">
      <c r="A22" s="362"/>
      <c r="B22" s="363"/>
      <c r="C22" s="357" t="s">
        <v>615</v>
      </c>
      <c r="D22" s="358"/>
      <c r="E22" s="342">
        <f>SUM(E19:E21)</f>
        <v>80000000</v>
      </c>
      <c r="F22" s="342">
        <f t="shared" ref="F22:P22" si="6">SUM(F19:F21)</f>
        <v>80000000</v>
      </c>
      <c r="G22" s="342">
        <f t="shared" si="6"/>
        <v>80000000</v>
      </c>
      <c r="H22" s="342">
        <f t="shared" si="6"/>
        <v>80000000</v>
      </c>
      <c r="I22" s="342">
        <f t="shared" si="6"/>
        <v>80000000</v>
      </c>
      <c r="J22" s="342">
        <f t="shared" si="6"/>
        <v>80000000</v>
      </c>
      <c r="K22" s="342">
        <f t="shared" si="6"/>
        <v>80000000</v>
      </c>
      <c r="L22" s="342">
        <f t="shared" si="6"/>
        <v>80000000</v>
      </c>
      <c r="M22" s="342">
        <f t="shared" si="6"/>
        <v>80000000</v>
      </c>
      <c r="N22" s="342">
        <f t="shared" si="6"/>
        <v>80000000</v>
      </c>
      <c r="O22" s="342">
        <f t="shared" si="6"/>
        <v>80000000</v>
      </c>
      <c r="P22" s="342">
        <f t="shared" si="6"/>
        <v>80000000</v>
      </c>
      <c r="Q22" s="342">
        <f>SUM(Q19:Q21)</f>
        <v>960000000</v>
      </c>
      <c r="R22" s="465" t="s">
        <v>365</v>
      </c>
      <c r="S22" s="473">
        <f>'RINCIAN B. LANGSUNG USAHA'!Q19</f>
        <v>0</v>
      </c>
      <c r="T22" s="473">
        <f t="shared" si="5"/>
        <v>960000000</v>
      </c>
    </row>
    <row r="23" spans="1:21" ht="15.75" customHeight="1" x14ac:dyDescent="0.15">
      <c r="A23" s="335" t="s">
        <v>366</v>
      </c>
      <c r="B23" s="341" t="s">
        <v>598</v>
      </c>
      <c r="C23" s="336"/>
      <c r="D23" s="337"/>
      <c r="E23" s="333">
        <v>500000</v>
      </c>
      <c r="F23" s="333">
        <v>0</v>
      </c>
      <c r="G23" s="333">
        <v>0</v>
      </c>
      <c r="H23" s="333">
        <v>500000</v>
      </c>
      <c r="I23" s="333">
        <v>0</v>
      </c>
      <c r="J23" s="333">
        <v>500000</v>
      </c>
      <c r="K23" s="333">
        <v>0</v>
      </c>
      <c r="L23" s="333">
        <v>500000</v>
      </c>
      <c r="M23" s="333">
        <v>0</v>
      </c>
      <c r="N23" s="333">
        <v>0</v>
      </c>
      <c r="O23" s="333">
        <v>500000</v>
      </c>
      <c r="P23" s="333">
        <v>0</v>
      </c>
      <c r="Q23" s="333">
        <f>SUM(E23:P23)</f>
        <v>2500000</v>
      </c>
      <c r="R23" s="465" t="s">
        <v>368</v>
      </c>
      <c r="S23" s="473">
        <f>'RINCIAN B. LANGSUNG USAHA'!Q20</f>
        <v>0</v>
      </c>
      <c r="T23" s="473">
        <f t="shared" si="5"/>
        <v>2500000</v>
      </c>
    </row>
    <row r="24" spans="1:21" ht="15.75" customHeight="1" x14ac:dyDescent="0.15">
      <c r="A24" s="335" t="s">
        <v>369</v>
      </c>
      <c r="B24" s="341" t="s">
        <v>370</v>
      </c>
      <c r="C24" s="336"/>
      <c r="D24" s="337"/>
      <c r="E24" s="333">
        <v>250000</v>
      </c>
      <c r="F24" s="333">
        <v>250000</v>
      </c>
      <c r="G24" s="333">
        <v>250000</v>
      </c>
      <c r="H24" s="333">
        <v>250000</v>
      </c>
      <c r="I24" s="333">
        <v>250000</v>
      </c>
      <c r="J24" s="333">
        <v>250000</v>
      </c>
      <c r="K24" s="333">
        <v>250000</v>
      </c>
      <c r="L24" s="333">
        <v>250000</v>
      </c>
      <c r="M24" s="333">
        <v>250000</v>
      </c>
      <c r="N24" s="333">
        <v>250000</v>
      </c>
      <c r="O24" s="333">
        <v>250000</v>
      </c>
      <c r="P24" s="333">
        <v>250000</v>
      </c>
      <c r="Q24" s="333">
        <f t="shared" ref="Q24" si="7">SUM(E24:P24)</f>
        <v>3000000</v>
      </c>
      <c r="R24" s="352" t="s">
        <v>371</v>
      </c>
      <c r="S24" s="473">
        <f>'RINCIAN B. LANGSUNG USAHA'!Q21</f>
        <v>0</v>
      </c>
      <c r="T24" s="473">
        <f t="shared" si="5"/>
        <v>3000000</v>
      </c>
    </row>
    <row r="25" spans="1:21" ht="17.25" customHeight="1" x14ac:dyDescent="0.15">
      <c r="A25" s="344"/>
      <c r="B25" s="866" t="s">
        <v>372</v>
      </c>
      <c r="C25" s="867"/>
      <c r="D25" s="868"/>
      <c r="E25" s="377">
        <f>E12+E13+E17+E22+E23+E24</f>
        <v>81310000</v>
      </c>
      <c r="F25" s="377">
        <f t="shared" ref="F25:P25" si="8">F12+F13+F17+F22+F23+F24</f>
        <v>80810000</v>
      </c>
      <c r="G25" s="377">
        <f t="shared" si="8"/>
        <v>80810000</v>
      </c>
      <c r="H25" s="377">
        <f t="shared" si="8"/>
        <v>81310000</v>
      </c>
      <c r="I25" s="377">
        <f t="shared" si="8"/>
        <v>80810000</v>
      </c>
      <c r="J25" s="377">
        <f t="shared" si="8"/>
        <v>105110000</v>
      </c>
      <c r="K25" s="377">
        <f t="shared" si="8"/>
        <v>104610000</v>
      </c>
      <c r="L25" s="377">
        <f t="shared" si="8"/>
        <v>105110000</v>
      </c>
      <c r="M25" s="377">
        <f t="shared" si="8"/>
        <v>104610000</v>
      </c>
      <c r="N25" s="377">
        <f t="shared" si="8"/>
        <v>104610000</v>
      </c>
      <c r="O25" s="377">
        <f t="shared" si="8"/>
        <v>81310000</v>
      </c>
      <c r="P25" s="377">
        <f t="shared" si="8"/>
        <v>80810000</v>
      </c>
      <c r="Q25" s="377">
        <f>SUM(E25:P25)</f>
        <v>1091220000</v>
      </c>
      <c r="R25" s="446"/>
      <c r="S25" s="481">
        <f>SUM(S13:S24)</f>
        <v>0</v>
      </c>
      <c r="T25" s="481">
        <f>SUM(T13:T24)</f>
        <v>1091220000</v>
      </c>
      <c r="U25" s="343"/>
    </row>
    <row r="26" spans="1:21" ht="15.75" customHeight="1" x14ac:dyDescent="0.15">
      <c r="A26" s="335" t="s">
        <v>373</v>
      </c>
      <c r="B26" s="407" t="s">
        <v>374</v>
      </c>
      <c r="C26" s="336"/>
      <c r="D26" s="337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52"/>
      <c r="S26" s="472"/>
      <c r="T26" s="472"/>
    </row>
    <row r="27" spans="1:21" ht="15.75" customHeight="1" x14ac:dyDescent="0.15">
      <c r="A27" s="335" t="s">
        <v>375</v>
      </c>
      <c r="B27" s="407" t="s">
        <v>376</v>
      </c>
      <c r="C27" s="336"/>
      <c r="D27" s="337"/>
      <c r="E27" s="333"/>
      <c r="F27" s="333"/>
      <c r="G27" s="333"/>
      <c r="H27" s="333"/>
      <c r="I27" s="333"/>
      <c r="J27" s="333"/>
      <c r="K27" s="333"/>
      <c r="L27" s="333"/>
      <c r="M27" s="333">
        <v>10000000</v>
      </c>
      <c r="N27" s="333"/>
      <c r="O27" s="333"/>
      <c r="P27" s="333"/>
      <c r="Q27" s="333">
        <f t="shared" ref="Q27:Q59" si="9">SUM(E27:P27)</f>
        <v>10000000</v>
      </c>
      <c r="R27" s="352"/>
      <c r="S27" s="473">
        <f>'RINCIAN B. LANGSUNG USAHA'!Q24</f>
        <v>0</v>
      </c>
      <c r="T27" s="473">
        <f>Q27-S27</f>
        <v>10000000</v>
      </c>
    </row>
    <row r="28" spans="1:21" ht="15.75" customHeight="1" x14ac:dyDescent="0.15">
      <c r="A28" s="335" t="s">
        <v>378</v>
      </c>
      <c r="B28" s="407" t="s">
        <v>379</v>
      </c>
      <c r="C28" s="336"/>
      <c r="D28" s="337"/>
      <c r="E28" s="333"/>
      <c r="F28" s="333"/>
      <c r="G28" s="333"/>
      <c r="H28" s="333"/>
      <c r="I28" s="333"/>
      <c r="J28" s="333"/>
      <c r="K28" s="333"/>
      <c r="L28" s="452"/>
      <c r="M28" s="333"/>
      <c r="N28" s="333"/>
      <c r="O28" s="333"/>
      <c r="P28" s="333"/>
      <c r="Q28" s="333">
        <f t="shared" si="9"/>
        <v>0</v>
      </c>
      <c r="R28" s="352"/>
      <c r="S28" s="473">
        <f>'RINCIAN B. LANGSUNG USAHA'!Q25</f>
        <v>0</v>
      </c>
      <c r="T28" s="473">
        <f t="shared" ref="T28:T32" si="10">Q28-S28</f>
        <v>0</v>
      </c>
    </row>
    <row r="29" spans="1:21" ht="15.75" customHeight="1" x14ac:dyDescent="0.15">
      <c r="A29" s="335" t="s">
        <v>380</v>
      </c>
      <c r="B29" s="407" t="s">
        <v>381</v>
      </c>
      <c r="C29" s="336"/>
      <c r="D29" s="337"/>
      <c r="E29" s="333">
        <v>500000</v>
      </c>
      <c r="F29" s="333">
        <v>500000</v>
      </c>
      <c r="G29" s="333">
        <v>500000</v>
      </c>
      <c r="H29" s="333">
        <v>500000</v>
      </c>
      <c r="I29" s="333">
        <v>500000</v>
      </c>
      <c r="J29" s="333">
        <v>500000</v>
      </c>
      <c r="K29" s="333">
        <v>500000</v>
      </c>
      <c r="L29" s="333">
        <v>500000</v>
      </c>
      <c r="M29" s="333">
        <v>500000</v>
      </c>
      <c r="N29" s="333">
        <v>500000</v>
      </c>
      <c r="O29" s="333">
        <v>500000</v>
      </c>
      <c r="P29" s="333">
        <v>500000</v>
      </c>
      <c r="Q29" s="333">
        <f t="shared" si="9"/>
        <v>6000000</v>
      </c>
      <c r="R29" s="352"/>
      <c r="S29" s="473">
        <f>'RINCIAN B. LANGSUNG USAHA'!Q26</f>
        <v>0</v>
      </c>
      <c r="T29" s="473">
        <f t="shared" si="10"/>
        <v>6000000</v>
      </c>
    </row>
    <row r="30" spans="1:21" ht="15.75" customHeight="1" x14ac:dyDescent="0.15">
      <c r="A30" s="335" t="s">
        <v>382</v>
      </c>
      <c r="B30" s="407" t="s">
        <v>383</v>
      </c>
      <c r="C30" s="336"/>
      <c r="D30" s="337"/>
      <c r="E30" s="333"/>
      <c r="F30" s="333">
        <v>1500000</v>
      </c>
      <c r="G30" s="333"/>
      <c r="H30" s="333"/>
      <c r="I30" s="333"/>
      <c r="J30" s="333"/>
      <c r="K30" s="333"/>
      <c r="L30" s="333"/>
      <c r="M30" s="333"/>
      <c r="N30" s="333"/>
      <c r="O30" s="333">
        <v>1500000</v>
      </c>
      <c r="P30" s="333"/>
      <c r="Q30" s="333">
        <f t="shared" si="9"/>
        <v>3000000</v>
      </c>
      <c r="R30" s="352"/>
      <c r="S30" s="473">
        <f>'RINCIAN B. LANGSUNG USAHA'!Q27</f>
        <v>0</v>
      </c>
      <c r="T30" s="473">
        <f t="shared" si="10"/>
        <v>3000000</v>
      </c>
    </row>
    <row r="31" spans="1:21" ht="15.75" customHeight="1" x14ac:dyDescent="0.15">
      <c r="A31" s="335" t="s">
        <v>384</v>
      </c>
      <c r="B31" s="407" t="s">
        <v>385</v>
      </c>
      <c r="C31" s="336"/>
      <c r="D31" s="337"/>
      <c r="E31" s="333">
        <v>16500000</v>
      </c>
      <c r="F31" s="333">
        <v>16500000</v>
      </c>
      <c r="G31" s="333"/>
      <c r="H31" s="333"/>
      <c r="I31" s="333"/>
      <c r="J31" s="333">
        <v>16500000</v>
      </c>
      <c r="K31" s="333">
        <v>16500000</v>
      </c>
      <c r="L31" s="333"/>
      <c r="M31" s="333"/>
      <c r="N31" s="333">
        <v>16500000</v>
      </c>
      <c r="O31" s="333"/>
      <c r="P31" s="333"/>
      <c r="Q31" s="333">
        <f t="shared" si="9"/>
        <v>82500000</v>
      </c>
      <c r="R31" s="352"/>
      <c r="S31" s="473">
        <f>'RINCIAN B. LANGSUNG USAHA'!Q28</f>
        <v>0</v>
      </c>
      <c r="T31" s="473">
        <f t="shared" si="10"/>
        <v>82500000</v>
      </c>
    </row>
    <row r="32" spans="1:21" ht="15.75" customHeight="1" x14ac:dyDescent="0.15">
      <c r="A32" s="335" t="s">
        <v>386</v>
      </c>
      <c r="B32" s="407" t="s">
        <v>387</v>
      </c>
      <c r="C32" s="336"/>
      <c r="D32" s="337"/>
      <c r="E32" s="333">
        <v>500000</v>
      </c>
      <c r="F32" s="333">
        <v>500000</v>
      </c>
      <c r="G32" s="333">
        <v>500000</v>
      </c>
      <c r="H32" s="333">
        <v>500000</v>
      </c>
      <c r="I32" s="333">
        <v>500000</v>
      </c>
      <c r="J32" s="333">
        <v>500000</v>
      </c>
      <c r="K32" s="333">
        <v>500000</v>
      </c>
      <c r="L32" s="333">
        <v>500000</v>
      </c>
      <c r="M32" s="333">
        <v>500000</v>
      </c>
      <c r="N32" s="333">
        <v>500000</v>
      </c>
      <c r="O32" s="333">
        <v>500000</v>
      </c>
      <c r="P32" s="333">
        <v>500000</v>
      </c>
      <c r="Q32" s="333">
        <f t="shared" si="9"/>
        <v>6000000</v>
      </c>
      <c r="R32" s="352"/>
      <c r="S32" s="473">
        <f>'RINCIAN B. LANGSUNG USAHA'!Q29</f>
        <v>0</v>
      </c>
      <c r="T32" s="473">
        <f t="shared" si="10"/>
        <v>6000000</v>
      </c>
    </row>
    <row r="33" spans="1:21" ht="15.75" customHeight="1" x14ac:dyDescent="0.15">
      <c r="A33" s="344"/>
      <c r="B33" s="866" t="s">
        <v>388</v>
      </c>
      <c r="C33" s="867"/>
      <c r="D33" s="868"/>
      <c r="E33" s="377">
        <f>SUM(E27:E32)</f>
        <v>17500000</v>
      </c>
      <c r="F33" s="377">
        <f t="shared" ref="F33:P33" si="11">SUM(F27:F32)</f>
        <v>19000000</v>
      </c>
      <c r="G33" s="377">
        <f t="shared" si="11"/>
        <v>1000000</v>
      </c>
      <c r="H33" s="377">
        <f t="shared" si="11"/>
        <v>1000000</v>
      </c>
      <c r="I33" s="377">
        <f t="shared" si="11"/>
        <v>1000000</v>
      </c>
      <c r="J33" s="377">
        <f>SUM(J27:J32)</f>
        <v>17500000</v>
      </c>
      <c r="K33" s="377">
        <f t="shared" si="11"/>
        <v>17500000</v>
      </c>
      <c r="L33" s="377">
        <f>SUM(L27:L32)</f>
        <v>1000000</v>
      </c>
      <c r="M33" s="377">
        <f t="shared" si="11"/>
        <v>11000000</v>
      </c>
      <c r="N33" s="377">
        <f t="shared" si="11"/>
        <v>17500000</v>
      </c>
      <c r="O33" s="377">
        <f t="shared" si="11"/>
        <v>2500000</v>
      </c>
      <c r="P33" s="377">
        <f t="shared" si="11"/>
        <v>1000000</v>
      </c>
      <c r="Q33" s="377">
        <f t="shared" si="9"/>
        <v>107500000</v>
      </c>
      <c r="R33" s="446" t="s">
        <v>377</v>
      </c>
      <c r="S33" s="377">
        <f>SUM(S27:S32)</f>
        <v>0</v>
      </c>
      <c r="T33" s="377">
        <f>SUM(T27:T32)</f>
        <v>107500000</v>
      </c>
      <c r="U33" s="343"/>
    </row>
    <row r="34" spans="1:21" ht="16.5" customHeight="1" x14ac:dyDescent="0.15">
      <c r="A34" s="335" t="s">
        <v>389</v>
      </c>
      <c r="B34" s="407" t="s">
        <v>390</v>
      </c>
      <c r="C34" s="336"/>
      <c r="D34" s="337"/>
      <c r="E34" s="333"/>
      <c r="F34" s="359"/>
      <c r="G34" s="333">
        <f>(121889+53632+870246)*150*10%</f>
        <v>15686505</v>
      </c>
      <c r="H34" s="333"/>
      <c r="I34" s="333"/>
      <c r="J34" s="333"/>
      <c r="K34" s="333"/>
      <c r="L34" s="333"/>
      <c r="M34" s="333"/>
      <c r="N34" s="333"/>
      <c r="O34" s="333"/>
      <c r="P34" s="333"/>
      <c r="Q34" s="345">
        <f t="shared" si="9"/>
        <v>15686505</v>
      </c>
      <c r="R34" s="466" t="s">
        <v>661</v>
      </c>
      <c r="S34" s="480">
        <f>'RINCIAN B. LANGSUNG USAHA'!Q31</f>
        <v>0</v>
      </c>
      <c r="T34" s="480">
        <f>Q34-S34</f>
        <v>15686505</v>
      </c>
    </row>
    <row r="35" spans="1:21" ht="16.5" customHeight="1" x14ac:dyDescent="0.15">
      <c r="A35" s="344"/>
      <c r="B35" s="872" t="s">
        <v>391</v>
      </c>
      <c r="C35" s="873"/>
      <c r="D35" s="874"/>
      <c r="E35" s="345">
        <f>E33+E25+E34</f>
        <v>98810000</v>
      </c>
      <c r="F35" s="345">
        <f t="shared" ref="F35:P35" si="12">F33+F25+F34</f>
        <v>99810000</v>
      </c>
      <c r="G35" s="345">
        <f t="shared" si="12"/>
        <v>97496505</v>
      </c>
      <c r="H35" s="345">
        <f t="shared" si="12"/>
        <v>82310000</v>
      </c>
      <c r="I35" s="345">
        <f t="shared" si="12"/>
        <v>81810000</v>
      </c>
      <c r="J35" s="345">
        <f t="shared" si="12"/>
        <v>122610000</v>
      </c>
      <c r="K35" s="345">
        <f t="shared" si="12"/>
        <v>122110000</v>
      </c>
      <c r="L35" s="345">
        <f>L33+L25+L34</f>
        <v>106110000</v>
      </c>
      <c r="M35" s="345">
        <f t="shared" si="12"/>
        <v>115610000</v>
      </c>
      <c r="N35" s="345">
        <f t="shared" si="12"/>
        <v>122110000</v>
      </c>
      <c r="O35" s="345">
        <f t="shared" si="12"/>
        <v>83810000</v>
      </c>
      <c r="P35" s="345">
        <f t="shared" si="12"/>
        <v>81810000</v>
      </c>
      <c r="Q35" s="333">
        <f t="shared" si="9"/>
        <v>1214406505</v>
      </c>
      <c r="R35" s="467"/>
      <c r="S35" s="480">
        <f>S34+S33+S25</f>
        <v>0</v>
      </c>
      <c r="T35" s="480">
        <f t="shared" ref="T35:T36" si="13">Q35-S35</f>
        <v>1214406505</v>
      </c>
    </row>
    <row r="36" spans="1:21" ht="18" customHeight="1" x14ac:dyDescent="0.15">
      <c r="A36" s="344" t="s">
        <v>331</v>
      </c>
      <c r="B36" s="417" t="s">
        <v>392</v>
      </c>
      <c r="C36" s="349"/>
      <c r="D36" s="350"/>
      <c r="E36" s="345">
        <f>9180831+18140880+1000000</f>
        <v>28321711</v>
      </c>
      <c r="F36" s="345">
        <f t="shared" ref="F36:P36" si="14">9180831+18140880+1000000</f>
        <v>28321711</v>
      </c>
      <c r="G36" s="345">
        <f t="shared" si="14"/>
        <v>28321711</v>
      </c>
      <c r="H36" s="345">
        <f t="shared" si="14"/>
        <v>28321711</v>
      </c>
      <c r="I36" s="345">
        <f t="shared" si="14"/>
        <v>28321711</v>
      </c>
      <c r="J36" s="345">
        <f t="shared" si="14"/>
        <v>28321711</v>
      </c>
      <c r="K36" s="345">
        <f t="shared" si="14"/>
        <v>28321711</v>
      </c>
      <c r="L36" s="345">
        <f t="shared" si="14"/>
        <v>28321711</v>
      </c>
      <c r="M36" s="345">
        <f t="shared" si="14"/>
        <v>28321711</v>
      </c>
      <c r="N36" s="345">
        <f t="shared" si="14"/>
        <v>28321711</v>
      </c>
      <c r="O36" s="345">
        <f t="shared" si="14"/>
        <v>28321711</v>
      </c>
      <c r="P36" s="345">
        <f t="shared" si="14"/>
        <v>28321711</v>
      </c>
      <c r="Q36" s="345">
        <f t="shared" si="9"/>
        <v>339860532</v>
      </c>
      <c r="R36" s="465" t="s">
        <v>393</v>
      </c>
      <c r="S36" s="480">
        <f>'RINCIAN B. LANGSUNG USAHA'!Q33</f>
        <v>0</v>
      </c>
      <c r="T36" s="480">
        <f t="shared" si="13"/>
        <v>339860532</v>
      </c>
    </row>
    <row r="37" spans="1:21" ht="20.25" customHeight="1" x14ac:dyDescent="0.15">
      <c r="A37" s="344"/>
      <c r="B37" s="857" t="s">
        <v>394</v>
      </c>
      <c r="C37" s="858"/>
      <c r="D37" s="859"/>
      <c r="E37" s="345">
        <f>SUM(E35:E36)</f>
        <v>127131711</v>
      </c>
      <c r="F37" s="345">
        <f t="shared" ref="F37:P37" si="15">SUM(F35:F36)</f>
        <v>128131711</v>
      </c>
      <c r="G37" s="345">
        <f t="shared" si="15"/>
        <v>125818216</v>
      </c>
      <c r="H37" s="345">
        <f t="shared" si="15"/>
        <v>110631711</v>
      </c>
      <c r="I37" s="345">
        <f t="shared" si="15"/>
        <v>110131711</v>
      </c>
      <c r="J37" s="345">
        <f t="shared" si="15"/>
        <v>150931711</v>
      </c>
      <c r="K37" s="345">
        <f t="shared" si="15"/>
        <v>150431711</v>
      </c>
      <c r="L37" s="345">
        <f t="shared" si="15"/>
        <v>134431711</v>
      </c>
      <c r="M37" s="345">
        <f t="shared" si="15"/>
        <v>143931711</v>
      </c>
      <c r="N37" s="345">
        <f t="shared" si="15"/>
        <v>150431711</v>
      </c>
      <c r="O37" s="345">
        <f t="shared" si="15"/>
        <v>112131711</v>
      </c>
      <c r="P37" s="345">
        <f t="shared" si="15"/>
        <v>110131711</v>
      </c>
      <c r="Q37" s="345">
        <f t="shared" si="9"/>
        <v>1554267037</v>
      </c>
      <c r="R37" s="447"/>
      <c r="S37" s="480">
        <f>SUM(S35:S36)</f>
        <v>0</v>
      </c>
      <c r="T37" s="480">
        <f>SUM(T35:T36)</f>
        <v>1554267037</v>
      </c>
      <c r="U37" s="343"/>
    </row>
    <row r="38" spans="1:21" ht="32.25" customHeight="1" x14ac:dyDescent="0.15">
      <c r="A38" s="453"/>
      <c r="B38" s="453"/>
      <c r="C38" s="453"/>
      <c r="D38" s="453"/>
      <c r="E38" s="454"/>
      <c r="F38" s="454"/>
      <c r="G38" s="454"/>
      <c r="H38" s="454"/>
      <c r="I38" s="454"/>
      <c r="J38" s="454"/>
      <c r="K38" s="454"/>
      <c r="L38" s="454"/>
      <c r="M38" s="454"/>
      <c r="N38" s="454"/>
      <c r="O38" s="454"/>
      <c r="P38" s="454"/>
      <c r="Q38" s="454">
        <f t="shared" si="9"/>
        <v>0</v>
      </c>
      <c r="R38" s="455"/>
      <c r="S38" s="472"/>
      <c r="T38" s="472"/>
    </row>
    <row r="39" spans="1:21" ht="12" customHeight="1" x14ac:dyDescent="0.15">
      <c r="A39" s="355" t="s">
        <v>326</v>
      </c>
      <c r="B39" s="410" t="s">
        <v>395</v>
      </c>
      <c r="C39" s="330"/>
      <c r="D39" s="331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>
        <f t="shared" si="9"/>
        <v>0</v>
      </c>
      <c r="R39" s="468"/>
      <c r="S39" s="472"/>
      <c r="T39" s="472"/>
    </row>
    <row r="40" spans="1:21" ht="15.75" customHeight="1" x14ac:dyDescent="0.15">
      <c r="A40" s="335" t="s">
        <v>396</v>
      </c>
      <c r="B40" s="407" t="s">
        <v>358</v>
      </c>
      <c r="C40" s="336"/>
      <c r="D40" s="337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464"/>
      <c r="S40" s="472"/>
      <c r="T40" s="472"/>
    </row>
    <row r="41" spans="1:21" ht="15.75" customHeight="1" x14ac:dyDescent="0.15">
      <c r="A41" s="335"/>
      <c r="B41" s="407"/>
      <c r="C41" s="336" t="s">
        <v>612</v>
      </c>
      <c r="D41" s="337"/>
      <c r="E41" s="333">
        <v>26500000</v>
      </c>
      <c r="F41" s="333">
        <v>26500000</v>
      </c>
      <c r="G41" s="333">
        <v>26500000</v>
      </c>
      <c r="H41" s="333">
        <v>26500000</v>
      </c>
      <c r="I41" s="333">
        <v>26500000</v>
      </c>
      <c r="J41" s="333">
        <v>26500000</v>
      </c>
      <c r="K41" s="333">
        <v>26500000</v>
      </c>
      <c r="L41" s="333">
        <v>26500000</v>
      </c>
      <c r="M41" s="333">
        <v>26500000</v>
      </c>
      <c r="N41" s="333">
        <v>26500000</v>
      </c>
      <c r="O41" s="333">
        <v>26500000</v>
      </c>
      <c r="P41" s="333">
        <v>26500000</v>
      </c>
      <c r="Q41" s="333">
        <f t="shared" si="9"/>
        <v>318000000</v>
      </c>
      <c r="R41" s="464"/>
      <c r="S41" s="472"/>
      <c r="T41" s="472"/>
    </row>
    <row r="42" spans="1:21" ht="15.75" customHeight="1" x14ac:dyDescent="0.15">
      <c r="A42" s="335"/>
      <c r="B42" s="407"/>
      <c r="C42" s="336" t="s">
        <v>613</v>
      </c>
      <c r="D42" s="337"/>
      <c r="E42" s="333">
        <f>14000000</f>
        <v>14000000</v>
      </c>
      <c r="F42" s="333">
        <f t="shared" ref="F42:P42" si="16">14000000</f>
        <v>14000000</v>
      </c>
      <c r="G42" s="333">
        <f t="shared" si="16"/>
        <v>14000000</v>
      </c>
      <c r="H42" s="333">
        <f t="shared" si="16"/>
        <v>14000000</v>
      </c>
      <c r="I42" s="333">
        <f t="shared" si="16"/>
        <v>14000000</v>
      </c>
      <c r="J42" s="333">
        <f t="shared" si="16"/>
        <v>14000000</v>
      </c>
      <c r="K42" s="333">
        <f t="shared" si="16"/>
        <v>14000000</v>
      </c>
      <c r="L42" s="333">
        <f t="shared" si="16"/>
        <v>14000000</v>
      </c>
      <c r="M42" s="333">
        <f t="shared" si="16"/>
        <v>14000000</v>
      </c>
      <c r="N42" s="333">
        <f t="shared" si="16"/>
        <v>14000000</v>
      </c>
      <c r="O42" s="333">
        <f t="shared" si="16"/>
        <v>14000000</v>
      </c>
      <c r="P42" s="333">
        <f t="shared" si="16"/>
        <v>14000000</v>
      </c>
      <c r="Q42" s="333">
        <f t="shared" si="9"/>
        <v>168000000</v>
      </c>
      <c r="R42" s="464"/>
      <c r="S42" s="472"/>
      <c r="T42" s="472"/>
    </row>
    <row r="43" spans="1:21" ht="15.75" customHeight="1" x14ac:dyDescent="0.15">
      <c r="A43" s="335"/>
      <c r="B43" s="407"/>
      <c r="C43" s="336" t="s">
        <v>614</v>
      </c>
      <c r="D43" s="337"/>
      <c r="E43" s="333">
        <f>18500000</f>
        <v>18500000</v>
      </c>
      <c r="F43" s="333">
        <f t="shared" ref="F43:P43" si="17">18500000</f>
        <v>18500000</v>
      </c>
      <c r="G43" s="333">
        <f t="shared" si="17"/>
        <v>18500000</v>
      </c>
      <c r="H43" s="333">
        <f t="shared" si="17"/>
        <v>18500000</v>
      </c>
      <c r="I43" s="333">
        <f t="shared" si="17"/>
        <v>18500000</v>
      </c>
      <c r="J43" s="333">
        <f t="shared" si="17"/>
        <v>18500000</v>
      </c>
      <c r="K43" s="333">
        <f t="shared" si="17"/>
        <v>18500000</v>
      </c>
      <c r="L43" s="333">
        <f t="shared" si="17"/>
        <v>18500000</v>
      </c>
      <c r="M43" s="333">
        <f t="shared" si="17"/>
        <v>18500000</v>
      </c>
      <c r="N43" s="333">
        <f t="shared" si="17"/>
        <v>18500000</v>
      </c>
      <c r="O43" s="333">
        <f t="shared" si="17"/>
        <v>18500000</v>
      </c>
      <c r="P43" s="333">
        <f t="shared" si="17"/>
        <v>18500000</v>
      </c>
      <c r="Q43" s="333">
        <f t="shared" si="9"/>
        <v>222000000</v>
      </c>
      <c r="R43" s="464"/>
      <c r="S43" s="472"/>
      <c r="T43" s="472"/>
    </row>
    <row r="44" spans="1:21" ht="15.75" customHeight="1" x14ac:dyDescent="0.15">
      <c r="A44" s="335"/>
      <c r="B44" s="407"/>
      <c r="C44" s="357" t="s">
        <v>461</v>
      </c>
      <c r="D44" s="358"/>
      <c r="E44" s="342">
        <f>SUM(E41:E43)</f>
        <v>59000000</v>
      </c>
      <c r="F44" s="342">
        <f t="shared" ref="F44:P44" si="18">SUM(F41:F43)</f>
        <v>59000000</v>
      </c>
      <c r="G44" s="342">
        <f t="shared" si="18"/>
        <v>59000000</v>
      </c>
      <c r="H44" s="342">
        <f t="shared" si="18"/>
        <v>59000000</v>
      </c>
      <c r="I44" s="342">
        <f t="shared" si="18"/>
        <v>59000000</v>
      </c>
      <c r="J44" s="342">
        <f t="shared" si="18"/>
        <v>59000000</v>
      </c>
      <c r="K44" s="342">
        <f t="shared" si="18"/>
        <v>59000000</v>
      </c>
      <c r="L44" s="342">
        <f t="shared" si="18"/>
        <v>59000000</v>
      </c>
      <c r="M44" s="342">
        <f t="shared" si="18"/>
        <v>59000000</v>
      </c>
      <c r="N44" s="342">
        <f t="shared" si="18"/>
        <v>59000000</v>
      </c>
      <c r="O44" s="342">
        <f t="shared" si="18"/>
        <v>59000000</v>
      </c>
      <c r="P44" s="342">
        <f t="shared" si="18"/>
        <v>59000000</v>
      </c>
      <c r="Q44" s="342">
        <f t="shared" si="9"/>
        <v>708000000</v>
      </c>
      <c r="R44" s="464" t="s">
        <v>359</v>
      </c>
      <c r="S44" s="473">
        <f>'RINCIAN B. LANGSUNG USAHA'!Q37</f>
        <v>0</v>
      </c>
      <c r="T44" s="473">
        <f>Q44-S44</f>
        <v>708000000</v>
      </c>
    </row>
    <row r="45" spans="1:21" ht="15.75" customHeight="1" x14ac:dyDescent="0.15">
      <c r="A45" s="355" t="s">
        <v>398</v>
      </c>
      <c r="B45" s="410" t="s">
        <v>399</v>
      </c>
      <c r="C45" s="330"/>
      <c r="D45" s="331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468"/>
      <c r="S45" s="472"/>
      <c r="T45" s="472"/>
    </row>
    <row r="46" spans="1:21" ht="15.75" customHeight="1" x14ac:dyDescent="0.15">
      <c r="A46" s="335"/>
      <c r="B46" s="407" t="s">
        <v>239</v>
      </c>
      <c r="C46" s="336"/>
      <c r="D46" s="337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464"/>
      <c r="S46" s="472"/>
      <c r="T46" s="472"/>
    </row>
    <row r="47" spans="1:21" ht="15.75" customHeight="1" x14ac:dyDescent="0.15">
      <c r="A47" s="335"/>
      <c r="B47" s="407"/>
      <c r="C47" s="336" t="s">
        <v>612</v>
      </c>
      <c r="D47" s="337"/>
      <c r="E47" s="333">
        <f>3875*9500</f>
        <v>36812500</v>
      </c>
      <c r="F47" s="333">
        <f>3500*9500</f>
        <v>33250000</v>
      </c>
      <c r="G47" s="333">
        <f>3875*9500</f>
        <v>36812500</v>
      </c>
      <c r="H47" s="333">
        <f>3705*9500</f>
        <v>35197500</v>
      </c>
      <c r="I47" s="333">
        <f>3875*9500</f>
        <v>36812500</v>
      </c>
      <c r="J47" s="333">
        <f>3750*9500</f>
        <v>35625000</v>
      </c>
      <c r="K47" s="333">
        <f>3875*9500</f>
        <v>36812500</v>
      </c>
      <c r="L47" s="333">
        <f>3875*9500</f>
        <v>36812500</v>
      </c>
      <c r="M47" s="333">
        <f>3750*9500</f>
        <v>35625000</v>
      </c>
      <c r="N47" s="333">
        <f>3875*9500</f>
        <v>36812500</v>
      </c>
      <c r="O47" s="333">
        <f>3750*9500</f>
        <v>35625000</v>
      </c>
      <c r="P47" s="333">
        <f>3875*9500</f>
        <v>36812500</v>
      </c>
      <c r="Q47" s="333">
        <f>SUM(E47:P47)</f>
        <v>433010000</v>
      </c>
      <c r="R47" s="464"/>
      <c r="S47" s="472"/>
      <c r="T47" s="472"/>
    </row>
    <row r="48" spans="1:21" ht="15.75" customHeight="1" x14ac:dyDescent="0.15">
      <c r="A48" s="335"/>
      <c r="B48" s="407"/>
      <c r="C48" s="336" t="s">
        <v>613</v>
      </c>
      <c r="D48" s="337"/>
      <c r="E48" s="333">
        <f>1860*9500</f>
        <v>17670000</v>
      </c>
      <c r="F48" s="333">
        <f>1680*9500</f>
        <v>15960000</v>
      </c>
      <c r="G48" s="333">
        <f t="shared" ref="G48:P48" si="19">1860*9500</f>
        <v>17670000</v>
      </c>
      <c r="H48" s="333">
        <f>1800*9500</f>
        <v>17100000</v>
      </c>
      <c r="I48" s="333">
        <f t="shared" si="19"/>
        <v>17670000</v>
      </c>
      <c r="J48" s="333">
        <f>1800*9500</f>
        <v>17100000</v>
      </c>
      <c r="K48" s="333">
        <f t="shared" si="19"/>
        <v>17670000</v>
      </c>
      <c r="L48" s="333">
        <f>1800*9500</f>
        <v>17100000</v>
      </c>
      <c r="M48" s="333">
        <f>1800*9500</f>
        <v>17100000</v>
      </c>
      <c r="N48" s="333">
        <f t="shared" si="19"/>
        <v>17670000</v>
      </c>
      <c r="O48" s="333">
        <f>1800*9500</f>
        <v>17100000</v>
      </c>
      <c r="P48" s="333">
        <f t="shared" si="19"/>
        <v>17670000</v>
      </c>
      <c r="Q48" s="333">
        <f t="shared" si="9"/>
        <v>207480000</v>
      </c>
      <c r="R48" s="464"/>
      <c r="S48" s="472"/>
      <c r="T48" s="472"/>
    </row>
    <row r="49" spans="1:21" ht="15.75" customHeight="1" x14ac:dyDescent="0.15">
      <c r="A49" s="335"/>
      <c r="B49" s="407"/>
      <c r="C49" s="336" t="s">
        <v>614</v>
      </c>
      <c r="D49" s="337"/>
      <c r="E49" s="333">
        <f>1136*9500</f>
        <v>10792000</v>
      </c>
      <c r="F49" s="333">
        <f>1008*9500</f>
        <v>9576000</v>
      </c>
      <c r="G49" s="333">
        <f t="shared" ref="G49:P49" si="20">1136*9500</f>
        <v>10792000</v>
      </c>
      <c r="H49" s="333">
        <f>1100*9500</f>
        <v>10450000</v>
      </c>
      <c r="I49" s="333">
        <f t="shared" si="20"/>
        <v>10792000</v>
      </c>
      <c r="J49" s="333">
        <f>1100*9500</f>
        <v>10450000</v>
      </c>
      <c r="K49" s="333">
        <f t="shared" si="20"/>
        <v>10792000</v>
      </c>
      <c r="L49" s="333">
        <f>1100*9500</f>
        <v>10450000</v>
      </c>
      <c r="M49" s="333">
        <f>1100*9500</f>
        <v>10450000</v>
      </c>
      <c r="N49" s="333">
        <f t="shared" si="20"/>
        <v>10792000</v>
      </c>
      <c r="O49" s="333">
        <f>1100*9500</f>
        <v>10450000</v>
      </c>
      <c r="P49" s="333">
        <f t="shared" si="20"/>
        <v>10792000</v>
      </c>
      <c r="Q49" s="333">
        <f t="shared" si="9"/>
        <v>126578000</v>
      </c>
      <c r="R49" s="464"/>
      <c r="S49" s="472"/>
      <c r="T49" s="472"/>
    </row>
    <row r="50" spans="1:21" ht="15.75" customHeight="1" x14ac:dyDescent="0.15">
      <c r="A50" s="335"/>
      <c r="B50" s="407"/>
      <c r="C50" s="357" t="s">
        <v>616</v>
      </c>
      <c r="D50" s="358"/>
      <c r="E50" s="342">
        <f>SUM(E47:E49)</f>
        <v>65274500</v>
      </c>
      <c r="F50" s="342">
        <f t="shared" ref="F50:P50" si="21">SUM(F47:F49)</f>
        <v>58786000</v>
      </c>
      <c r="G50" s="342">
        <f t="shared" si="21"/>
        <v>65274500</v>
      </c>
      <c r="H50" s="342">
        <f t="shared" si="21"/>
        <v>62747500</v>
      </c>
      <c r="I50" s="342">
        <f t="shared" si="21"/>
        <v>65274500</v>
      </c>
      <c r="J50" s="342">
        <f t="shared" si="21"/>
        <v>63175000</v>
      </c>
      <c r="K50" s="342">
        <f t="shared" si="21"/>
        <v>65274500</v>
      </c>
      <c r="L50" s="342">
        <f t="shared" si="21"/>
        <v>64362500</v>
      </c>
      <c r="M50" s="342">
        <f t="shared" si="21"/>
        <v>63175000</v>
      </c>
      <c r="N50" s="342">
        <f t="shared" si="21"/>
        <v>65274500</v>
      </c>
      <c r="O50" s="342">
        <f t="shared" si="21"/>
        <v>63175000</v>
      </c>
      <c r="P50" s="342">
        <f t="shared" si="21"/>
        <v>65274500</v>
      </c>
      <c r="Q50" s="342">
        <f>SUM(Q47:Q49)</f>
        <v>767068000</v>
      </c>
      <c r="R50" s="464" t="s">
        <v>400</v>
      </c>
      <c r="S50" s="473">
        <f>'RINCIAN B. LANGSUNG USAHA'!Q54</f>
        <v>0</v>
      </c>
      <c r="T50" s="473">
        <f>Q50-S50</f>
        <v>767068000</v>
      </c>
    </row>
    <row r="51" spans="1:21" ht="15.75" customHeight="1" x14ac:dyDescent="0.15">
      <c r="A51" s="335"/>
      <c r="B51" s="407" t="s">
        <v>241</v>
      </c>
      <c r="C51" s="336"/>
      <c r="D51" s="337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464"/>
      <c r="S51" s="472"/>
      <c r="T51" s="472"/>
    </row>
    <row r="52" spans="1:21" ht="15.75" customHeight="1" x14ac:dyDescent="0.15">
      <c r="A52" s="335"/>
      <c r="B52" s="407"/>
      <c r="C52" s="336" t="s">
        <v>612</v>
      </c>
      <c r="D52" s="337"/>
      <c r="E52" s="333">
        <f>19000*806</f>
        <v>15314000</v>
      </c>
      <c r="F52" s="333">
        <f>19000*728</f>
        <v>13832000</v>
      </c>
      <c r="G52" s="333">
        <f t="shared" ref="G52:P52" si="22">19000*806</f>
        <v>15314000</v>
      </c>
      <c r="H52" s="333">
        <f>19000*780</f>
        <v>14820000</v>
      </c>
      <c r="I52" s="333">
        <f t="shared" si="22"/>
        <v>15314000</v>
      </c>
      <c r="J52" s="333">
        <f>19000*780</f>
        <v>14820000</v>
      </c>
      <c r="K52" s="333">
        <f t="shared" si="22"/>
        <v>15314000</v>
      </c>
      <c r="L52" s="333">
        <f>19000*780</f>
        <v>14820000</v>
      </c>
      <c r="M52" s="333">
        <f>19000*780</f>
        <v>14820000</v>
      </c>
      <c r="N52" s="333">
        <f t="shared" si="22"/>
        <v>15314000</v>
      </c>
      <c r="O52" s="333">
        <f>19000*780</f>
        <v>14820000</v>
      </c>
      <c r="P52" s="333">
        <f t="shared" si="22"/>
        <v>15314000</v>
      </c>
      <c r="Q52" s="333">
        <f>SUM(E52:P52)</f>
        <v>179816000</v>
      </c>
      <c r="R52" s="464"/>
      <c r="S52" s="472"/>
      <c r="T52" s="472"/>
    </row>
    <row r="53" spans="1:21" ht="15.75" customHeight="1" x14ac:dyDescent="0.15">
      <c r="A53" s="335"/>
      <c r="B53" s="407"/>
      <c r="C53" s="336" t="s">
        <v>613</v>
      </c>
      <c r="D53" s="337"/>
      <c r="E53" s="333">
        <f>19000*403</f>
        <v>7657000</v>
      </c>
      <c r="F53" s="333">
        <f>19000*364</f>
        <v>6916000</v>
      </c>
      <c r="G53" s="333">
        <f t="shared" ref="G53:P53" si="23">19000*403</f>
        <v>7657000</v>
      </c>
      <c r="H53" s="333">
        <f>19000*390</f>
        <v>7410000</v>
      </c>
      <c r="I53" s="333">
        <f t="shared" si="23"/>
        <v>7657000</v>
      </c>
      <c r="J53" s="333">
        <f>19000*390</f>
        <v>7410000</v>
      </c>
      <c r="K53" s="333">
        <f t="shared" si="23"/>
        <v>7657000</v>
      </c>
      <c r="L53" s="333">
        <f>19000*390</f>
        <v>7410000</v>
      </c>
      <c r="M53" s="333">
        <f>19000*390</f>
        <v>7410000</v>
      </c>
      <c r="N53" s="333">
        <f t="shared" si="23"/>
        <v>7657000</v>
      </c>
      <c r="O53" s="333">
        <f>19000*390</f>
        <v>7410000</v>
      </c>
      <c r="P53" s="333">
        <f t="shared" si="23"/>
        <v>7657000</v>
      </c>
      <c r="Q53" s="333">
        <f t="shared" si="9"/>
        <v>89908000</v>
      </c>
      <c r="R53" s="464"/>
      <c r="S53" s="472"/>
      <c r="T53" s="472"/>
    </row>
    <row r="54" spans="1:21" ht="15.75" customHeight="1" x14ac:dyDescent="0.15">
      <c r="A54" s="335"/>
      <c r="B54" s="407"/>
      <c r="C54" s="336" t="s">
        <v>614</v>
      </c>
      <c r="D54" s="337"/>
      <c r="E54" s="333">
        <f>19000*310</f>
        <v>5890000</v>
      </c>
      <c r="F54" s="333">
        <f>19000*280</f>
        <v>5320000</v>
      </c>
      <c r="G54" s="333">
        <f t="shared" ref="G54:P54" si="24">19000*310</f>
        <v>5890000</v>
      </c>
      <c r="H54" s="333">
        <f>19000*300</f>
        <v>5700000</v>
      </c>
      <c r="I54" s="333">
        <f t="shared" si="24"/>
        <v>5890000</v>
      </c>
      <c r="J54" s="333">
        <f>19000*300</f>
        <v>5700000</v>
      </c>
      <c r="K54" s="333">
        <f t="shared" si="24"/>
        <v>5890000</v>
      </c>
      <c r="L54" s="333">
        <f>19000*300</f>
        <v>5700000</v>
      </c>
      <c r="M54" s="333">
        <f>19000*300</f>
        <v>5700000</v>
      </c>
      <c r="N54" s="333">
        <f t="shared" si="24"/>
        <v>5890000</v>
      </c>
      <c r="O54" s="333">
        <f>19000*300</f>
        <v>5700000</v>
      </c>
      <c r="P54" s="333">
        <f t="shared" si="24"/>
        <v>5890000</v>
      </c>
      <c r="Q54" s="333">
        <f t="shared" si="9"/>
        <v>69160000</v>
      </c>
      <c r="R54" s="464"/>
      <c r="S54" s="472"/>
      <c r="T54" s="472"/>
    </row>
    <row r="55" spans="1:21" ht="15.75" customHeight="1" x14ac:dyDescent="0.15">
      <c r="A55" s="335"/>
      <c r="B55" s="407"/>
      <c r="C55" s="357" t="s">
        <v>617</v>
      </c>
      <c r="D55" s="358"/>
      <c r="E55" s="342">
        <f>SUM(E52:E54)</f>
        <v>28861000</v>
      </c>
      <c r="F55" s="342">
        <f t="shared" ref="F55" si="25">SUM(F52:F54)</f>
        <v>26068000</v>
      </c>
      <c r="G55" s="342">
        <f>SUM(G52:G54)</f>
        <v>28861000</v>
      </c>
      <c r="H55" s="342">
        <f t="shared" ref="H55:P55" si="26">SUM(H52:H54)</f>
        <v>27930000</v>
      </c>
      <c r="I55" s="342">
        <f t="shared" si="26"/>
        <v>28861000</v>
      </c>
      <c r="J55" s="342">
        <f t="shared" si="26"/>
        <v>27930000</v>
      </c>
      <c r="K55" s="342">
        <f t="shared" si="26"/>
        <v>28861000</v>
      </c>
      <c r="L55" s="342">
        <f t="shared" si="26"/>
        <v>27930000</v>
      </c>
      <c r="M55" s="342">
        <f t="shared" si="26"/>
        <v>27930000</v>
      </c>
      <c r="N55" s="342">
        <f t="shared" si="26"/>
        <v>28861000</v>
      </c>
      <c r="O55" s="342">
        <f t="shared" si="26"/>
        <v>27930000</v>
      </c>
      <c r="P55" s="342">
        <f t="shared" si="26"/>
        <v>28861000</v>
      </c>
      <c r="Q55" s="342">
        <f>SUM(Q52:Q54)</f>
        <v>338884000</v>
      </c>
      <c r="R55" s="464" t="s">
        <v>400</v>
      </c>
      <c r="S55" s="473">
        <f>'RINCIAN B. LANGSUNG USAHA'!Q55</f>
        <v>0</v>
      </c>
      <c r="T55" s="473">
        <f>Q55-S55</f>
        <v>338884000</v>
      </c>
    </row>
    <row r="56" spans="1:21" ht="15.75" customHeight="1" x14ac:dyDescent="0.15">
      <c r="A56" s="335"/>
      <c r="B56" s="407" t="s">
        <v>240</v>
      </c>
      <c r="C56" s="357"/>
      <c r="D56" s="358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464"/>
      <c r="S56" s="472"/>
      <c r="T56" s="472"/>
    </row>
    <row r="57" spans="1:21" ht="15.75" customHeight="1" x14ac:dyDescent="0.15">
      <c r="A57" s="335"/>
      <c r="B57" s="407"/>
      <c r="C57" s="336" t="s">
        <v>612</v>
      </c>
      <c r="D57" s="337"/>
      <c r="E57" s="333">
        <f>61000*31</f>
        <v>1891000</v>
      </c>
      <c r="F57" s="333">
        <f>61000*28</f>
        <v>1708000</v>
      </c>
      <c r="G57" s="333">
        <f t="shared" ref="G57:P58" si="27">61000*31</f>
        <v>1891000</v>
      </c>
      <c r="H57" s="333">
        <f>61000*30</f>
        <v>1830000</v>
      </c>
      <c r="I57" s="333">
        <f t="shared" si="27"/>
        <v>1891000</v>
      </c>
      <c r="J57" s="333">
        <f>61000*30</f>
        <v>1830000</v>
      </c>
      <c r="K57" s="333">
        <f t="shared" si="27"/>
        <v>1891000</v>
      </c>
      <c r="L57" s="333">
        <f>61000*30</f>
        <v>1830000</v>
      </c>
      <c r="M57" s="333">
        <f>61000*30</f>
        <v>1830000</v>
      </c>
      <c r="N57" s="333">
        <f t="shared" si="27"/>
        <v>1891000</v>
      </c>
      <c r="O57" s="333">
        <f>61000*30</f>
        <v>1830000</v>
      </c>
      <c r="P57" s="333">
        <f t="shared" si="27"/>
        <v>1891000</v>
      </c>
      <c r="Q57" s="333">
        <f t="shared" si="9"/>
        <v>22204000</v>
      </c>
      <c r="R57" s="464"/>
      <c r="S57" s="472"/>
      <c r="T57" s="472"/>
    </row>
    <row r="58" spans="1:21" ht="15.75" customHeight="1" x14ac:dyDescent="0.15">
      <c r="A58" s="335"/>
      <c r="B58" s="407"/>
      <c r="C58" s="336" t="s">
        <v>613</v>
      </c>
      <c r="D58" s="337"/>
      <c r="E58" s="333">
        <f>61000*31</f>
        <v>1891000</v>
      </c>
      <c r="F58" s="333">
        <f>61000*28</f>
        <v>1708000</v>
      </c>
      <c r="G58" s="333">
        <f t="shared" si="27"/>
        <v>1891000</v>
      </c>
      <c r="H58" s="333">
        <f>61000*30</f>
        <v>1830000</v>
      </c>
      <c r="I58" s="333">
        <f t="shared" si="27"/>
        <v>1891000</v>
      </c>
      <c r="J58" s="333">
        <f>61000*30</f>
        <v>1830000</v>
      </c>
      <c r="K58" s="333">
        <f t="shared" si="27"/>
        <v>1891000</v>
      </c>
      <c r="L58" s="333">
        <f>61000*30</f>
        <v>1830000</v>
      </c>
      <c r="M58" s="333">
        <f>61000*30</f>
        <v>1830000</v>
      </c>
      <c r="N58" s="333">
        <f t="shared" si="27"/>
        <v>1891000</v>
      </c>
      <c r="O58" s="333">
        <f>61000*30</f>
        <v>1830000</v>
      </c>
      <c r="P58" s="333">
        <f t="shared" si="27"/>
        <v>1891000</v>
      </c>
      <c r="Q58" s="333">
        <f t="shared" si="9"/>
        <v>22204000</v>
      </c>
      <c r="R58" s="464"/>
      <c r="S58" s="472"/>
      <c r="T58" s="472"/>
    </row>
    <row r="59" spans="1:21" ht="15.75" customHeight="1" x14ac:dyDescent="0.15">
      <c r="A59" s="335"/>
      <c r="B59" s="407"/>
      <c r="C59" s="336" t="s">
        <v>614</v>
      </c>
      <c r="D59" s="337"/>
      <c r="E59" s="333">
        <f>61000*16</f>
        <v>976000</v>
      </c>
      <c r="F59" s="333">
        <f>61000*14</f>
        <v>854000</v>
      </c>
      <c r="G59" s="333">
        <f t="shared" ref="G59:P59" si="28">61000*16</f>
        <v>976000</v>
      </c>
      <c r="H59" s="333">
        <f>61000*15</f>
        <v>915000</v>
      </c>
      <c r="I59" s="333">
        <f t="shared" si="28"/>
        <v>976000</v>
      </c>
      <c r="J59" s="333">
        <f>61000*15</f>
        <v>915000</v>
      </c>
      <c r="K59" s="333">
        <f t="shared" si="28"/>
        <v>976000</v>
      </c>
      <c r="L59" s="333">
        <f>61000*15</f>
        <v>915000</v>
      </c>
      <c r="M59" s="333">
        <f>61000*15</f>
        <v>915000</v>
      </c>
      <c r="N59" s="333">
        <f t="shared" si="28"/>
        <v>976000</v>
      </c>
      <c r="O59" s="333">
        <f>61000*15</f>
        <v>915000</v>
      </c>
      <c r="P59" s="333">
        <f t="shared" si="28"/>
        <v>976000</v>
      </c>
      <c r="Q59" s="333">
        <f t="shared" si="9"/>
        <v>11285000</v>
      </c>
      <c r="R59" s="464"/>
      <c r="S59" s="472"/>
      <c r="T59" s="472"/>
    </row>
    <row r="60" spans="1:21" ht="15.75" customHeight="1" x14ac:dyDescent="0.15">
      <c r="A60" s="335"/>
      <c r="B60" s="407"/>
      <c r="C60" s="357" t="s">
        <v>618</v>
      </c>
      <c r="D60" s="358"/>
      <c r="E60" s="342">
        <f>SUM(E57:E59)</f>
        <v>4758000</v>
      </c>
      <c r="F60" s="342">
        <f t="shared" ref="F60:P60" si="29">SUM(F57:F59)</f>
        <v>4270000</v>
      </c>
      <c r="G60" s="342">
        <f t="shared" si="29"/>
        <v>4758000</v>
      </c>
      <c r="H60" s="342">
        <f t="shared" si="29"/>
        <v>4575000</v>
      </c>
      <c r="I60" s="342">
        <f t="shared" si="29"/>
        <v>4758000</v>
      </c>
      <c r="J60" s="342">
        <f t="shared" si="29"/>
        <v>4575000</v>
      </c>
      <c r="K60" s="342">
        <f t="shared" si="29"/>
        <v>4758000</v>
      </c>
      <c r="L60" s="342">
        <f t="shared" si="29"/>
        <v>4575000</v>
      </c>
      <c r="M60" s="342">
        <f t="shared" si="29"/>
        <v>4575000</v>
      </c>
      <c r="N60" s="342">
        <f t="shared" si="29"/>
        <v>4758000</v>
      </c>
      <c r="O60" s="342">
        <f t="shared" si="29"/>
        <v>4575000</v>
      </c>
      <c r="P60" s="342">
        <f t="shared" si="29"/>
        <v>4758000</v>
      </c>
      <c r="Q60" s="342">
        <f>SUM(Q57:Q59)</f>
        <v>55693000</v>
      </c>
      <c r="R60" s="464" t="s">
        <v>400</v>
      </c>
      <c r="S60" s="473">
        <f>'RINCIAN B. LANGSUNG USAHA'!Q56</f>
        <v>0</v>
      </c>
      <c r="T60" s="473">
        <f>Q60-S60</f>
        <v>55693000</v>
      </c>
    </row>
    <row r="61" spans="1:21" ht="15.75" customHeight="1" x14ac:dyDescent="0.15">
      <c r="A61" s="344"/>
      <c r="B61" s="857" t="s">
        <v>401</v>
      </c>
      <c r="C61" s="858"/>
      <c r="D61" s="859"/>
      <c r="E61" s="345">
        <f>E50+E55+E60</f>
        <v>98893500</v>
      </c>
      <c r="F61" s="345">
        <f>F50+F55+F60</f>
        <v>89124000</v>
      </c>
      <c r="G61" s="345">
        <f t="shared" ref="G61:P61" si="30">G50+G55+G60</f>
        <v>98893500</v>
      </c>
      <c r="H61" s="345">
        <f t="shared" si="30"/>
        <v>95252500</v>
      </c>
      <c r="I61" s="345">
        <f t="shared" si="30"/>
        <v>98893500</v>
      </c>
      <c r="J61" s="345">
        <f t="shared" si="30"/>
        <v>95680000</v>
      </c>
      <c r="K61" s="345">
        <f t="shared" si="30"/>
        <v>98893500</v>
      </c>
      <c r="L61" s="345">
        <f t="shared" si="30"/>
        <v>96867500</v>
      </c>
      <c r="M61" s="345">
        <f t="shared" si="30"/>
        <v>95680000</v>
      </c>
      <c r="N61" s="345">
        <f t="shared" si="30"/>
        <v>98893500</v>
      </c>
      <c r="O61" s="345">
        <f t="shared" si="30"/>
        <v>95680000</v>
      </c>
      <c r="P61" s="345">
        <f t="shared" si="30"/>
        <v>98893500</v>
      </c>
      <c r="Q61" s="345">
        <f>SUM(E61:P61)</f>
        <v>1161645000</v>
      </c>
      <c r="R61" s="447"/>
      <c r="S61" s="480">
        <f>SUM(S50:S60)</f>
        <v>0</v>
      </c>
      <c r="T61" s="480">
        <f>SUM(T50:T60)</f>
        <v>1161645000</v>
      </c>
      <c r="U61" s="343"/>
    </row>
    <row r="62" spans="1:21" ht="15.75" customHeight="1" x14ac:dyDescent="0.15">
      <c r="A62" s="335" t="s">
        <v>588</v>
      </c>
      <c r="B62" s="899" t="s">
        <v>598</v>
      </c>
      <c r="C62" s="900"/>
      <c r="D62" s="901"/>
      <c r="E62" s="333">
        <f>500000+1000000</f>
        <v>1500000</v>
      </c>
      <c r="F62" s="333">
        <v>500000</v>
      </c>
      <c r="G62" s="333">
        <v>500000</v>
      </c>
      <c r="H62" s="333">
        <v>500000</v>
      </c>
      <c r="I62" s="333">
        <v>500000</v>
      </c>
      <c r="J62" s="333">
        <v>500000</v>
      </c>
      <c r="K62" s="333">
        <v>1500000</v>
      </c>
      <c r="L62" s="333">
        <v>500000</v>
      </c>
      <c r="M62" s="333">
        <v>500000</v>
      </c>
      <c r="N62" s="333">
        <v>500000</v>
      </c>
      <c r="O62" s="333">
        <v>500000</v>
      </c>
      <c r="P62" s="333">
        <v>500000</v>
      </c>
      <c r="Q62" s="333">
        <f t="shared" ref="Q62" si="31">SUM(E62:P62)</f>
        <v>8000000</v>
      </c>
      <c r="R62" s="465" t="s">
        <v>368</v>
      </c>
      <c r="S62" s="473">
        <f>'RINCIAN B. LANGSUNG USAHA'!Q58</f>
        <v>0</v>
      </c>
      <c r="T62" s="473">
        <f>Q62-S62</f>
        <v>8000000</v>
      </c>
    </row>
    <row r="63" spans="1:21" ht="15.75" customHeight="1" x14ac:dyDescent="0.15">
      <c r="A63" s="335" t="s">
        <v>559</v>
      </c>
      <c r="B63" s="407" t="s">
        <v>599</v>
      </c>
      <c r="C63" s="336"/>
      <c r="D63" s="337"/>
      <c r="E63" s="333">
        <v>700000</v>
      </c>
      <c r="F63" s="333">
        <f>500000+4000000</f>
        <v>4500000</v>
      </c>
      <c r="G63" s="333">
        <v>4500000</v>
      </c>
      <c r="H63" s="333">
        <v>700000</v>
      </c>
      <c r="I63" s="333">
        <f>500000+4000000</f>
        <v>4500000</v>
      </c>
      <c r="J63" s="333">
        <v>700000</v>
      </c>
      <c r="K63" s="333">
        <v>4500000</v>
      </c>
      <c r="L63" s="333">
        <f>500000+4000000</f>
        <v>4500000</v>
      </c>
      <c r="M63" s="333">
        <v>700000</v>
      </c>
      <c r="N63" s="333">
        <v>700000</v>
      </c>
      <c r="O63" s="333">
        <f>500000+4000000</f>
        <v>4500000</v>
      </c>
      <c r="P63" s="333">
        <v>4500000</v>
      </c>
      <c r="Q63" s="333">
        <f>SUM(E63:P63)</f>
        <v>35000000</v>
      </c>
      <c r="R63" s="466" t="s">
        <v>371</v>
      </c>
      <c r="S63" s="473">
        <f>'RINCIAN B. LANGSUNG USAHA'!Q59</f>
        <v>0</v>
      </c>
      <c r="T63" s="473">
        <f>Q63-S63</f>
        <v>35000000</v>
      </c>
    </row>
    <row r="64" spans="1:21" ht="15.75" customHeight="1" x14ac:dyDescent="0.15">
      <c r="A64" s="344"/>
      <c r="B64" s="857" t="s">
        <v>402</v>
      </c>
      <c r="C64" s="858"/>
      <c r="D64" s="859"/>
      <c r="E64" s="345">
        <f>SUM(E61:E63)+E44</f>
        <v>160093500</v>
      </c>
      <c r="F64" s="345">
        <f t="shared" ref="F64:P64" si="32">SUM(F61:F63)+F44</f>
        <v>153124000</v>
      </c>
      <c r="G64" s="345">
        <f t="shared" si="32"/>
        <v>162893500</v>
      </c>
      <c r="H64" s="345">
        <f t="shared" si="32"/>
        <v>155452500</v>
      </c>
      <c r="I64" s="345">
        <f t="shared" si="32"/>
        <v>162893500</v>
      </c>
      <c r="J64" s="345">
        <f t="shared" si="32"/>
        <v>155880000</v>
      </c>
      <c r="K64" s="345">
        <f t="shared" si="32"/>
        <v>163893500</v>
      </c>
      <c r="L64" s="345">
        <f t="shared" si="32"/>
        <v>160867500</v>
      </c>
      <c r="M64" s="345">
        <f t="shared" si="32"/>
        <v>155880000</v>
      </c>
      <c r="N64" s="345">
        <f t="shared" si="32"/>
        <v>159093500</v>
      </c>
      <c r="O64" s="345">
        <f t="shared" si="32"/>
        <v>159680000</v>
      </c>
      <c r="P64" s="345">
        <f t="shared" si="32"/>
        <v>162893500</v>
      </c>
      <c r="Q64" s="345">
        <f>SUM(E64:P64)</f>
        <v>1912645000</v>
      </c>
      <c r="R64" s="447"/>
      <c r="S64" s="480">
        <f>SUM(S61:S63)+S44</f>
        <v>0</v>
      </c>
      <c r="T64" s="480">
        <f>SUM(T61:T63)+T44</f>
        <v>1912645000</v>
      </c>
      <c r="U64" s="343"/>
    </row>
    <row r="65" spans="1:21" ht="15.75" customHeight="1" x14ac:dyDescent="0.15">
      <c r="A65" s="335" t="s">
        <v>403</v>
      </c>
      <c r="B65" s="407" t="s">
        <v>404</v>
      </c>
      <c r="C65" s="336"/>
      <c r="D65" s="337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464"/>
      <c r="S65" s="472"/>
      <c r="T65" s="472"/>
    </row>
    <row r="66" spans="1:21" ht="15.75" customHeight="1" x14ac:dyDescent="0.15">
      <c r="A66" s="335" t="s">
        <v>405</v>
      </c>
      <c r="B66" s="407" t="s">
        <v>406</v>
      </c>
      <c r="C66" s="336"/>
      <c r="D66" s="337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>
        <f t="shared" ref="Q66:Q68" si="33">SUM(E66:P66)</f>
        <v>0</v>
      </c>
      <c r="R66" s="464"/>
      <c r="S66" s="473">
        <f>'RINCIAN B. LANGSUNG USAHA'!Q62</f>
        <v>0</v>
      </c>
      <c r="T66" s="473">
        <f>Q66-S66</f>
        <v>0</v>
      </c>
    </row>
    <row r="67" spans="1:21" ht="15.75" customHeight="1" x14ac:dyDescent="0.15">
      <c r="A67" s="335" t="s">
        <v>407</v>
      </c>
      <c r="B67" s="407" t="s">
        <v>408</v>
      </c>
      <c r="C67" s="357"/>
      <c r="D67" s="358"/>
      <c r="E67" s="333">
        <v>500000</v>
      </c>
      <c r="F67" s="333">
        <v>500000</v>
      </c>
      <c r="G67" s="333">
        <v>500000</v>
      </c>
      <c r="H67" s="333">
        <v>500000</v>
      </c>
      <c r="I67" s="333">
        <v>500000</v>
      </c>
      <c r="J67" s="333">
        <v>10000000</v>
      </c>
      <c r="K67" s="333">
        <v>5000000</v>
      </c>
      <c r="L67" s="333">
        <v>500000</v>
      </c>
      <c r="M67" s="333">
        <v>500000</v>
      </c>
      <c r="N67" s="333">
        <v>500000</v>
      </c>
      <c r="O67" s="333">
        <v>500000</v>
      </c>
      <c r="P67" s="333">
        <v>500000</v>
      </c>
      <c r="Q67" s="333">
        <f t="shared" si="33"/>
        <v>20000000</v>
      </c>
      <c r="R67" s="464"/>
      <c r="S67" s="473">
        <f>'RINCIAN B. LANGSUNG USAHA'!Q63</f>
        <v>0</v>
      </c>
      <c r="T67" s="473">
        <f t="shared" ref="T67:T69" si="34">Q67-S67</f>
        <v>20000000</v>
      </c>
    </row>
    <row r="68" spans="1:21" ht="15.75" customHeight="1" x14ac:dyDescent="0.15">
      <c r="A68" s="335" t="s">
        <v>409</v>
      </c>
      <c r="B68" s="407" t="s">
        <v>410</v>
      </c>
      <c r="C68" s="336"/>
      <c r="D68" s="337"/>
      <c r="E68" s="333"/>
      <c r="F68" s="333">
        <v>1300000</v>
      </c>
      <c r="G68" s="333"/>
      <c r="H68" s="333">
        <v>1300000</v>
      </c>
      <c r="I68" s="333"/>
      <c r="J68" s="333">
        <v>1300000</v>
      </c>
      <c r="K68" s="333"/>
      <c r="L68" s="333">
        <v>1300000</v>
      </c>
      <c r="M68" s="333"/>
      <c r="N68" s="333">
        <v>1300000</v>
      </c>
      <c r="O68" s="333"/>
      <c r="P68" s="333">
        <v>1300000</v>
      </c>
      <c r="Q68" s="333">
        <f t="shared" si="33"/>
        <v>7800000</v>
      </c>
      <c r="R68" s="464"/>
      <c r="S68" s="473">
        <f>'RINCIAN B. LANGSUNG USAHA'!Q64</f>
        <v>0</v>
      </c>
      <c r="T68" s="473">
        <f t="shared" si="34"/>
        <v>7800000</v>
      </c>
    </row>
    <row r="69" spans="1:21" ht="15.75" customHeight="1" x14ac:dyDescent="0.15">
      <c r="A69" s="335" t="s">
        <v>411</v>
      </c>
      <c r="B69" s="407" t="s">
        <v>412</v>
      </c>
      <c r="C69" s="336"/>
      <c r="D69" s="337"/>
      <c r="E69" s="333">
        <v>500000</v>
      </c>
      <c r="F69" s="333">
        <v>500000</v>
      </c>
      <c r="G69" s="333">
        <v>500000</v>
      </c>
      <c r="H69" s="333">
        <v>500000</v>
      </c>
      <c r="I69" s="333">
        <v>500000</v>
      </c>
      <c r="J69" s="333">
        <v>500000</v>
      </c>
      <c r="K69" s="333">
        <v>500000</v>
      </c>
      <c r="L69" s="333">
        <f>500000</f>
        <v>500000</v>
      </c>
      <c r="M69" s="333">
        <v>500000</v>
      </c>
      <c r="N69" s="333">
        <v>500000</v>
      </c>
      <c r="O69" s="333">
        <v>500000</v>
      </c>
      <c r="P69" s="333">
        <v>500000</v>
      </c>
      <c r="Q69" s="333">
        <f>SUM(E69:P69)</f>
        <v>6000000</v>
      </c>
      <c r="R69" s="464"/>
      <c r="S69" s="473">
        <f>'RINCIAN B. LANGSUNG USAHA'!Q65</f>
        <v>0</v>
      </c>
      <c r="T69" s="473">
        <f t="shared" si="34"/>
        <v>6000000</v>
      </c>
    </row>
    <row r="70" spans="1:21" ht="15.75" customHeight="1" x14ac:dyDescent="0.15">
      <c r="A70" s="344"/>
      <c r="B70" s="857" t="s">
        <v>413</v>
      </c>
      <c r="C70" s="858"/>
      <c r="D70" s="859"/>
      <c r="E70" s="345">
        <f>SUM(E66:E69)</f>
        <v>1000000</v>
      </c>
      <c r="F70" s="345">
        <f t="shared" ref="F70:P70" si="35">SUM(F66:F69)</f>
        <v>2300000</v>
      </c>
      <c r="G70" s="345">
        <f t="shared" si="35"/>
        <v>1000000</v>
      </c>
      <c r="H70" s="345">
        <f t="shared" si="35"/>
        <v>2300000</v>
      </c>
      <c r="I70" s="345">
        <f t="shared" si="35"/>
        <v>1000000</v>
      </c>
      <c r="J70" s="345">
        <f t="shared" si="35"/>
        <v>11800000</v>
      </c>
      <c r="K70" s="345">
        <f t="shared" si="35"/>
        <v>5500000</v>
      </c>
      <c r="L70" s="345">
        <f>SUM(L66:L69)</f>
        <v>2300000</v>
      </c>
      <c r="M70" s="345">
        <f t="shared" si="35"/>
        <v>1000000</v>
      </c>
      <c r="N70" s="345">
        <f t="shared" si="35"/>
        <v>2300000</v>
      </c>
      <c r="O70" s="345">
        <f t="shared" si="35"/>
        <v>1000000</v>
      </c>
      <c r="P70" s="345">
        <f t="shared" si="35"/>
        <v>2300000</v>
      </c>
      <c r="Q70" s="345">
        <f>SUM(Q67:Q69)</f>
        <v>33800000</v>
      </c>
      <c r="R70" s="447" t="s">
        <v>377</v>
      </c>
      <c r="S70" s="480">
        <f>SUM(S66:S69)</f>
        <v>0</v>
      </c>
      <c r="T70" s="480">
        <f>SUM(T66:T69)</f>
        <v>33800000</v>
      </c>
    </row>
    <row r="71" spans="1:21" ht="15.75" customHeight="1" x14ac:dyDescent="0.15">
      <c r="A71" s="344"/>
      <c r="B71" s="417" t="s">
        <v>391</v>
      </c>
      <c r="C71" s="349"/>
      <c r="D71" s="350"/>
      <c r="E71" s="345">
        <f>E70+E64</f>
        <v>161093500</v>
      </c>
      <c r="F71" s="345">
        <f t="shared" ref="F71:P71" si="36">F70+F64</f>
        <v>155424000</v>
      </c>
      <c r="G71" s="345">
        <f t="shared" si="36"/>
        <v>163893500</v>
      </c>
      <c r="H71" s="345">
        <f t="shared" si="36"/>
        <v>157752500</v>
      </c>
      <c r="I71" s="345">
        <f t="shared" si="36"/>
        <v>163893500</v>
      </c>
      <c r="J71" s="345">
        <f t="shared" si="36"/>
        <v>167680000</v>
      </c>
      <c r="K71" s="345">
        <f t="shared" si="36"/>
        <v>169393500</v>
      </c>
      <c r="L71" s="345">
        <f>L70+L64</f>
        <v>163167500</v>
      </c>
      <c r="M71" s="345">
        <f t="shared" si="36"/>
        <v>156880000</v>
      </c>
      <c r="N71" s="345">
        <f t="shared" si="36"/>
        <v>161393500</v>
      </c>
      <c r="O71" s="345">
        <f t="shared" si="36"/>
        <v>160680000</v>
      </c>
      <c r="P71" s="345">
        <f t="shared" si="36"/>
        <v>165193500</v>
      </c>
      <c r="Q71" s="345">
        <f>SUM(E71:P71)</f>
        <v>1946445000</v>
      </c>
      <c r="R71" s="467"/>
      <c r="S71" s="480">
        <f>S70+S64</f>
        <v>0</v>
      </c>
      <c r="T71" s="480">
        <f>T70+T64</f>
        <v>1946445000</v>
      </c>
    </row>
    <row r="72" spans="1:21" ht="15.75" customHeight="1" x14ac:dyDescent="0.15">
      <c r="A72" s="344" t="s">
        <v>332</v>
      </c>
      <c r="B72" s="417" t="s">
        <v>414</v>
      </c>
      <c r="C72" s="360"/>
      <c r="D72" s="361"/>
      <c r="E72" s="345">
        <f>16925846+1000000</f>
        <v>17925846</v>
      </c>
      <c r="F72" s="345">
        <f t="shared" ref="F72:P72" si="37">16925846+1000000</f>
        <v>17925846</v>
      </c>
      <c r="G72" s="345">
        <f t="shared" si="37"/>
        <v>17925846</v>
      </c>
      <c r="H72" s="345">
        <f t="shared" si="37"/>
        <v>17925846</v>
      </c>
      <c r="I72" s="345">
        <f t="shared" si="37"/>
        <v>17925846</v>
      </c>
      <c r="J72" s="345">
        <f t="shared" si="37"/>
        <v>17925846</v>
      </c>
      <c r="K72" s="345">
        <f t="shared" si="37"/>
        <v>17925846</v>
      </c>
      <c r="L72" s="345">
        <f t="shared" si="37"/>
        <v>17925846</v>
      </c>
      <c r="M72" s="345">
        <f t="shared" si="37"/>
        <v>17925846</v>
      </c>
      <c r="N72" s="345">
        <f t="shared" si="37"/>
        <v>17925846</v>
      </c>
      <c r="O72" s="345">
        <f t="shared" si="37"/>
        <v>17925846</v>
      </c>
      <c r="P72" s="345">
        <f t="shared" si="37"/>
        <v>17925846</v>
      </c>
      <c r="Q72" s="333">
        <f t="shared" ref="Q72" si="38">SUM(E72:P72)</f>
        <v>215110152</v>
      </c>
      <c r="R72" s="467" t="s">
        <v>393</v>
      </c>
      <c r="S72" s="480">
        <f>'RINCIAN B. LANGSUNG USAHA'!Q68</f>
        <v>0</v>
      </c>
      <c r="T72" s="480">
        <f t="shared" ref="T72" si="39">Q72-S72</f>
        <v>215110152</v>
      </c>
    </row>
    <row r="73" spans="1:21" ht="15.75" customHeight="1" x14ac:dyDescent="0.15">
      <c r="A73" s="344"/>
      <c r="B73" s="857" t="s">
        <v>415</v>
      </c>
      <c r="C73" s="858"/>
      <c r="D73" s="859"/>
      <c r="E73" s="345">
        <f>SUM(E71:E72)</f>
        <v>179019346</v>
      </c>
      <c r="F73" s="345">
        <f t="shared" ref="F73:P73" si="40">SUM(F71:F72)</f>
        <v>173349846</v>
      </c>
      <c r="G73" s="345">
        <f t="shared" si="40"/>
        <v>181819346</v>
      </c>
      <c r="H73" s="345">
        <f t="shared" si="40"/>
        <v>175678346</v>
      </c>
      <c r="I73" s="345">
        <f t="shared" si="40"/>
        <v>181819346</v>
      </c>
      <c r="J73" s="345">
        <f t="shared" si="40"/>
        <v>185605846</v>
      </c>
      <c r="K73" s="345">
        <f t="shared" si="40"/>
        <v>187319346</v>
      </c>
      <c r="L73" s="345">
        <f t="shared" si="40"/>
        <v>181093346</v>
      </c>
      <c r="M73" s="345">
        <f t="shared" si="40"/>
        <v>174805846</v>
      </c>
      <c r="N73" s="345">
        <f t="shared" si="40"/>
        <v>179319346</v>
      </c>
      <c r="O73" s="345">
        <f t="shared" si="40"/>
        <v>178605846</v>
      </c>
      <c r="P73" s="345">
        <f t="shared" si="40"/>
        <v>183119346</v>
      </c>
      <c r="Q73" s="345">
        <f>SUM(E73:P73)</f>
        <v>2161555152</v>
      </c>
      <c r="R73" s="447"/>
      <c r="S73" s="480">
        <f>SUM(S71:S72)</f>
        <v>0</v>
      </c>
      <c r="T73" s="480">
        <f>SUM(T71:T72)</f>
        <v>2161555152</v>
      </c>
      <c r="U73" s="343"/>
    </row>
    <row r="74" spans="1:21" ht="15.75" customHeight="1" x14ac:dyDescent="0.15">
      <c r="A74" s="453"/>
      <c r="B74" s="453"/>
      <c r="C74" s="453"/>
      <c r="D74" s="453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7"/>
      <c r="S74" s="472"/>
      <c r="T74" s="472"/>
    </row>
    <row r="75" spans="1:21" ht="15.75" customHeight="1" x14ac:dyDescent="0.15">
      <c r="A75" s="353"/>
      <c r="B75" s="353"/>
      <c r="C75" s="353"/>
      <c r="D75" s="353"/>
      <c r="E75" s="456"/>
      <c r="F75" s="456"/>
      <c r="G75" s="456"/>
      <c r="H75" s="456"/>
      <c r="I75" s="456"/>
      <c r="J75" s="456"/>
      <c r="K75" s="456"/>
      <c r="L75" s="456"/>
      <c r="M75" s="456"/>
      <c r="N75" s="456"/>
      <c r="O75" s="456"/>
      <c r="P75" s="456"/>
      <c r="Q75" s="456"/>
      <c r="R75" s="457"/>
      <c r="S75" s="472"/>
      <c r="T75" s="472"/>
    </row>
    <row r="76" spans="1:21" ht="15.75" customHeight="1" x14ac:dyDescent="0.15">
      <c r="A76" s="380"/>
      <c r="B76" s="458"/>
      <c r="C76" s="336"/>
      <c r="D76" s="336"/>
      <c r="E76" s="456"/>
      <c r="F76" s="456"/>
      <c r="G76" s="456"/>
      <c r="H76" s="456"/>
      <c r="I76" s="456"/>
      <c r="J76" s="456"/>
      <c r="K76" s="456"/>
      <c r="L76" s="456"/>
      <c r="M76" s="456"/>
      <c r="N76" s="456"/>
      <c r="O76" s="456"/>
      <c r="P76" s="456"/>
      <c r="Q76" s="456"/>
      <c r="R76" s="353"/>
      <c r="S76" s="472"/>
      <c r="T76" s="472"/>
    </row>
    <row r="77" spans="1:21" ht="15.75" customHeight="1" x14ac:dyDescent="0.15">
      <c r="A77" s="355" t="s">
        <v>327</v>
      </c>
      <c r="B77" s="410" t="s">
        <v>416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469"/>
      <c r="S77" s="472"/>
      <c r="T77" s="472"/>
    </row>
    <row r="78" spans="1:21" ht="15.75" customHeight="1" x14ac:dyDescent="0.15">
      <c r="A78" s="335" t="s">
        <v>417</v>
      </c>
      <c r="B78" s="407" t="s">
        <v>418</v>
      </c>
      <c r="C78" s="336"/>
      <c r="D78" s="337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52"/>
      <c r="S78" s="472"/>
      <c r="T78" s="472"/>
    </row>
    <row r="79" spans="1:21" ht="15.75" customHeight="1" x14ac:dyDescent="0.15">
      <c r="A79" s="335" t="s">
        <v>419</v>
      </c>
      <c r="B79" s="407" t="s">
        <v>358</v>
      </c>
      <c r="C79" s="336"/>
      <c r="D79" s="337"/>
      <c r="E79" s="333">
        <v>24500000</v>
      </c>
      <c r="F79" s="333">
        <v>24500000</v>
      </c>
      <c r="G79" s="333">
        <v>24500000</v>
      </c>
      <c r="H79" s="333">
        <v>24500000</v>
      </c>
      <c r="I79" s="333">
        <v>24500000</v>
      </c>
      <c r="J79" s="333">
        <v>24500000</v>
      </c>
      <c r="K79" s="333">
        <v>24500000</v>
      </c>
      <c r="L79" s="333">
        <v>24500000</v>
      </c>
      <c r="M79" s="333">
        <v>24500000</v>
      </c>
      <c r="N79" s="333">
        <v>24500000</v>
      </c>
      <c r="O79" s="333">
        <v>24500000</v>
      </c>
      <c r="P79" s="333">
        <v>24500000</v>
      </c>
      <c r="Q79" s="333">
        <f>SUM(E79:P79)</f>
        <v>294000000</v>
      </c>
      <c r="R79" s="352" t="s">
        <v>359</v>
      </c>
      <c r="S79" s="473">
        <f>'RINCIAN B. LANGSUNG USAHA'!Q73</f>
        <v>0</v>
      </c>
      <c r="T79" s="473">
        <f>Q79-S79</f>
        <v>294000000</v>
      </c>
    </row>
    <row r="80" spans="1:21" ht="15.75" customHeight="1" x14ac:dyDescent="0.15">
      <c r="A80" s="335" t="s">
        <v>420</v>
      </c>
      <c r="B80" s="407" t="s">
        <v>421</v>
      </c>
      <c r="C80" s="336"/>
      <c r="D80" s="337"/>
      <c r="E80" s="333">
        <v>1000000</v>
      </c>
      <c r="F80" s="333">
        <v>1000000</v>
      </c>
      <c r="G80" s="333">
        <v>1000000</v>
      </c>
      <c r="H80" s="333">
        <v>1000000</v>
      </c>
      <c r="I80" s="333">
        <v>1000000</v>
      </c>
      <c r="J80" s="333">
        <v>1000000</v>
      </c>
      <c r="K80" s="333">
        <v>1000000</v>
      </c>
      <c r="L80" s="333">
        <v>1000000</v>
      </c>
      <c r="M80" s="333">
        <v>1000000</v>
      </c>
      <c r="N80" s="333">
        <v>1000000</v>
      </c>
      <c r="O80" s="333">
        <v>1000000</v>
      </c>
      <c r="P80" s="333">
        <v>1000000</v>
      </c>
      <c r="Q80" s="333">
        <f t="shared" ref="Q80:Q81" si="41">SUM(E80:P80)</f>
        <v>12000000</v>
      </c>
      <c r="R80" s="465" t="s">
        <v>368</v>
      </c>
      <c r="S80" s="473">
        <f>'RINCIAN B. LANGSUNG USAHA'!Q86</f>
        <v>0</v>
      </c>
      <c r="T80" s="473">
        <f t="shared" ref="T80:T82" si="42">Q80-S80</f>
        <v>12000000</v>
      </c>
    </row>
    <row r="81" spans="1:21" ht="15.75" customHeight="1" x14ac:dyDescent="0.15">
      <c r="A81" s="335" t="s">
        <v>584</v>
      </c>
      <c r="B81" s="863" t="s">
        <v>585</v>
      </c>
      <c r="C81" s="864"/>
      <c r="D81" s="865"/>
      <c r="E81" s="333">
        <f>200*12000</f>
        <v>2400000</v>
      </c>
      <c r="F81" s="333">
        <f t="shared" ref="F81:P81" si="43">200*12000</f>
        <v>2400000</v>
      </c>
      <c r="G81" s="333">
        <f t="shared" si="43"/>
        <v>2400000</v>
      </c>
      <c r="H81" s="333">
        <f t="shared" si="43"/>
        <v>2400000</v>
      </c>
      <c r="I81" s="333">
        <f t="shared" si="43"/>
        <v>2400000</v>
      </c>
      <c r="J81" s="333">
        <f t="shared" si="43"/>
        <v>2400000</v>
      </c>
      <c r="K81" s="333">
        <f t="shared" si="43"/>
        <v>2400000</v>
      </c>
      <c r="L81" s="333">
        <f t="shared" si="43"/>
        <v>2400000</v>
      </c>
      <c r="M81" s="333">
        <f t="shared" si="43"/>
        <v>2400000</v>
      </c>
      <c r="N81" s="333">
        <f t="shared" si="43"/>
        <v>2400000</v>
      </c>
      <c r="O81" s="333">
        <f t="shared" si="43"/>
        <v>2400000</v>
      </c>
      <c r="P81" s="333">
        <f t="shared" si="43"/>
        <v>2400000</v>
      </c>
      <c r="Q81" s="333">
        <f t="shared" si="41"/>
        <v>28800000</v>
      </c>
      <c r="R81" s="464" t="s">
        <v>362</v>
      </c>
      <c r="S81" s="473">
        <f>'RINCIAN B. LANGSUNG USAHA'!Q87</f>
        <v>0</v>
      </c>
      <c r="T81" s="473">
        <f t="shared" si="42"/>
        <v>28800000</v>
      </c>
    </row>
    <row r="82" spans="1:21" ht="15.75" customHeight="1" x14ac:dyDescent="0.15">
      <c r="A82" s="335" t="s">
        <v>422</v>
      </c>
      <c r="B82" s="407" t="s">
        <v>370</v>
      </c>
      <c r="C82" s="336"/>
      <c r="D82" s="337"/>
      <c r="E82" s="333">
        <v>100000</v>
      </c>
      <c r="F82" s="333">
        <v>100000</v>
      </c>
      <c r="G82" s="333">
        <v>100000</v>
      </c>
      <c r="H82" s="333">
        <v>100000</v>
      </c>
      <c r="I82" s="333">
        <v>100000</v>
      </c>
      <c r="J82" s="333">
        <v>100000</v>
      </c>
      <c r="K82" s="333">
        <v>100000</v>
      </c>
      <c r="L82" s="333">
        <v>100000</v>
      </c>
      <c r="M82" s="333">
        <v>100000</v>
      </c>
      <c r="N82" s="333">
        <v>100000</v>
      </c>
      <c r="O82" s="333">
        <v>100000</v>
      </c>
      <c r="P82" s="333">
        <v>100000</v>
      </c>
      <c r="Q82" s="333">
        <f>SUM(E82:P82)</f>
        <v>1200000</v>
      </c>
      <c r="R82" s="352" t="s">
        <v>371</v>
      </c>
      <c r="S82" s="473">
        <f>'RINCIAN B. LANGSUNG USAHA'!Q88</f>
        <v>0</v>
      </c>
      <c r="T82" s="473">
        <f t="shared" si="42"/>
        <v>1200000</v>
      </c>
    </row>
    <row r="83" spans="1:21" ht="15.75" customHeight="1" x14ac:dyDescent="0.15">
      <c r="A83" s="344"/>
      <c r="B83" s="857" t="s">
        <v>423</v>
      </c>
      <c r="C83" s="858"/>
      <c r="D83" s="859"/>
      <c r="E83" s="345">
        <f t="shared" ref="E83:O83" si="44">SUM(E79:E82)</f>
        <v>28000000</v>
      </c>
      <c r="F83" s="345">
        <f t="shared" si="44"/>
        <v>28000000</v>
      </c>
      <c r="G83" s="345">
        <f t="shared" si="44"/>
        <v>28000000</v>
      </c>
      <c r="H83" s="345">
        <f t="shared" si="44"/>
        <v>28000000</v>
      </c>
      <c r="I83" s="345">
        <f t="shared" si="44"/>
        <v>28000000</v>
      </c>
      <c r="J83" s="345">
        <f t="shared" si="44"/>
        <v>28000000</v>
      </c>
      <c r="K83" s="345">
        <f t="shared" si="44"/>
        <v>28000000</v>
      </c>
      <c r="L83" s="345">
        <f t="shared" si="44"/>
        <v>28000000</v>
      </c>
      <c r="M83" s="345">
        <f t="shared" si="44"/>
        <v>28000000</v>
      </c>
      <c r="N83" s="345">
        <f t="shared" si="44"/>
        <v>28000000</v>
      </c>
      <c r="O83" s="345">
        <f t="shared" si="44"/>
        <v>28000000</v>
      </c>
      <c r="P83" s="345">
        <f>SUM(P79:P82)</f>
        <v>28000000</v>
      </c>
      <c r="Q83" s="345">
        <f>SUM(E83:P83)</f>
        <v>336000000</v>
      </c>
      <c r="R83" s="446"/>
      <c r="S83" s="480">
        <f>SUM(S79:S82)</f>
        <v>0</v>
      </c>
      <c r="T83" s="480">
        <f>SUM(T79:T82)</f>
        <v>336000000</v>
      </c>
      <c r="U83" s="343"/>
    </row>
    <row r="84" spans="1:21" ht="15.75" customHeight="1" x14ac:dyDescent="0.15">
      <c r="A84" s="335" t="s">
        <v>424</v>
      </c>
      <c r="B84" s="407" t="s">
        <v>425</v>
      </c>
      <c r="C84" s="336"/>
      <c r="D84" s="337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52"/>
      <c r="S84" s="472"/>
      <c r="T84" s="472"/>
    </row>
    <row r="85" spans="1:21" ht="15.75" customHeight="1" x14ac:dyDescent="0.15">
      <c r="A85" s="335" t="s">
        <v>426</v>
      </c>
      <c r="B85" s="407" t="s">
        <v>427</v>
      </c>
      <c r="C85" s="336"/>
      <c r="D85" s="337"/>
      <c r="E85" s="333">
        <v>1500000</v>
      </c>
      <c r="F85" s="333"/>
      <c r="G85" s="333"/>
      <c r="H85" s="333"/>
      <c r="I85" s="333">
        <v>1500000</v>
      </c>
      <c r="J85" s="333"/>
      <c r="K85" s="333"/>
      <c r="L85" s="333"/>
      <c r="M85" s="333"/>
      <c r="N85" s="333">
        <v>1500000</v>
      </c>
      <c r="O85" s="333"/>
      <c r="P85" s="333"/>
      <c r="Q85" s="333">
        <f>SUM(E85:P85)</f>
        <v>4500000</v>
      </c>
      <c r="R85" s="352" t="s">
        <v>377</v>
      </c>
      <c r="S85" s="473">
        <f>'RINCIAN B. LANGSUNG USAHA'!Q91</f>
        <v>0</v>
      </c>
      <c r="T85" s="473">
        <f>Q85-S85</f>
        <v>4500000</v>
      </c>
    </row>
    <row r="86" spans="1:21" ht="15.75" customHeight="1" x14ac:dyDescent="0.15">
      <c r="A86" s="335" t="s">
        <v>428</v>
      </c>
      <c r="B86" s="407" t="s">
        <v>429</v>
      </c>
      <c r="C86" s="336"/>
      <c r="D86" s="337"/>
      <c r="E86" s="333">
        <v>22500000</v>
      </c>
      <c r="F86" s="333">
        <v>22500000</v>
      </c>
      <c r="G86" s="333">
        <v>22500000</v>
      </c>
      <c r="H86" s="333">
        <v>22500000</v>
      </c>
      <c r="I86" s="333">
        <v>22500000</v>
      </c>
      <c r="J86" s="333">
        <v>22500000</v>
      </c>
      <c r="K86" s="333">
        <v>22500000</v>
      </c>
      <c r="L86" s="333">
        <v>22500000</v>
      </c>
      <c r="M86" s="333">
        <v>22500000</v>
      </c>
      <c r="N86" s="333">
        <v>22500000</v>
      </c>
      <c r="O86" s="333">
        <v>22500000</v>
      </c>
      <c r="P86" s="333">
        <v>22500000</v>
      </c>
      <c r="Q86" s="333">
        <f t="shared" ref="Q86:Q90" si="45">SUM(E86:P86)</f>
        <v>270000000</v>
      </c>
      <c r="R86" s="352" t="s">
        <v>377</v>
      </c>
      <c r="S86" s="473">
        <f>'RINCIAN B. LANGSUNG USAHA'!Q92</f>
        <v>0</v>
      </c>
      <c r="T86" s="473">
        <f t="shared" ref="T86:T90" si="46">Q86-S86</f>
        <v>270000000</v>
      </c>
    </row>
    <row r="87" spans="1:21" ht="15.75" customHeight="1" x14ac:dyDescent="0.15">
      <c r="A87" s="335" t="s">
        <v>430</v>
      </c>
      <c r="B87" s="407" t="s">
        <v>431</v>
      </c>
      <c r="C87" s="336"/>
      <c r="D87" s="337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>
        <f t="shared" si="45"/>
        <v>0</v>
      </c>
      <c r="R87" s="352" t="s">
        <v>377</v>
      </c>
      <c r="S87" s="473">
        <f>'RINCIAN B. LANGSUNG USAHA'!Q93</f>
        <v>0</v>
      </c>
      <c r="T87" s="473">
        <f t="shared" si="46"/>
        <v>0</v>
      </c>
    </row>
    <row r="88" spans="1:21" ht="15.75" customHeight="1" x14ac:dyDescent="0.15">
      <c r="A88" s="335" t="s">
        <v>432</v>
      </c>
      <c r="B88" s="407" t="s">
        <v>410</v>
      </c>
      <c r="C88" s="357"/>
      <c r="D88" s="358"/>
      <c r="E88" s="333">
        <v>2000000</v>
      </c>
      <c r="F88" s="333">
        <v>2000000</v>
      </c>
      <c r="G88" s="333">
        <v>2000000</v>
      </c>
      <c r="H88" s="333">
        <v>2000000</v>
      </c>
      <c r="I88" s="333">
        <v>2000000</v>
      </c>
      <c r="J88" s="333">
        <v>2000000</v>
      </c>
      <c r="K88" s="333">
        <v>2000000</v>
      </c>
      <c r="L88" s="333">
        <v>2000000</v>
      </c>
      <c r="M88" s="333">
        <v>2000000</v>
      </c>
      <c r="N88" s="333">
        <v>2000000</v>
      </c>
      <c r="O88" s="333">
        <v>2000000</v>
      </c>
      <c r="P88" s="333">
        <v>2000000</v>
      </c>
      <c r="Q88" s="333">
        <f t="shared" si="45"/>
        <v>24000000</v>
      </c>
      <c r="R88" s="352" t="s">
        <v>377</v>
      </c>
      <c r="S88" s="473">
        <f>'RINCIAN B. LANGSUNG USAHA'!Q94</f>
        <v>0</v>
      </c>
      <c r="T88" s="473">
        <f t="shared" si="46"/>
        <v>24000000</v>
      </c>
    </row>
    <row r="89" spans="1:21" ht="15.75" customHeight="1" x14ac:dyDescent="0.15">
      <c r="A89" s="335" t="s">
        <v>433</v>
      </c>
      <c r="B89" s="407" t="s">
        <v>434</v>
      </c>
      <c r="C89" s="336"/>
      <c r="D89" s="337"/>
      <c r="E89" s="333">
        <f>40*488400</f>
        <v>19536000</v>
      </c>
      <c r="F89" s="333">
        <f t="shared" ref="F89:P89" si="47">40*488400</f>
        <v>19536000</v>
      </c>
      <c r="G89" s="333">
        <f t="shared" si="47"/>
        <v>19536000</v>
      </c>
      <c r="H89" s="333">
        <f t="shared" si="47"/>
        <v>19536000</v>
      </c>
      <c r="I89" s="333">
        <f t="shared" si="47"/>
        <v>19536000</v>
      </c>
      <c r="J89" s="333">
        <f t="shared" si="47"/>
        <v>19536000</v>
      </c>
      <c r="K89" s="333">
        <f t="shared" si="47"/>
        <v>19536000</v>
      </c>
      <c r="L89" s="333">
        <f t="shared" si="47"/>
        <v>19536000</v>
      </c>
      <c r="M89" s="333">
        <f t="shared" si="47"/>
        <v>19536000</v>
      </c>
      <c r="N89" s="333">
        <f t="shared" si="47"/>
        <v>19536000</v>
      </c>
      <c r="O89" s="333">
        <f t="shared" si="47"/>
        <v>19536000</v>
      </c>
      <c r="P89" s="333">
        <f t="shared" si="47"/>
        <v>19536000</v>
      </c>
      <c r="Q89" s="333">
        <f t="shared" si="45"/>
        <v>234432000</v>
      </c>
      <c r="R89" s="352" t="s">
        <v>377</v>
      </c>
      <c r="S89" s="473">
        <f>'RINCIAN B. LANGSUNG USAHA'!Q95</f>
        <v>0</v>
      </c>
      <c r="T89" s="473">
        <f t="shared" si="46"/>
        <v>234432000</v>
      </c>
    </row>
    <row r="90" spans="1:21" ht="15.75" customHeight="1" x14ac:dyDescent="0.15">
      <c r="A90" s="335" t="s">
        <v>435</v>
      </c>
      <c r="B90" s="407" t="s">
        <v>436</v>
      </c>
      <c r="C90" s="336"/>
      <c r="D90" s="337"/>
      <c r="E90" s="333">
        <v>1000000</v>
      </c>
      <c r="F90" s="333">
        <v>1000000</v>
      </c>
      <c r="G90" s="333">
        <v>1000000</v>
      </c>
      <c r="H90" s="333">
        <v>1000000</v>
      </c>
      <c r="I90" s="333">
        <v>1000000</v>
      </c>
      <c r="J90" s="333">
        <v>1000000</v>
      </c>
      <c r="K90" s="333">
        <v>1000000</v>
      </c>
      <c r="L90" s="333">
        <v>1000000</v>
      </c>
      <c r="M90" s="333">
        <v>1000000</v>
      </c>
      <c r="N90" s="333">
        <v>1000000</v>
      </c>
      <c r="O90" s="333">
        <v>1000000</v>
      </c>
      <c r="P90" s="333">
        <v>1000000</v>
      </c>
      <c r="Q90" s="333">
        <f t="shared" si="45"/>
        <v>12000000</v>
      </c>
      <c r="R90" s="352" t="s">
        <v>377</v>
      </c>
      <c r="S90" s="473">
        <f>'RINCIAN B. LANGSUNG USAHA'!Q96</f>
        <v>0</v>
      </c>
      <c r="T90" s="473">
        <f t="shared" si="46"/>
        <v>12000000</v>
      </c>
    </row>
    <row r="91" spans="1:21" ht="15.75" customHeight="1" x14ac:dyDescent="0.15">
      <c r="A91" s="344"/>
      <c r="B91" s="857" t="s">
        <v>413</v>
      </c>
      <c r="C91" s="858"/>
      <c r="D91" s="859"/>
      <c r="E91" s="345">
        <f>SUM(E85:E90)</f>
        <v>46536000</v>
      </c>
      <c r="F91" s="345">
        <f t="shared" ref="F91:P91" si="48">SUM(F85:F90)</f>
        <v>45036000</v>
      </c>
      <c r="G91" s="345">
        <f t="shared" si="48"/>
        <v>45036000</v>
      </c>
      <c r="H91" s="345">
        <f t="shared" si="48"/>
        <v>45036000</v>
      </c>
      <c r="I91" s="345">
        <f t="shared" si="48"/>
        <v>46536000</v>
      </c>
      <c r="J91" s="345">
        <f t="shared" si="48"/>
        <v>45036000</v>
      </c>
      <c r="K91" s="345">
        <f t="shared" si="48"/>
        <v>45036000</v>
      </c>
      <c r="L91" s="345">
        <f t="shared" si="48"/>
        <v>45036000</v>
      </c>
      <c r="M91" s="345">
        <f t="shared" si="48"/>
        <v>45036000</v>
      </c>
      <c r="N91" s="345">
        <f t="shared" si="48"/>
        <v>46536000</v>
      </c>
      <c r="O91" s="345">
        <f t="shared" si="48"/>
        <v>45036000</v>
      </c>
      <c r="P91" s="345">
        <f t="shared" si="48"/>
        <v>45036000</v>
      </c>
      <c r="Q91" s="345">
        <f>SUM(E91:P91)</f>
        <v>544932000</v>
      </c>
      <c r="R91" s="446"/>
      <c r="S91" s="482">
        <f>SUM(S84:S90)</f>
        <v>0</v>
      </c>
      <c r="T91" s="482">
        <f>SUM(T84:T90)</f>
        <v>544932000</v>
      </c>
      <c r="U91" s="343"/>
    </row>
    <row r="92" spans="1:21" ht="15.75" customHeight="1" x14ac:dyDescent="0.15">
      <c r="A92" s="344"/>
      <c r="B92" s="417" t="s">
        <v>391</v>
      </c>
      <c r="C92" s="349"/>
      <c r="D92" s="350"/>
      <c r="E92" s="345">
        <f>E91+E83</f>
        <v>74536000</v>
      </c>
      <c r="F92" s="345">
        <f t="shared" ref="F92:P92" si="49">F91+F83</f>
        <v>73036000</v>
      </c>
      <c r="G92" s="345">
        <f t="shared" si="49"/>
        <v>73036000</v>
      </c>
      <c r="H92" s="345">
        <f t="shared" si="49"/>
        <v>73036000</v>
      </c>
      <c r="I92" s="345">
        <f t="shared" si="49"/>
        <v>74536000</v>
      </c>
      <c r="J92" s="345">
        <f t="shared" si="49"/>
        <v>73036000</v>
      </c>
      <c r="K92" s="345">
        <f t="shared" si="49"/>
        <v>73036000</v>
      </c>
      <c r="L92" s="345">
        <f t="shared" si="49"/>
        <v>73036000</v>
      </c>
      <c r="M92" s="345">
        <f t="shared" si="49"/>
        <v>73036000</v>
      </c>
      <c r="N92" s="345">
        <f t="shared" si="49"/>
        <v>74536000</v>
      </c>
      <c r="O92" s="345">
        <f t="shared" si="49"/>
        <v>73036000</v>
      </c>
      <c r="P92" s="345">
        <f t="shared" si="49"/>
        <v>73036000</v>
      </c>
      <c r="Q92" s="345">
        <f>SUM(E92:P92)</f>
        <v>880932000</v>
      </c>
      <c r="R92" s="352"/>
      <c r="S92" s="480">
        <f>S91+S83</f>
        <v>0</v>
      </c>
      <c r="T92" s="480">
        <f>T91+T83</f>
        <v>880932000</v>
      </c>
    </row>
    <row r="93" spans="1:21" ht="15.75" customHeight="1" x14ac:dyDescent="0.15">
      <c r="A93" s="344" t="s">
        <v>333</v>
      </c>
      <c r="B93" s="417" t="s">
        <v>437</v>
      </c>
      <c r="C93" s="349"/>
      <c r="D93" s="350"/>
      <c r="E93" s="345">
        <f>28956548+2000000</f>
        <v>30956548</v>
      </c>
      <c r="F93" s="345">
        <f t="shared" ref="F93:P93" si="50">28956548+2000000</f>
        <v>30956548</v>
      </c>
      <c r="G93" s="345">
        <f t="shared" si="50"/>
        <v>30956548</v>
      </c>
      <c r="H93" s="345">
        <f t="shared" si="50"/>
        <v>30956548</v>
      </c>
      <c r="I93" s="345">
        <f t="shared" si="50"/>
        <v>30956548</v>
      </c>
      <c r="J93" s="345">
        <f t="shared" si="50"/>
        <v>30956548</v>
      </c>
      <c r="K93" s="345">
        <f t="shared" si="50"/>
        <v>30956548</v>
      </c>
      <c r="L93" s="345">
        <f t="shared" si="50"/>
        <v>30956548</v>
      </c>
      <c r="M93" s="345">
        <f t="shared" si="50"/>
        <v>30956548</v>
      </c>
      <c r="N93" s="345">
        <f t="shared" si="50"/>
        <v>30956548</v>
      </c>
      <c r="O93" s="345">
        <f t="shared" si="50"/>
        <v>30956548</v>
      </c>
      <c r="P93" s="345">
        <f t="shared" si="50"/>
        <v>30956548</v>
      </c>
      <c r="Q93" s="345">
        <f>SUM(E93:P93)</f>
        <v>371478576</v>
      </c>
      <c r="R93" s="446" t="s">
        <v>393</v>
      </c>
      <c r="S93" s="480">
        <f>'RINCIAN B. LANGSUNG USAHA'!Q99</f>
        <v>0</v>
      </c>
      <c r="T93" s="480">
        <f>Q93-S93</f>
        <v>371478576</v>
      </c>
    </row>
    <row r="94" spans="1:21" ht="15.75" customHeight="1" x14ac:dyDescent="0.15">
      <c r="A94" s="344"/>
      <c r="B94" s="866" t="s">
        <v>438</v>
      </c>
      <c r="C94" s="867"/>
      <c r="D94" s="868"/>
      <c r="E94" s="345">
        <f>SUM(E92:E93)</f>
        <v>105492548</v>
      </c>
      <c r="F94" s="345">
        <f t="shared" ref="F94:P94" si="51">SUM(F92:F93)</f>
        <v>103992548</v>
      </c>
      <c r="G94" s="345">
        <f>SUM(G92:G93)</f>
        <v>103992548</v>
      </c>
      <c r="H94" s="345">
        <f t="shared" si="51"/>
        <v>103992548</v>
      </c>
      <c r="I94" s="345">
        <f t="shared" si="51"/>
        <v>105492548</v>
      </c>
      <c r="J94" s="345">
        <f t="shared" si="51"/>
        <v>103992548</v>
      </c>
      <c r="K94" s="345">
        <f t="shared" si="51"/>
        <v>103992548</v>
      </c>
      <c r="L94" s="345">
        <f t="shared" si="51"/>
        <v>103992548</v>
      </c>
      <c r="M94" s="345">
        <f t="shared" si="51"/>
        <v>103992548</v>
      </c>
      <c r="N94" s="345">
        <f t="shared" si="51"/>
        <v>105492548</v>
      </c>
      <c r="O94" s="345">
        <f t="shared" si="51"/>
        <v>103992548</v>
      </c>
      <c r="P94" s="345">
        <f t="shared" si="51"/>
        <v>103992548</v>
      </c>
      <c r="Q94" s="345">
        <f>SUM(Q92:Q93)</f>
        <v>1252410576</v>
      </c>
      <c r="R94" s="352"/>
      <c r="S94" s="480">
        <f>SUM(S92:S93)</f>
        <v>0</v>
      </c>
      <c r="T94" s="480">
        <f>SUM(T92:T93)</f>
        <v>1252410576</v>
      </c>
    </row>
    <row r="95" spans="1:21" ht="15.75" customHeight="1" x14ac:dyDescent="0.15">
      <c r="A95" s="362"/>
      <c r="B95" s="363" t="s">
        <v>439</v>
      </c>
      <c r="C95" s="336"/>
      <c r="D95" s="337"/>
      <c r="E95" s="345">
        <f t="shared" ref="E95:P96" si="52">E92+E71+E35</f>
        <v>334439500</v>
      </c>
      <c r="F95" s="345">
        <f t="shared" si="52"/>
        <v>328270000</v>
      </c>
      <c r="G95" s="345">
        <f t="shared" si="52"/>
        <v>334426005</v>
      </c>
      <c r="H95" s="345">
        <f t="shared" si="52"/>
        <v>313098500</v>
      </c>
      <c r="I95" s="345">
        <f t="shared" si="52"/>
        <v>320239500</v>
      </c>
      <c r="J95" s="345">
        <f t="shared" si="52"/>
        <v>363326000</v>
      </c>
      <c r="K95" s="345">
        <f t="shared" si="52"/>
        <v>364539500</v>
      </c>
      <c r="L95" s="345">
        <f t="shared" si="52"/>
        <v>342313500</v>
      </c>
      <c r="M95" s="345">
        <f t="shared" si="52"/>
        <v>345526000</v>
      </c>
      <c r="N95" s="345">
        <f t="shared" si="52"/>
        <v>358039500</v>
      </c>
      <c r="O95" s="345">
        <f t="shared" si="52"/>
        <v>317526000</v>
      </c>
      <c r="P95" s="345">
        <f t="shared" si="52"/>
        <v>320039500</v>
      </c>
      <c r="Q95" s="345">
        <f>SUM(E95:P95)</f>
        <v>4041783505</v>
      </c>
      <c r="R95" s="446"/>
      <c r="S95" s="480">
        <f>S92+S71+S35</f>
        <v>0</v>
      </c>
      <c r="T95" s="480">
        <f>T92+T71+T35</f>
        <v>4041783505</v>
      </c>
      <c r="U95" s="343"/>
    </row>
    <row r="96" spans="1:21" ht="15.75" customHeight="1" x14ac:dyDescent="0.15">
      <c r="A96" s="344"/>
      <c r="B96" s="417" t="s">
        <v>440</v>
      </c>
      <c r="C96" s="349"/>
      <c r="D96" s="350"/>
      <c r="E96" s="333">
        <f t="shared" si="52"/>
        <v>77204105</v>
      </c>
      <c r="F96" s="333">
        <f t="shared" si="52"/>
        <v>77204105</v>
      </c>
      <c r="G96" s="333">
        <f t="shared" si="52"/>
        <v>77204105</v>
      </c>
      <c r="H96" s="333">
        <f t="shared" si="52"/>
        <v>77204105</v>
      </c>
      <c r="I96" s="333">
        <f t="shared" si="52"/>
        <v>77204105</v>
      </c>
      <c r="J96" s="333">
        <f t="shared" si="52"/>
        <v>77204105</v>
      </c>
      <c r="K96" s="333">
        <f t="shared" si="52"/>
        <v>77204105</v>
      </c>
      <c r="L96" s="333">
        <f t="shared" si="52"/>
        <v>77204105</v>
      </c>
      <c r="M96" s="333">
        <f t="shared" si="52"/>
        <v>77204105</v>
      </c>
      <c r="N96" s="333">
        <f t="shared" si="52"/>
        <v>77204105</v>
      </c>
      <c r="O96" s="333">
        <f t="shared" si="52"/>
        <v>77204105</v>
      </c>
      <c r="P96" s="333">
        <f t="shared" si="52"/>
        <v>77204105</v>
      </c>
      <c r="Q96" s="333">
        <f>SUM(E96:P96)</f>
        <v>926449260</v>
      </c>
      <c r="R96" s="446" t="s">
        <v>393</v>
      </c>
      <c r="S96" s="480">
        <f>S93+S72+S36</f>
        <v>0</v>
      </c>
      <c r="T96" s="480">
        <f t="shared" ref="T96" si="53">T93+T72+T36</f>
        <v>926449260</v>
      </c>
      <c r="U96" s="483"/>
    </row>
    <row r="97" spans="1:21" ht="15.75" customHeight="1" thickBot="1" x14ac:dyDescent="0.2">
      <c r="A97" s="364"/>
      <c r="B97" s="869" t="s">
        <v>441</v>
      </c>
      <c r="C97" s="870"/>
      <c r="D97" s="871"/>
      <c r="E97" s="365">
        <f>SUM(E95:E96)</f>
        <v>411643605</v>
      </c>
      <c r="F97" s="365">
        <f t="shared" ref="F97:Q97" si="54">SUM(F95:F96)</f>
        <v>405474105</v>
      </c>
      <c r="G97" s="365">
        <f t="shared" si="54"/>
        <v>411630110</v>
      </c>
      <c r="H97" s="365">
        <f t="shared" si="54"/>
        <v>390302605</v>
      </c>
      <c r="I97" s="365">
        <f t="shared" si="54"/>
        <v>397443605</v>
      </c>
      <c r="J97" s="365">
        <f t="shared" si="54"/>
        <v>440530105</v>
      </c>
      <c r="K97" s="365">
        <f t="shared" si="54"/>
        <v>441743605</v>
      </c>
      <c r="L97" s="365">
        <f t="shared" si="54"/>
        <v>419517605</v>
      </c>
      <c r="M97" s="365">
        <f t="shared" si="54"/>
        <v>422730105</v>
      </c>
      <c r="N97" s="365">
        <f t="shared" si="54"/>
        <v>435243605</v>
      </c>
      <c r="O97" s="365">
        <f t="shared" si="54"/>
        <v>394730105</v>
      </c>
      <c r="P97" s="365">
        <f t="shared" si="54"/>
        <v>397243605</v>
      </c>
      <c r="Q97" s="365">
        <f t="shared" si="54"/>
        <v>4968232765</v>
      </c>
      <c r="R97" s="470"/>
      <c r="S97" s="480">
        <f>SUM(S95:S96)</f>
        <v>0</v>
      </c>
      <c r="T97" s="480">
        <f>SUM(T95:T96)</f>
        <v>4968232765</v>
      </c>
      <c r="U97" s="483"/>
    </row>
    <row r="98" spans="1:21" ht="12.75" customHeight="1" thickTop="1" x14ac:dyDescent="0.15">
      <c r="A98" s="367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S98" s="343">
        <f>'RINCIAN B. LANGSUNG USAHA'!Q104</f>
        <v>0</v>
      </c>
    </row>
    <row r="99" spans="1:21" ht="12.75" customHeight="1" x14ac:dyDescent="0.15">
      <c r="A99" s="367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</row>
    <row r="100" spans="1:21" ht="12.75" customHeight="1" x14ac:dyDescent="0.15">
      <c r="A100" s="367"/>
      <c r="E100" s="371">
        <f t="shared" ref="E100:P100" si="55">E94+E73+E37</f>
        <v>411643605</v>
      </c>
      <c r="F100" s="371">
        <f t="shared" si="55"/>
        <v>405474105</v>
      </c>
      <c r="G100" s="371">
        <f t="shared" si="55"/>
        <v>411630110</v>
      </c>
      <c r="H100" s="371">
        <f t="shared" si="55"/>
        <v>390302605</v>
      </c>
      <c r="I100" s="371">
        <f t="shared" si="55"/>
        <v>397443605</v>
      </c>
      <c r="J100" s="371">
        <f t="shared" si="55"/>
        <v>440530105</v>
      </c>
      <c r="K100" s="371">
        <f t="shared" si="55"/>
        <v>441743605</v>
      </c>
      <c r="L100" s="371">
        <f t="shared" si="55"/>
        <v>419517605</v>
      </c>
      <c r="M100" s="371">
        <f t="shared" si="55"/>
        <v>422730105</v>
      </c>
      <c r="N100" s="371">
        <f t="shared" si="55"/>
        <v>435243605</v>
      </c>
      <c r="O100" s="371">
        <f t="shared" si="55"/>
        <v>394730105</v>
      </c>
      <c r="P100" s="371">
        <f t="shared" si="55"/>
        <v>397243605</v>
      </c>
      <c r="Q100" s="343">
        <f>SUM(E100:P100)</f>
        <v>4968232765</v>
      </c>
      <c r="R100" s="343"/>
    </row>
    <row r="101" spans="1:21" ht="12.75" customHeight="1" x14ac:dyDescent="0.15">
      <c r="A101" s="367"/>
      <c r="K101" s="343"/>
      <c r="Q101" s="343"/>
    </row>
    <row r="102" spans="1:21" ht="12.75" customHeight="1" x14ac:dyDescent="0.15">
      <c r="A102" s="367"/>
      <c r="K102" s="343"/>
    </row>
    <row r="103" spans="1:21" ht="12.75" customHeight="1" x14ac:dyDescent="0.15">
      <c r="A103" s="367"/>
      <c r="K103" s="856"/>
      <c r="L103" s="856"/>
    </row>
    <row r="104" spans="1:21" ht="12.75" customHeight="1" x14ac:dyDescent="0.15">
      <c r="A104" s="367"/>
      <c r="B104" s="323"/>
    </row>
    <row r="105" spans="1:21" ht="12.75" customHeight="1" x14ac:dyDescent="0.15">
      <c r="A105" s="367"/>
      <c r="B105" s="323"/>
    </row>
    <row r="106" spans="1:21" ht="12.75" customHeight="1" x14ac:dyDescent="0.15">
      <c r="A106" s="367"/>
      <c r="B106" s="323"/>
    </row>
    <row r="107" spans="1:21" ht="12.75" customHeight="1" x14ac:dyDescent="0.15">
      <c r="A107" s="367"/>
      <c r="B107" s="323"/>
    </row>
    <row r="108" spans="1:21" ht="12.75" customHeight="1" x14ac:dyDescent="0.15">
      <c r="A108" s="367"/>
      <c r="B108" s="323"/>
    </row>
    <row r="109" spans="1:21" ht="12.75" customHeight="1" x14ac:dyDescent="0.15">
      <c r="A109" s="367"/>
      <c r="B109" s="323"/>
    </row>
    <row r="110" spans="1:21" ht="12.75" customHeight="1" x14ac:dyDescent="0.15">
      <c r="A110" s="367"/>
      <c r="B110" s="323"/>
    </row>
    <row r="111" spans="1:21" ht="12.75" customHeight="1" x14ac:dyDescent="0.15">
      <c r="A111" s="367"/>
      <c r="B111" s="323"/>
    </row>
    <row r="112" spans="1:21" ht="12.75" customHeight="1" x14ac:dyDescent="0.15">
      <c r="A112" s="367"/>
      <c r="B112" s="323"/>
    </row>
    <row r="113" spans="1:2" ht="12.75" customHeight="1" x14ac:dyDescent="0.15">
      <c r="A113" s="367"/>
      <c r="B113" s="323"/>
    </row>
    <row r="114" spans="1:2" ht="12.75" customHeight="1" x14ac:dyDescent="0.15">
      <c r="A114" s="367"/>
      <c r="B114" s="323"/>
    </row>
    <row r="115" spans="1:2" ht="12.75" customHeight="1" x14ac:dyDescent="0.15">
      <c r="A115" s="367"/>
      <c r="B115" s="323"/>
    </row>
    <row r="116" spans="1:2" ht="12.75" customHeight="1" x14ac:dyDescent="0.15">
      <c r="A116" s="367"/>
      <c r="B116" s="323"/>
    </row>
    <row r="117" spans="1:2" ht="12.75" customHeight="1" x14ac:dyDescent="0.15">
      <c r="A117" s="367"/>
      <c r="B117" s="323"/>
    </row>
    <row r="118" spans="1:2" ht="12.75" customHeight="1" x14ac:dyDescent="0.15">
      <c r="A118" s="367"/>
      <c r="B118" s="323"/>
    </row>
    <row r="119" spans="1:2" ht="12.75" customHeight="1" x14ac:dyDescent="0.15">
      <c r="A119" s="367"/>
      <c r="B119" s="323"/>
    </row>
    <row r="120" spans="1:2" ht="12.75" customHeight="1" x14ac:dyDescent="0.15">
      <c r="A120" s="367"/>
      <c r="B120" s="323"/>
    </row>
    <row r="121" spans="1:2" ht="12.75" customHeight="1" x14ac:dyDescent="0.15">
      <c r="A121" s="367"/>
      <c r="B121" s="323"/>
    </row>
    <row r="122" spans="1:2" ht="12.75" customHeight="1" x14ac:dyDescent="0.15">
      <c r="A122" s="367"/>
      <c r="B122" s="323"/>
    </row>
    <row r="123" spans="1:2" ht="12.75" customHeight="1" x14ac:dyDescent="0.15">
      <c r="A123" s="367"/>
      <c r="B123" s="323"/>
    </row>
    <row r="124" spans="1:2" ht="12.75" customHeight="1" x14ac:dyDescent="0.15">
      <c r="A124" s="367"/>
      <c r="B124" s="323"/>
    </row>
    <row r="125" spans="1:2" ht="12.75" customHeight="1" x14ac:dyDescent="0.15">
      <c r="A125" s="367"/>
      <c r="B125" s="323"/>
    </row>
    <row r="126" spans="1:2" ht="12.75" customHeight="1" x14ac:dyDescent="0.15">
      <c r="A126" s="367"/>
      <c r="B126" s="323"/>
    </row>
    <row r="127" spans="1:2" ht="12.75" customHeight="1" x14ac:dyDescent="0.15">
      <c r="A127" s="367"/>
      <c r="B127" s="323"/>
    </row>
    <row r="128" spans="1:2" ht="12.75" customHeight="1" x14ac:dyDescent="0.15">
      <c r="A128" s="367"/>
      <c r="B128" s="323"/>
    </row>
    <row r="129" spans="1:2" ht="12.75" customHeight="1" x14ac:dyDescent="0.15">
      <c r="A129" s="367"/>
      <c r="B129" s="323"/>
    </row>
    <row r="130" spans="1:2" ht="12.75" customHeight="1" x14ac:dyDescent="0.15">
      <c r="A130" s="367"/>
      <c r="B130" s="323"/>
    </row>
    <row r="131" spans="1:2" ht="12.75" customHeight="1" x14ac:dyDescent="0.15">
      <c r="A131" s="367"/>
      <c r="B131" s="323"/>
    </row>
    <row r="132" spans="1:2" ht="12.75" customHeight="1" x14ac:dyDescent="0.15">
      <c r="A132" s="367"/>
      <c r="B132" s="323"/>
    </row>
    <row r="133" spans="1:2" ht="12.75" customHeight="1" x14ac:dyDescent="0.15">
      <c r="A133" s="367"/>
      <c r="B133" s="323"/>
    </row>
    <row r="134" spans="1:2" ht="12.75" customHeight="1" x14ac:dyDescent="0.15">
      <c r="A134" s="367"/>
      <c r="B134" s="323"/>
    </row>
    <row r="135" spans="1:2" ht="12.75" customHeight="1" x14ac:dyDescent="0.15">
      <c r="A135" s="367"/>
      <c r="B135" s="323"/>
    </row>
    <row r="136" spans="1:2" ht="12.75" customHeight="1" x14ac:dyDescent="0.15">
      <c r="A136" s="367"/>
      <c r="B136" s="323"/>
    </row>
    <row r="137" spans="1:2" ht="12.75" customHeight="1" x14ac:dyDescent="0.15">
      <c r="A137" s="367"/>
      <c r="B137" s="323"/>
    </row>
    <row r="138" spans="1:2" ht="12.75" customHeight="1" x14ac:dyDescent="0.15">
      <c r="A138" s="367"/>
      <c r="B138" s="323"/>
    </row>
    <row r="139" spans="1:2" ht="12.75" customHeight="1" x14ac:dyDescent="0.15">
      <c r="A139" s="367"/>
      <c r="B139" s="323"/>
    </row>
    <row r="140" spans="1:2" ht="12.75" customHeight="1" x14ac:dyDescent="0.15">
      <c r="A140" s="367"/>
      <c r="B140" s="323"/>
    </row>
    <row r="141" spans="1:2" ht="12.75" customHeight="1" x14ac:dyDescent="0.15">
      <c r="A141" s="367"/>
      <c r="B141" s="323"/>
    </row>
    <row r="142" spans="1:2" ht="12.75" customHeight="1" x14ac:dyDescent="0.15">
      <c r="A142" s="367"/>
      <c r="B142" s="323"/>
    </row>
    <row r="143" spans="1:2" ht="12.75" customHeight="1" x14ac:dyDescent="0.15">
      <c r="A143" s="367"/>
      <c r="B143" s="323"/>
    </row>
    <row r="144" spans="1:2" ht="12.75" customHeight="1" x14ac:dyDescent="0.15">
      <c r="A144" s="367"/>
      <c r="B144" s="323"/>
    </row>
    <row r="145" spans="1:2" ht="12.75" customHeight="1" x14ac:dyDescent="0.15">
      <c r="A145" s="367"/>
      <c r="B145" s="323"/>
    </row>
    <row r="146" spans="1:2" ht="12.75" customHeight="1" x14ac:dyDescent="0.15">
      <c r="A146" s="367"/>
      <c r="B146" s="323"/>
    </row>
    <row r="147" spans="1:2" ht="12.75" customHeight="1" x14ac:dyDescent="0.15">
      <c r="A147" s="367"/>
      <c r="B147" s="323"/>
    </row>
    <row r="148" spans="1:2" ht="12.75" customHeight="1" x14ac:dyDescent="0.15">
      <c r="A148" s="367"/>
      <c r="B148" s="323"/>
    </row>
    <row r="149" spans="1:2" ht="12.75" customHeight="1" x14ac:dyDescent="0.15">
      <c r="A149" s="367"/>
      <c r="B149" s="323"/>
    </row>
    <row r="150" spans="1:2" ht="12.75" customHeight="1" x14ac:dyDescent="0.15">
      <c r="A150" s="367"/>
      <c r="B150" s="323"/>
    </row>
    <row r="151" spans="1:2" ht="12.75" customHeight="1" x14ac:dyDescent="0.15">
      <c r="A151" s="367"/>
      <c r="B151" s="323"/>
    </row>
  </sheetData>
  <mergeCells count="23">
    <mergeCell ref="B91:D91"/>
    <mergeCell ref="B94:D94"/>
    <mergeCell ref="B97:D97"/>
    <mergeCell ref="K103:L103"/>
    <mergeCell ref="B62:D62"/>
    <mergeCell ref="B64:D64"/>
    <mergeCell ref="B70:D70"/>
    <mergeCell ref="B73:D73"/>
    <mergeCell ref="B81:D81"/>
    <mergeCell ref="B83:D83"/>
    <mergeCell ref="B61:D61"/>
    <mergeCell ref="K2:L2"/>
    <mergeCell ref="N2:O2"/>
    <mergeCell ref="A4:R4"/>
    <mergeCell ref="A5:R5"/>
    <mergeCell ref="B8:D9"/>
    <mergeCell ref="E8:P8"/>
    <mergeCell ref="R8:R9"/>
    <mergeCell ref="B10:D10"/>
    <mergeCell ref="B25:D25"/>
    <mergeCell ref="B33:D33"/>
    <mergeCell ref="B35:D35"/>
    <mergeCell ref="B37:D37"/>
  </mergeCells>
  <pageMargins left="0.82677165354330717" right="1.1023622047244095" top="0.55118110236220474" bottom="0.74803149606299213" header="0.31496062992125984" footer="0.31496062992125984"/>
  <pageSetup paperSize="5" scale="90" orientation="landscape" horizontalDpi="4294967293" verticalDpi="300" r:id="rId1"/>
  <rowBreaks count="1" manualBreakCount="1">
    <brk id="38" max="20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762C-773E-424C-B753-BE4FD6594147}">
  <sheetPr>
    <tabColor rgb="FFFF0000"/>
  </sheetPr>
  <dimension ref="A1:U137"/>
  <sheetViews>
    <sheetView showGridLines="0" showWhiteSpace="0" view="pageBreakPreview" zoomScale="130" zoomScaleSheetLayoutView="130" zoomScalePageLayoutView="110" workbookViewId="0">
      <pane ySplit="10" topLeftCell="A11" activePane="bottomLeft" state="frozen"/>
      <selection activeCell="B1" sqref="B1"/>
      <selection pane="bottomLeft" activeCell="S27" sqref="S27"/>
    </sheetView>
  </sheetViews>
  <sheetFormatPr defaultColWidth="9.140625" defaultRowHeight="12.75" customHeight="1" x14ac:dyDescent="0.15"/>
  <cols>
    <col min="1" max="1" width="5.7109375" style="323" customWidth="1"/>
    <col min="2" max="2" width="2.85546875" style="368" customWidth="1"/>
    <col min="3" max="3" width="3.140625" style="323" customWidth="1"/>
    <col min="4" max="4" width="20.5703125" style="323" customWidth="1"/>
    <col min="5" max="11" width="9.28515625" style="323" customWidth="1"/>
    <col min="12" max="16" width="9.28515625" style="397" customWidth="1"/>
    <col min="17" max="17" width="11.5703125" style="397" bestFit="1" customWidth="1"/>
    <col min="18" max="18" width="12.140625" style="394" customWidth="1"/>
    <col min="19" max="19" width="12.42578125" style="323" customWidth="1"/>
    <col min="20" max="20" width="12" style="323" customWidth="1"/>
    <col min="21" max="21" width="10.85546875" style="323" customWidth="1"/>
    <col min="22" max="16384" width="9.140625" style="323"/>
  </cols>
  <sheetData>
    <row r="1" spans="1:20" s="315" customFormat="1" ht="12.75" customHeight="1" x14ac:dyDescent="0.2">
      <c r="A1" s="449" t="s">
        <v>34</v>
      </c>
      <c r="B1" s="450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</row>
    <row r="2" spans="1:20" s="315" customFormat="1" ht="12.75" customHeight="1" x14ac:dyDescent="0.2">
      <c r="A2" s="449" t="s">
        <v>111</v>
      </c>
      <c r="B2" s="450"/>
      <c r="C2" s="449"/>
      <c r="D2" s="449"/>
      <c r="E2" s="449"/>
      <c r="F2" s="449"/>
      <c r="G2" s="449"/>
      <c r="H2" s="449"/>
      <c r="I2" s="449"/>
      <c r="J2" s="449"/>
      <c r="K2" s="449"/>
      <c r="L2" s="876"/>
      <c r="M2" s="876"/>
      <c r="N2" s="449"/>
      <c r="O2" s="449"/>
      <c r="P2" s="449"/>
      <c r="Q2" s="319" t="s">
        <v>442</v>
      </c>
      <c r="R2" s="449"/>
    </row>
    <row r="3" spans="1:20" s="315" customFormat="1" ht="12.75" customHeight="1" x14ac:dyDescent="0.2">
      <c r="A3" s="449"/>
      <c r="B3" s="450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</row>
    <row r="4" spans="1:20" s="315" customFormat="1" ht="12.75" customHeight="1" x14ac:dyDescent="0.2">
      <c r="A4" s="895" t="s">
        <v>600</v>
      </c>
      <c r="B4" s="895"/>
      <c r="C4" s="895"/>
      <c r="D4" s="895"/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</row>
    <row r="5" spans="1:20" s="315" customFormat="1" ht="12.75" customHeight="1" x14ac:dyDescent="0.2">
      <c r="A5" s="895" t="s">
        <v>660</v>
      </c>
      <c r="B5" s="895"/>
      <c r="C5" s="895"/>
      <c r="D5" s="895"/>
      <c r="E5" s="895"/>
      <c r="F5" s="895"/>
      <c r="G5" s="895"/>
      <c r="H5" s="895"/>
      <c r="I5" s="895"/>
      <c r="J5" s="895"/>
      <c r="K5" s="895"/>
      <c r="L5" s="895"/>
      <c r="M5" s="895"/>
      <c r="N5" s="895"/>
      <c r="O5" s="895"/>
      <c r="P5" s="895"/>
      <c r="Q5" s="895"/>
      <c r="R5" s="895"/>
    </row>
    <row r="6" spans="1:20" s="315" customFormat="1" ht="9" customHeight="1" x14ac:dyDescent="0.2">
      <c r="A6" s="413"/>
      <c r="B6" s="450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59"/>
      <c r="N6" s="413"/>
      <c r="O6" s="413"/>
      <c r="P6" s="413"/>
      <c r="Q6" s="413"/>
      <c r="R6" s="449"/>
    </row>
    <row r="7" spans="1:20" s="315" customFormat="1" ht="12.75" customHeight="1" thickBot="1" x14ac:dyDescent="0.3">
      <c r="A7" s="451" t="s">
        <v>14</v>
      </c>
      <c r="B7" s="450"/>
      <c r="C7" s="449"/>
      <c r="D7" s="449"/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60"/>
      <c r="P7" s="460"/>
      <c r="Q7" s="460"/>
      <c r="R7" s="449"/>
    </row>
    <row r="8" spans="1:20" ht="15.75" customHeight="1" thickTop="1" x14ac:dyDescent="0.15">
      <c r="A8" s="322" t="s">
        <v>350</v>
      </c>
      <c r="B8" s="880" t="s">
        <v>30</v>
      </c>
      <c r="C8" s="880"/>
      <c r="D8" s="880"/>
      <c r="E8" s="894" t="s">
        <v>351</v>
      </c>
      <c r="F8" s="894"/>
      <c r="G8" s="894"/>
      <c r="H8" s="894"/>
      <c r="I8" s="894"/>
      <c r="J8" s="894"/>
      <c r="K8" s="894"/>
      <c r="L8" s="894"/>
      <c r="M8" s="894"/>
      <c r="N8" s="894"/>
      <c r="O8" s="894"/>
      <c r="P8" s="894"/>
      <c r="Q8" s="414" t="s">
        <v>12</v>
      </c>
      <c r="R8" s="374" t="s">
        <v>443</v>
      </c>
      <c r="S8" s="474" t="s">
        <v>608</v>
      </c>
      <c r="T8" s="474" t="s">
        <v>623</v>
      </c>
    </row>
    <row r="9" spans="1:20" ht="15.75" customHeight="1" x14ac:dyDescent="0.15">
      <c r="A9" s="324" t="s">
        <v>353</v>
      </c>
      <c r="B9" s="881"/>
      <c r="C9" s="881"/>
      <c r="D9" s="881"/>
      <c r="E9" s="415">
        <v>1</v>
      </c>
      <c r="F9" s="415">
        <v>2</v>
      </c>
      <c r="G9" s="415">
        <v>3</v>
      </c>
      <c r="H9" s="415">
        <v>4</v>
      </c>
      <c r="I9" s="415">
        <v>5</v>
      </c>
      <c r="J9" s="415">
        <v>6</v>
      </c>
      <c r="K9" s="415">
        <v>7</v>
      </c>
      <c r="L9" s="415">
        <v>8</v>
      </c>
      <c r="M9" s="415">
        <v>9</v>
      </c>
      <c r="N9" s="415">
        <v>10</v>
      </c>
      <c r="O9" s="415">
        <v>11</v>
      </c>
      <c r="P9" s="415">
        <v>12</v>
      </c>
      <c r="Q9" s="325">
        <v>2023</v>
      </c>
      <c r="R9" s="375" t="s">
        <v>444</v>
      </c>
      <c r="S9" s="475">
        <v>2023</v>
      </c>
      <c r="T9" s="475">
        <v>2023</v>
      </c>
    </row>
    <row r="10" spans="1:20" ht="15.75" customHeight="1" x14ac:dyDescent="0.15">
      <c r="A10" s="326">
        <v>1</v>
      </c>
      <c r="B10" s="882">
        <v>2</v>
      </c>
      <c r="C10" s="882"/>
      <c r="D10" s="882"/>
      <c r="E10" s="416">
        <v>3</v>
      </c>
      <c r="F10" s="416">
        <v>4</v>
      </c>
      <c r="G10" s="416">
        <v>5</v>
      </c>
      <c r="H10" s="416">
        <v>6</v>
      </c>
      <c r="I10" s="416">
        <v>7</v>
      </c>
      <c r="J10" s="416">
        <v>8</v>
      </c>
      <c r="K10" s="416">
        <v>9</v>
      </c>
      <c r="L10" s="416">
        <v>10</v>
      </c>
      <c r="M10" s="416">
        <v>11</v>
      </c>
      <c r="N10" s="416">
        <v>12</v>
      </c>
      <c r="O10" s="416">
        <v>13</v>
      </c>
      <c r="P10" s="416">
        <v>14</v>
      </c>
      <c r="Q10" s="416">
        <v>15</v>
      </c>
      <c r="R10" s="327">
        <v>16</v>
      </c>
      <c r="S10" s="476">
        <v>17</v>
      </c>
      <c r="T10" s="476">
        <v>17</v>
      </c>
    </row>
    <row r="11" spans="1:20" ht="15.75" customHeight="1" x14ac:dyDescent="0.15">
      <c r="A11" s="328" t="s">
        <v>445</v>
      </c>
      <c r="B11" s="329" t="s">
        <v>446</v>
      </c>
      <c r="C11" s="330"/>
      <c r="D11" s="331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76"/>
      <c r="S11" s="477"/>
      <c r="T11" s="471"/>
    </row>
    <row r="12" spans="1:20" ht="15.75" customHeight="1" x14ac:dyDescent="0.15">
      <c r="A12" s="335" t="s">
        <v>447</v>
      </c>
      <c r="B12" s="407" t="s">
        <v>448</v>
      </c>
      <c r="C12" s="336"/>
      <c r="D12" s="337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76"/>
      <c r="S12" s="478"/>
      <c r="T12" s="472"/>
    </row>
    <row r="13" spans="1:20" ht="15.75" customHeight="1" x14ac:dyDescent="0.15">
      <c r="A13" s="335"/>
      <c r="B13" s="407" t="s">
        <v>601</v>
      </c>
      <c r="C13" s="336"/>
      <c r="D13" s="337"/>
      <c r="E13" s="333">
        <v>17550000</v>
      </c>
      <c r="F13" s="333">
        <v>17550000</v>
      </c>
      <c r="G13" s="333">
        <v>17550000</v>
      </c>
      <c r="H13" s="333">
        <v>17550000</v>
      </c>
      <c r="I13" s="333">
        <v>17550000</v>
      </c>
      <c r="J13" s="333">
        <v>17550000</v>
      </c>
      <c r="K13" s="333">
        <v>17550000</v>
      </c>
      <c r="L13" s="333">
        <v>17550000</v>
      </c>
      <c r="M13" s="333">
        <v>17550000</v>
      </c>
      <c r="N13" s="333">
        <v>17550000</v>
      </c>
      <c r="O13" s="333">
        <v>17550000</v>
      </c>
      <c r="P13" s="333">
        <v>17550000</v>
      </c>
      <c r="Q13" s="333">
        <f t="shared" ref="Q13:Q14" si="0">SUM(E13:P13)</f>
        <v>210600000</v>
      </c>
      <c r="R13" s="334"/>
      <c r="S13" s="478"/>
      <c r="T13" s="472"/>
    </row>
    <row r="14" spans="1:20" ht="15.75" customHeight="1" x14ac:dyDescent="0.15">
      <c r="A14" s="335"/>
      <c r="B14" s="407" t="s">
        <v>619</v>
      </c>
      <c r="C14" s="336"/>
      <c r="D14" s="337"/>
      <c r="E14" s="333">
        <f t="shared" ref="E14:P14" si="1">110000000-E13</f>
        <v>92450000</v>
      </c>
      <c r="F14" s="333">
        <f t="shared" si="1"/>
        <v>92450000</v>
      </c>
      <c r="G14" s="333">
        <f t="shared" si="1"/>
        <v>92450000</v>
      </c>
      <c r="H14" s="333">
        <f t="shared" si="1"/>
        <v>92450000</v>
      </c>
      <c r="I14" s="333">
        <f t="shared" si="1"/>
        <v>92450000</v>
      </c>
      <c r="J14" s="333">
        <f t="shared" si="1"/>
        <v>92450000</v>
      </c>
      <c r="K14" s="333">
        <f t="shared" si="1"/>
        <v>92450000</v>
      </c>
      <c r="L14" s="333">
        <f t="shared" si="1"/>
        <v>92450000</v>
      </c>
      <c r="M14" s="333">
        <f t="shared" si="1"/>
        <v>92450000</v>
      </c>
      <c r="N14" s="333">
        <f t="shared" si="1"/>
        <v>92450000</v>
      </c>
      <c r="O14" s="333">
        <f t="shared" si="1"/>
        <v>92450000</v>
      </c>
      <c r="P14" s="333">
        <f t="shared" si="1"/>
        <v>92450000</v>
      </c>
      <c r="Q14" s="333">
        <f t="shared" si="0"/>
        <v>1109400000</v>
      </c>
      <c r="R14" s="334"/>
      <c r="S14" s="479"/>
      <c r="T14" s="472"/>
    </row>
    <row r="15" spans="1:20" ht="15.75" customHeight="1" x14ac:dyDescent="0.15">
      <c r="A15" s="344"/>
      <c r="B15" s="857" t="s">
        <v>602</v>
      </c>
      <c r="C15" s="858"/>
      <c r="D15" s="859"/>
      <c r="E15" s="377">
        <f t="shared" ref="E15:Q15" si="2">SUM(E13:E14)</f>
        <v>110000000</v>
      </c>
      <c r="F15" s="377">
        <f t="shared" si="2"/>
        <v>110000000</v>
      </c>
      <c r="G15" s="377">
        <f t="shared" si="2"/>
        <v>110000000</v>
      </c>
      <c r="H15" s="377">
        <f t="shared" si="2"/>
        <v>110000000</v>
      </c>
      <c r="I15" s="377">
        <f t="shared" si="2"/>
        <v>110000000</v>
      </c>
      <c r="J15" s="377">
        <f t="shared" si="2"/>
        <v>110000000</v>
      </c>
      <c r="K15" s="377">
        <f t="shared" si="2"/>
        <v>110000000</v>
      </c>
      <c r="L15" s="377">
        <f t="shared" si="2"/>
        <v>110000000</v>
      </c>
      <c r="M15" s="377">
        <f t="shared" si="2"/>
        <v>110000000</v>
      </c>
      <c r="N15" s="377">
        <f t="shared" si="2"/>
        <v>110000000</v>
      </c>
      <c r="O15" s="377">
        <f t="shared" si="2"/>
        <v>110000000</v>
      </c>
      <c r="P15" s="377">
        <f t="shared" si="2"/>
        <v>110000000</v>
      </c>
      <c r="Q15" s="377">
        <f t="shared" si="2"/>
        <v>1320000000</v>
      </c>
      <c r="R15" s="446" t="s">
        <v>359</v>
      </c>
      <c r="S15" s="480" t="e">
        <f>'RINCIAN B. TDK LANGSUNG'!#REF!</f>
        <v>#REF!</v>
      </c>
      <c r="T15" s="480" t="e">
        <f>Q15-S15</f>
        <v>#REF!</v>
      </c>
    </row>
    <row r="16" spans="1:20" ht="15.75" customHeight="1" x14ac:dyDescent="0.15">
      <c r="A16" s="335" t="s">
        <v>451</v>
      </c>
      <c r="B16" s="407" t="s">
        <v>452</v>
      </c>
      <c r="C16" s="336"/>
      <c r="D16" s="337"/>
      <c r="E16" s="333">
        <v>20000000</v>
      </c>
      <c r="F16" s="333">
        <v>20000000</v>
      </c>
      <c r="G16" s="333">
        <v>20000000</v>
      </c>
      <c r="H16" s="333">
        <v>20000000</v>
      </c>
      <c r="I16" s="333">
        <v>20000000</v>
      </c>
      <c r="J16" s="333">
        <v>20000000</v>
      </c>
      <c r="K16" s="333">
        <v>20000000</v>
      </c>
      <c r="L16" s="333">
        <v>20000000</v>
      </c>
      <c r="M16" s="333">
        <v>20000000</v>
      </c>
      <c r="N16" s="333">
        <v>20000000</v>
      </c>
      <c r="O16" s="333">
        <v>20000000</v>
      </c>
      <c r="P16" s="333">
        <v>20000000</v>
      </c>
      <c r="Q16" s="333">
        <f t="shared" ref="Q16:Q63" si="3">SUM(E16:P16)</f>
        <v>240000000</v>
      </c>
      <c r="R16" s="334"/>
      <c r="S16" s="479" t="e">
        <f>'RINCIAN B. TDK LANGSUNG'!#REF!</f>
        <v>#REF!</v>
      </c>
      <c r="T16" s="473" t="e">
        <f>Q16-S16</f>
        <v>#REF!</v>
      </c>
    </row>
    <row r="17" spans="1:21" ht="15.75" customHeight="1" x14ac:dyDescent="0.15">
      <c r="A17" s="335" t="s">
        <v>603</v>
      </c>
      <c r="B17" s="407" t="s">
        <v>662</v>
      </c>
      <c r="C17" s="336"/>
      <c r="D17" s="337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484">
        <f>SUM(Q18:Q20)</f>
        <v>452800320</v>
      </c>
      <c r="R17" s="334"/>
      <c r="S17" s="479" t="e">
        <f>'RINCIAN B. TDK LANGSUNG'!#REF!</f>
        <v>#REF!</v>
      </c>
      <c r="T17" s="473" t="e">
        <f>Q17-S17</f>
        <v>#REF!</v>
      </c>
    </row>
    <row r="18" spans="1:21" ht="15.75" customHeight="1" x14ac:dyDescent="0.15">
      <c r="A18" s="335"/>
      <c r="B18" s="407" t="s">
        <v>663</v>
      </c>
      <c r="C18" s="336"/>
      <c r="D18" s="337"/>
      <c r="E18" s="333">
        <v>27500000</v>
      </c>
      <c r="F18" s="333">
        <v>27500000</v>
      </c>
      <c r="G18" s="333">
        <v>27500000</v>
      </c>
      <c r="H18" s="333">
        <v>27500000</v>
      </c>
      <c r="I18" s="333">
        <v>27500000</v>
      </c>
      <c r="J18" s="333">
        <v>27500000</v>
      </c>
      <c r="K18" s="333">
        <v>27500000</v>
      </c>
      <c r="L18" s="333">
        <v>27500000</v>
      </c>
      <c r="M18" s="333">
        <v>27500000</v>
      </c>
      <c r="N18" s="333">
        <v>27500000</v>
      </c>
      <c r="O18" s="333">
        <v>27500000</v>
      </c>
      <c r="P18" s="333">
        <v>27500000</v>
      </c>
      <c r="Q18" s="484">
        <f t="shared" si="3"/>
        <v>330000000</v>
      </c>
      <c r="R18" s="334"/>
      <c r="S18" s="478"/>
      <c r="T18" s="472"/>
    </row>
    <row r="19" spans="1:21" ht="15.75" customHeight="1" x14ac:dyDescent="0.15">
      <c r="A19" s="335"/>
      <c r="B19" s="407" t="s">
        <v>664</v>
      </c>
      <c r="C19" s="336"/>
      <c r="D19" s="337"/>
      <c r="E19" s="333"/>
      <c r="F19" s="333">
        <f>7000000+(4*3000000)</f>
        <v>19000000</v>
      </c>
      <c r="G19" s="333"/>
      <c r="H19" s="333">
        <f>3000000+11000000</f>
        <v>14000000</v>
      </c>
      <c r="I19" s="333">
        <v>3000000</v>
      </c>
      <c r="J19" s="333">
        <v>6000000</v>
      </c>
      <c r="K19" s="333"/>
      <c r="L19" s="333">
        <v>6000000</v>
      </c>
      <c r="M19" s="333"/>
      <c r="N19" s="333">
        <v>6000000</v>
      </c>
      <c r="O19" s="333">
        <v>3000000</v>
      </c>
      <c r="P19" s="333">
        <v>12000000</v>
      </c>
      <c r="Q19" s="484">
        <f t="shared" si="3"/>
        <v>69000000</v>
      </c>
      <c r="R19" s="334"/>
      <c r="S19" s="478"/>
      <c r="T19" s="472"/>
    </row>
    <row r="20" spans="1:21" ht="15.75" customHeight="1" x14ac:dyDescent="0.15">
      <c r="A20" s="335"/>
      <c r="B20" s="407" t="s">
        <v>665</v>
      </c>
      <c r="C20" s="336"/>
      <c r="D20" s="337"/>
      <c r="E20" s="333">
        <v>36250320</v>
      </c>
      <c r="F20" s="333"/>
      <c r="G20" s="333"/>
      <c r="H20" s="333"/>
      <c r="I20" s="333">
        <v>17550000</v>
      </c>
      <c r="J20" s="333"/>
      <c r="K20" s="333"/>
      <c r="L20" s="333"/>
      <c r="M20" s="333"/>
      <c r="N20" s="333"/>
      <c r="O20" s="333"/>
      <c r="P20" s="359"/>
      <c r="Q20" s="484">
        <f t="shared" si="3"/>
        <v>53800320</v>
      </c>
      <c r="R20" s="334"/>
      <c r="S20" s="478"/>
      <c r="T20" s="472"/>
    </row>
    <row r="21" spans="1:21" ht="15.75" customHeight="1" x14ac:dyDescent="0.15">
      <c r="A21" s="335"/>
      <c r="B21" s="407" t="s">
        <v>666</v>
      </c>
      <c r="C21" s="336"/>
      <c r="D21" s="337"/>
      <c r="E21" s="333"/>
      <c r="F21" s="333"/>
      <c r="G21" s="333"/>
      <c r="H21" s="333">
        <f>H15+'[9]P-10. Biaya Operasi'!H79+'[9]P-10. Biaya Operasi'!H44</f>
        <v>193500000</v>
      </c>
      <c r="I21" s="333"/>
      <c r="J21" s="333"/>
      <c r="K21" s="333"/>
      <c r="L21" s="333"/>
      <c r="M21" s="333"/>
      <c r="N21" s="333"/>
      <c r="O21" s="333"/>
      <c r="P21" s="359"/>
      <c r="Q21" s="333">
        <f t="shared" si="3"/>
        <v>193500000</v>
      </c>
      <c r="R21" s="334"/>
      <c r="S21" s="479" t="e">
        <f>'RINCIAN B. TDK LANGSUNG'!#REF!</f>
        <v>#REF!</v>
      </c>
      <c r="T21" s="473" t="e">
        <f>Q21-S21</f>
        <v>#REF!</v>
      </c>
    </row>
    <row r="22" spans="1:21" ht="15.75" customHeight="1" x14ac:dyDescent="0.15">
      <c r="A22" s="335"/>
      <c r="B22" s="407" t="s">
        <v>667</v>
      </c>
      <c r="C22" s="336"/>
      <c r="D22" s="337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461">
        <v>120000000</v>
      </c>
      <c r="Q22" s="333">
        <f t="shared" si="3"/>
        <v>120000000</v>
      </c>
      <c r="R22" s="334"/>
      <c r="S22" s="479" t="e">
        <f>'RINCIAN B. TDK LANGSUNG'!#REF!</f>
        <v>#REF!</v>
      </c>
      <c r="T22" s="473" t="e">
        <f t="shared" ref="T22:T27" si="4">Q22-S22</f>
        <v>#REF!</v>
      </c>
    </row>
    <row r="23" spans="1:21" ht="15.75" customHeight="1" x14ac:dyDescent="0.15">
      <c r="A23" s="335" t="s">
        <v>577</v>
      </c>
      <c r="B23" s="407" t="s">
        <v>604</v>
      </c>
      <c r="C23" s="336"/>
      <c r="D23" s="337"/>
      <c r="E23" s="333">
        <f>(500000*47)</f>
        <v>23500000</v>
      </c>
      <c r="F23" s="333"/>
      <c r="G23" s="333">
        <f>(600000*47)</f>
        <v>28200000</v>
      </c>
      <c r="H23" s="333"/>
      <c r="I23" s="333"/>
      <c r="J23" s="333"/>
      <c r="K23" s="333"/>
      <c r="L23" s="333"/>
      <c r="M23" s="333"/>
      <c r="N23" s="333"/>
      <c r="O23" s="333"/>
      <c r="P23" s="333"/>
      <c r="Q23" s="333">
        <f t="shared" si="3"/>
        <v>51700000</v>
      </c>
      <c r="R23" s="334"/>
      <c r="S23" s="479">
        <f>'RINCIAN B. TDK LANGSUNG'!Q23</f>
        <v>0</v>
      </c>
      <c r="T23" s="473">
        <f t="shared" si="4"/>
        <v>51700000</v>
      </c>
    </row>
    <row r="24" spans="1:21" ht="15.75" customHeight="1" x14ac:dyDescent="0.15">
      <c r="A24" s="335" t="s">
        <v>454</v>
      </c>
      <c r="B24" s="407" t="s">
        <v>455</v>
      </c>
      <c r="C24" s="336"/>
      <c r="D24" s="337"/>
      <c r="E24" s="333">
        <v>250000</v>
      </c>
      <c r="F24" s="333">
        <v>250000</v>
      </c>
      <c r="G24" s="333">
        <v>250000</v>
      </c>
      <c r="H24" s="333">
        <v>250000</v>
      </c>
      <c r="I24" s="333">
        <v>250000</v>
      </c>
      <c r="J24" s="333">
        <v>250000</v>
      </c>
      <c r="K24" s="333">
        <v>250000</v>
      </c>
      <c r="L24" s="333">
        <v>250000</v>
      </c>
      <c r="M24" s="333">
        <v>250000</v>
      </c>
      <c r="N24" s="333">
        <v>250000</v>
      </c>
      <c r="O24" s="333">
        <v>250000</v>
      </c>
      <c r="P24" s="333">
        <v>250000</v>
      </c>
      <c r="Q24" s="333">
        <f t="shared" si="3"/>
        <v>3000000</v>
      </c>
      <c r="R24" s="334"/>
      <c r="S24" s="479">
        <f>'RINCIAN B. TDK LANGSUNG'!Q24</f>
        <v>0</v>
      </c>
      <c r="T24" s="473">
        <f t="shared" si="4"/>
        <v>3000000</v>
      </c>
    </row>
    <row r="25" spans="1:21" ht="15.75" customHeight="1" x14ac:dyDescent="0.15">
      <c r="A25" s="335" t="s">
        <v>456</v>
      </c>
      <c r="B25" s="407" t="s">
        <v>457</v>
      </c>
      <c r="C25" s="336"/>
      <c r="D25" s="337"/>
      <c r="E25" s="333">
        <v>10000000</v>
      </c>
      <c r="F25" s="333">
        <v>12500000</v>
      </c>
      <c r="G25" s="333">
        <v>10000000</v>
      </c>
      <c r="H25" s="333">
        <v>10000000</v>
      </c>
      <c r="I25" s="333">
        <v>12500000</v>
      </c>
      <c r="J25" s="333">
        <v>12500000</v>
      </c>
      <c r="K25" s="333">
        <v>15000000</v>
      </c>
      <c r="L25" s="333">
        <v>15000000</v>
      </c>
      <c r="M25" s="333">
        <v>15000000</v>
      </c>
      <c r="N25" s="333">
        <v>15000000</v>
      </c>
      <c r="O25" s="333">
        <v>15000000</v>
      </c>
      <c r="P25" s="333">
        <v>12500000</v>
      </c>
      <c r="Q25" s="333">
        <f t="shared" si="3"/>
        <v>155000000</v>
      </c>
      <c r="R25" s="334"/>
      <c r="S25" s="479">
        <f>'RINCIAN B. TDK LANGSUNG'!Q25</f>
        <v>0</v>
      </c>
      <c r="T25" s="473">
        <f t="shared" si="4"/>
        <v>155000000</v>
      </c>
    </row>
    <row r="26" spans="1:21" ht="15.75" customHeight="1" x14ac:dyDescent="0.15">
      <c r="A26" s="335" t="s">
        <v>458</v>
      </c>
      <c r="B26" s="407" t="s">
        <v>459</v>
      </c>
      <c r="C26" s="336"/>
      <c r="D26" s="337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>
        <f t="shared" si="3"/>
        <v>0</v>
      </c>
      <c r="R26" s="334"/>
      <c r="S26" s="478"/>
      <c r="T26" s="473">
        <f t="shared" si="4"/>
        <v>0</v>
      </c>
    </row>
    <row r="27" spans="1:21" ht="15.75" customHeight="1" x14ac:dyDescent="0.15">
      <c r="A27" s="335"/>
      <c r="B27" s="407" t="s">
        <v>668</v>
      </c>
      <c r="C27" s="357"/>
      <c r="D27" s="358"/>
      <c r="E27" s="333">
        <v>7500000</v>
      </c>
      <c r="F27" s="333">
        <v>2500000</v>
      </c>
      <c r="G27" s="333">
        <v>2500000</v>
      </c>
      <c r="H27" s="333">
        <v>2500000</v>
      </c>
      <c r="I27" s="333">
        <v>5000000</v>
      </c>
      <c r="J27" s="333">
        <v>2500000</v>
      </c>
      <c r="K27" s="333">
        <v>2500000</v>
      </c>
      <c r="L27" s="333">
        <v>2500000</v>
      </c>
      <c r="M27" s="333">
        <v>2500000</v>
      </c>
      <c r="N27" s="333">
        <v>2500000</v>
      </c>
      <c r="O27" s="333">
        <v>2500000</v>
      </c>
      <c r="P27" s="333">
        <v>2500000</v>
      </c>
      <c r="Q27" s="333">
        <f t="shared" si="3"/>
        <v>37500000</v>
      </c>
      <c r="R27" s="334"/>
      <c r="S27" s="479">
        <f>'RINCIAN B. TDK LANGSUNG'!Q28</f>
        <v>0</v>
      </c>
      <c r="T27" s="473">
        <f t="shared" si="4"/>
        <v>37500000</v>
      </c>
    </row>
    <row r="28" spans="1:21" ht="15.75" customHeight="1" x14ac:dyDescent="0.15">
      <c r="A28" s="344"/>
      <c r="B28" s="857" t="s">
        <v>461</v>
      </c>
      <c r="C28" s="858"/>
      <c r="D28" s="859"/>
      <c r="E28" s="377">
        <f t="shared" ref="E28:P28" si="5">SUM(E15:E27)</f>
        <v>235000320</v>
      </c>
      <c r="F28" s="377">
        <f t="shared" si="5"/>
        <v>191750000</v>
      </c>
      <c r="G28" s="377">
        <f t="shared" si="5"/>
        <v>198450000</v>
      </c>
      <c r="H28" s="377">
        <f t="shared" si="5"/>
        <v>377750000</v>
      </c>
      <c r="I28" s="377">
        <f t="shared" si="5"/>
        <v>195800000</v>
      </c>
      <c r="J28" s="377">
        <f t="shared" si="5"/>
        <v>178750000</v>
      </c>
      <c r="K28" s="377">
        <f t="shared" si="5"/>
        <v>175250000</v>
      </c>
      <c r="L28" s="377">
        <f t="shared" si="5"/>
        <v>181250000</v>
      </c>
      <c r="M28" s="377">
        <f t="shared" si="5"/>
        <v>175250000</v>
      </c>
      <c r="N28" s="377">
        <f t="shared" si="5"/>
        <v>181250000</v>
      </c>
      <c r="O28" s="377">
        <f t="shared" si="5"/>
        <v>178250000</v>
      </c>
      <c r="P28" s="377">
        <f t="shared" si="5"/>
        <v>304750000</v>
      </c>
      <c r="Q28" s="345">
        <f>SUM(E28:P28)</f>
        <v>2573500320</v>
      </c>
      <c r="R28" s="446" t="s">
        <v>359</v>
      </c>
      <c r="S28" s="480" t="e">
        <f>SUM(S15:S27)</f>
        <v>#REF!</v>
      </c>
      <c r="T28" s="480" t="e">
        <f>SUM(T15:T27)</f>
        <v>#REF!</v>
      </c>
      <c r="U28" s="343"/>
    </row>
    <row r="29" spans="1:21" ht="15.75" customHeight="1" x14ac:dyDescent="0.15">
      <c r="A29" s="335" t="s">
        <v>462</v>
      </c>
      <c r="B29" s="363" t="s">
        <v>463</v>
      </c>
      <c r="C29" s="336"/>
      <c r="D29" s="337"/>
      <c r="E29" s="378"/>
      <c r="F29" s="378"/>
      <c r="G29" s="378"/>
      <c r="H29" s="378"/>
      <c r="I29" s="378"/>
      <c r="J29" s="378"/>
      <c r="K29" s="378"/>
      <c r="L29" s="333"/>
      <c r="M29" s="333"/>
      <c r="N29" s="333"/>
      <c r="O29" s="333"/>
      <c r="P29" s="333"/>
      <c r="Q29" s="333"/>
      <c r="R29" s="376"/>
      <c r="S29" s="478"/>
      <c r="T29" s="472"/>
    </row>
    <row r="30" spans="1:21" ht="15.75" customHeight="1" x14ac:dyDescent="0.15">
      <c r="A30" s="335" t="s">
        <v>464</v>
      </c>
      <c r="B30" s="863" t="s">
        <v>465</v>
      </c>
      <c r="C30" s="864"/>
      <c r="D30" s="865"/>
      <c r="E30" s="333">
        <v>2200000</v>
      </c>
      <c r="F30" s="333">
        <v>2200000</v>
      </c>
      <c r="G30" s="333">
        <v>2200000</v>
      </c>
      <c r="H30" s="333">
        <v>2200000</v>
      </c>
      <c r="I30" s="333">
        <v>2200000</v>
      </c>
      <c r="J30" s="333">
        <v>2200000</v>
      </c>
      <c r="K30" s="333">
        <v>2200000</v>
      </c>
      <c r="L30" s="333">
        <v>2200000</v>
      </c>
      <c r="M30" s="333">
        <v>2200000</v>
      </c>
      <c r="N30" s="333">
        <v>2200000</v>
      </c>
      <c r="O30" s="333">
        <v>2200000</v>
      </c>
      <c r="P30" s="333">
        <v>2200000</v>
      </c>
      <c r="Q30" s="333">
        <f t="shared" si="3"/>
        <v>26400000</v>
      </c>
      <c r="R30" s="334"/>
      <c r="S30" s="479">
        <f>'RINCIAN B. TDK LANGSUNG'!Q31</f>
        <v>0</v>
      </c>
      <c r="T30" s="473">
        <f>Q30-S30</f>
        <v>26400000</v>
      </c>
    </row>
    <row r="31" spans="1:21" ht="15.75" customHeight="1" x14ac:dyDescent="0.15">
      <c r="A31" s="335" t="s">
        <v>466</v>
      </c>
      <c r="B31" s="337" t="s">
        <v>467</v>
      </c>
      <c r="C31" s="336"/>
      <c r="D31" s="336"/>
      <c r="E31" s="378">
        <v>1500000</v>
      </c>
      <c r="F31" s="378"/>
      <c r="G31" s="378"/>
      <c r="H31" s="378"/>
      <c r="I31" s="378">
        <v>1500000</v>
      </c>
      <c r="J31" s="378"/>
      <c r="K31" s="378"/>
      <c r="L31" s="333"/>
      <c r="M31" s="333"/>
      <c r="N31" s="333">
        <v>1500000</v>
      </c>
      <c r="O31" s="333"/>
      <c r="P31" s="333"/>
      <c r="Q31" s="333">
        <f t="shared" si="3"/>
        <v>4500000</v>
      </c>
      <c r="R31" s="334"/>
      <c r="S31" s="479">
        <f>'RINCIAN B. TDK LANGSUNG'!Q32</f>
        <v>0</v>
      </c>
      <c r="T31" s="473">
        <f t="shared" ref="T31:T40" si="6">Q31-S31</f>
        <v>4500000</v>
      </c>
    </row>
    <row r="32" spans="1:21" ht="15.75" customHeight="1" x14ac:dyDescent="0.15">
      <c r="A32" s="335" t="s">
        <v>468</v>
      </c>
      <c r="B32" s="407" t="s">
        <v>244</v>
      </c>
      <c r="C32" s="336"/>
      <c r="D32" s="337"/>
      <c r="E32" s="378">
        <v>1500000</v>
      </c>
      <c r="F32" s="378">
        <v>500000</v>
      </c>
      <c r="G32" s="378">
        <v>500000</v>
      </c>
      <c r="H32" s="378">
        <v>500000</v>
      </c>
      <c r="I32" s="378">
        <v>500000</v>
      </c>
      <c r="J32" s="378">
        <v>1500000</v>
      </c>
      <c r="K32" s="378">
        <v>500000</v>
      </c>
      <c r="L32" s="378">
        <v>500000</v>
      </c>
      <c r="M32" s="378">
        <v>500000</v>
      </c>
      <c r="N32" s="378">
        <v>500000</v>
      </c>
      <c r="O32" s="378">
        <v>1500000</v>
      </c>
      <c r="P32" s="378">
        <v>500000</v>
      </c>
      <c r="Q32" s="333">
        <f t="shared" si="3"/>
        <v>9000000</v>
      </c>
      <c r="R32" s="334"/>
      <c r="S32" s="479">
        <f>'RINCIAN B. TDK LANGSUNG'!Q33</f>
        <v>0</v>
      </c>
      <c r="T32" s="473">
        <f t="shared" si="6"/>
        <v>9000000</v>
      </c>
    </row>
    <row r="33" spans="1:21" ht="15.75" customHeight="1" x14ac:dyDescent="0.15">
      <c r="A33" s="335" t="s">
        <v>469</v>
      </c>
      <c r="B33" s="407" t="s">
        <v>470</v>
      </c>
      <c r="C33" s="357"/>
      <c r="D33" s="358"/>
      <c r="E33" s="333">
        <v>100000</v>
      </c>
      <c r="F33" s="333">
        <v>100000</v>
      </c>
      <c r="G33" s="333">
        <v>100000</v>
      </c>
      <c r="H33" s="333">
        <v>100000</v>
      </c>
      <c r="I33" s="333">
        <v>100000</v>
      </c>
      <c r="J33" s="333">
        <v>100000</v>
      </c>
      <c r="K33" s="333">
        <v>100000</v>
      </c>
      <c r="L33" s="333">
        <v>100000</v>
      </c>
      <c r="M33" s="333">
        <v>100000</v>
      </c>
      <c r="N33" s="333">
        <v>100000</v>
      </c>
      <c r="O33" s="333">
        <v>100000</v>
      </c>
      <c r="P33" s="333">
        <v>100000</v>
      </c>
      <c r="Q33" s="333">
        <f t="shared" si="3"/>
        <v>1200000</v>
      </c>
      <c r="R33" s="334"/>
      <c r="S33" s="479">
        <f>'RINCIAN B. TDK LANGSUNG'!Q34</f>
        <v>0</v>
      </c>
      <c r="T33" s="473">
        <f t="shared" si="6"/>
        <v>1200000</v>
      </c>
    </row>
    <row r="34" spans="1:21" ht="15.75" customHeight="1" x14ac:dyDescent="0.15">
      <c r="A34" s="335" t="s">
        <v>472</v>
      </c>
      <c r="B34" s="407" t="s">
        <v>473</v>
      </c>
      <c r="C34" s="336"/>
      <c r="D34" s="337"/>
      <c r="E34" s="333">
        <v>4000000</v>
      </c>
      <c r="F34" s="333">
        <v>500000</v>
      </c>
      <c r="G34" s="333">
        <v>10000000</v>
      </c>
      <c r="H34" s="333">
        <v>4000000</v>
      </c>
      <c r="I34" s="333">
        <v>500000</v>
      </c>
      <c r="J34" s="333">
        <v>500000</v>
      </c>
      <c r="K34" s="333">
        <v>4000000</v>
      </c>
      <c r="L34" s="333">
        <v>500000</v>
      </c>
      <c r="M34" s="333">
        <v>500000</v>
      </c>
      <c r="N34" s="333">
        <v>4000000</v>
      </c>
      <c r="O34" s="333">
        <v>500000</v>
      </c>
      <c r="P34" s="333">
        <v>500000</v>
      </c>
      <c r="Q34" s="333">
        <f t="shared" si="3"/>
        <v>29500000</v>
      </c>
      <c r="R34" s="334"/>
      <c r="S34" s="479">
        <f>'RINCIAN B. TDK LANGSUNG'!Q37</f>
        <v>0</v>
      </c>
      <c r="T34" s="473">
        <f t="shared" si="6"/>
        <v>29500000</v>
      </c>
    </row>
    <row r="35" spans="1:21" ht="15.75" customHeight="1" x14ac:dyDescent="0.15">
      <c r="A35" s="335" t="s">
        <v>474</v>
      </c>
      <c r="B35" s="407" t="s">
        <v>475</v>
      </c>
      <c r="C35" s="336"/>
      <c r="D35" s="337"/>
      <c r="E35" s="333">
        <v>550000</v>
      </c>
      <c r="F35" s="333">
        <v>550000</v>
      </c>
      <c r="G35" s="333">
        <v>550000</v>
      </c>
      <c r="H35" s="333">
        <v>550000</v>
      </c>
      <c r="I35" s="333">
        <v>550000</v>
      </c>
      <c r="J35" s="333">
        <v>550000</v>
      </c>
      <c r="K35" s="333">
        <v>550000</v>
      </c>
      <c r="L35" s="333">
        <v>550000</v>
      </c>
      <c r="M35" s="333">
        <v>550000</v>
      </c>
      <c r="N35" s="333">
        <v>550000</v>
      </c>
      <c r="O35" s="333">
        <v>550000</v>
      </c>
      <c r="P35" s="333">
        <v>550000</v>
      </c>
      <c r="Q35" s="333">
        <f t="shared" si="3"/>
        <v>6600000</v>
      </c>
      <c r="R35" s="334"/>
      <c r="S35" s="479">
        <f>'RINCIAN B. TDK LANGSUNG'!Q38</f>
        <v>0</v>
      </c>
      <c r="T35" s="473">
        <f t="shared" si="6"/>
        <v>6600000</v>
      </c>
    </row>
    <row r="36" spans="1:21" ht="15.75" customHeight="1" x14ac:dyDescent="0.15">
      <c r="A36" s="335" t="s">
        <v>476</v>
      </c>
      <c r="B36" s="863" t="s">
        <v>477</v>
      </c>
      <c r="C36" s="864"/>
      <c r="D36" s="865"/>
      <c r="E36" s="333">
        <v>3500000</v>
      </c>
      <c r="F36" s="333">
        <v>3500000</v>
      </c>
      <c r="G36" s="333">
        <v>3500000</v>
      </c>
      <c r="H36" s="333">
        <v>3500000</v>
      </c>
      <c r="I36" s="333">
        <v>3500000</v>
      </c>
      <c r="J36" s="333">
        <v>3500000</v>
      </c>
      <c r="K36" s="333">
        <v>3500000</v>
      </c>
      <c r="L36" s="333">
        <v>3500000</v>
      </c>
      <c r="M36" s="333">
        <v>3500000</v>
      </c>
      <c r="N36" s="333">
        <v>3500000</v>
      </c>
      <c r="O36" s="333">
        <v>3500000</v>
      </c>
      <c r="P36" s="333">
        <v>3500000</v>
      </c>
      <c r="Q36" s="333">
        <f t="shared" si="3"/>
        <v>42000000</v>
      </c>
      <c r="R36" s="334"/>
      <c r="S36" s="479">
        <f>'RINCIAN B. TDK LANGSUNG'!Q39</f>
        <v>0</v>
      </c>
      <c r="T36" s="473">
        <f t="shared" si="6"/>
        <v>42000000</v>
      </c>
    </row>
    <row r="37" spans="1:21" ht="15.75" customHeight="1" x14ac:dyDescent="0.15">
      <c r="A37" s="382" t="s">
        <v>478</v>
      </c>
      <c r="B37" s="891" t="s">
        <v>479</v>
      </c>
      <c r="C37" s="892"/>
      <c r="D37" s="893"/>
      <c r="E37" s="386">
        <v>2300000</v>
      </c>
      <c r="F37" s="386">
        <v>2300000</v>
      </c>
      <c r="G37" s="386">
        <v>2300000</v>
      </c>
      <c r="H37" s="386">
        <v>2300000</v>
      </c>
      <c r="I37" s="386">
        <v>2300000</v>
      </c>
      <c r="J37" s="386">
        <v>2300000</v>
      </c>
      <c r="K37" s="386">
        <v>2300000</v>
      </c>
      <c r="L37" s="386">
        <v>2300000</v>
      </c>
      <c r="M37" s="386">
        <v>2300000</v>
      </c>
      <c r="N37" s="386">
        <v>2300000</v>
      </c>
      <c r="O37" s="386">
        <v>2300000</v>
      </c>
      <c r="P37" s="386">
        <v>2300000</v>
      </c>
      <c r="Q37" s="386">
        <f t="shared" si="3"/>
        <v>27600000</v>
      </c>
      <c r="R37" s="334"/>
      <c r="S37" s="479">
        <f>'RINCIAN B. TDK LANGSUNG'!Q40</f>
        <v>0</v>
      </c>
      <c r="T37" s="473">
        <f t="shared" si="6"/>
        <v>27600000</v>
      </c>
    </row>
    <row r="38" spans="1:21" ht="15.75" customHeight="1" x14ac:dyDescent="0.15">
      <c r="A38" s="355" t="s">
        <v>480</v>
      </c>
      <c r="B38" s="410" t="s">
        <v>481</v>
      </c>
      <c r="C38" s="330"/>
      <c r="D38" s="331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462"/>
      <c r="S38" s="478"/>
      <c r="T38" s="473">
        <f t="shared" si="6"/>
        <v>0</v>
      </c>
    </row>
    <row r="39" spans="1:21" ht="15.75" customHeight="1" x14ac:dyDescent="0.15">
      <c r="A39" s="362"/>
      <c r="B39" s="407" t="s">
        <v>483</v>
      </c>
      <c r="C39" s="336"/>
      <c r="D39" s="337"/>
      <c r="E39" s="333">
        <v>1800000</v>
      </c>
      <c r="F39" s="333">
        <v>1800000</v>
      </c>
      <c r="G39" s="333">
        <v>1800000</v>
      </c>
      <c r="H39" s="333">
        <v>1800000</v>
      </c>
      <c r="I39" s="333">
        <v>1800000</v>
      </c>
      <c r="J39" s="333">
        <v>1800000</v>
      </c>
      <c r="K39" s="333">
        <v>1800000</v>
      </c>
      <c r="L39" s="333">
        <v>1800000</v>
      </c>
      <c r="M39" s="333">
        <v>1800000</v>
      </c>
      <c r="N39" s="333">
        <v>1800000</v>
      </c>
      <c r="O39" s="333">
        <v>1800000</v>
      </c>
      <c r="P39" s="333">
        <v>1800000</v>
      </c>
      <c r="Q39" s="333">
        <f t="shared" si="3"/>
        <v>21600000</v>
      </c>
      <c r="R39" s="334"/>
      <c r="S39" s="479">
        <f>'RINCIAN B. TDK LANGSUNG'!Q42</f>
        <v>0</v>
      </c>
      <c r="T39" s="473">
        <f t="shared" si="6"/>
        <v>21600000</v>
      </c>
    </row>
    <row r="40" spans="1:21" ht="15.75" customHeight="1" x14ac:dyDescent="0.15">
      <c r="A40" s="362"/>
      <c r="B40" s="407" t="s">
        <v>484</v>
      </c>
      <c r="C40" s="336"/>
      <c r="D40" s="337"/>
      <c r="E40" s="333">
        <v>1000000</v>
      </c>
      <c r="F40" s="333">
        <v>1000000</v>
      </c>
      <c r="G40" s="333">
        <v>1000000</v>
      </c>
      <c r="H40" s="333">
        <v>1000000</v>
      </c>
      <c r="I40" s="333">
        <v>1000000</v>
      </c>
      <c r="J40" s="333">
        <v>1000000</v>
      </c>
      <c r="K40" s="333">
        <v>1000000</v>
      </c>
      <c r="L40" s="333">
        <v>1000000</v>
      </c>
      <c r="M40" s="333">
        <v>1000000</v>
      </c>
      <c r="N40" s="333">
        <v>1000000</v>
      </c>
      <c r="O40" s="333">
        <v>1000000</v>
      </c>
      <c r="P40" s="333">
        <v>1000000</v>
      </c>
      <c r="Q40" s="333">
        <f t="shared" si="3"/>
        <v>12000000</v>
      </c>
      <c r="R40" s="334"/>
      <c r="S40" s="479">
        <f>'RINCIAN B. TDK LANGSUNG'!Q43</f>
        <v>0</v>
      </c>
      <c r="T40" s="473">
        <f t="shared" si="6"/>
        <v>12000000</v>
      </c>
    </row>
    <row r="41" spans="1:21" ht="15.75" customHeight="1" x14ac:dyDescent="0.15">
      <c r="A41" s="326"/>
      <c r="B41" s="857" t="s">
        <v>485</v>
      </c>
      <c r="C41" s="858"/>
      <c r="D41" s="859"/>
      <c r="E41" s="379">
        <f>SUM(E30:E40)</f>
        <v>18450000</v>
      </c>
      <c r="F41" s="379">
        <f t="shared" ref="F41:P41" si="7">SUM(F30:F40)</f>
        <v>12450000</v>
      </c>
      <c r="G41" s="379">
        <f t="shared" si="7"/>
        <v>21950000</v>
      </c>
      <c r="H41" s="379">
        <f t="shared" si="7"/>
        <v>15950000</v>
      </c>
      <c r="I41" s="379">
        <f t="shared" si="7"/>
        <v>13950000</v>
      </c>
      <c r="J41" s="379">
        <f t="shared" si="7"/>
        <v>13450000</v>
      </c>
      <c r="K41" s="379">
        <f t="shared" si="7"/>
        <v>15950000</v>
      </c>
      <c r="L41" s="379">
        <f t="shared" si="7"/>
        <v>12450000</v>
      </c>
      <c r="M41" s="379">
        <f t="shared" si="7"/>
        <v>12450000</v>
      </c>
      <c r="N41" s="379">
        <f t="shared" si="7"/>
        <v>17450000</v>
      </c>
      <c r="O41" s="379">
        <f t="shared" si="7"/>
        <v>13450000</v>
      </c>
      <c r="P41" s="379">
        <f t="shared" si="7"/>
        <v>12450000</v>
      </c>
      <c r="Q41" s="377">
        <f>SUM(E41:P41)</f>
        <v>180400000</v>
      </c>
      <c r="R41" s="446" t="s">
        <v>471</v>
      </c>
      <c r="S41" s="480">
        <f>SUM(S30:S40)</f>
        <v>0</v>
      </c>
      <c r="T41" s="480">
        <f>SUM(T30:T40)</f>
        <v>180400000</v>
      </c>
      <c r="U41" s="343"/>
    </row>
    <row r="42" spans="1:21" ht="15.75" customHeight="1" x14ac:dyDescent="0.15">
      <c r="A42" s="335" t="s">
        <v>486</v>
      </c>
      <c r="B42" s="407" t="s">
        <v>487</v>
      </c>
      <c r="C42" s="336"/>
      <c r="D42" s="337"/>
      <c r="E42" s="378"/>
      <c r="F42" s="378"/>
      <c r="G42" s="378"/>
      <c r="H42" s="378"/>
      <c r="I42" s="378"/>
      <c r="J42" s="378"/>
      <c r="K42" s="378"/>
      <c r="L42" s="333"/>
      <c r="M42" s="333"/>
      <c r="N42" s="333"/>
      <c r="O42" s="333"/>
      <c r="P42" s="333"/>
      <c r="Q42" s="333">
        <f>SUM(E42:P42)</f>
        <v>0</v>
      </c>
      <c r="R42" s="334"/>
      <c r="S42" s="478"/>
      <c r="T42" s="472"/>
    </row>
    <row r="43" spans="1:21" ht="15.75" customHeight="1" x14ac:dyDescent="0.15">
      <c r="A43" s="335" t="s">
        <v>605</v>
      </c>
      <c r="B43" s="407" t="s">
        <v>606</v>
      </c>
      <c r="C43" s="336"/>
      <c r="D43" s="337"/>
      <c r="E43" s="378"/>
      <c r="F43" s="378"/>
      <c r="G43" s="378"/>
      <c r="H43" s="378"/>
      <c r="I43" s="378"/>
      <c r="J43" s="378"/>
      <c r="K43" s="378"/>
      <c r="L43" s="333"/>
      <c r="M43" s="333"/>
      <c r="N43" s="333"/>
      <c r="O43" s="333"/>
      <c r="P43" s="333"/>
      <c r="Q43" s="333">
        <f t="shared" si="3"/>
        <v>0</v>
      </c>
      <c r="R43" s="334"/>
      <c r="S43" s="479">
        <f>'RINCIAN B. TDK LANGSUNG'!Q46</f>
        <v>0</v>
      </c>
      <c r="T43" s="473">
        <f>Q43-S43</f>
        <v>0</v>
      </c>
    </row>
    <row r="44" spans="1:21" ht="15.75" customHeight="1" x14ac:dyDescent="0.15">
      <c r="A44" s="335" t="s">
        <v>489</v>
      </c>
      <c r="B44" s="407" t="s">
        <v>490</v>
      </c>
      <c r="C44" s="336"/>
      <c r="D44" s="337"/>
      <c r="E44" s="378">
        <v>2000000</v>
      </c>
      <c r="F44" s="378">
        <v>200000</v>
      </c>
      <c r="G44" s="378">
        <v>200000</v>
      </c>
      <c r="H44" s="378">
        <v>200000</v>
      </c>
      <c r="I44" s="378">
        <v>2000000</v>
      </c>
      <c r="J44" s="378">
        <v>200000</v>
      </c>
      <c r="K44" s="378">
        <v>2000000</v>
      </c>
      <c r="L44" s="378">
        <v>2000000</v>
      </c>
      <c r="M44" s="378">
        <v>200000</v>
      </c>
      <c r="N44" s="378">
        <v>200000</v>
      </c>
      <c r="O44" s="378">
        <v>200000</v>
      </c>
      <c r="P44" s="378">
        <v>1000000</v>
      </c>
      <c r="Q44" s="333">
        <f t="shared" si="3"/>
        <v>10400000</v>
      </c>
      <c r="R44" s="334"/>
      <c r="S44" s="479">
        <f>'RINCIAN B. TDK LANGSUNG'!Q47</f>
        <v>0</v>
      </c>
      <c r="T44" s="473">
        <f t="shared" ref="T44:T45" si="8">Q44-S44</f>
        <v>10400000</v>
      </c>
    </row>
    <row r="45" spans="1:21" ht="15.75" customHeight="1" x14ac:dyDescent="0.15">
      <c r="A45" s="335" t="s">
        <v>491</v>
      </c>
      <c r="B45" s="407" t="s">
        <v>492</v>
      </c>
      <c r="C45" s="336"/>
      <c r="D45" s="337"/>
      <c r="E45" s="333">
        <v>3000000</v>
      </c>
      <c r="F45" s="333">
        <v>200000</v>
      </c>
      <c r="G45" s="333">
        <v>200000</v>
      </c>
      <c r="H45" s="333">
        <v>200000</v>
      </c>
      <c r="I45" s="333">
        <v>3000000</v>
      </c>
      <c r="J45" s="333">
        <v>200000</v>
      </c>
      <c r="K45" s="333">
        <v>200000</v>
      </c>
      <c r="L45" s="333">
        <v>3000000</v>
      </c>
      <c r="M45" s="333">
        <v>200000</v>
      </c>
      <c r="N45" s="333">
        <v>200000</v>
      </c>
      <c r="O45" s="333">
        <v>3000000</v>
      </c>
      <c r="P45" s="333">
        <v>200000</v>
      </c>
      <c r="Q45" s="333">
        <f t="shared" si="3"/>
        <v>13600000</v>
      </c>
      <c r="R45" s="334"/>
      <c r="S45" s="479">
        <f>'RINCIAN B. TDK LANGSUNG'!Q48</f>
        <v>0</v>
      </c>
      <c r="T45" s="473">
        <f t="shared" si="8"/>
        <v>13600000</v>
      </c>
    </row>
    <row r="46" spans="1:21" ht="15.75" customHeight="1" x14ac:dyDescent="0.15">
      <c r="A46" s="326"/>
      <c r="B46" s="866" t="s">
        <v>493</v>
      </c>
      <c r="C46" s="867"/>
      <c r="D46" s="868"/>
      <c r="E46" s="379">
        <f>SUM(E43:E45)</f>
        <v>5000000</v>
      </c>
      <c r="F46" s="379">
        <f t="shared" ref="F46:P46" si="9">SUM(F43:F45)</f>
        <v>400000</v>
      </c>
      <c r="G46" s="379">
        <f t="shared" si="9"/>
        <v>400000</v>
      </c>
      <c r="H46" s="379">
        <f t="shared" si="9"/>
        <v>400000</v>
      </c>
      <c r="I46" s="379">
        <f t="shared" si="9"/>
        <v>5000000</v>
      </c>
      <c r="J46" s="379">
        <f t="shared" si="9"/>
        <v>400000</v>
      </c>
      <c r="K46" s="379">
        <f t="shared" si="9"/>
        <v>2200000</v>
      </c>
      <c r="L46" s="379">
        <f t="shared" si="9"/>
        <v>5000000</v>
      </c>
      <c r="M46" s="379">
        <f t="shared" si="9"/>
        <v>400000</v>
      </c>
      <c r="N46" s="379">
        <f t="shared" si="9"/>
        <v>400000</v>
      </c>
      <c r="O46" s="379">
        <f t="shared" si="9"/>
        <v>3200000</v>
      </c>
      <c r="P46" s="379">
        <f t="shared" si="9"/>
        <v>1200000</v>
      </c>
      <c r="Q46" s="377">
        <f t="shared" si="3"/>
        <v>24000000</v>
      </c>
      <c r="R46" s="446" t="s">
        <v>488</v>
      </c>
      <c r="S46" s="480">
        <f>SUM(S43:S45)</f>
        <v>0</v>
      </c>
      <c r="T46" s="480">
        <f>SUM(T43:T45)</f>
        <v>24000000</v>
      </c>
      <c r="U46" s="343"/>
    </row>
    <row r="47" spans="1:21" ht="15.75" customHeight="1" x14ac:dyDescent="0.15">
      <c r="A47" s="335" t="s">
        <v>494</v>
      </c>
      <c r="B47" s="863" t="s">
        <v>495</v>
      </c>
      <c r="C47" s="864"/>
      <c r="D47" s="865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/>
      <c r="R47" s="334"/>
      <c r="S47" s="478"/>
      <c r="T47" s="472"/>
    </row>
    <row r="48" spans="1:21" ht="15.75" customHeight="1" x14ac:dyDescent="0.15">
      <c r="A48" s="335"/>
      <c r="B48" s="407" t="s">
        <v>669</v>
      </c>
      <c r="C48" s="336"/>
      <c r="D48" s="337"/>
      <c r="E48" s="378"/>
      <c r="F48" s="333"/>
      <c r="G48" s="333"/>
      <c r="H48" s="333"/>
      <c r="I48" s="333">
        <v>100000000</v>
      </c>
      <c r="J48" s="333"/>
      <c r="K48" s="333"/>
      <c r="L48" s="333"/>
      <c r="M48" s="333"/>
      <c r="N48" s="333"/>
      <c r="O48" s="333"/>
      <c r="P48" s="333"/>
      <c r="Q48" s="333">
        <f t="shared" si="3"/>
        <v>100000000</v>
      </c>
      <c r="R48" s="339"/>
      <c r="S48" s="479">
        <f>'RINCIAN B. TDK LANGSUNG'!Q51</f>
        <v>0</v>
      </c>
      <c r="T48" s="473">
        <f>Q48-S48</f>
        <v>100000000</v>
      </c>
    </row>
    <row r="49" spans="1:21" ht="15.75" customHeight="1" x14ac:dyDescent="0.15">
      <c r="A49" s="344"/>
      <c r="B49" s="857" t="s">
        <v>497</v>
      </c>
      <c r="C49" s="858"/>
      <c r="D49" s="859"/>
      <c r="E49" s="345">
        <f t="shared" ref="E49:P49" si="10">SUM(E48:E48)</f>
        <v>0</v>
      </c>
      <c r="F49" s="345">
        <f t="shared" si="10"/>
        <v>0</v>
      </c>
      <c r="G49" s="345">
        <f t="shared" si="10"/>
        <v>0</v>
      </c>
      <c r="H49" s="345">
        <f t="shared" si="10"/>
        <v>0</v>
      </c>
      <c r="I49" s="345">
        <f t="shared" si="10"/>
        <v>100000000</v>
      </c>
      <c r="J49" s="345">
        <f t="shared" si="10"/>
        <v>0</v>
      </c>
      <c r="K49" s="345">
        <f t="shared" si="10"/>
        <v>0</v>
      </c>
      <c r="L49" s="345">
        <f t="shared" si="10"/>
        <v>0</v>
      </c>
      <c r="M49" s="345">
        <f t="shared" si="10"/>
        <v>0</v>
      </c>
      <c r="N49" s="345">
        <f t="shared" si="10"/>
        <v>0</v>
      </c>
      <c r="O49" s="345">
        <f t="shared" si="10"/>
        <v>0</v>
      </c>
      <c r="P49" s="345">
        <f t="shared" si="10"/>
        <v>0</v>
      </c>
      <c r="Q49" s="345">
        <f>SUM(E49:P49)</f>
        <v>100000000</v>
      </c>
      <c r="R49" s="447" t="s">
        <v>496</v>
      </c>
      <c r="S49" s="480">
        <f>SUM(S48)</f>
        <v>0</v>
      </c>
      <c r="T49" s="480">
        <f>SUM(T48)</f>
        <v>100000000</v>
      </c>
    </row>
    <row r="50" spans="1:21" ht="15.75" customHeight="1" x14ac:dyDescent="0.15">
      <c r="A50" s="335" t="s">
        <v>498</v>
      </c>
      <c r="B50" s="863" t="s">
        <v>499</v>
      </c>
      <c r="C50" s="864"/>
      <c r="D50" s="865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>
        <f t="shared" si="3"/>
        <v>0</v>
      </c>
      <c r="R50" s="334"/>
      <c r="S50" s="478"/>
      <c r="T50" s="472"/>
    </row>
    <row r="51" spans="1:21" ht="15.75" customHeight="1" x14ac:dyDescent="0.15">
      <c r="A51" s="335" t="s">
        <v>500</v>
      </c>
      <c r="B51" s="407" t="s">
        <v>501</v>
      </c>
      <c r="C51" s="336"/>
      <c r="D51" s="337"/>
      <c r="E51" s="333">
        <v>500000</v>
      </c>
      <c r="F51" s="333">
        <v>500000</v>
      </c>
      <c r="G51" s="333">
        <v>500000</v>
      </c>
      <c r="H51" s="333">
        <v>500000</v>
      </c>
      <c r="I51" s="333">
        <v>4000000</v>
      </c>
      <c r="J51" s="333">
        <v>500000</v>
      </c>
      <c r="K51" s="333">
        <v>500000</v>
      </c>
      <c r="L51" s="333">
        <v>500000</v>
      </c>
      <c r="M51" s="333">
        <v>500000</v>
      </c>
      <c r="N51" s="333">
        <v>500000</v>
      </c>
      <c r="O51" s="333">
        <v>4000000</v>
      </c>
      <c r="P51" s="333">
        <v>500000</v>
      </c>
      <c r="Q51" s="333">
        <f t="shared" si="3"/>
        <v>13000000</v>
      </c>
      <c r="R51" s="334"/>
      <c r="S51" s="479">
        <f>'RINCIAN B. TDK LANGSUNG'!Q54</f>
        <v>0</v>
      </c>
      <c r="T51" s="473">
        <f>Q51-S51</f>
        <v>13000000</v>
      </c>
    </row>
    <row r="52" spans="1:21" ht="15.75" customHeight="1" x14ac:dyDescent="0.15">
      <c r="A52" s="335" t="s">
        <v>502</v>
      </c>
      <c r="B52" s="407" t="s">
        <v>503</v>
      </c>
      <c r="C52" s="357"/>
      <c r="D52" s="358"/>
      <c r="E52" s="378">
        <f>3000000+(200*12000)+3000000+1200000</f>
        <v>9600000</v>
      </c>
      <c r="F52" s="378">
        <f>3000000+(200*12000)</f>
        <v>5400000</v>
      </c>
      <c r="G52" s="378">
        <f>3000000+(200*12000)+7000000+2100000</f>
        <v>14500000</v>
      </c>
      <c r="H52" s="378">
        <f>3000000+(200*12000)</f>
        <v>5400000</v>
      </c>
      <c r="I52" s="378">
        <f>3000000+(200*12000)</f>
        <v>5400000</v>
      </c>
      <c r="J52" s="378">
        <f>3000000+(200*12000)</f>
        <v>5400000</v>
      </c>
      <c r="K52" s="378">
        <f>3000000+(200*12000)+300000</f>
        <v>5700000</v>
      </c>
      <c r="L52" s="378">
        <f>3000000+(200*12000)</f>
        <v>5400000</v>
      </c>
      <c r="M52" s="378">
        <f>3000000+(200*12000)</f>
        <v>5400000</v>
      </c>
      <c r="N52" s="378">
        <f>3000000+(200*12000)+(12*300000)</f>
        <v>9000000</v>
      </c>
      <c r="O52" s="378">
        <f>3000000+(200*12000)</f>
        <v>5400000</v>
      </c>
      <c r="P52" s="378">
        <f>3000000+(200*12000)</f>
        <v>5400000</v>
      </c>
      <c r="Q52" s="333">
        <f t="shared" si="3"/>
        <v>82000000</v>
      </c>
      <c r="R52" s="334"/>
      <c r="S52" s="479">
        <f>'RINCIAN B. TDK LANGSUNG'!Q55</f>
        <v>0</v>
      </c>
      <c r="T52" s="473">
        <f t="shared" ref="T52:T55" si="11">Q52-S52</f>
        <v>82000000</v>
      </c>
    </row>
    <row r="53" spans="1:21" ht="15.75" customHeight="1" x14ac:dyDescent="0.15">
      <c r="A53" s="335" t="s">
        <v>504</v>
      </c>
      <c r="B53" s="407" t="s">
        <v>505</v>
      </c>
      <c r="C53" s="336"/>
      <c r="D53" s="337"/>
      <c r="E53" s="378">
        <v>500000</v>
      </c>
      <c r="F53" s="378">
        <v>500000</v>
      </c>
      <c r="G53" s="378">
        <v>500000</v>
      </c>
      <c r="H53" s="378">
        <v>500000</v>
      </c>
      <c r="I53" s="378">
        <v>500000</v>
      </c>
      <c r="J53" s="378">
        <v>15000000</v>
      </c>
      <c r="K53" s="378">
        <v>500000</v>
      </c>
      <c r="L53" s="378">
        <v>500000</v>
      </c>
      <c r="M53" s="378">
        <v>500000</v>
      </c>
      <c r="N53" s="378">
        <v>500000</v>
      </c>
      <c r="O53" s="378">
        <v>500000</v>
      </c>
      <c r="P53" s="378">
        <v>500000</v>
      </c>
      <c r="Q53" s="333">
        <f t="shared" si="3"/>
        <v>20500000</v>
      </c>
      <c r="R53" s="334"/>
      <c r="S53" s="479">
        <f>'RINCIAN B. TDK LANGSUNG'!Q56</f>
        <v>0</v>
      </c>
      <c r="T53" s="473">
        <f t="shared" si="11"/>
        <v>20500000</v>
      </c>
    </row>
    <row r="54" spans="1:21" ht="15.75" customHeight="1" x14ac:dyDescent="0.15">
      <c r="A54" s="335" t="s">
        <v>586</v>
      </c>
      <c r="B54" s="863" t="s">
        <v>587</v>
      </c>
      <c r="C54" s="864"/>
      <c r="D54" s="865"/>
      <c r="E54" s="333">
        <v>1500000</v>
      </c>
      <c r="F54" s="333">
        <v>1500000</v>
      </c>
      <c r="G54" s="333">
        <v>1500000</v>
      </c>
      <c r="H54" s="333">
        <v>1500000</v>
      </c>
      <c r="I54" s="333">
        <v>1500000</v>
      </c>
      <c r="J54" s="333">
        <v>1500000</v>
      </c>
      <c r="K54" s="333">
        <v>1500000</v>
      </c>
      <c r="L54" s="333">
        <v>1500000</v>
      </c>
      <c r="M54" s="333">
        <v>1500000</v>
      </c>
      <c r="N54" s="333">
        <v>1500000</v>
      </c>
      <c r="O54" s="333">
        <v>1500000</v>
      </c>
      <c r="P54" s="333">
        <v>1500000</v>
      </c>
      <c r="Q54" s="333">
        <f t="shared" si="3"/>
        <v>18000000</v>
      </c>
      <c r="R54" s="334"/>
      <c r="S54" s="479">
        <f>'RINCIAN B. TDK LANGSUNG'!Q57</f>
        <v>0</v>
      </c>
      <c r="T54" s="473">
        <f t="shared" si="11"/>
        <v>18000000</v>
      </c>
    </row>
    <row r="55" spans="1:21" ht="15.75" customHeight="1" x14ac:dyDescent="0.15">
      <c r="A55" s="335" t="s">
        <v>506</v>
      </c>
      <c r="B55" s="863" t="s">
        <v>507</v>
      </c>
      <c r="C55" s="864"/>
      <c r="D55" s="865"/>
      <c r="E55" s="333">
        <v>500000</v>
      </c>
      <c r="F55" s="333">
        <v>500000</v>
      </c>
      <c r="G55" s="333">
        <v>500000</v>
      </c>
      <c r="H55" s="333">
        <v>500000</v>
      </c>
      <c r="I55" s="333">
        <v>500000</v>
      </c>
      <c r="J55" s="333">
        <v>500000</v>
      </c>
      <c r="K55" s="333">
        <v>500000</v>
      </c>
      <c r="L55" s="333">
        <v>500000</v>
      </c>
      <c r="M55" s="333">
        <v>500000</v>
      </c>
      <c r="N55" s="333">
        <v>500000</v>
      </c>
      <c r="O55" s="333">
        <v>500000</v>
      </c>
      <c r="P55" s="333">
        <v>500000</v>
      </c>
      <c r="Q55" s="333">
        <f t="shared" si="3"/>
        <v>6000000</v>
      </c>
      <c r="R55" s="334"/>
      <c r="S55" s="479">
        <f>'RINCIAN B. TDK LANGSUNG'!Q58</f>
        <v>0</v>
      </c>
      <c r="T55" s="473">
        <f t="shared" si="11"/>
        <v>6000000</v>
      </c>
    </row>
    <row r="56" spans="1:21" ht="15.75" customHeight="1" x14ac:dyDescent="0.15">
      <c r="A56" s="344"/>
      <c r="B56" s="857" t="s">
        <v>413</v>
      </c>
      <c r="C56" s="858"/>
      <c r="D56" s="859"/>
      <c r="E56" s="345">
        <f>SUM(E51:E55)</f>
        <v>12600000</v>
      </c>
      <c r="F56" s="345">
        <f t="shared" ref="F56:P56" si="12">SUM(F51:F55)</f>
        <v>8400000</v>
      </c>
      <c r="G56" s="345">
        <f t="shared" si="12"/>
        <v>17500000</v>
      </c>
      <c r="H56" s="345">
        <f t="shared" si="12"/>
        <v>8400000</v>
      </c>
      <c r="I56" s="345">
        <f t="shared" si="12"/>
        <v>11900000</v>
      </c>
      <c r="J56" s="345">
        <f t="shared" si="12"/>
        <v>22900000</v>
      </c>
      <c r="K56" s="345">
        <f t="shared" si="12"/>
        <v>8700000</v>
      </c>
      <c r="L56" s="345">
        <f t="shared" si="12"/>
        <v>8400000</v>
      </c>
      <c r="M56" s="345">
        <f t="shared" si="12"/>
        <v>8400000</v>
      </c>
      <c r="N56" s="345">
        <f t="shared" si="12"/>
        <v>12000000</v>
      </c>
      <c r="O56" s="345">
        <f t="shared" si="12"/>
        <v>11900000</v>
      </c>
      <c r="P56" s="345">
        <f t="shared" si="12"/>
        <v>8400000</v>
      </c>
      <c r="Q56" s="345">
        <f t="shared" si="3"/>
        <v>139500000</v>
      </c>
      <c r="R56" s="446" t="s">
        <v>377</v>
      </c>
      <c r="S56" s="480">
        <f>SUM(S51:S55)</f>
        <v>0</v>
      </c>
      <c r="T56" s="480">
        <f>SUM(T51:T55)</f>
        <v>139500000</v>
      </c>
      <c r="U56" s="343">
        <f>Q56-S56</f>
        <v>139500000</v>
      </c>
    </row>
    <row r="57" spans="1:21" ht="15.75" customHeight="1" x14ac:dyDescent="0.15">
      <c r="A57" s="335" t="s">
        <v>339</v>
      </c>
      <c r="B57" s="863" t="s">
        <v>508</v>
      </c>
      <c r="C57" s="864"/>
      <c r="D57" s="865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4"/>
      <c r="S57" s="478"/>
      <c r="T57" s="472"/>
    </row>
    <row r="58" spans="1:21" ht="15.75" customHeight="1" x14ac:dyDescent="0.15">
      <c r="A58" s="335" t="s">
        <v>509</v>
      </c>
      <c r="B58" s="863" t="s">
        <v>510</v>
      </c>
      <c r="C58" s="864"/>
      <c r="D58" s="865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>
        <v>50000000</v>
      </c>
      <c r="Q58" s="333">
        <f t="shared" si="3"/>
        <v>50000000</v>
      </c>
      <c r="R58" s="339" t="s">
        <v>670</v>
      </c>
      <c r="S58" s="479" t="e">
        <f>'RINCIAN B. TDK LANGSUNG'!#REF!</f>
        <v>#REF!</v>
      </c>
      <c r="T58" s="473" t="e">
        <f>Q58-S58</f>
        <v>#REF!</v>
      </c>
    </row>
    <row r="59" spans="1:21" ht="15.75" customHeight="1" x14ac:dyDescent="0.15">
      <c r="A59" s="335" t="s">
        <v>511</v>
      </c>
      <c r="B59" s="407" t="s">
        <v>512</v>
      </c>
      <c r="C59" s="408"/>
      <c r="D59" s="409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>
        <f t="shared" si="3"/>
        <v>0</v>
      </c>
      <c r="R59" s="339" t="s">
        <v>670</v>
      </c>
      <c r="S59" s="479" t="e">
        <f>'RINCIAN B. TDK LANGSUNG'!#REF!</f>
        <v>#REF!</v>
      </c>
      <c r="T59" s="473" t="e">
        <f>Q59-S59</f>
        <v>#REF!</v>
      </c>
    </row>
    <row r="60" spans="1:21" ht="15.75" customHeight="1" x14ac:dyDescent="0.15">
      <c r="A60" s="344"/>
      <c r="B60" s="857" t="s">
        <v>513</v>
      </c>
      <c r="C60" s="858"/>
      <c r="D60" s="859"/>
      <c r="E60" s="345">
        <f t="shared" ref="E60:O60" si="13">SUM(E57:E59)</f>
        <v>0</v>
      </c>
      <c r="F60" s="345">
        <f t="shared" si="13"/>
        <v>0</v>
      </c>
      <c r="G60" s="345">
        <f t="shared" si="13"/>
        <v>0</v>
      </c>
      <c r="H60" s="345">
        <f t="shared" si="13"/>
        <v>0</v>
      </c>
      <c r="I60" s="345">
        <f t="shared" si="13"/>
        <v>0</v>
      </c>
      <c r="J60" s="345">
        <f t="shared" si="13"/>
        <v>0</v>
      </c>
      <c r="K60" s="345">
        <f t="shared" si="13"/>
        <v>0</v>
      </c>
      <c r="L60" s="345">
        <f t="shared" si="13"/>
        <v>0</v>
      </c>
      <c r="M60" s="345">
        <f t="shared" si="13"/>
        <v>0</v>
      </c>
      <c r="N60" s="345">
        <f t="shared" si="13"/>
        <v>0</v>
      </c>
      <c r="O60" s="345">
        <f t="shared" si="13"/>
        <v>0</v>
      </c>
      <c r="P60" s="345">
        <f>SUM(P57:P59)</f>
        <v>50000000</v>
      </c>
      <c r="Q60" s="345">
        <f t="shared" si="3"/>
        <v>50000000</v>
      </c>
      <c r="R60" s="446"/>
      <c r="S60" s="480" t="e">
        <f>SUM(S58:S59)</f>
        <v>#REF!</v>
      </c>
      <c r="T60" s="480" t="e">
        <f>SUM(T58:T59)</f>
        <v>#REF!</v>
      </c>
    </row>
    <row r="61" spans="1:21" ht="15.75" customHeight="1" x14ac:dyDescent="0.15">
      <c r="A61" s="335" t="s">
        <v>514</v>
      </c>
      <c r="B61" s="407" t="s">
        <v>515</v>
      </c>
      <c r="C61" s="380"/>
      <c r="D61" s="381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>
        <f t="shared" si="3"/>
        <v>0</v>
      </c>
      <c r="R61" s="334"/>
      <c r="S61" s="478"/>
      <c r="T61" s="472"/>
    </row>
    <row r="62" spans="1:21" ht="15.75" customHeight="1" x14ac:dyDescent="0.15">
      <c r="A62" s="335" t="s">
        <v>516</v>
      </c>
      <c r="B62" s="407" t="s">
        <v>517</v>
      </c>
      <c r="C62" s="380"/>
      <c r="D62" s="381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4"/>
      <c r="S62" s="478"/>
      <c r="T62" s="472"/>
    </row>
    <row r="63" spans="1:21" ht="15.75" customHeight="1" x14ac:dyDescent="0.15">
      <c r="A63" s="335"/>
      <c r="B63" s="407" t="s">
        <v>518</v>
      </c>
      <c r="C63" s="380"/>
      <c r="D63" s="381"/>
      <c r="E63" s="333">
        <v>1850000</v>
      </c>
      <c r="F63" s="333">
        <v>1850000</v>
      </c>
      <c r="G63" s="333">
        <v>1850000</v>
      </c>
      <c r="H63" s="333">
        <v>1850000</v>
      </c>
      <c r="I63" s="333">
        <v>1850000</v>
      </c>
      <c r="J63" s="333">
        <v>1850000</v>
      </c>
      <c r="K63" s="333">
        <v>1850000</v>
      </c>
      <c r="L63" s="333">
        <v>1850000</v>
      </c>
      <c r="M63" s="333">
        <v>1850000</v>
      </c>
      <c r="N63" s="333">
        <v>1850000</v>
      </c>
      <c r="O63" s="333">
        <v>1850000</v>
      </c>
      <c r="P63" s="333">
        <v>1850000</v>
      </c>
      <c r="Q63" s="333">
        <f t="shared" si="3"/>
        <v>22200000</v>
      </c>
      <c r="R63" s="334" t="s">
        <v>371</v>
      </c>
      <c r="S63" s="479" t="e">
        <f>'RINCIAN B. TDK LANGSUNG'!#REF!</f>
        <v>#REF!</v>
      </c>
      <c r="T63" s="473" t="e">
        <f>Q63-S63</f>
        <v>#REF!</v>
      </c>
    </row>
    <row r="64" spans="1:21" ht="15.75" customHeight="1" x14ac:dyDescent="0.15">
      <c r="A64" s="335"/>
      <c r="B64" s="407" t="s">
        <v>519</v>
      </c>
      <c r="C64" s="408"/>
      <c r="D64" s="409"/>
      <c r="E64" s="333">
        <v>700000</v>
      </c>
      <c r="F64" s="333">
        <v>700000</v>
      </c>
      <c r="G64" s="333">
        <v>700000</v>
      </c>
      <c r="H64" s="333">
        <v>700000</v>
      </c>
      <c r="I64" s="333">
        <v>700000</v>
      </c>
      <c r="J64" s="333">
        <v>700000</v>
      </c>
      <c r="K64" s="333">
        <v>700000</v>
      </c>
      <c r="L64" s="333">
        <v>700000</v>
      </c>
      <c r="M64" s="333">
        <v>700000</v>
      </c>
      <c r="N64" s="333">
        <v>700000</v>
      </c>
      <c r="O64" s="333">
        <v>700000</v>
      </c>
      <c r="P64" s="333">
        <v>700000</v>
      </c>
      <c r="Q64" s="333">
        <f t="shared" ref="Q64:Q82" si="14">SUM(E64:P64)</f>
        <v>8400000</v>
      </c>
      <c r="R64" s="334" t="s">
        <v>371</v>
      </c>
      <c r="S64" s="479" t="e">
        <f>'RINCIAN B. TDK LANGSUNG'!#REF!</f>
        <v>#REF!</v>
      </c>
      <c r="T64" s="473" t="e">
        <f t="shared" ref="T64:T79" si="15">Q64-S64</f>
        <v>#REF!</v>
      </c>
    </row>
    <row r="65" spans="1:21" ht="15.75" customHeight="1" x14ac:dyDescent="0.15">
      <c r="A65" s="335" t="s">
        <v>520</v>
      </c>
      <c r="B65" s="407" t="s">
        <v>521</v>
      </c>
      <c r="C65" s="408"/>
      <c r="D65" s="409"/>
      <c r="E65" s="333">
        <v>18500000</v>
      </c>
      <c r="F65" s="333">
        <v>18500000</v>
      </c>
      <c r="G65" s="333">
        <v>18500000</v>
      </c>
      <c r="H65" s="333">
        <v>18500000</v>
      </c>
      <c r="I65" s="333">
        <v>18500000</v>
      </c>
      <c r="J65" s="333">
        <v>18500000</v>
      </c>
      <c r="K65" s="333">
        <v>18500000</v>
      </c>
      <c r="L65" s="333">
        <v>18500000</v>
      </c>
      <c r="M65" s="333">
        <v>18500000</v>
      </c>
      <c r="N65" s="333">
        <v>18500000</v>
      </c>
      <c r="O65" s="333">
        <v>18500000</v>
      </c>
      <c r="P65" s="333">
        <v>18500000</v>
      </c>
      <c r="Q65" s="333">
        <f t="shared" si="14"/>
        <v>222000000</v>
      </c>
      <c r="R65" s="334" t="s">
        <v>359</v>
      </c>
      <c r="S65" s="479">
        <f>'RINCIAN B. TDK LANGSUNG'!Q63</f>
        <v>0</v>
      </c>
      <c r="T65" s="473">
        <f t="shared" si="15"/>
        <v>222000000</v>
      </c>
    </row>
    <row r="66" spans="1:21" ht="15.75" customHeight="1" x14ac:dyDescent="0.15">
      <c r="A66" s="335" t="s">
        <v>522</v>
      </c>
      <c r="B66" s="407" t="s">
        <v>523</v>
      </c>
      <c r="C66" s="408"/>
      <c r="D66" s="409"/>
      <c r="E66" s="333">
        <v>30000000</v>
      </c>
      <c r="F66" s="333">
        <v>30000000</v>
      </c>
      <c r="G66" s="333">
        <v>30000000</v>
      </c>
      <c r="H66" s="333">
        <v>30000000</v>
      </c>
      <c r="I66" s="333">
        <v>30000000</v>
      </c>
      <c r="J66" s="333">
        <v>30000000</v>
      </c>
      <c r="K66" s="333">
        <v>30000000</v>
      </c>
      <c r="L66" s="333">
        <v>30000000</v>
      </c>
      <c r="M66" s="333">
        <v>30000000</v>
      </c>
      <c r="N66" s="333">
        <v>30000000</v>
      </c>
      <c r="O66" s="333">
        <v>30000000</v>
      </c>
      <c r="P66" s="333">
        <v>30000000</v>
      </c>
      <c r="Q66" s="333">
        <f t="shared" si="14"/>
        <v>360000000</v>
      </c>
      <c r="R66" s="334" t="s">
        <v>371</v>
      </c>
      <c r="S66" s="479">
        <f>'RINCIAN B. TDK LANGSUNG'!Q64</f>
        <v>0</v>
      </c>
      <c r="T66" s="473">
        <f t="shared" si="15"/>
        <v>360000000</v>
      </c>
    </row>
    <row r="67" spans="1:21" ht="15.75" customHeight="1" x14ac:dyDescent="0.15">
      <c r="A67" s="335" t="s">
        <v>524</v>
      </c>
      <c r="B67" s="407" t="s">
        <v>525</v>
      </c>
      <c r="C67" s="408"/>
      <c r="D67" s="409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>
        <f t="shared" si="14"/>
        <v>0</v>
      </c>
      <c r="R67" s="334"/>
      <c r="S67" s="478"/>
      <c r="T67" s="473">
        <f t="shared" si="15"/>
        <v>0</v>
      </c>
    </row>
    <row r="68" spans="1:21" ht="15.75" customHeight="1" x14ac:dyDescent="0.15">
      <c r="A68" s="335"/>
      <c r="B68" s="407" t="s">
        <v>526</v>
      </c>
      <c r="C68" s="408"/>
      <c r="D68" s="409"/>
      <c r="E68" s="333">
        <v>25000000</v>
      </c>
      <c r="F68" s="333"/>
      <c r="G68" s="333">
        <v>50000000</v>
      </c>
      <c r="H68" s="333"/>
      <c r="I68" s="333"/>
      <c r="J68" s="333"/>
      <c r="K68" s="333"/>
      <c r="L68" s="333"/>
      <c r="M68" s="333"/>
      <c r="N68" s="333"/>
      <c r="O68" s="333"/>
      <c r="P68" s="333"/>
      <c r="Q68" s="333">
        <f t="shared" si="14"/>
        <v>75000000</v>
      </c>
      <c r="R68" s="334" t="s">
        <v>371</v>
      </c>
      <c r="S68" s="479">
        <f>'RINCIAN B. TDK LANGSUNG'!Q66</f>
        <v>0</v>
      </c>
      <c r="T68" s="473">
        <f t="shared" si="15"/>
        <v>75000000</v>
      </c>
    </row>
    <row r="69" spans="1:21" ht="15.75" customHeight="1" x14ac:dyDescent="0.15">
      <c r="A69" s="382"/>
      <c r="B69" s="383" t="s">
        <v>527</v>
      </c>
      <c r="C69" s="384"/>
      <c r="D69" s="385"/>
      <c r="E69" s="386"/>
      <c r="F69" s="386"/>
      <c r="G69" s="386"/>
      <c r="H69" s="386"/>
      <c r="I69" s="386"/>
      <c r="J69" s="386"/>
      <c r="K69" s="386"/>
      <c r="L69" s="386"/>
      <c r="M69" s="386"/>
      <c r="N69" s="386"/>
      <c r="O69" s="386"/>
      <c r="P69" s="386"/>
      <c r="Q69" s="386">
        <f t="shared" si="14"/>
        <v>0</v>
      </c>
      <c r="R69" s="387" t="s">
        <v>371</v>
      </c>
      <c r="S69" s="478"/>
      <c r="T69" s="473">
        <f t="shared" si="15"/>
        <v>0</v>
      </c>
    </row>
    <row r="70" spans="1:21" ht="15.75" customHeight="1" x14ac:dyDescent="0.15">
      <c r="A70" s="355" t="s">
        <v>528</v>
      </c>
      <c r="B70" s="410" t="s">
        <v>529</v>
      </c>
      <c r="C70" s="411"/>
      <c r="D70" s="41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>
        <f t="shared" si="14"/>
        <v>0</v>
      </c>
      <c r="R70" s="388" t="s">
        <v>671</v>
      </c>
      <c r="S70" s="478"/>
      <c r="T70" s="473">
        <f t="shared" si="15"/>
        <v>0</v>
      </c>
    </row>
    <row r="71" spans="1:21" ht="15.75" customHeight="1" x14ac:dyDescent="0.15">
      <c r="A71" s="335" t="s">
        <v>530</v>
      </c>
      <c r="B71" s="407" t="s">
        <v>531</v>
      </c>
      <c r="C71" s="408"/>
      <c r="D71" s="409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>
        <f t="shared" si="14"/>
        <v>0</v>
      </c>
      <c r="R71" s="334"/>
      <c r="S71" s="478"/>
      <c r="T71" s="473">
        <f t="shared" si="15"/>
        <v>0</v>
      </c>
    </row>
    <row r="72" spans="1:21" ht="15.75" customHeight="1" x14ac:dyDescent="0.15">
      <c r="A72" s="382"/>
      <c r="B72" s="383" t="s">
        <v>532</v>
      </c>
      <c r="C72" s="384"/>
      <c r="D72" s="385"/>
      <c r="E72" s="386">
        <v>15000000</v>
      </c>
      <c r="F72" s="386">
        <v>15000000</v>
      </c>
      <c r="G72" s="386">
        <v>15000000</v>
      </c>
      <c r="H72" s="386">
        <v>15000000</v>
      </c>
      <c r="I72" s="386">
        <v>15000000</v>
      </c>
      <c r="J72" s="386">
        <v>15000000</v>
      </c>
      <c r="K72" s="386">
        <v>15000000</v>
      </c>
      <c r="L72" s="386">
        <v>15000000</v>
      </c>
      <c r="M72" s="386">
        <v>15000000</v>
      </c>
      <c r="N72" s="386">
        <v>15000000</v>
      </c>
      <c r="O72" s="386">
        <v>15000000</v>
      </c>
      <c r="P72" s="386">
        <v>15000000</v>
      </c>
      <c r="Q72" s="386">
        <f t="shared" si="14"/>
        <v>180000000</v>
      </c>
      <c r="R72" s="387" t="s">
        <v>371</v>
      </c>
      <c r="S72" s="479" t="e">
        <f>'RINCIAN B. TDK LANGSUNG'!#REF!</f>
        <v>#REF!</v>
      </c>
      <c r="T72" s="473" t="e">
        <f t="shared" si="15"/>
        <v>#REF!</v>
      </c>
    </row>
    <row r="73" spans="1:21" ht="15.75" customHeight="1" x14ac:dyDescent="0.15">
      <c r="A73" s="355"/>
      <c r="B73" s="410" t="s">
        <v>533</v>
      </c>
      <c r="C73" s="411"/>
      <c r="D73" s="412"/>
      <c r="E73" s="332">
        <v>2750000</v>
      </c>
      <c r="F73" s="332">
        <v>2750000</v>
      </c>
      <c r="G73" s="332">
        <v>2750000</v>
      </c>
      <c r="H73" s="332">
        <v>2750000</v>
      </c>
      <c r="I73" s="332">
        <v>2750000</v>
      </c>
      <c r="J73" s="332">
        <v>2750000</v>
      </c>
      <c r="K73" s="332">
        <v>2750000</v>
      </c>
      <c r="L73" s="332">
        <v>2750000</v>
      </c>
      <c r="M73" s="332">
        <v>2750000</v>
      </c>
      <c r="N73" s="332">
        <v>2750000</v>
      </c>
      <c r="O73" s="332">
        <v>2750000</v>
      </c>
      <c r="P73" s="332">
        <v>2750000</v>
      </c>
      <c r="Q73" s="332">
        <f t="shared" si="14"/>
        <v>33000000</v>
      </c>
      <c r="R73" s="387" t="s">
        <v>371</v>
      </c>
      <c r="S73" s="479" t="e">
        <f>'RINCIAN B. TDK LANGSUNG'!#REF!</f>
        <v>#REF!</v>
      </c>
      <c r="T73" s="473" t="e">
        <f t="shared" si="15"/>
        <v>#REF!</v>
      </c>
    </row>
    <row r="74" spans="1:21" ht="15.75" customHeight="1" x14ac:dyDescent="0.15">
      <c r="A74" s="335" t="s">
        <v>534</v>
      </c>
      <c r="B74" s="407" t="s">
        <v>535</v>
      </c>
      <c r="C74" s="408"/>
      <c r="D74" s="409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>
        <f t="shared" si="14"/>
        <v>0</v>
      </c>
      <c r="R74" s="334"/>
      <c r="S74" s="479">
        <f>'RINCIAN B. TDK LANGSUNG'!Q71</f>
        <v>0</v>
      </c>
      <c r="T74" s="473">
        <f t="shared" si="15"/>
        <v>0</v>
      </c>
    </row>
    <row r="75" spans="1:21" ht="15.75" customHeight="1" x14ac:dyDescent="0.15">
      <c r="A75" s="335"/>
      <c r="B75" s="407" t="s">
        <v>536</v>
      </c>
      <c r="C75" s="408"/>
      <c r="D75" s="409"/>
      <c r="E75" s="378"/>
      <c r="F75" s="378"/>
      <c r="G75" s="378"/>
      <c r="H75" s="378"/>
      <c r="I75" s="378"/>
      <c r="J75" s="378"/>
      <c r="K75" s="333"/>
      <c r="L75" s="333"/>
      <c r="M75" s="333">
        <v>1500000</v>
      </c>
      <c r="N75" s="333"/>
      <c r="O75" s="333"/>
      <c r="P75" s="333"/>
      <c r="Q75" s="333">
        <f t="shared" si="14"/>
        <v>1500000</v>
      </c>
      <c r="R75" s="387" t="s">
        <v>371</v>
      </c>
      <c r="S75" s="478"/>
      <c r="T75" s="473">
        <f t="shared" si="15"/>
        <v>1500000</v>
      </c>
    </row>
    <row r="76" spans="1:21" ht="15.75" customHeight="1" x14ac:dyDescent="0.15">
      <c r="A76" s="335" t="s">
        <v>537</v>
      </c>
      <c r="B76" s="407" t="s">
        <v>538</v>
      </c>
      <c r="C76" s="408"/>
      <c r="D76" s="409"/>
      <c r="E76" s="378"/>
      <c r="F76" s="378"/>
      <c r="G76" s="378"/>
      <c r="H76" s="378"/>
      <c r="I76" s="378"/>
      <c r="J76" s="378"/>
      <c r="K76" s="378"/>
      <c r="L76" s="333"/>
      <c r="M76" s="333"/>
      <c r="N76" s="333"/>
      <c r="O76" s="333"/>
      <c r="P76" s="333"/>
      <c r="Q76" s="333">
        <f t="shared" si="14"/>
        <v>0</v>
      </c>
      <c r="R76" s="334"/>
      <c r="S76" s="478"/>
      <c r="T76" s="473">
        <f t="shared" si="15"/>
        <v>0</v>
      </c>
    </row>
    <row r="77" spans="1:21" ht="15.75" customHeight="1" x14ac:dyDescent="0.15">
      <c r="A77" s="335"/>
      <c r="B77" s="863" t="s">
        <v>672</v>
      </c>
      <c r="C77" s="864"/>
      <c r="D77" s="865"/>
      <c r="E77" s="333"/>
      <c r="F77" s="333"/>
      <c r="G77" s="333"/>
      <c r="H77" s="333"/>
      <c r="I77" s="333"/>
      <c r="J77" s="333">
        <v>50000000</v>
      </c>
      <c r="K77" s="333"/>
      <c r="L77" s="333"/>
      <c r="M77" s="333"/>
      <c r="N77" s="333"/>
      <c r="O77" s="333"/>
      <c r="P77" s="333"/>
      <c r="Q77" s="333">
        <f t="shared" si="14"/>
        <v>50000000</v>
      </c>
      <c r="R77" s="334" t="s">
        <v>371</v>
      </c>
      <c r="S77" s="479">
        <f>'RINCIAN B. TDK LANGSUNG'!Q72</f>
        <v>0</v>
      </c>
      <c r="T77" s="473">
        <f t="shared" si="15"/>
        <v>50000000</v>
      </c>
    </row>
    <row r="78" spans="1:21" ht="15.75" customHeight="1" x14ac:dyDescent="0.15">
      <c r="A78" s="335"/>
      <c r="B78" s="407" t="s">
        <v>640</v>
      </c>
      <c r="C78" s="408"/>
      <c r="D78" s="409"/>
      <c r="E78" s="333"/>
      <c r="F78" s="333"/>
      <c r="G78" s="333"/>
      <c r="H78" s="333"/>
      <c r="I78" s="333"/>
      <c r="J78" s="333"/>
      <c r="K78" s="333"/>
      <c r="L78" s="333">
        <f>(47*750000)+25000000</f>
        <v>60250000</v>
      </c>
      <c r="M78" s="333"/>
      <c r="N78" s="333"/>
      <c r="O78" s="333"/>
      <c r="P78" s="333"/>
      <c r="Q78" s="333">
        <f t="shared" si="14"/>
        <v>60250000</v>
      </c>
      <c r="R78" s="334"/>
      <c r="S78" s="479">
        <f>'RINCIAN B. TDK LANGSUNG'!Q73</f>
        <v>0</v>
      </c>
      <c r="T78" s="473">
        <f t="shared" si="15"/>
        <v>60250000</v>
      </c>
    </row>
    <row r="79" spans="1:21" ht="15.75" customHeight="1" x14ac:dyDescent="0.15">
      <c r="A79" s="335"/>
      <c r="B79" s="407" t="s">
        <v>545</v>
      </c>
      <c r="C79" s="408"/>
      <c r="D79" s="409"/>
      <c r="E79" s="378">
        <f>1500000+(290000*47)</f>
        <v>15130000</v>
      </c>
      <c r="F79" s="378">
        <v>1500000</v>
      </c>
      <c r="G79" s="378">
        <v>1500000</v>
      </c>
      <c r="H79" s="378">
        <v>1500000</v>
      </c>
      <c r="I79" s="378">
        <v>1500000</v>
      </c>
      <c r="J79" s="378">
        <v>1500000</v>
      </c>
      <c r="K79" s="378">
        <v>1500000</v>
      </c>
      <c r="L79" s="378">
        <v>1500000</v>
      </c>
      <c r="M79" s="378">
        <v>1500000</v>
      </c>
      <c r="N79" s="378">
        <v>1500000</v>
      </c>
      <c r="O79" s="378">
        <v>1500000</v>
      </c>
      <c r="P79" s="378">
        <v>1500000</v>
      </c>
      <c r="Q79" s="333">
        <f t="shared" si="14"/>
        <v>31630000</v>
      </c>
      <c r="R79" s="334" t="s">
        <v>371</v>
      </c>
      <c r="S79" s="479">
        <f>'RINCIAN B. TDK LANGSUNG'!Q74</f>
        <v>0</v>
      </c>
      <c r="T79" s="473">
        <f t="shared" si="15"/>
        <v>31630000</v>
      </c>
    </row>
    <row r="80" spans="1:21" ht="15.75" customHeight="1" x14ac:dyDescent="0.15">
      <c r="A80" s="344"/>
      <c r="B80" s="857" t="s">
        <v>546</v>
      </c>
      <c r="C80" s="858"/>
      <c r="D80" s="859"/>
      <c r="E80" s="345">
        <f t="shared" ref="E80:O80" si="16">SUM(E61:E79)</f>
        <v>108930000</v>
      </c>
      <c r="F80" s="345">
        <f t="shared" si="16"/>
        <v>70300000</v>
      </c>
      <c r="G80" s="345">
        <f t="shared" si="16"/>
        <v>120300000</v>
      </c>
      <c r="H80" s="345">
        <f t="shared" si="16"/>
        <v>70300000</v>
      </c>
      <c r="I80" s="345">
        <f t="shared" si="16"/>
        <v>70300000</v>
      </c>
      <c r="J80" s="345">
        <f t="shared" si="16"/>
        <v>120300000</v>
      </c>
      <c r="K80" s="345">
        <f t="shared" si="16"/>
        <v>70300000</v>
      </c>
      <c r="L80" s="345">
        <f t="shared" si="16"/>
        <v>130550000</v>
      </c>
      <c r="M80" s="345">
        <f t="shared" si="16"/>
        <v>71800000</v>
      </c>
      <c r="N80" s="345">
        <f t="shared" si="16"/>
        <v>70300000</v>
      </c>
      <c r="O80" s="345">
        <f t="shared" si="16"/>
        <v>70300000</v>
      </c>
      <c r="P80" s="345">
        <f>SUM(P61:P79)</f>
        <v>70300000</v>
      </c>
      <c r="Q80" s="345">
        <f t="shared" si="14"/>
        <v>1043980000</v>
      </c>
      <c r="R80" s="346"/>
      <c r="S80" s="485" t="e">
        <f>SUM(S63:S79)</f>
        <v>#REF!</v>
      </c>
      <c r="T80" s="485" t="e">
        <f>SUM(T63:T79)</f>
        <v>#REF!</v>
      </c>
      <c r="U80" s="343" t="e">
        <f>Q80-S80</f>
        <v>#REF!</v>
      </c>
    </row>
    <row r="81" spans="1:21" ht="15.75" customHeight="1" x14ac:dyDescent="0.15">
      <c r="A81" s="344"/>
      <c r="B81" s="857" t="s">
        <v>547</v>
      </c>
      <c r="C81" s="858"/>
      <c r="D81" s="859"/>
      <c r="E81" s="386">
        <f t="shared" ref="E81:P81" si="17">E80+E56+E46+E41+E28+E49+E60</f>
        <v>379980320</v>
      </c>
      <c r="F81" s="386">
        <f t="shared" si="17"/>
        <v>283300000</v>
      </c>
      <c r="G81" s="386">
        <f t="shared" si="17"/>
        <v>358600000</v>
      </c>
      <c r="H81" s="386">
        <f t="shared" si="17"/>
        <v>472800000</v>
      </c>
      <c r="I81" s="386">
        <f t="shared" si="17"/>
        <v>396950000</v>
      </c>
      <c r="J81" s="386">
        <f t="shared" si="17"/>
        <v>335800000</v>
      </c>
      <c r="K81" s="386">
        <f t="shared" si="17"/>
        <v>272400000</v>
      </c>
      <c r="L81" s="386">
        <f t="shared" si="17"/>
        <v>337650000</v>
      </c>
      <c r="M81" s="386">
        <f t="shared" si="17"/>
        <v>268300000</v>
      </c>
      <c r="N81" s="386">
        <f t="shared" si="17"/>
        <v>281400000</v>
      </c>
      <c r="O81" s="386">
        <f>O80+O56+O46+O41+O28+O49+O60</f>
        <v>277100000</v>
      </c>
      <c r="P81" s="386">
        <f t="shared" si="17"/>
        <v>447100000</v>
      </c>
      <c r="Q81" s="345">
        <f t="shared" si="14"/>
        <v>4111380320</v>
      </c>
      <c r="R81" s="334"/>
      <c r="S81" s="386" t="e">
        <f>S80+S56+S46+S41+S28+S49+S60</f>
        <v>#REF!</v>
      </c>
      <c r="T81" s="386" t="e">
        <f>T80+T56+T46+T41+T28+T49+T60</f>
        <v>#REF!</v>
      </c>
      <c r="U81" s="343" t="e">
        <f>Q81-S81</f>
        <v>#REF!</v>
      </c>
    </row>
    <row r="82" spans="1:21" ht="15.75" customHeight="1" x14ac:dyDescent="0.15">
      <c r="A82" s="335" t="s">
        <v>341</v>
      </c>
      <c r="B82" s="885" t="s">
        <v>548</v>
      </c>
      <c r="C82" s="886"/>
      <c r="D82" s="887"/>
      <c r="E82" s="389">
        <f>12130334+10323166+12195784+4778383+1267969+1000000</f>
        <v>41695636</v>
      </c>
      <c r="F82" s="389">
        <f t="shared" ref="F82:P82" si="18">12130334+10323166+12195784+4778383+1267969+1000000</f>
        <v>41695636</v>
      </c>
      <c r="G82" s="389">
        <f t="shared" si="18"/>
        <v>41695636</v>
      </c>
      <c r="H82" s="389">
        <f t="shared" si="18"/>
        <v>41695636</v>
      </c>
      <c r="I82" s="389">
        <f t="shared" si="18"/>
        <v>41695636</v>
      </c>
      <c r="J82" s="389">
        <f t="shared" si="18"/>
        <v>41695636</v>
      </c>
      <c r="K82" s="389">
        <f t="shared" si="18"/>
        <v>41695636</v>
      </c>
      <c r="L82" s="389">
        <f t="shared" si="18"/>
        <v>41695636</v>
      </c>
      <c r="M82" s="389">
        <f t="shared" si="18"/>
        <v>41695636</v>
      </c>
      <c r="N82" s="389">
        <f t="shared" si="18"/>
        <v>41695636</v>
      </c>
      <c r="O82" s="389">
        <f t="shared" si="18"/>
        <v>41695636</v>
      </c>
      <c r="P82" s="389">
        <f t="shared" si="18"/>
        <v>41695636</v>
      </c>
      <c r="Q82" s="333">
        <f t="shared" si="14"/>
        <v>500347632</v>
      </c>
      <c r="R82" s="346" t="s">
        <v>549</v>
      </c>
      <c r="S82" s="485">
        <f>'RINCIAN B. TDK LANGSUNG'!Q78+'RINCIAN B. TDK LANGSUNG'!Q79</f>
        <v>0</v>
      </c>
      <c r="T82" s="480">
        <f>Q82-S82</f>
        <v>500347632</v>
      </c>
    </row>
    <row r="83" spans="1:21" ht="15.75" customHeight="1" thickBot="1" x14ac:dyDescent="0.2">
      <c r="A83" s="364"/>
      <c r="B83" s="869" t="s">
        <v>550</v>
      </c>
      <c r="C83" s="870"/>
      <c r="D83" s="871"/>
      <c r="E83" s="390">
        <f>SUM(E81:E82)</f>
        <v>421675956</v>
      </c>
      <c r="F83" s="390">
        <f t="shared" ref="F83:O83" si="19">SUM(F81:F82)</f>
        <v>324995636</v>
      </c>
      <c r="G83" s="390">
        <f t="shared" si="19"/>
        <v>400295636</v>
      </c>
      <c r="H83" s="390">
        <f t="shared" si="19"/>
        <v>514495636</v>
      </c>
      <c r="I83" s="390">
        <f t="shared" si="19"/>
        <v>438645636</v>
      </c>
      <c r="J83" s="390">
        <f t="shared" si="19"/>
        <v>377495636</v>
      </c>
      <c r="K83" s="390">
        <f t="shared" si="19"/>
        <v>314095636</v>
      </c>
      <c r="L83" s="390">
        <f t="shared" si="19"/>
        <v>379345636</v>
      </c>
      <c r="M83" s="390">
        <f t="shared" si="19"/>
        <v>309995636</v>
      </c>
      <c r="N83" s="390">
        <f t="shared" si="19"/>
        <v>323095636</v>
      </c>
      <c r="O83" s="390">
        <f t="shared" si="19"/>
        <v>318795636</v>
      </c>
      <c r="P83" s="390">
        <f>SUM(P81:P82)</f>
        <v>488795636</v>
      </c>
      <c r="Q83" s="390">
        <f>SUM(Q81:Q82)</f>
        <v>4611727952</v>
      </c>
      <c r="R83" s="391"/>
      <c r="S83" s="485" t="e">
        <f>SUM(S81:S82)</f>
        <v>#REF!</v>
      </c>
      <c r="T83" s="485" t="e">
        <f>SUM(T81:T82)</f>
        <v>#REF!</v>
      </c>
      <c r="U83" s="343" t="e">
        <f>Q83-S83</f>
        <v>#REF!</v>
      </c>
    </row>
    <row r="84" spans="1:21" ht="12.75" customHeight="1" thickTop="1" x14ac:dyDescent="0.15">
      <c r="A84" s="367"/>
      <c r="E84" s="392"/>
      <c r="F84" s="392"/>
      <c r="G84" s="392"/>
      <c r="H84" s="392"/>
      <c r="I84" s="392"/>
      <c r="J84" s="392"/>
      <c r="K84" s="392"/>
      <c r="L84" s="393"/>
      <c r="M84" s="393"/>
      <c r="N84" s="393"/>
      <c r="O84" s="393"/>
      <c r="P84" s="393"/>
      <c r="Q84" s="393">
        <f>Q83+'[9]P-10. Biaya Operasi'!Q97</f>
        <v>9579960717</v>
      </c>
      <c r="S84" s="343">
        <f>'RINCIAN B. TDK LANGSUNG'!Q80</f>
        <v>0</v>
      </c>
    </row>
    <row r="85" spans="1:21" ht="12.75" customHeight="1" x14ac:dyDescent="0.15">
      <c r="A85" s="367"/>
      <c r="E85" s="392"/>
      <c r="F85" s="392"/>
      <c r="G85" s="392"/>
      <c r="H85" s="392"/>
      <c r="I85" s="392"/>
      <c r="J85" s="392"/>
      <c r="K85" s="392"/>
      <c r="L85" s="393"/>
      <c r="M85" s="393"/>
      <c r="N85" s="393"/>
      <c r="O85" s="393"/>
      <c r="P85" s="393"/>
      <c r="Q85" s="393"/>
      <c r="R85" s="395"/>
    </row>
    <row r="86" spans="1:21" ht="12.75" customHeight="1" x14ac:dyDescent="0.15">
      <c r="A86" s="367"/>
      <c r="L86" s="396"/>
      <c r="M86" s="396"/>
      <c r="P86" s="398"/>
      <c r="Q86" s="396"/>
      <c r="R86" s="399"/>
    </row>
    <row r="87" spans="1:21" ht="12.75" customHeight="1" x14ac:dyDescent="0.15">
      <c r="A87" s="367"/>
      <c r="Q87" s="396"/>
      <c r="R87" s="399"/>
    </row>
    <row r="88" spans="1:21" ht="12.75" customHeight="1" x14ac:dyDescent="0.15">
      <c r="A88" s="367"/>
      <c r="M88" s="396"/>
    </row>
    <row r="89" spans="1:21" ht="12.75" customHeight="1" x14ac:dyDescent="0.15">
      <c r="A89" s="367"/>
    </row>
    <row r="90" spans="1:21" ht="12.75" customHeight="1" x14ac:dyDescent="0.15">
      <c r="A90" s="367"/>
      <c r="Q90" s="396"/>
    </row>
    <row r="91" spans="1:21" ht="12.75" customHeight="1" x14ac:dyDescent="0.15">
      <c r="A91" s="367"/>
    </row>
    <row r="92" spans="1:21" s="368" customFormat="1" ht="12.75" customHeight="1" x14ac:dyDescent="0.15">
      <c r="A92" s="367"/>
      <c r="C92" s="323"/>
      <c r="D92" s="323"/>
      <c r="E92" s="323"/>
      <c r="F92" s="323"/>
      <c r="G92" s="323"/>
      <c r="H92" s="323"/>
      <c r="I92" s="323"/>
      <c r="J92" s="323"/>
      <c r="K92" s="323"/>
      <c r="L92" s="397"/>
      <c r="M92" s="397"/>
      <c r="N92" s="397"/>
      <c r="O92" s="397"/>
      <c r="P92" s="397"/>
      <c r="Q92" s="396"/>
      <c r="R92" s="394"/>
    </row>
    <row r="93" spans="1:21" s="368" customFormat="1" ht="12.75" customHeight="1" x14ac:dyDescent="0.15">
      <c r="A93" s="367"/>
      <c r="C93" s="323"/>
      <c r="D93" s="323"/>
      <c r="E93" s="323"/>
      <c r="F93" s="323"/>
      <c r="G93" s="323"/>
      <c r="H93" s="323"/>
      <c r="I93" s="323"/>
      <c r="J93" s="323"/>
      <c r="K93" s="323"/>
      <c r="L93" s="397"/>
      <c r="M93" s="397"/>
      <c r="N93" s="397"/>
      <c r="O93" s="397"/>
      <c r="P93" s="397"/>
      <c r="Q93" s="396"/>
      <c r="R93" s="394"/>
    </row>
    <row r="94" spans="1:21" s="368" customFormat="1" ht="12.75" customHeight="1" x14ac:dyDescent="0.15">
      <c r="A94" s="367"/>
      <c r="C94" s="323"/>
      <c r="D94" s="323"/>
      <c r="E94" s="323"/>
      <c r="F94" s="323"/>
      <c r="G94" s="323"/>
      <c r="H94" s="323"/>
      <c r="I94" s="323"/>
      <c r="J94" s="323"/>
      <c r="K94" s="323"/>
      <c r="L94" s="397"/>
      <c r="M94" s="397"/>
      <c r="N94" s="397"/>
      <c r="O94" s="397"/>
      <c r="P94" s="397"/>
      <c r="Q94" s="397"/>
      <c r="R94" s="394"/>
    </row>
    <row r="95" spans="1:21" s="368" customFormat="1" ht="12.75" customHeight="1" x14ac:dyDescent="0.15">
      <c r="A95" s="367"/>
      <c r="C95" s="323"/>
      <c r="D95" s="323"/>
      <c r="E95" s="323"/>
      <c r="F95" s="323"/>
      <c r="G95" s="323"/>
      <c r="H95" s="323"/>
      <c r="I95" s="323"/>
      <c r="J95" s="323"/>
      <c r="K95" s="323"/>
      <c r="L95" s="397"/>
      <c r="M95" s="397"/>
      <c r="N95" s="397"/>
      <c r="O95" s="397"/>
      <c r="P95" s="397"/>
      <c r="Q95" s="397"/>
      <c r="R95" s="394"/>
    </row>
    <row r="96" spans="1:21" s="368" customFormat="1" ht="12.75" customHeight="1" x14ac:dyDescent="0.15">
      <c r="A96" s="367"/>
      <c r="C96" s="323"/>
      <c r="D96" s="323"/>
      <c r="E96" s="323"/>
      <c r="F96" s="323"/>
      <c r="G96" s="323"/>
      <c r="H96" s="323"/>
      <c r="I96" s="323"/>
      <c r="J96" s="323"/>
      <c r="K96" s="323"/>
      <c r="L96" s="397"/>
      <c r="M96" s="397"/>
      <c r="N96" s="397"/>
      <c r="O96" s="397"/>
      <c r="P96" s="397"/>
      <c r="Q96" s="397"/>
      <c r="R96" s="394"/>
    </row>
    <row r="97" spans="1:18" s="368" customFormat="1" ht="12.75" customHeight="1" x14ac:dyDescent="0.15">
      <c r="A97" s="367"/>
      <c r="C97" s="323"/>
      <c r="D97" s="323"/>
      <c r="E97" s="323"/>
      <c r="F97" s="323"/>
      <c r="G97" s="323"/>
      <c r="H97" s="323"/>
      <c r="I97" s="323"/>
      <c r="J97" s="323"/>
      <c r="K97" s="323"/>
      <c r="L97" s="397"/>
      <c r="M97" s="397"/>
      <c r="N97" s="397"/>
      <c r="O97" s="397"/>
      <c r="P97" s="397"/>
      <c r="Q97" s="397"/>
      <c r="R97" s="394"/>
    </row>
    <row r="98" spans="1:18" s="368" customFormat="1" ht="12.75" customHeight="1" x14ac:dyDescent="0.15">
      <c r="A98" s="367"/>
      <c r="C98" s="323"/>
      <c r="D98" s="323"/>
      <c r="E98" s="323"/>
      <c r="F98" s="323"/>
      <c r="G98" s="323"/>
      <c r="H98" s="323"/>
      <c r="I98" s="323"/>
      <c r="J98" s="323"/>
      <c r="K98" s="323"/>
      <c r="L98" s="397"/>
      <c r="M98" s="397"/>
      <c r="N98" s="397"/>
      <c r="O98" s="397"/>
      <c r="P98" s="397"/>
      <c r="Q98" s="397"/>
      <c r="R98" s="394"/>
    </row>
    <row r="99" spans="1:18" s="368" customFormat="1" ht="12.75" customHeight="1" x14ac:dyDescent="0.15">
      <c r="A99" s="367"/>
      <c r="C99" s="323"/>
      <c r="D99" s="323"/>
      <c r="E99" s="323"/>
      <c r="F99" s="323"/>
      <c r="G99" s="323"/>
      <c r="H99" s="323"/>
      <c r="I99" s="323"/>
      <c r="J99" s="323"/>
      <c r="K99" s="323"/>
      <c r="L99" s="397"/>
      <c r="M99" s="397"/>
      <c r="N99" s="397"/>
      <c r="O99" s="397"/>
      <c r="P99" s="397"/>
      <c r="Q99" s="397"/>
      <c r="R99" s="394"/>
    </row>
    <row r="100" spans="1:18" s="368" customFormat="1" ht="12.75" customHeight="1" x14ac:dyDescent="0.15">
      <c r="A100" s="367"/>
      <c r="C100" s="323"/>
      <c r="D100" s="323"/>
      <c r="E100" s="323"/>
      <c r="F100" s="323"/>
      <c r="G100" s="323"/>
      <c r="H100" s="323"/>
      <c r="I100" s="323"/>
      <c r="J100" s="323"/>
      <c r="K100" s="323"/>
      <c r="L100" s="397"/>
      <c r="M100" s="397"/>
      <c r="N100" s="397"/>
      <c r="O100" s="397"/>
      <c r="P100" s="397"/>
      <c r="Q100" s="397"/>
      <c r="R100" s="394"/>
    </row>
    <row r="101" spans="1:18" s="368" customFormat="1" ht="12.75" customHeight="1" x14ac:dyDescent="0.15">
      <c r="A101" s="367"/>
      <c r="C101" s="323"/>
      <c r="D101" s="323"/>
      <c r="E101" s="323"/>
      <c r="F101" s="323"/>
      <c r="G101" s="323"/>
      <c r="H101" s="323"/>
      <c r="I101" s="323"/>
      <c r="J101" s="323"/>
      <c r="K101" s="323"/>
      <c r="L101" s="397"/>
      <c r="M101" s="397"/>
      <c r="N101" s="397"/>
      <c r="O101" s="397"/>
      <c r="P101" s="397"/>
      <c r="Q101" s="397"/>
      <c r="R101" s="394"/>
    </row>
    <row r="102" spans="1:18" s="368" customFormat="1" ht="12.75" customHeight="1" x14ac:dyDescent="0.15">
      <c r="A102" s="367"/>
      <c r="C102" s="323"/>
      <c r="D102" s="323"/>
      <c r="E102" s="323"/>
      <c r="F102" s="323"/>
      <c r="G102" s="323"/>
      <c r="H102" s="323"/>
      <c r="I102" s="323"/>
      <c r="J102" s="323"/>
      <c r="K102" s="323"/>
      <c r="L102" s="397"/>
      <c r="M102" s="397"/>
      <c r="N102" s="397"/>
      <c r="O102" s="397"/>
      <c r="P102" s="397"/>
      <c r="Q102" s="397"/>
      <c r="R102" s="394"/>
    </row>
    <row r="103" spans="1:18" s="368" customFormat="1" ht="12.75" customHeight="1" x14ac:dyDescent="0.15">
      <c r="A103" s="367"/>
      <c r="C103" s="323"/>
      <c r="D103" s="323"/>
      <c r="E103" s="323"/>
      <c r="F103" s="323"/>
      <c r="G103" s="323"/>
      <c r="H103" s="323"/>
      <c r="I103" s="323"/>
      <c r="J103" s="323"/>
      <c r="K103" s="323"/>
      <c r="L103" s="397"/>
      <c r="M103" s="397"/>
      <c r="N103" s="397"/>
      <c r="O103" s="397"/>
      <c r="P103" s="397"/>
      <c r="Q103" s="397"/>
      <c r="R103" s="394"/>
    </row>
    <row r="104" spans="1:18" s="368" customFormat="1" ht="12.75" customHeight="1" x14ac:dyDescent="0.15">
      <c r="A104" s="367"/>
      <c r="C104" s="323"/>
      <c r="D104" s="323"/>
      <c r="E104" s="323"/>
      <c r="F104" s="323"/>
      <c r="G104" s="323"/>
      <c r="H104" s="323"/>
      <c r="I104" s="323"/>
      <c r="J104" s="323"/>
      <c r="K104" s="323"/>
      <c r="L104" s="397"/>
      <c r="M104" s="397"/>
      <c r="N104" s="397"/>
      <c r="O104" s="397"/>
      <c r="P104" s="397"/>
      <c r="Q104" s="397"/>
      <c r="R104" s="394"/>
    </row>
    <row r="105" spans="1:18" s="368" customFormat="1" ht="12.75" customHeight="1" x14ac:dyDescent="0.15">
      <c r="A105" s="367"/>
      <c r="C105" s="323"/>
      <c r="D105" s="323"/>
      <c r="E105" s="323"/>
      <c r="F105" s="323"/>
      <c r="G105" s="323"/>
      <c r="H105" s="323"/>
      <c r="I105" s="323"/>
      <c r="J105" s="323"/>
      <c r="K105" s="323"/>
      <c r="L105" s="397"/>
      <c r="M105" s="397"/>
      <c r="N105" s="397"/>
      <c r="O105" s="397"/>
      <c r="P105" s="397"/>
      <c r="Q105" s="397"/>
      <c r="R105" s="394"/>
    </row>
    <row r="106" spans="1:18" s="368" customFormat="1" ht="12.75" customHeight="1" x14ac:dyDescent="0.15">
      <c r="A106" s="367"/>
      <c r="C106" s="323"/>
      <c r="D106" s="323"/>
      <c r="E106" s="323"/>
      <c r="F106" s="323"/>
      <c r="G106" s="323"/>
      <c r="H106" s="323"/>
      <c r="I106" s="323"/>
      <c r="J106" s="323"/>
      <c r="K106" s="323"/>
      <c r="L106" s="397"/>
      <c r="M106" s="397"/>
      <c r="N106" s="397"/>
      <c r="O106" s="397"/>
      <c r="P106" s="397"/>
      <c r="Q106" s="397"/>
      <c r="R106" s="394"/>
    </row>
    <row r="107" spans="1:18" s="368" customFormat="1" ht="12.75" customHeight="1" x14ac:dyDescent="0.15">
      <c r="A107" s="367"/>
      <c r="C107" s="323"/>
      <c r="D107" s="323"/>
      <c r="E107" s="323"/>
      <c r="F107" s="323"/>
      <c r="G107" s="323"/>
      <c r="H107" s="323"/>
      <c r="I107" s="323"/>
      <c r="J107" s="323"/>
      <c r="K107" s="323"/>
      <c r="L107" s="397"/>
      <c r="M107" s="397"/>
      <c r="N107" s="397"/>
      <c r="O107" s="397"/>
      <c r="P107" s="397"/>
      <c r="Q107" s="397"/>
      <c r="R107" s="394"/>
    </row>
    <row r="108" spans="1:18" s="368" customFormat="1" ht="12.75" customHeight="1" x14ac:dyDescent="0.15">
      <c r="A108" s="367"/>
      <c r="C108" s="323"/>
      <c r="D108" s="323"/>
      <c r="E108" s="323"/>
      <c r="F108" s="323"/>
      <c r="G108" s="323"/>
      <c r="H108" s="323"/>
      <c r="I108" s="323"/>
      <c r="J108" s="323"/>
      <c r="K108" s="323"/>
      <c r="L108" s="397"/>
      <c r="M108" s="397"/>
      <c r="N108" s="397"/>
      <c r="O108" s="397"/>
      <c r="P108" s="397"/>
      <c r="Q108" s="397"/>
      <c r="R108" s="394"/>
    </row>
    <row r="109" spans="1:18" s="368" customFormat="1" ht="12.75" customHeight="1" x14ac:dyDescent="0.15">
      <c r="A109" s="367"/>
      <c r="C109" s="323"/>
      <c r="D109" s="323"/>
      <c r="E109" s="323"/>
      <c r="F109" s="323"/>
      <c r="G109" s="323"/>
      <c r="H109" s="323"/>
      <c r="I109" s="323"/>
      <c r="J109" s="323"/>
      <c r="K109" s="323"/>
      <c r="L109" s="397"/>
      <c r="M109" s="397"/>
      <c r="N109" s="397"/>
      <c r="O109" s="397"/>
      <c r="P109" s="397"/>
      <c r="Q109" s="397"/>
      <c r="R109" s="394"/>
    </row>
    <row r="110" spans="1:18" s="368" customFormat="1" ht="12.75" customHeight="1" x14ac:dyDescent="0.15">
      <c r="A110" s="367"/>
      <c r="C110" s="323"/>
      <c r="D110" s="323"/>
      <c r="E110" s="323"/>
      <c r="F110" s="323"/>
      <c r="G110" s="323"/>
      <c r="H110" s="323"/>
      <c r="I110" s="323"/>
      <c r="J110" s="323"/>
      <c r="K110" s="323"/>
      <c r="L110" s="397"/>
      <c r="M110" s="397"/>
      <c r="N110" s="397"/>
      <c r="O110" s="397"/>
      <c r="P110" s="397"/>
      <c r="Q110" s="397"/>
      <c r="R110" s="394"/>
    </row>
    <row r="111" spans="1:18" s="368" customFormat="1" ht="12.75" customHeight="1" x14ac:dyDescent="0.15">
      <c r="A111" s="367"/>
      <c r="C111" s="323"/>
      <c r="D111" s="323"/>
      <c r="E111" s="323"/>
      <c r="F111" s="323"/>
      <c r="G111" s="323"/>
      <c r="H111" s="323"/>
      <c r="I111" s="323"/>
      <c r="J111" s="323"/>
      <c r="K111" s="323"/>
      <c r="L111" s="397"/>
      <c r="M111" s="397"/>
      <c r="N111" s="397"/>
      <c r="O111" s="397"/>
      <c r="P111" s="397"/>
      <c r="Q111" s="397"/>
      <c r="R111" s="394"/>
    </row>
    <row r="112" spans="1:18" s="368" customFormat="1" ht="12.75" customHeight="1" x14ac:dyDescent="0.15">
      <c r="A112" s="367"/>
      <c r="C112" s="323"/>
      <c r="D112" s="323"/>
      <c r="E112" s="323"/>
      <c r="F112" s="323"/>
      <c r="G112" s="323"/>
      <c r="H112" s="323"/>
      <c r="I112" s="323"/>
      <c r="J112" s="323"/>
      <c r="K112" s="323"/>
      <c r="L112" s="397"/>
      <c r="M112" s="397"/>
      <c r="N112" s="397"/>
      <c r="O112" s="397"/>
      <c r="P112" s="397"/>
      <c r="Q112" s="397"/>
      <c r="R112" s="394"/>
    </row>
    <row r="113" spans="1:18" s="368" customFormat="1" ht="12.75" customHeight="1" x14ac:dyDescent="0.15">
      <c r="A113" s="367"/>
      <c r="C113" s="323"/>
      <c r="D113" s="323"/>
      <c r="E113" s="323"/>
      <c r="F113" s="323"/>
      <c r="G113" s="323"/>
      <c r="H113" s="323"/>
      <c r="I113" s="323"/>
      <c r="J113" s="323"/>
      <c r="K113" s="323"/>
      <c r="L113" s="397"/>
      <c r="M113" s="397"/>
      <c r="N113" s="397"/>
      <c r="O113" s="397"/>
      <c r="P113" s="397"/>
      <c r="Q113" s="397"/>
      <c r="R113" s="394"/>
    </row>
    <row r="114" spans="1:18" s="368" customFormat="1" ht="12.75" customHeight="1" x14ac:dyDescent="0.15">
      <c r="A114" s="367"/>
      <c r="C114" s="323"/>
      <c r="D114" s="323"/>
      <c r="E114" s="323"/>
      <c r="F114" s="323"/>
      <c r="G114" s="323"/>
      <c r="H114" s="323"/>
      <c r="I114" s="323"/>
      <c r="J114" s="323"/>
      <c r="K114" s="323"/>
      <c r="L114" s="397"/>
      <c r="M114" s="397"/>
      <c r="N114" s="397"/>
      <c r="O114" s="397"/>
      <c r="P114" s="397"/>
      <c r="Q114" s="397"/>
      <c r="R114" s="394"/>
    </row>
    <row r="115" spans="1:18" s="368" customFormat="1" ht="12.75" customHeight="1" x14ac:dyDescent="0.15">
      <c r="A115" s="367"/>
      <c r="C115" s="323"/>
      <c r="D115" s="323"/>
      <c r="E115" s="323"/>
      <c r="F115" s="323"/>
      <c r="G115" s="323"/>
      <c r="H115" s="323"/>
      <c r="I115" s="323"/>
      <c r="J115" s="323"/>
      <c r="K115" s="323"/>
      <c r="L115" s="397"/>
      <c r="M115" s="397"/>
      <c r="N115" s="397"/>
      <c r="O115" s="397"/>
      <c r="P115" s="397"/>
      <c r="Q115" s="397"/>
      <c r="R115" s="394"/>
    </row>
    <row r="116" spans="1:18" s="368" customFormat="1" ht="12.75" customHeight="1" x14ac:dyDescent="0.15">
      <c r="A116" s="367"/>
      <c r="C116" s="323"/>
      <c r="D116" s="323"/>
      <c r="E116" s="323"/>
      <c r="F116" s="323"/>
      <c r="G116" s="323"/>
      <c r="H116" s="323"/>
      <c r="I116" s="323"/>
      <c r="J116" s="323"/>
      <c r="K116" s="323"/>
      <c r="L116" s="397"/>
      <c r="M116" s="397"/>
      <c r="N116" s="397"/>
      <c r="O116" s="397"/>
      <c r="P116" s="397"/>
      <c r="Q116" s="397"/>
      <c r="R116" s="394"/>
    </row>
    <row r="117" spans="1:18" s="368" customFormat="1" ht="12.75" customHeight="1" x14ac:dyDescent="0.15">
      <c r="A117" s="367"/>
      <c r="C117" s="323"/>
      <c r="D117" s="323"/>
      <c r="E117" s="323"/>
      <c r="F117" s="323"/>
      <c r="G117" s="323"/>
      <c r="H117" s="323"/>
      <c r="I117" s="323"/>
      <c r="J117" s="323"/>
      <c r="K117" s="323"/>
      <c r="L117" s="397"/>
      <c r="M117" s="397"/>
      <c r="N117" s="397"/>
      <c r="O117" s="397"/>
      <c r="P117" s="397"/>
      <c r="Q117" s="397"/>
      <c r="R117" s="394"/>
    </row>
    <row r="118" spans="1:18" s="368" customFormat="1" ht="12.75" customHeight="1" x14ac:dyDescent="0.15">
      <c r="A118" s="367"/>
      <c r="C118" s="323"/>
      <c r="D118" s="323"/>
      <c r="E118" s="323"/>
      <c r="F118" s="323"/>
      <c r="G118" s="323"/>
      <c r="H118" s="323"/>
      <c r="I118" s="323"/>
      <c r="J118" s="323"/>
      <c r="K118" s="323"/>
      <c r="L118" s="397"/>
      <c r="M118" s="397"/>
      <c r="N118" s="397"/>
      <c r="O118" s="397"/>
      <c r="P118" s="397"/>
      <c r="Q118" s="397"/>
      <c r="R118" s="394"/>
    </row>
    <row r="119" spans="1:18" s="368" customFormat="1" ht="12.75" customHeight="1" x14ac:dyDescent="0.15">
      <c r="A119" s="367"/>
      <c r="C119" s="323"/>
      <c r="D119" s="323"/>
      <c r="E119" s="323"/>
      <c r="F119" s="323"/>
      <c r="G119" s="323"/>
      <c r="H119" s="323"/>
      <c r="I119" s="323"/>
      <c r="J119" s="323"/>
      <c r="K119" s="323"/>
      <c r="L119" s="397"/>
      <c r="M119" s="397"/>
      <c r="N119" s="397"/>
      <c r="O119" s="397"/>
      <c r="P119" s="397"/>
      <c r="Q119" s="397"/>
      <c r="R119" s="394"/>
    </row>
    <row r="120" spans="1:18" s="368" customFormat="1" ht="12.75" customHeight="1" x14ac:dyDescent="0.15">
      <c r="A120" s="367"/>
      <c r="C120" s="323"/>
      <c r="D120" s="323"/>
      <c r="E120" s="323"/>
      <c r="F120" s="323"/>
      <c r="G120" s="323"/>
      <c r="H120" s="323"/>
      <c r="I120" s="323"/>
      <c r="J120" s="323"/>
      <c r="K120" s="323"/>
      <c r="L120" s="397"/>
      <c r="M120" s="397"/>
      <c r="N120" s="397"/>
      <c r="O120" s="397"/>
      <c r="P120" s="397"/>
      <c r="Q120" s="397"/>
      <c r="R120" s="394"/>
    </row>
    <row r="121" spans="1:18" s="368" customFormat="1" ht="12.75" customHeight="1" x14ac:dyDescent="0.15">
      <c r="A121" s="367"/>
      <c r="C121" s="323"/>
      <c r="D121" s="323"/>
      <c r="E121" s="323"/>
      <c r="F121" s="323"/>
      <c r="G121" s="323"/>
      <c r="H121" s="323"/>
      <c r="I121" s="323"/>
      <c r="J121" s="323"/>
      <c r="K121" s="323"/>
      <c r="L121" s="397"/>
      <c r="M121" s="397"/>
      <c r="N121" s="397"/>
      <c r="O121" s="397"/>
      <c r="P121" s="397"/>
      <c r="Q121" s="397"/>
      <c r="R121" s="394"/>
    </row>
    <row r="122" spans="1:18" s="368" customFormat="1" ht="12.75" customHeight="1" x14ac:dyDescent="0.15">
      <c r="A122" s="367"/>
      <c r="C122" s="323"/>
      <c r="D122" s="323"/>
      <c r="E122" s="323"/>
      <c r="F122" s="323"/>
      <c r="G122" s="323"/>
      <c r="H122" s="323"/>
      <c r="I122" s="323"/>
      <c r="J122" s="323"/>
      <c r="K122" s="323"/>
      <c r="L122" s="397"/>
      <c r="M122" s="397"/>
      <c r="N122" s="397"/>
      <c r="O122" s="397"/>
      <c r="P122" s="397"/>
      <c r="Q122" s="397"/>
      <c r="R122" s="394"/>
    </row>
    <row r="123" spans="1:18" s="368" customFormat="1" ht="12.75" customHeight="1" x14ac:dyDescent="0.15">
      <c r="A123" s="367"/>
      <c r="C123" s="323"/>
      <c r="D123" s="323"/>
      <c r="E123" s="323"/>
      <c r="F123" s="323"/>
      <c r="G123" s="323"/>
      <c r="H123" s="323"/>
      <c r="I123" s="323"/>
      <c r="J123" s="323"/>
      <c r="K123" s="323"/>
      <c r="L123" s="397"/>
      <c r="M123" s="397"/>
      <c r="N123" s="397"/>
      <c r="O123" s="397"/>
      <c r="P123" s="397"/>
      <c r="Q123" s="397"/>
      <c r="R123" s="394"/>
    </row>
    <row r="124" spans="1:18" s="368" customFormat="1" ht="12.75" customHeight="1" x14ac:dyDescent="0.15">
      <c r="A124" s="367"/>
      <c r="C124" s="323"/>
      <c r="D124" s="323"/>
      <c r="E124" s="323"/>
      <c r="F124" s="323"/>
      <c r="G124" s="323"/>
      <c r="H124" s="323"/>
      <c r="I124" s="323"/>
      <c r="J124" s="323"/>
      <c r="K124" s="323"/>
      <c r="L124" s="397"/>
      <c r="M124" s="397"/>
      <c r="N124" s="397"/>
      <c r="O124" s="397"/>
      <c r="P124" s="397"/>
      <c r="Q124" s="397"/>
      <c r="R124" s="394"/>
    </row>
    <row r="125" spans="1:18" s="368" customFormat="1" ht="12.75" customHeight="1" x14ac:dyDescent="0.15">
      <c r="A125" s="367"/>
      <c r="C125" s="323"/>
      <c r="D125" s="323"/>
      <c r="E125" s="323"/>
      <c r="F125" s="323"/>
      <c r="G125" s="323"/>
      <c r="H125" s="323"/>
      <c r="I125" s="323"/>
      <c r="J125" s="323"/>
      <c r="K125" s="323"/>
      <c r="L125" s="397"/>
      <c r="M125" s="397"/>
      <c r="N125" s="397"/>
      <c r="O125" s="397"/>
      <c r="P125" s="397"/>
      <c r="Q125" s="397"/>
      <c r="R125" s="394"/>
    </row>
    <row r="126" spans="1:18" s="368" customFormat="1" ht="12.75" customHeight="1" x14ac:dyDescent="0.15">
      <c r="A126" s="367"/>
      <c r="C126" s="323"/>
      <c r="D126" s="323"/>
      <c r="E126" s="323"/>
      <c r="F126" s="323"/>
      <c r="G126" s="323"/>
      <c r="H126" s="323"/>
      <c r="I126" s="323"/>
      <c r="J126" s="323"/>
      <c r="K126" s="323"/>
      <c r="L126" s="397"/>
      <c r="M126" s="397"/>
      <c r="N126" s="397"/>
      <c r="O126" s="397"/>
      <c r="P126" s="397"/>
      <c r="Q126" s="397"/>
      <c r="R126" s="394"/>
    </row>
    <row r="127" spans="1:18" s="368" customFormat="1" ht="12.75" customHeight="1" x14ac:dyDescent="0.15">
      <c r="A127" s="367"/>
      <c r="C127" s="323"/>
      <c r="D127" s="323"/>
      <c r="E127" s="323"/>
      <c r="F127" s="323"/>
      <c r="G127" s="323"/>
      <c r="H127" s="323"/>
      <c r="I127" s="323"/>
      <c r="J127" s="323"/>
      <c r="K127" s="323"/>
      <c r="L127" s="397"/>
      <c r="M127" s="397"/>
      <c r="N127" s="397"/>
      <c r="O127" s="397"/>
      <c r="P127" s="397"/>
      <c r="Q127" s="397"/>
      <c r="R127" s="394"/>
    </row>
    <row r="128" spans="1:18" s="368" customFormat="1" ht="12.75" customHeight="1" x14ac:dyDescent="0.15">
      <c r="A128" s="367"/>
      <c r="C128" s="323"/>
      <c r="D128" s="323"/>
      <c r="E128" s="323"/>
      <c r="F128" s="323"/>
      <c r="G128" s="323"/>
      <c r="H128" s="323"/>
      <c r="I128" s="323"/>
      <c r="J128" s="323"/>
      <c r="K128" s="323"/>
      <c r="L128" s="397"/>
      <c r="M128" s="397"/>
      <c r="N128" s="397"/>
      <c r="O128" s="397"/>
      <c r="P128" s="397"/>
      <c r="Q128" s="397"/>
      <c r="R128" s="394"/>
    </row>
    <row r="129" spans="1:18" s="368" customFormat="1" ht="12.75" customHeight="1" x14ac:dyDescent="0.15">
      <c r="A129" s="367"/>
      <c r="C129" s="323"/>
      <c r="D129" s="323"/>
      <c r="E129" s="323"/>
      <c r="F129" s="323"/>
      <c r="G129" s="323"/>
      <c r="H129" s="323"/>
      <c r="I129" s="323"/>
      <c r="J129" s="323"/>
      <c r="K129" s="323"/>
      <c r="L129" s="397"/>
      <c r="M129" s="397"/>
      <c r="N129" s="397"/>
      <c r="O129" s="397"/>
      <c r="P129" s="397"/>
      <c r="Q129" s="397"/>
      <c r="R129" s="394"/>
    </row>
    <row r="130" spans="1:18" s="368" customFormat="1" ht="12.75" customHeight="1" x14ac:dyDescent="0.15">
      <c r="A130" s="367"/>
      <c r="C130" s="323"/>
      <c r="D130" s="323"/>
      <c r="E130" s="323"/>
      <c r="F130" s="323"/>
      <c r="G130" s="323"/>
      <c r="H130" s="323"/>
      <c r="I130" s="323"/>
      <c r="J130" s="323"/>
      <c r="K130" s="323"/>
      <c r="L130" s="397"/>
      <c r="M130" s="397"/>
      <c r="N130" s="397"/>
      <c r="O130" s="397"/>
      <c r="P130" s="397"/>
      <c r="Q130" s="397"/>
      <c r="R130" s="394"/>
    </row>
    <row r="131" spans="1:18" s="368" customFormat="1" ht="12.75" customHeight="1" x14ac:dyDescent="0.15">
      <c r="A131" s="367"/>
      <c r="C131" s="323"/>
      <c r="D131" s="323"/>
      <c r="E131" s="323"/>
      <c r="F131" s="323"/>
      <c r="G131" s="323"/>
      <c r="H131" s="323"/>
      <c r="I131" s="323"/>
      <c r="J131" s="323"/>
      <c r="K131" s="323"/>
      <c r="L131" s="397"/>
      <c r="M131" s="397"/>
      <c r="N131" s="397"/>
      <c r="O131" s="397"/>
      <c r="P131" s="397"/>
      <c r="Q131" s="397"/>
      <c r="R131" s="394"/>
    </row>
    <row r="132" spans="1:18" s="368" customFormat="1" ht="12.75" customHeight="1" x14ac:dyDescent="0.15">
      <c r="A132" s="367"/>
      <c r="C132" s="323"/>
      <c r="D132" s="323"/>
      <c r="E132" s="323"/>
      <c r="F132" s="323"/>
      <c r="G132" s="323"/>
      <c r="H132" s="323"/>
      <c r="I132" s="323"/>
      <c r="J132" s="323"/>
      <c r="K132" s="323"/>
      <c r="L132" s="397"/>
      <c r="M132" s="397"/>
      <c r="N132" s="397"/>
      <c r="O132" s="397"/>
      <c r="P132" s="397"/>
      <c r="Q132" s="397"/>
      <c r="R132" s="394"/>
    </row>
    <row r="133" spans="1:18" s="368" customFormat="1" ht="12.75" customHeight="1" x14ac:dyDescent="0.15">
      <c r="A133" s="367"/>
      <c r="C133" s="323"/>
      <c r="D133" s="323"/>
      <c r="E133" s="323"/>
      <c r="F133" s="323"/>
      <c r="G133" s="323"/>
      <c r="H133" s="323"/>
      <c r="I133" s="323"/>
      <c r="J133" s="323"/>
      <c r="K133" s="323"/>
      <c r="L133" s="397"/>
      <c r="M133" s="397"/>
      <c r="N133" s="397"/>
      <c r="O133" s="397"/>
      <c r="P133" s="397"/>
      <c r="Q133" s="397"/>
      <c r="R133" s="394"/>
    </row>
    <row r="134" spans="1:18" s="368" customFormat="1" ht="12.75" customHeight="1" x14ac:dyDescent="0.15">
      <c r="A134" s="367"/>
      <c r="C134" s="323"/>
      <c r="D134" s="323"/>
      <c r="E134" s="323"/>
      <c r="F134" s="323"/>
      <c r="G134" s="323"/>
      <c r="H134" s="323"/>
      <c r="I134" s="323"/>
      <c r="J134" s="323"/>
      <c r="K134" s="323"/>
      <c r="L134" s="397"/>
      <c r="M134" s="397"/>
      <c r="N134" s="397"/>
      <c r="O134" s="397"/>
      <c r="P134" s="397"/>
      <c r="Q134" s="397"/>
      <c r="R134" s="394"/>
    </row>
    <row r="135" spans="1:18" s="368" customFormat="1" ht="12.75" customHeight="1" x14ac:dyDescent="0.15">
      <c r="A135" s="367"/>
      <c r="C135" s="323"/>
      <c r="D135" s="323"/>
      <c r="E135" s="323"/>
      <c r="F135" s="323"/>
      <c r="G135" s="323"/>
      <c r="H135" s="323"/>
      <c r="I135" s="323"/>
      <c r="J135" s="323"/>
      <c r="K135" s="323"/>
      <c r="L135" s="397"/>
      <c r="M135" s="397"/>
      <c r="N135" s="397"/>
      <c r="O135" s="397"/>
      <c r="P135" s="397"/>
      <c r="Q135" s="397"/>
      <c r="R135" s="394"/>
    </row>
    <row r="136" spans="1:18" s="368" customFormat="1" ht="12.75" customHeight="1" x14ac:dyDescent="0.15">
      <c r="A136" s="367"/>
      <c r="C136" s="323"/>
      <c r="D136" s="323"/>
      <c r="E136" s="323"/>
      <c r="F136" s="323"/>
      <c r="G136" s="323"/>
      <c r="H136" s="323"/>
      <c r="I136" s="323"/>
      <c r="J136" s="323"/>
      <c r="K136" s="323"/>
      <c r="L136" s="397"/>
      <c r="M136" s="397"/>
      <c r="N136" s="397"/>
      <c r="O136" s="397"/>
      <c r="P136" s="397"/>
      <c r="Q136" s="397"/>
      <c r="R136" s="394"/>
    </row>
    <row r="137" spans="1:18" s="368" customFormat="1" ht="12.75" customHeight="1" x14ac:dyDescent="0.15">
      <c r="A137" s="367"/>
      <c r="C137" s="323"/>
      <c r="D137" s="323"/>
      <c r="E137" s="323"/>
      <c r="F137" s="323"/>
      <c r="G137" s="323"/>
      <c r="H137" s="323"/>
      <c r="I137" s="323"/>
      <c r="J137" s="323"/>
      <c r="K137" s="323"/>
      <c r="L137" s="397"/>
      <c r="M137" s="397"/>
      <c r="N137" s="397"/>
      <c r="O137" s="397"/>
      <c r="P137" s="397"/>
      <c r="Q137" s="397"/>
      <c r="R137" s="394"/>
    </row>
  </sheetData>
  <mergeCells count="27">
    <mergeCell ref="B81:D81"/>
    <mergeCell ref="B82:D82"/>
    <mergeCell ref="B83:D83"/>
    <mergeCell ref="B56:D56"/>
    <mergeCell ref="B57:D57"/>
    <mergeCell ref="B58:D58"/>
    <mergeCell ref="B60:D60"/>
    <mergeCell ref="B77:D77"/>
    <mergeCell ref="B80:D80"/>
    <mergeCell ref="B55:D55"/>
    <mergeCell ref="B15:D15"/>
    <mergeCell ref="B28:D28"/>
    <mergeCell ref="B30:D30"/>
    <mergeCell ref="B36:D36"/>
    <mergeCell ref="B37:D37"/>
    <mergeCell ref="B41:D41"/>
    <mergeCell ref="B46:D46"/>
    <mergeCell ref="B47:D47"/>
    <mergeCell ref="B49:D49"/>
    <mergeCell ref="B50:D50"/>
    <mergeCell ref="B54:D54"/>
    <mergeCell ref="B10:D10"/>
    <mergeCell ref="L2:M2"/>
    <mergeCell ref="A4:R4"/>
    <mergeCell ref="A5:R5"/>
    <mergeCell ref="B8:D9"/>
    <mergeCell ref="E8:P8"/>
  </mergeCells>
  <pageMargins left="0.43307086614173229" right="0.9055118110236221" top="0.55118110236220474" bottom="0.74803149606299213" header="0.31496062992125984" footer="0.31496062992125984"/>
  <pageSetup paperSize="5" scale="92" orientation="landscape" horizontalDpi="4294967293" verticalDpi="3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A357-84B5-4974-9402-8E55323E6156}">
  <sheetPr>
    <tabColor rgb="FFFFFF00"/>
  </sheetPr>
  <dimension ref="A1:U149"/>
  <sheetViews>
    <sheetView showGridLines="0" showWhiteSpace="0" view="pageBreakPreview" topLeftCell="E1" zoomScale="120" zoomScaleSheetLayoutView="120" zoomScalePageLayoutView="110" workbookViewId="0">
      <pane ySplit="10" topLeftCell="A23" activePane="bottomLeft" state="frozen"/>
      <selection pane="bottomLeft" activeCell="S33" sqref="S33"/>
    </sheetView>
  </sheetViews>
  <sheetFormatPr defaultColWidth="9.140625" defaultRowHeight="12.75" customHeight="1" x14ac:dyDescent="0.15"/>
  <cols>
    <col min="1" max="1" width="6.5703125" style="323" customWidth="1"/>
    <col min="2" max="2" width="2.85546875" style="368" customWidth="1"/>
    <col min="3" max="3" width="3.140625" style="323" customWidth="1"/>
    <col min="4" max="4" width="22.85546875" style="323" customWidth="1"/>
    <col min="5" max="16" width="11.5703125" style="323" customWidth="1"/>
    <col min="17" max="17" width="11.28515625" style="323" bestFit="1" customWidth="1"/>
    <col min="18" max="19" width="11.28515625" style="323" customWidth="1"/>
    <col min="20" max="20" width="18" style="370" customWidth="1"/>
    <col min="21" max="21" width="14.140625" style="323" customWidth="1"/>
    <col min="22" max="16384" width="9.140625" style="323"/>
  </cols>
  <sheetData>
    <row r="1" spans="1:20" s="318" customFormat="1" ht="12.75" customHeight="1" x14ac:dyDescent="0.2">
      <c r="A1" s="315" t="s">
        <v>34</v>
      </c>
      <c r="B1" s="316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7"/>
    </row>
    <row r="2" spans="1:20" s="318" customFormat="1" ht="12.75" customHeight="1" x14ac:dyDescent="0.2">
      <c r="A2" s="315" t="s">
        <v>111</v>
      </c>
      <c r="B2" s="316"/>
      <c r="C2" s="315"/>
      <c r="D2" s="315"/>
      <c r="E2" s="315"/>
      <c r="F2" s="315"/>
      <c r="G2" s="315"/>
      <c r="H2" s="315"/>
      <c r="I2" s="315"/>
      <c r="J2" s="315"/>
      <c r="K2" s="902"/>
      <c r="L2" s="903"/>
      <c r="M2" s="315"/>
      <c r="N2" s="903"/>
      <c r="O2" s="903"/>
      <c r="P2" s="315"/>
      <c r="Q2" s="319" t="s">
        <v>594</v>
      </c>
      <c r="R2" s="320"/>
      <c r="S2" s="320"/>
      <c r="T2" s="317"/>
    </row>
    <row r="3" spans="1:20" s="318" customFormat="1" ht="12.75" customHeight="1" x14ac:dyDescent="0.2">
      <c r="A3" s="315"/>
      <c r="B3" s="316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20"/>
      <c r="R3" s="320"/>
      <c r="S3" s="320"/>
      <c r="T3" s="317"/>
    </row>
    <row r="4" spans="1:20" s="318" customFormat="1" ht="12.75" customHeight="1" x14ac:dyDescent="0.2">
      <c r="A4" s="876" t="s">
        <v>595</v>
      </c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  <c r="R4" s="876"/>
      <c r="S4" s="876"/>
      <c r="T4" s="876"/>
    </row>
    <row r="5" spans="1:20" s="318" customFormat="1" ht="12.75" customHeight="1" x14ac:dyDescent="0.2">
      <c r="A5" s="876" t="s">
        <v>634</v>
      </c>
      <c r="B5" s="876"/>
      <c r="C5" s="876"/>
      <c r="D5" s="876"/>
      <c r="E5" s="876"/>
      <c r="F5" s="876"/>
      <c r="G5" s="876"/>
      <c r="H5" s="876"/>
      <c r="I5" s="876"/>
      <c r="J5" s="876"/>
      <c r="K5" s="876"/>
      <c r="L5" s="876"/>
      <c r="M5" s="876"/>
      <c r="N5" s="876"/>
      <c r="O5" s="876"/>
      <c r="P5" s="876"/>
      <c r="Q5" s="876"/>
      <c r="R5" s="876"/>
      <c r="S5" s="876"/>
      <c r="T5" s="876"/>
    </row>
    <row r="6" spans="1:20" s="318" customFormat="1" ht="5.25" customHeight="1" x14ac:dyDescent="0.2">
      <c r="A6" s="413"/>
      <c r="B6" s="413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  <c r="S6" s="413"/>
      <c r="T6" s="413"/>
    </row>
    <row r="7" spans="1:20" s="318" customFormat="1" ht="12.75" customHeight="1" thickBot="1" x14ac:dyDescent="0.25">
      <c r="A7" s="321" t="s">
        <v>14</v>
      </c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7"/>
    </row>
    <row r="8" spans="1:20" ht="15.75" customHeight="1" thickTop="1" x14ac:dyDescent="0.15">
      <c r="A8" s="322" t="s">
        <v>350</v>
      </c>
      <c r="B8" s="880" t="s">
        <v>30</v>
      </c>
      <c r="C8" s="880"/>
      <c r="D8" s="880"/>
      <c r="E8" s="894" t="s">
        <v>351</v>
      </c>
      <c r="F8" s="894"/>
      <c r="G8" s="894"/>
      <c r="H8" s="894"/>
      <c r="I8" s="894"/>
      <c r="J8" s="894"/>
      <c r="K8" s="894"/>
      <c r="L8" s="894"/>
      <c r="M8" s="894"/>
      <c r="N8" s="894"/>
      <c r="O8" s="894"/>
      <c r="P8" s="894"/>
      <c r="Q8" s="414" t="s">
        <v>12</v>
      </c>
      <c r="R8" s="400" t="s">
        <v>608</v>
      </c>
      <c r="S8" s="400" t="s">
        <v>623</v>
      </c>
      <c r="T8" s="897" t="s">
        <v>352</v>
      </c>
    </row>
    <row r="9" spans="1:20" ht="14.25" customHeight="1" x14ac:dyDescent="0.15">
      <c r="A9" s="324" t="s">
        <v>353</v>
      </c>
      <c r="B9" s="881"/>
      <c r="C9" s="881"/>
      <c r="D9" s="881"/>
      <c r="E9" s="415">
        <v>1</v>
      </c>
      <c r="F9" s="415">
        <v>2</v>
      </c>
      <c r="G9" s="415">
        <v>3</v>
      </c>
      <c r="H9" s="415">
        <v>4</v>
      </c>
      <c r="I9" s="415">
        <v>5</v>
      </c>
      <c r="J9" s="415">
        <v>6</v>
      </c>
      <c r="K9" s="415">
        <v>7</v>
      </c>
      <c r="L9" s="415">
        <v>8</v>
      </c>
      <c r="M9" s="415">
        <v>9</v>
      </c>
      <c r="N9" s="415">
        <v>10</v>
      </c>
      <c r="O9" s="415">
        <v>11</v>
      </c>
      <c r="P9" s="415">
        <v>12</v>
      </c>
      <c r="Q9" s="325">
        <v>2022</v>
      </c>
      <c r="R9" s="401">
        <v>2022</v>
      </c>
      <c r="S9" s="401">
        <v>2022</v>
      </c>
      <c r="T9" s="898"/>
    </row>
    <row r="10" spans="1:20" ht="15.75" customHeight="1" x14ac:dyDescent="0.15">
      <c r="A10" s="326">
        <v>1</v>
      </c>
      <c r="B10" s="882">
        <v>2</v>
      </c>
      <c r="C10" s="882"/>
      <c r="D10" s="882"/>
      <c r="E10" s="416">
        <v>3</v>
      </c>
      <c r="F10" s="416">
        <v>4</v>
      </c>
      <c r="G10" s="416">
        <v>5</v>
      </c>
      <c r="H10" s="416">
        <v>6</v>
      </c>
      <c r="I10" s="416">
        <v>7</v>
      </c>
      <c r="J10" s="416">
        <v>8</v>
      </c>
      <c r="K10" s="416">
        <v>9</v>
      </c>
      <c r="L10" s="416">
        <v>10</v>
      </c>
      <c r="M10" s="416">
        <v>11</v>
      </c>
      <c r="N10" s="416">
        <v>12</v>
      </c>
      <c r="O10" s="416">
        <v>13</v>
      </c>
      <c r="P10" s="416">
        <v>14</v>
      </c>
      <c r="Q10" s="416">
        <v>15</v>
      </c>
      <c r="R10" s="406">
        <v>16</v>
      </c>
      <c r="S10" s="406">
        <v>17</v>
      </c>
      <c r="T10" s="327">
        <v>18</v>
      </c>
    </row>
    <row r="11" spans="1:20" ht="15.75" customHeight="1" x14ac:dyDescent="0.15">
      <c r="A11" s="328" t="s">
        <v>325</v>
      </c>
      <c r="B11" s="329" t="s">
        <v>354</v>
      </c>
      <c r="C11" s="330"/>
      <c r="D11" s="331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3">
        <f t="shared" ref="Q11:Q12" si="0">SUM(F11:P11)</f>
        <v>0</v>
      </c>
      <c r="R11" s="402"/>
      <c r="S11" s="402"/>
      <c r="T11" s="334"/>
    </row>
    <row r="12" spans="1:20" ht="15.75" customHeight="1" x14ac:dyDescent="0.15">
      <c r="A12" s="335" t="s">
        <v>355</v>
      </c>
      <c r="B12" s="407" t="s">
        <v>356</v>
      </c>
      <c r="C12" s="336"/>
      <c r="D12" s="337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>
        <f t="shared" si="0"/>
        <v>0</v>
      </c>
      <c r="R12" s="402"/>
      <c r="S12" s="402"/>
      <c r="T12" s="334"/>
    </row>
    <row r="13" spans="1:20" ht="15.75" customHeight="1" x14ac:dyDescent="0.15">
      <c r="A13" s="335" t="s">
        <v>357</v>
      </c>
      <c r="B13" s="407" t="s">
        <v>358</v>
      </c>
      <c r="C13" s="336"/>
      <c r="D13" s="337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>
        <f t="shared" ref="Q13:Q16" si="1">SUM(E13:P13)</f>
        <v>0</v>
      </c>
      <c r="R13" s="402"/>
      <c r="S13" s="402"/>
      <c r="T13" s="334" t="s">
        <v>359</v>
      </c>
    </row>
    <row r="14" spans="1:20" ht="15.75" customHeight="1" x14ac:dyDescent="0.15">
      <c r="A14" s="335" t="s">
        <v>360</v>
      </c>
      <c r="B14" s="407" t="s">
        <v>361</v>
      </c>
      <c r="C14" s="336"/>
      <c r="D14" s="337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>
        <f t="shared" si="1"/>
        <v>0</v>
      </c>
      <c r="R14" s="402"/>
      <c r="S14" s="402"/>
      <c r="T14" s="338"/>
    </row>
    <row r="15" spans="1:20" ht="15.75" customHeight="1" x14ac:dyDescent="0.15">
      <c r="A15" s="335"/>
      <c r="B15" s="407"/>
      <c r="C15" s="336" t="s">
        <v>596</v>
      </c>
      <c r="D15" s="337"/>
      <c r="E15" s="333">
        <v>1500000</v>
      </c>
      <c r="F15" s="333">
        <v>1500000</v>
      </c>
      <c r="G15" s="333">
        <v>1500000</v>
      </c>
      <c r="H15" s="333">
        <v>1500000</v>
      </c>
      <c r="I15" s="333">
        <v>1500000</v>
      </c>
      <c r="J15" s="333">
        <v>1500000</v>
      </c>
      <c r="K15" s="333">
        <v>1500000</v>
      </c>
      <c r="L15" s="333">
        <v>1500000</v>
      </c>
      <c r="M15" s="333">
        <v>1500000</v>
      </c>
      <c r="N15" s="333">
        <v>1500000</v>
      </c>
      <c r="O15" s="333">
        <v>1500000</v>
      </c>
      <c r="P15" s="333">
        <v>1500000</v>
      </c>
      <c r="Q15" s="333">
        <f t="shared" si="1"/>
        <v>18000000</v>
      </c>
      <c r="R15" s="402"/>
      <c r="S15" s="402"/>
      <c r="T15" s="339"/>
    </row>
    <row r="16" spans="1:20" ht="15.75" customHeight="1" x14ac:dyDescent="0.15">
      <c r="A16" s="335"/>
      <c r="B16" s="407"/>
      <c r="C16" s="336" t="s">
        <v>597</v>
      </c>
      <c r="D16" s="337"/>
      <c r="E16" s="333"/>
      <c r="F16" s="333"/>
      <c r="G16" s="333"/>
      <c r="H16" s="333"/>
      <c r="I16" s="333"/>
      <c r="J16" s="333">
        <v>20000000</v>
      </c>
      <c r="K16" s="333">
        <v>20000000</v>
      </c>
      <c r="L16" s="333">
        <v>20000000</v>
      </c>
      <c r="M16" s="333">
        <v>20000000</v>
      </c>
      <c r="N16" s="333">
        <v>20000000</v>
      </c>
      <c r="O16" s="333"/>
      <c r="P16" s="333"/>
      <c r="Q16" s="333">
        <f t="shared" si="1"/>
        <v>100000000</v>
      </c>
      <c r="R16" s="402"/>
      <c r="S16" s="402"/>
      <c r="T16" s="339"/>
    </row>
    <row r="17" spans="1:21" s="418" customFormat="1" ht="15.75" customHeight="1" x14ac:dyDescent="0.15">
      <c r="A17" s="362"/>
      <c r="B17" s="363"/>
      <c r="C17" s="357" t="s">
        <v>611</v>
      </c>
      <c r="D17" s="358"/>
      <c r="E17" s="342">
        <f>SUM(E15:E16)</f>
        <v>1500000</v>
      </c>
      <c r="F17" s="342">
        <f t="shared" ref="F17:P17" si="2">SUM(F15:F16)</f>
        <v>1500000</v>
      </c>
      <c r="G17" s="342">
        <f t="shared" si="2"/>
        <v>1500000</v>
      </c>
      <c r="H17" s="342">
        <f t="shared" si="2"/>
        <v>1500000</v>
      </c>
      <c r="I17" s="342">
        <f t="shared" si="2"/>
        <v>1500000</v>
      </c>
      <c r="J17" s="342">
        <f t="shared" si="2"/>
        <v>21500000</v>
      </c>
      <c r="K17" s="342">
        <f t="shared" si="2"/>
        <v>21500000</v>
      </c>
      <c r="L17" s="342">
        <f t="shared" si="2"/>
        <v>21500000</v>
      </c>
      <c r="M17" s="342">
        <f t="shared" si="2"/>
        <v>21500000</v>
      </c>
      <c r="N17" s="342">
        <f t="shared" si="2"/>
        <v>21500000</v>
      </c>
      <c r="O17" s="342">
        <f t="shared" si="2"/>
        <v>1500000</v>
      </c>
      <c r="P17" s="342">
        <f t="shared" si="2"/>
        <v>1500000</v>
      </c>
      <c r="Q17" s="342">
        <f>SUM(Q15:Q16)</f>
        <v>118000000</v>
      </c>
      <c r="R17" s="419">
        <f>'RINCIAN B. LANGSUNG USAHA'!Q18</f>
        <v>0</v>
      </c>
      <c r="S17" s="419">
        <f>Q17-R17</f>
        <v>118000000</v>
      </c>
      <c r="T17" s="339" t="s">
        <v>362</v>
      </c>
    </row>
    <row r="18" spans="1:21" ht="15.75" customHeight="1" x14ac:dyDescent="0.15">
      <c r="A18" s="335" t="s">
        <v>363</v>
      </c>
      <c r="B18" s="407" t="s">
        <v>364</v>
      </c>
      <c r="C18" s="336"/>
      <c r="D18" s="337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>
        <f>SUM(E18:P18)</f>
        <v>0</v>
      </c>
      <c r="R18" s="402"/>
      <c r="S18" s="419"/>
      <c r="T18" s="340"/>
    </row>
    <row r="19" spans="1:21" ht="15.75" customHeight="1" x14ac:dyDescent="0.15">
      <c r="A19" s="335"/>
      <c r="B19" s="407"/>
      <c r="C19" s="336" t="s">
        <v>612</v>
      </c>
      <c r="D19" s="337"/>
      <c r="E19" s="333">
        <v>44943795</v>
      </c>
      <c r="F19" s="333">
        <v>52094279</v>
      </c>
      <c r="G19" s="333">
        <v>44199643</v>
      </c>
      <c r="H19" s="333">
        <v>45000000</v>
      </c>
      <c r="I19" s="333">
        <v>45000000</v>
      </c>
      <c r="J19" s="333">
        <v>45000000</v>
      </c>
      <c r="K19" s="333">
        <v>45000000</v>
      </c>
      <c r="L19" s="333">
        <v>45000000</v>
      </c>
      <c r="M19" s="333">
        <v>45000000</v>
      </c>
      <c r="N19" s="333">
        <v>45000000</v>
      </c>
      <c r="O19" s="333">
        <v>45000000</v>
      </c>
      <c r="P19" s="333">
        <v>45000000</v>
      </c>
      <c r="Q19" s="333">
        <f>SUM(E19:P19)</f>
        <v>546237717</v>
      </c>
      <c r="R19" s="402"/>
      <c r="S19" s="419"/>
      <c r="T19" s="340"/>
    </row>
    <row r="20" spans="1:21" ht="15.75" customHeight="1" x14ac:dyDescent="0.15">
      <c r="A20" s="335"/>
      <c r="B20" s="407"/>
      <c r="C20" s="336" t="s">
        <v>613</v>
      </c>
      <c r="D20" s="337"/>
      <c r="E20" s="333">
        <v>4993172</v>
      </c>
      <c r="F20" s="333">
        <v>7330841</v>
      </c>
      <c r="G20" s="333">
        <v>7111536</v>
      </c>
      <c r="H20" s="333">
        <v>6500000</v>
      </c>
      <c r="I20" s="333">
        <v>6500000</v>
      </c>
      <c r="J20" s="333">
        <v>6500000</v>
      </c>
      <c r="K20" s="333">
        <v>6500000</v>
      </c>
      <c r="L20" s="333">
        <v>6500000</v>
      </c>
      <c r="M20" s="333">
        <v>6500000</v>
      </c>
      <c r="N20" s="333">
        <v>6500000</v>
      </c>
      <c r="O20" s="333">
        <v>6500000</v>
      </c>
      <c r="P20" s="333">
        <v>6500000</v>
      </c>
      <c r="Q20" s="333">
        <f>SUM(E20:P20)</f>
        <v>77935549</v>
      </c>
      <c r="R20" s="402"/>
      <c r="S20" s="419"/>
      <c r="T20" s="340"/>
    </row>
    <row r="21" spans="1:21" ht="15.75" customHeight="1" x14ac:dyDescent="0.15">
      <c r="A21" s="335"/>
      <c r="B21" s="407"/>
      <c r="C21" s="336" t="s">
        <v>614</v>
      </c>
      <c r="D21" s="337"/>
      <c r="E21" s="333">
        <v>18021188</v>
      </c>
      <c r="F21" s="333">
        <v>18987404</v>
      </c>
      <c r="G21" s="333">
        <v>22605944</v>
      </c>
      <c r="H21" s="333">
        <v>21000000</v>
      </c>
      <c r="I21" s="333">
        <v>21000000</v>
      </c>
      <c r="J21" s="333">
        <v>21000000</v>
      </c>
      <c r="K21" s="333">
        <v>21000000</v>
      </c>
      <c r="L21" s="333">
        <v>21000000</v>
      </c>
      <c r="M21" s="333">
        <v>21000000</v>
      </c>
      <c r="N21" s="333">
        <v>21000000</v>
      </c>
      <c r="O21" s="333">
        <v>21000000</v>
      </c>
      <c r="P21" s="333">
        <v>21000000</v>
      </c>
      <c r="Q21" s="333">
        <f>SUM(E21:P21)</f>
        <v>248614536</v>
      </c>
      <c r="R21" s="402"/>
      <c r="S21" s="419"/>
      <c r="T21" s="340"/>
    </row>
    <row r="22" spans="1:21" s="418" customFormat="1" ht="15.75" customHeight="1" x14ac:dyDescent="0.15">
      <c r="A22" s="362"/>
      <c r="B22" s="363"/>
      <c r="C22" s="357" t="s">
        <v>615</v>
      </c>
      <c r="D22" s="358"/>
      <c r="E22" s="342">
        <f>SUM(E19:E21)</f>
        <v>67958155</v>
      </c>
      <c r="F22" s="342">
        <f t="shared" ref="F22:P22" si="3">SUM(F19:F21)</f>
        <v>78412524</v>
      </c>
      <c r="G22" s="342">
        <f t="shared" si="3"/>
        <v>73917123</v>
      </c>
      <c r="H22" s="342">
        <f t="shared" si="3"/>
        <v>72500000</v>
      </c>
      <c r="I22" s="342">
        <f t="shared" si="3"/>
        <v>72500000</v>
      </c>
      <c r="J22" s="342">
        <f t="shared" si="3"/>
        <v>72500000</v>
      </c>
      <c r="K22" s="342">
        <f t="shared" si="3"/>
        <v>72500000</v>
      </c>
      <c r="L22" s="342">
        <f t="shared" si="3"/>
        <v>72500000</v>
      </c>
      <c r="M22" s="342">
        <f t="shared" si="3"/>
        <v>72500000</v>
      </c>
      <c r="N22" s="342">
        <f t="shared" si="3"/>
        <v>72500000</v>
      </c>
      <c r="O22" s="342">
        <f t="shared" si="3"/>
        <v>72500000</v>
      </c>
      <c r="P22" s="342">
        <f t="shared" si="3"/>
        <v>72500000</v>
      </c>
      <c r="Q22" s="342">
        <f>SUM(Q19:Q21)</f>
        <v>872787802</v>
      </c>
      <c r="R22" s="419">
        <f>'RINCIAN B. LANGSUNG USAHA'!Q19</f>
        <v>0</v>
      </c>
      <c r="S22" s="419">
        <f t="shared" ref="S22:S24" si="4">Q22-R22</f>
        <v>872787802</v>
      </c>
      <c r="T22" s="340" t="s">
        <v>365</v>
      </c>
    </row>
    <row r="23" spans="1:21" ht="15.75" customHeight="1" x14ac:dyDescent="0.15">
      <c r="A23" s="335" t="s">
        <v>366</v>
      </c>
      <c r="B23" s="341" t="s">
        <v>598</v>
      </c>
      <c r="C23" s="336"/>
      <c r="D23" s="337"/>
      <c r="E23" s="333">
        <v>500000</v>
      </c>
      <c r="F23" s="333">
        <v>0</v>
      </c>
      <c r="G23" s="333">
        <v>0</v>
      </c>
      <c r="H23" s="333">
        <v>500000</v>
      </c>
      <c r="I23" s="333">
        <v>0</v>
      </c>
      <c r="J23" s="333">
        <v>500000</v>
      </c>
      <c r="K23" s="333">
        <v>0</v>
      </c>
      <c r="L23" s="333">
        <v>0</v>
      </c>
      <c r="M23" s="333">
        <v>0</v>
      </c>
      <c r="N23" s="333">
        <v>0</v>
      </c>
      <c r="O23" s="333">
        <v>500000</v>
      </c>
      <c r="P23" s="333">
        <v>0</v>
      </c>
      <c r="Q23" s="333">
        <f>SUM(E23:P23)</f>
        <v>2000000</v>
      </c>
      <c r="R23" s="402">
        <f>'RINCIAN B. LANGSUNG USAHA'!Q20</f>
        <v>0</v>
      </c>
      <c r="S23" s="419">
        <f t="shared" si="4"/>
        <v>2000000</v>
      </c>
      <c r="T23" s="340" t="s">
        <v>368</v>
      </c>
    </row>
    <row r="24" spans="1:21" ht="15.75" customHeight="1" x14ac:dyDescent="0.15">
      <c r="A24" s="335" t="s">
        <v>369</v>
      </c>
      <c r="B24" s="341" t="s">
        <v>370</v>
      </c>
      <c r="C24" s="336"/>
      <c r="D24" s="337"/>
      <c r="E24" s="333"/>
      <c r="F24" s="333">
        <v>500000</v>
      </c>
      <c r="G24" s="333"/>
      <c r="H24" s="333"/>
      <c r="I24" s="333">
        <v>500000</v>
      </c>
      <c r="J24" s="333"/>
      <c r="K24" s="333"/>
      <c r="L24" s="333"/>
      <c r="M24" s="333">
        <v>500000</v>
      </c>
      <c r="N24" s="333"/>
      <c r="O24" s="333"/>
      <c r="P24" s="333">
        <v>500000</v>
      </c>
      <c r="Q24" s="333">
        <f t="shared" ref="Q24" si="5">SUM(E24:P24)</f>
        <v>2000000</v>
      </c>
      <c r="R24" s="402">
        <f>'RINCIAN B. LANGSUNG USAHA'!Q21</f>
        <v>0</v>
      </c>
      <c r="S24" s="419">
        <f t="shared" si="4"/>
        <v>2000000</v>
      </c>
      <c r="T24" s="334" t="s">
        <v>371</v>
      </c>
      <c r="U24" s="343"/>
    </row>
    <row r="25" spans="1:21" ht="15.75" customHeight="1" x14ac:dyDescent="0.15">
      <c r="A25" s="344"/>
      <c r="B25" s="866" t="s">
        <v>372</v>
      </c>
      <c r="C25" s="867"/>
      <c r="D25" s="868"/>
      <c r="E25" s="377">
        <f>E12+E13+E17+E22+E23+E24</f>
        <v>69958155</v>
      </c>
      <c r="F25" s="377">
        <f t="shared" ref="F25:P25" si="6">F12+F13+F17+F22+F23+F24</f>
        <v>80412524</v>
      </c>
      <c r="G25" s="377">
        <f t="shared" si="6"/>
        <v>75417123</v>
      </c>
      <c r="H25" s="377">
        <f t="shared" si="6"/>
        <v>74500000</v>
      </c>
      <c r="I25" s="377">
        <f t="shared" si="6"/>
        <v>74500000</v>
      </c>
      <c r="J25" s="377">
        <f t="shared" si="6"/>
        <v>94500000</v>
      </c>
      <c r="K25" s="377">
        <f t="shared" si="6"/>
        <v>94000000</v>
      </c>
      <c r="L25" s="377">
        <f t="shared" si="6"/>
        <v>94000000</v>
      </c>
      <c r="M25" s="377">
        <f t="shared" si="6"/>
        <v>94500000</v>
      </c>
      <c r="N25" s="377">
        <f t="shared" si="6"/>
        <v>94000000</v>
      </c>
      <c r="O25" s="377">
        <f t="shared" si="6"/>
        <v>74500000</v>
      </c>
      <c r="P25" s="377">
        <f t="shared" si="6"/>
        <v>74500000</v>
      </c>
      <c r="Q25" s="377">
        <f>SUM(E25:P25)</f>
        <v>994787802</v>
      </c>
      <c r="R25" s="377">
        <f>R17+R22+R23+R24</f>
        <v>0</v>
      </c>
      <c r="S25" s="377">
        <f>S17+S22+S23+S24</f>
        <v>994787802</v>
      </c>
      <c r="T25" s="346"/>
    </row>
    <row r="26" spans="1:21" ht="15.75" customHeight="1" x14ac:dyDescent="0.15">
      <c r="A26" s="335" t="s">
        <v>373</v>
      </c>
      <c r="B26" s="407" t="s">
        <v>374</v>
      </c>
      <c r="C26" s="336"/>
      <c r="D26" s="337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402"/>
      <c r="S26" s="402"/>
      <c r="T26" s="334"/>
    </row>
    <row r="27" spans="1:21" ht="15.75" customHeight="1" x14ac:dyDescent="0.15">
      <c r="A27" s="335" t="s">
        <v>375</v>
      </c>
      <c r="B27" s="407" t="s">
        <v>376</v>
      </c>
      <c r="C27" s="336"/>
      <c r="D27" s="337"/>
      <c r="E27" s="333"/>
      <c r="F27" s="333"/>
      <c r="G27" s="333"/>
      <c r="H27" s="333"/>
      <c r="I27" s="333"/>
      <c r="J27" s="333"/>
      <c r="K27" s="333">
        <v>10000000</v>
      </c>
      <c r="L27" s="333"/>
      <c r="M27" s="333"/>
      <c r="N27" s="333"/>
      <c r="O27" s="333"/>
      <c r="P27" s="333"/>
      <c r="Q27" s="333">
        <f t="shared" ref="Q27:Q59" si="7">SUM(E27:P27)</f>
        <v>10000000</v>
      </c>
      <c r="R27" s="419">
        <f>'RINCIAN B. LANGSUNG USAHA'!Q24</f>
        <v>0</v>
      </c>
      <c r="S27" s="419">
        <f t="shared" ref="S27:S32" si="8">Q27-R27</f>
        <v>10000000</v>
      </c>
      <c r="T27" s="334"/>
    </row>
    <row r="28" spans="1:21" ht="15.75" customHeight="1" x14ac:dyDescent="0.15">
      <c r="A28" s="335" t="s">
        <v>378</v>
      </c>
      <c r="B28" s="407" t="s">
        <v>379</v>
      </c>
      <c r="C28" s="336"/>
      <c r="D28" s="337"/>
      <c r="E28" s="333"/>
      <c r="F28" s="333"/>
      <c r="G28" s="333"/>
      <c r="H28" s="333"/>
      <c r="I28" s="333"/>
      <c r="J28" s="333"/>
      <c r="K28" s="333"/>
      <c r="L28" s="422"/>
      <c r="M28" s="333"/>
      <c r="N28" s="333"/>
      <c r="O28" s="333"/>
      <c r="P28" s="333"/>
      <c r="Q28" s="333">
        <f t="shared" si="7"/>
        <v>0</v>
      </c>
      <c r="R28" s="419">
        <f>'RINCIAN B. LANGSUNG USAHA'!Q25</f>
        <v>0</v>
      </c>
      <c r="S28" s="419">
        <f t="shared" si="8"/>
        <v>0</v>
      </c>
      <c r="T28" s="334"/>
    </row>
    <row r="29" spans="1:21" ht="15.75" customHeight="1" x14ac:dyDescent="0.15">
      <c r="A29" s="335" t="s">
        <v>380</v>
      </c>
      <c r="B29" s="407" t="s">
        <v>381</v>
      </c>
      <c r="C29" s="336"/>
      <c r="D29" s="337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>
        <f t="shared" si="7"/>
        <v>0</v>
      </c>
      <c r="R29" s="419">
        <f>'RINCIAN B. LANGSUNG USAHA'!Q26</f>
        <v>0</v>
      </c>
      <c r="S29" s="419">
        <f t="shared" si="8"/>
        <v>0</v>
      </c>
      <c r="T29" s="334"/>
    </row>
    <row r="30" spans="1:21" ht="15.75" customHeight="1" x14ac:dyDescent="0.15">
      <c r="A30" s="335" t="s">
        <v>382</v>
      </c>
      <c r="B30" s="407" t="s">
        <v>383</v>
      </c>
      <c r="C30" s="336"/>
      <c r="D30" s="337"/>
      <c r="E30" s="333"/>
      <c r="F30" s="333">
        <v>1500000</v>
      </c>
      <c r="G30" s="333"/>
      <c r="H30" s="333"/>
      <c r="I30" s="333"/>
      <c r="J30" s="333"/>
      <c r="K30" s="333">
        <v>1500000</v>
      </c>
      <c r="L30" s="333"/>
      <c r="M30" s="333"/>
      <c r="N30" s="333"/>
      <c r="O30" s="333">
        <v>1500000</v>
      </c>
      <c r="P30" s="333"/>
      <c r="Q30" s="333">
        <f t="shared" si="7"/>
        <v>4500000</v>
      </c>
      <c r="R30" s="419">
        <f>'RINCIAN B. LANGSUNG USAHA'!Q27</f>
        <v>0</v>
      </c>
      <c r="S30" s="419">
        <f t="shared" si="8"/>
        <v>4500000</v>
      </c>
      <c r="T30" s="334"/>
    </row>
    <row r="31" spans="1:21" ht="15.75" customHeight="1" x14ac:dyDescent="0.15">
      <c r="A31" s="335" t="s">
        <v>384</v>
      </c>
      <c r="B31" s="407" t="s">
        <v>385</v>
      </c>
      <c r="C31" s="336"/>
      <c r="D31" s="337"/>
      <c r="E31" s="333">
        <v>25000000</v>
      </c>
      <c r="F31" s="333">
        <v>16500000</v>
      </c>
      <c r="G31" s="333"/>
      <c r="H31" s="333"/>
      <c r="I31" s="333"/>
      <c r="J31" s="333">
        <v>16500000</v>
      </c>
      <c r="K31" s="333"/>
      <c r="L31" s="333"/>
      <c r="M31" s="333"/>
      <c r="N31" s="333">
        <v>16500000</v>
      </c>
      <c r="O31" s="333"/>
      <c r="P31" s="333"/>
      <c r="Q31" s="333">
        <f t="shared" si="7"/>
        <v>74500000</v>
      </c>
      <c r="R31" s="419">
        <f>'RINCIAN B. LANGSUNG USAHA'!Q28</f>
        <v>0</v>
      </c>
      <c r="S31" s="419">
        <f t="shared" si="8"/>
        <v>74500000</v>
      </c>
      <c r="T31" s="334"/>
    </row>
    <row r="32" spans="1:21" ht="15.75" customHeight="1" x14ac:dyDescent="0.15">
      <c r="A32" s="335" t="s">
        <v>386</v>
      </c>
      <c r="B32" s="407" t="s">
        <v>387</v>
      </c>
      <c r="C32" s="336"/>
      <c r="D32" s="337"/>
      <c r="E32" s="333">
        <v>500000</v>
      </c>
      <c r="F32" s="333">
        <v>500000</v>
      </c>
      <c r="G32" s="333">
        <v>500000</v>
      </c>
      <c r="H32" s="333">
        <v>500000</v>
      </c>
      <c r="I32" s="333">
        <v>500000</v>
      </c>
      <c r="J32" s="333">
        <v>500000</v>
      </c>
      <c r="K32" s="333">
        <v>500000</v>
      </c>
      <c r="L32" s="333">
        <v>500000</v>
      </c>
      <c r="M32" s="333">
        <v>500000</v>
      </c>
      <c r="N32" s="333">
        <v>500000</v>
      </c>
      <c r="O32" s="333">
        <v>500000</v>
      </c>
      <c r="P32" s="333">
        <v>500000</v>
      </c>
      <c r="Q32" s="333">
        <f t="shared" si="7"/>
        <v>6000000</v>
      </c>
      <c r="R32" s="419">
        <f>'RINCIAN B. LANGSUNG USAHA'!Q29</f>
        <v>0</v>
      </c>
      <c r="S32" s="419">
        <f t="shared" si="8"/>
        <v>6000000</v>
      </c>
      <c r="T32" s="334"/>
    </row>
    <row r="33" spans="1:20" ht="15.75" customHeight="1" x14ac:dyDescent="0.15">
      <c r="A33" s="344"/>
      <c r="B33" s="866" t="s">
        <v>388</v>
      </c>
      <c r="C33" s="867"/>
      <c r="D33" s="868"/>
      <c r="E33" s="377">
        <f>SUM(E27:E32)</f>
        <v>25500000</v>
      </c>
      <c r="F33" s="377">
        <f t="shared" ref="F33:P33" si="9">SUM(F27:F32)</f>
        <v>18500000</v>
      </c>
      <c r="G33" s="377">
        <f t="shared" si="9"/>
        <v>500000</v>
      </c>
      <c r="H33" s="377">
        <f t="shared" si="9"/>
        <v>500000</v>
      </c>
      <c r="I33" s="377">
        <f t="shared" si="9"/>
        <v>500000</v>
      </c>
      <c r="J33" s="377">
        <f>SUM(J27:J32)</f>
        <v>17000000</v>
      </c>
      <c r="K33" s="377">
        <f t="shared" si="9"/>
        <v>12000000</v>
      </c>
      <c r="L33" s="377">
        <f>SUM(L27:L32)</f>
        <v>500000</v>
      </c>
      <c r="M33" s="377">
        <f t="shared" si="9"/>
        <v>500000</v>
      </c>
      <c r="N33" s="377">
        <f t="shared" si="9"/>
        <v>17000000</v>
      </c>
      <c r="O33" s="377">
        <f t="shared" si="9"/>
        <v>2000000</v>
      </c>
      <c r="P33" s="377">
        <f t="shared" si="9"/>
        <v>500000</v>
      </c>
      <c r="Q33" s="377">
        <f t="shared" si="7"/>
        <v>95000000</v>
      </c>
      <c r="R33" s="377">
        <f>SUM(R27:R32)</f>
        <v>0</v>
      </c>
      <c r="S33" s="377">
        <f>SUM(S27:S32)</f>
        <v>95000000</v>
      </c>
      <c r="T33" s="346" t="s">
        <v>377</v>
      </c>
    </row>
    <row r="34" spans="1:20" ht="15.75" customHeight="1" x14ac:dyDescent="0.15">
      <c r="A34" s="335" t="s">
        <v>389</v>
      </c>
      <c r="B34" s="407" t="s">
        <v>390</v>
      </c>
      <c r="C34" s="336"/>
      <c r="D34" s="337"/>
      <c r="E34" s="333"/>
      <c r="F34" s="333">
        <v>16215420</v>
      </c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45">
        <f>SUM(E34:P34)</f>
        <v>16215420</v>
      </c>
      <c r="R34" s="402">
        <f>'RINCIAN B. LANGSUNG USAHA'!Q31</f>
        <v>0</v>
      </c>
      <c r="S34" s="402"/>
      <c r="T34" s="347" t="s">
        <v>635</v>
      </c>
    </row>
    <row r="35" spans="1:20" ht="15.75" customHeight="1" x14ac:dyDescent="0.15">
      <c r="A35" s="344"/>
      <c r="B35" s="872" t="s">
        <v>391</v>
      </c>
      <c r="C35" s="873"/>
      <c r="D35" s="874"/>
      <c r="E35" s="345">
        <f>E33+E25+E34</f>
        <v>95458155</v>
      </c>
      <c r="F35" s="345">
        <f t="shared" ref="F35:P35" si="10">F33+F25+F34</f>
        <v>115127944</v>
      </c>
      <c r="G35" s="345">
        <f t="shared" si="10"/>
        <v>75917123</v>
      </c>
      <c r="H35" s="345">
        <f t="shared" si="10"/>
        <v>75000000</v>
      </c>
      <c r="I35" s="345">
        <f t="shared" si="10"/>
        <v>75000000</v>
      </c>
      <c r="J35" s="345">
        <f t="shared" si="10"/>
        <v>111500000</v>
      </c>
      <c r="K35" s="345">
        <f t="shared" si="10"/>
        <v>106000000</v>
      </c>
      <c r="L35" s="345">
        <f>L33+L25+L34</f>
        <v>94500000</v>
      </c>
      <c r="M35" s="345">
        <f t="shared" si="10"/>
        <v>95000000</v>
      </c>
      <c r="N35" s="345">
        <f t="shared" si="10"/>
        <v>111000000</v>
      </c>
      <c r="O35" s="345">
        <f t="shared" si="10"/>
        <v>76500000</v>
      </c>
      <c r="P35" s="345">
        <f t="shared" si="10"/>
        <v>75000000</v>
      </c>
      <c r="Q35" s="333">
        <f>SUM(E35:P35)</f>
        <v>1106003222</v>
      </c>
      <c r="R35" s="345">
        <f>R33+R25+R34</f>
        <v>0</v>
      </c>
      <c r="S35" s="345">
        <f t="shared" ref="S35" si="11">S33+S25+S34</f>
        <v>1089787802</v>
      </c>
      <c r="T35" s="348"/>
    </row>
    <row r="36" spans="1:20" ht="15.75" customHeight="1" x14ac:dyDescent="0.15">
      <c r="A36" s="344" t="s">
        <v>331</v>
      </c>
      <c r="B36" s="417" t="s">
        <v>392</v>
      </c>
      <c r="C36" s="349"/>
      <c r="D36" s="350"/>
      <c r="E36" s="345">
        <v>25700000</v>
      </c>
      <c r="F36" s="345">
        <f>25700000+4600000</f>
        <v>30300000</v>
      </c>
      <c r="G36" s="345">
        <f t="shared" ref="G36:P36" si="12">25700000+4600000</f>
        <v>30300000</v>
      </c>
      <c r="H36" s="345">
        <f t="shared" si="12"/>
        <v>30300000</v>
      </c>
      <c r="I36" s="345">
        <f t="shared" si="12"/>
        <v>30300000</v>
      </c>
      <c r="J36" s="345">
        <f t="shared" si="12"/>
        <v>30300000</v>
      </c>
      <c r="K36" s="345">
        <f t="shared" si="12"/>
        <v>30300000</v>
      </c>
      <c r="L36" s="345">
        <f t="shared" si="12"/>
        <v>30300000</v>
      </c>
      <c r="M36" s="345">
        <f t="shared" si="12"/>
        <v>30300000</v>
      </c>
      <c r="N36" s="345">
        <f t="shared" si="12"/>
        <v>30300000</v>
      </c>
      <c r="O36" s="345">
        <f t="shared" si="12"/>
        <v>30300000</v>
      </c>
      <c r="P36" s="345">
        <f t="shared" si="12"/>
        <v>30300000</v>
      </c>
      <c r="Q36" s="345">
        <f>SUM(E36:P36)</f>
        <v>359000000</v>
      </c>
      <c r="R36" s="345">
        <f>'RINCIAN B. LANGSUNG USAHA'!Q33</f>
        <v>0</v>
      </c>
      <c r="S36" s="345"/>
      <c r="T36" s="340" t="s">
        <v>393</v>
      </c>
    </row>
    <row r="37" spans="1:20" ht="15.75" customHeight="1" x14ac:dyDescent="0.15">
      <c r="A37" s="344"/>
      <c r="B37" s="857" t="s">
        <v>394</v>
      </c>
      <c r="C37" s="858"/>
      <c r="D37" s="859"/>
      <c r="E37" s="345">
        <f>SUM(E35:E36)</f>
        <v>121158155</v>
      </c>
      <c r="F37" s="345">
        <f t="shared" ref="F37:P37" si="13">SUM(F35:F36)</f>
        <v>145427944</v>
      </c>
      <c r="G37" s="345">
        <f t="shared" si="13"/>
        <v>106217123</v>
      </c>
      <c r="H37" s="345">
        <f t="shared" si="13"/>
        <v>105300000</v>
      </c>
      <c r="I37" s="345">
        <f t="shared" si="13"/>
        <v>105300000</v>
      </c>
      <c r="J37" s="345">
        <f t="shared" si="13"/>
        <v>141800000</v>
      </c>
      <c r="K37" s="345">
        <f t="shared" si="13"/>
        <v>136300000</v>
      </c>
      <c r="L37" s="345">
        <f t="shared" si="13"/>
        <v>124800000</v>
      </c>
      <c r="M37" s="345">
        <f t="shared" si="13"/>
        <v>125300000</v>
      </c>
      <c r="N37" s="345">
        <f t="shared" si="13"/>
        <v>141300000</v>
      </c>
      <c r="O37" s="345">
        <f t="shared" si="13"/>
        <v>106800000</v>
      </c>
      <c r="P37" s="345">
        <f t="shared" si="13"/>
        <v>105300000</v>
      </c>
      <c r="Q37" s="345">
        <f t="shared" si="7"/>
        <v>1465003222</v>
      </c>
      <c r="R37" s="345">
        <f>SUM(R35:R36)</f>
        <v>0</v>
      </c>
      <c r="S37" s="345">
        <f>SUM(S35:S36)</f>
        <v>1089787802</v>
      </c>
      <c r="T37" s="351"/>
    </row>
    <row r="38" spans="1:20" ht="11.25" customHeight="1" x14ac:dyDescent="0.15">
      <c r="A38" s="335"/>
      <c r="B38" s="352"/>
      <c r="C38" s="353"/>
      <c r="D38" s="354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>
        <f t="shared" si="7"/>
        <v>0</v>
      </c>
      <c r="R38" s="402"/>
      <c r="S38" s="402"/>
      <c r="T38" s="339"/>
    </row>
    <row r="39" spans="1:20" ht="12" customHeight="1" x14ac:dyDescent="0.15">
      <c r="A39" s="335" t="s">
        <v>326</v>
      </c>
      <c r="B39" s="407" t="s">
        <v>395</v>
      </c>
      <c r="C39" s="336"/>
      <c r="D39" s="337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>
        <f t="shared" si="7"/>
        <v>0</v>
      </c>
      <c r="R39" s="402"/>
      <c r="S39" s="402"/>
      <c r="T39" s="339"/>
    </row>
    <row r="40" spans="1:20" ht="15.75" customHeight="1" x14ac:dyDescent="0.15">
      <c r="A40" s="335" t="s">
        <v>396</v>
      </c>
      <c r="B40" s="407" t="s">
        <v>358</v>
      </c>
      <c r="C40" s="336"/>
      <c r="D40" s="337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402"/>
      <c r="S40" s="402"/>
      <c r="T40" s="339"/>
    </row>
    <row r="41" spans="1:20" ht="15.75" customHeight="1" x14ac:dyDescent="0.15">
      <c r="A41" s="335"/>
      <c r="B41" s="407"/>
      <c r="C41" s="336" t="s">
        <v>612</v>
      </c>
      <c r="D41" s="337"/>
      <c r="E41" s="333">
        <v>21500000</v>
      </c>
      <c r="F41" s="333">
        <v>21500000</v>
      </c>
      <c r="G41" s="333">
        <v>21500000</v>
      </c>
      <c r="H41" s="333">
        <v>21500000</v>
      </c>
      <c r="I41" s="333">
        <v>21500000</v>
      </c>
      <c r="J41" s="333">
        <v>21500000</v>
      </c>
      <c r="K41" s="333">
        <v>22000000</v>
      </c>
      <c r="L41" s="333">
        <v>22000000</v>
      </c>
      <c r="M41" s="333">
        <v>22000000</v>
      </c>
      <c r="N41" s="333">
        <v>22000000</v>
      </c>
      <c r="O41" s="333">
        <v>22000000</v>
      </c>
      <c r="P41" s="333">
        <v>22000000</v>
      </c>
      <c r="Q41" s="333">
        <f t="shared" si="7"/>
        <v>261000000</v>
      </c>
      <c r="R41" s="402"/>
      <c r="S41" s="402"/>
      <c r="T41" s="339"/>
    </row>
    <row r="42" spans="1:20" ht="15.75" customHeight="1" x14ac:dyDescent="0.15">
      <c r="A42" s="335"/>
      <c r="B42" s="407"/>
      <c r="C42" s="336" t="s">
        <v>613</v>
      </c>
      <c r="D42" s="337"/>
      <c r="E42" s="333">
        <v>11850000</v>
      </c>
      <c r="F42" s="333">
        <v>11850000</v>
      </c>
      <c r="G42" s="333">
        <v>11850000</v>
      </c>
      <c r="H42" s="333">
        <v>11850000</v>
      </c>
      <c r="I42" s="333">
        <v>11850000</v>
      </c>
      <c r="J42" s="333">
        <v>11850000</v>
      </c>
      <c r="K42" s="333">
        <v>11850000</v>
      </c>
      <c r="L42" s="333">
        <v>11850000</v>
      </c>
      <c r="M42" s="333">
        <v>11850000</v>
      </c>
      <c r="N42" s="333">
        <v>11850000</v>
      </c>
      <c r="O42" s="333">
        <v>11850000</v>
      </c>
      <c r="P42" s="333">
        <v>11850000</v>
      </c>
      <c r="Q42" s="333">
        <f t="shared" si="7"/>
        <v>142200000</v>
      </c>
      <c r="R42" s="402"/>
      <c r="S42" s="402"/>
      <c r="T42" s="339"/>
    </row>
    <row r="43" spans="1:20" ht="15.75" customHeight="1" x14ac:dyDescent="0.15">
      <c r="A43" s="335"/>
      <c r="B43" s="407"/>
      <c r="C43" s="336" t="s">
        <v>614</v>
      </c>
      <c r="D43" s="337"/>
      <c r="E43" s="333">
        <v>10600000</v>
      </c>
      <c r="F43" s="333">
        <v>10600000</v>
      </c>
      <c r="G43" s="333">
        <v>10600000</v>
      </c>
      <c r="H43" s="333">
        <v>10600000</v>
      </c>
      <c r="I43" s="333">
        <v>10600000</v>
      </c>
      <c r="J43" s="333">
        <v>10600000</v>
      </c>
      <c r="K43" s="333">
        <v>10600000</v>
      </c>
      <c r="L43" s="333">
        <v>10600000</v>
      </c>
      <c r="M43" s="333">
        <v>10600000</v>
      </c>
      <c r="N43" s="333">
        <v>10600000</v>
      </c>
      <c r="O43" s="333">
        <v>10600000</v>
      </c>
      <c r="P43" s="333">
        <v>11550000</v>
      </c>
      <c r="Q43" s="333">
        <f t="shared" si="7"/>
        <v>128150000</v>
      </c>
      <c r="R43" s="402"/>
      <c r="S43" s="402"/>
      <c r="T43" s="339"/>
    </row>
    <row r="44" spans="1:20" ht="15.75" customHeight="1" x14ac:dyDescent="0.15">
      <c r="A44" s="335"/>
      <c r="B44" s="407"/>
      <c r="C44" s="357" t="s">
        <v>461</v>
      </c>
      <c r="D44" s="358"/>
      <c r="E44" s="342">
        <f>SUM(E41:E43)</f>
        <v>43950000</v>
      </c>
      <c r="F44" s="342">
        <f t="shared" ref="F44:P44" si="14">SUM(F41:F43)</f>
        <v>43950000</v>
      </c>
      <c r="G44" s="342">
        <f t="shared" si="14"/>
        <v>43950000</v>
      </c>
      <c r="H44" s="342">
        <f t="shared" si="14"/>
        <v>43950000</v>
      </c>
      <c r="I44" s="342">
        <f t="shared" si="14"/>
        <v>43950000</v>
      </c>
      <c r="J44" s="342">
        <f t="shared" si="14"/>
        <v>43950000</v>
      </c>
      <c r="K44" s="342">
        <f t="shared" si="14"/>
        <v>44450000</v>
      </c>
      <c r="L44" s="342">
        <f t="shared" si="14"/>
        <v>44450000</v>
      </c>
      <c r="M44" s="342">
        <f t="shared" si="14"/>
        <v>44450000</v>
      </c>
      <c r="N44" s="342">
        <f t="shared" si="14"/>
        <v>44450000</v>
      </c>
      <c r="O44" s="342">
        <f t="shared" si="14"/>
        <v>44450000</v>
      </c>
      <c r="P44" s="342">
        <f t="shared" si="14"/>
        <v>45400000</v>
      </c>
      <c r="Q44" s="342">
        <f t="shared" si="7"/>
        <v>531350000</v>
      </c>
      <c r="R44" s="419">
        <f>'RINCIAN B. LANGSUNG USAHA'!Q37</f>
        <v>0</v>
      </c>
      <c r="S44" s="419">
        <f>Q44-R44</f>
        <v>531350000</v>
      </c>
      <c r="T44" s="339" t="s">
        <v>359</v>
      </c>
    </row>
    <row r="45" spans="1:20" ht="15.75" customHeight="1" x14ac:dyDescent="0.15">
      <c r="A45" s="355" t="s">
        <v>398</v>
      </c>
      <c r="B45" s="410" t="s">
        <v>399</v>
      </c>
      <c r="C45" s="330"/>
      <c r="D45" s="331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404"/>
      <c r="S45" s="404"/>
      <c r="T45" s="356"/>
    </row>
    <row r="46" spans="1:20" ht="15.75" customHeight="1" x14ac:dyDescent="0.15">
      <c r="A46" s="335"/>
      <c r="B46" s="407" t="s">
        <v>239</v>
      </c>
      <c r="C46" s="336"/>
      <c r="D46" s="337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402"/>
      <c r="S46" s="402"/>
      <c r="T46" s="339"/>
    </row>
    <row r="47" spans="1:20" ht="15.75" customHeight="1" x14ac:dyDescent="0.15">
      <c r="A47" s="335"/>
      <c r="B47" s="407"/>
      <c r="C47" s="336" t="s">
        <v>612</v>
      </c>
      <c r="D47" s="337"/>
      <c r="E47" s="333">
        <v>21735000</v>
      </c>
      <c r="F47" s="333">
        <v>23310000</v>
      </c>
      <c r="G47" s="333">
        <v>21735000</v>
      </c>
      <c r="H47" s="333">
        <v>23310000</v>
      </c>
      <c r="I47" s="333">
        <v>21735000</v>
      </c>
      <c r="J47" s="333">
        <v>23310000</v>
      </c>
      <c r="K47" s="333">
        <v>21735000</v>
      </c>
      <c r="L47" s="333">
        <v>23310000</v>
      </c>
      <c r="M47" s="333">
        <v>21735000</v>
      </c>
      <c r="N47" s="333">
        <v>23310000</v>
      </c>
      <c r="O47" s="333">
        <v>21735000</v>
      </c>
      <c r="P47" s="333">
        <v>23310000</v>
      </c>
      <c r="Q47" s="333">
        <f t="shared" si="7"/>
        <v>270270000</v>
      </c>
      <c r="R47" s="402"/>
      <c r="S47" s="402"/>
      <c r="T47" s="339"/>
    </row>
    <row r="48" spans="1:20" ht="15.75" customHeight="1" x14ac:dyDescent="0.15">
      <c r="A48" s="335"/>
      <c r="B48" s="407"/>
      <c r="C48" s="336" t="s">
        <v>613</v>
      </c>
      <c r="D48" s="337"/>
      <c r="E48" s="333">
        <v>7560000</v>
      </c>
      <c r="F48" s="333">
        <v>8505000</v>
      </c>
      <c r="G48" s="333">
        <v>7560000</v>
      </c>
      <c r="H48" s="333">
        <v>8505000</v>
      </c>
      <c r="I48" s="333">
        <v>7560000</v>
      </c>
      <c r="J48" s="333">
        <v>8505000</v>
      </c>
      <c r="K48" s="333">
        <v>7560000</v>
      </c>
      <c r="L48" s="333">
        <v>8505000</v>
      </c>
      <c r="M48" s="333">
        <v>7560000</v>
      </c>
      <c r="N48" s="333">
        <v>8505000</v>
      </c>
      <c r="O48" s="333">
        <v>7560000</v>
      </c>
      <c r="P48" s="333">
        <v>8505000</v>
      </c>
      <c r="Q48" s="333">
        <f t="shared" si="7"/>
        <v>96390000</v>
      </c>
      <c r="R48" s="402"/>
      <c r="S48" s="402"/>
      <c r="T48" s="339"/>
    </row>
    <row r="49" spans="1:20" ht="15.75" customHeight="1" x14ac:dyDescent="0.15">
      <c r="A49" s="335"/>
      <c r="B49" s="407"/>
      <c r="C49" s="336" t="s">
        <v>614</v>
      </c>
      <c r="D49" s="337"/>
      <c r="E49" s="333">
        <v>5607000</v>
      </c>
      <c r="F49" s="333">
        <v>6300000</v>
      </c>
      <c r="G49" s="333">
        <v>5607000</v>
      </c>
      <c r="H49" s="333">
        <v>6300000</v>
      </c>
      <c r="I49" s="333">
        <v>5607000</v>
      </c>
      <c r="J49" s="333">
        <v>6300000</v>
      </c>
      <c r="K49" s="333">
        <v>5607000</v>
      </c>
      <c r="L49" s="333">
        <v>6300000</v>
      </c>
      <c r="M49" s="333">
        <v>5607000</v>
      </c>
      <c r="N49" s="333">
        <v>6300000</v>
      </c>
      <c r="O49" s="333">
        <v>5607000</v>
      </c>
      <c r="P49" s="333">
        <v>6300000</v>
      </c>
      <c r="Q49" s="333">
        <f t="shared" si="7"/>
        <v>71442000</v>
      </c>
      <c r="R49" s="402"/>
      <c r="S49" s="402"/>
      <c r="T49" s="339"/>
    </row>
    <row r="50" spans="1:20" ht="15.75" customHeight="1" x14ac:dyDescent="0.15">
      <c r="A50" s="335"/>
      <c r="B50" s="407"/>
      <c r="C50" s="357" t="s">
        <v>616</v>
      </c>
      <c r="D50" s="358"/>
      <c r="E50" s="342">
        <f>SUM(E47:E49)</f>
        <v>34902000</v>
      </c>
      <c r="F50" s="342">
        <f t="shared" ref="F50:P50" si="15">SUM(F47:F49)</f>
        <v>38115000</v>
      </c>
      <c r="G50" s="342">
        <f t="shared" si="15"/>
        <v>34902000</v>
      </c>
      <c r="H50" s="342">
        <f t="shared" si="15"/>
        <v>38115000</v>
      </c>
      <c r="I50" s="342">
        <f t="shared" si="15"/>
        <v>34902000</v>
      </c>
      <c r="J50" s="342">
        <f t="shared" si="15"/>
        <v>38115000</v>
      </c>
      <c r="K50" s="342">
        <f t="shared" si="15"/>
        <v>34902000</v>
      </c>
      <c r="L50" s="342">
        <f t="shared" si="15"/>
        <v>38115000</v>
      </c>
      <c r="M50" s="342">
        <f t="shared" si="15"/>
        <v>34902000</v>
      </c>
      <c r="N50" s="342">
        <f t="shared" si="15"/>
        <v>38115000</v>
      </c>
      <c r="O50" s="342">
        <f t="shared" si="15"/>
        <v>34902000</v>
      </c>
      <c r="P50" s="342">
        <f t="shared" si="15"/>
        <v>38115000</v>
      </c>
      <c r="Q50" s="342">
        <f>SUM(Q47:Q49)</f>
        <v>438102000</v>
      </c>
      <c r="R50" s="419">
        <f>'RINCIAN B. LANGSUNG USAHA'!Q54</f>
        <v>0</v>
      </c>
      <c r="S50" s="419">
        <f>Q50-R50</f>
        <v>438102000</v>
      </c>
      <c r="T50" s="339"/>
    </row>
    <row r="51" spans="1:20" ht="15.75" customHeight="1" x14ac:dyDescent="0.15">
      <c r="A51" s="335"/>
      <c r="B51" s="407" t="s">
        <v>241</v>
      </c>
      <c r="C51" s="336"/>
      <c r="D51" s="337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402"/>
      <c r="S51" s="402"/>
      <c r="T51" s="339"/>
    </row>
    <row r="52" spans="1:20" ht="15.75" customHeight="1" x14ac:dyDescent="0.15">
      <c r="A52" s="335"/>
      <c r="B52" s="407"/>
      <c r="C52" s="336" t="s">
        <v>612</v>
      </c>
      <c r="D52" s="337"/>
      <c r="E52" s="333">
        <v>6159375</v>
      </c>
      <c r="F52" s="333">
        <v>7087500</v>
      </c>
      <c r="G52" s="333">
        <v>6159375</v>
      </c>
      <c r="H52" s="333">
        <v>7087500</v>
      </c>
      <c r="I52" s="333">
        <v>6159375</v>
      </c>
      <c r="J52" s="333">
        <v>7087500</v>
      </c>
      <c r="K52" s="333">
        <v>6159375</v>
      </c>
      <c r="L52" s="333">
        <v>7087500</v>
      </c>
      <c r="M52" s="333">
        <v>6159375</v>
      </c>
      <c r="N52" s="333">
        <v>7087500</v>
      </c>
      <c r="O52" s="333">
        <v>6159375</v>
      </c>
      <c r="P52" s="333">
        <v>7087500</v>
      </c>
      <c r="Q52" s="333">
        <f>SUM(E52:P52)</f>
        <v>79481250</v>
      </c>
      <c r="R52" s="402"/>
      <c r="S52" s="402"/>
      <c r="T52" s="339"/>
    </row>
    <row r="53" spans="1:20" ht="15.75" customHeight="1" x14ac:dyDescent="0.15">
      <c r="A53" s="335"/>
      <c r="B53" s="407"/>
      <c r="C53" s="336" t="s">
        <v>613</v>
      </c>
      <c r="D53" s="337"/>
      <c r="E53" s="333">
        <v>945000</v>
      </c>
      <c r="F53" s="333">
        <v>1687500</v>
      </c>
      <c r="G53" s="333">
        <v>945000</v>
      </c>
      <c r="H53" s="333">
        <v>1687500</v>
      </c>
      <c r="I53" s="333">
        <v>945000</v>
      </c>
      <c r="J53" s="333">
        <v>1687500</v>
      </c>
      <c r="K53" s="333">
        <v>945000</v>
      </c>
      <c r="L53" s="333">
        <v>1687500</v>
      </c>
      <c r="M53" s="333">
        <v>945000</v>
      </c>
      <c r="N53" s="333">
        <v>1687500</v>
      </c>
      <c r="O53" s="333">
        <v>945000</v>
      </c>
      <c r="P53" s="333">
        <v>1687500</v>
      </c>
      <c r="Q53" s="333">
        <f t="shared" si="7"/>
        <v>15795000</v>
      </c>
      <c r="R53" s="402"/>
      <c r="S53" s="402"/>
      <c r="T53" s="339"/>
    </row>
    <row r="54" spans="1:20" ht="15.75" customHeight="1" x14ac:dyDescent="0.15">
      <c r="A54" s="335"/>
      <c r="B54" s="407"/>
      <c r="C54" s="336" t="s">
        <v>614</v>
      </c>
      <c r="D54" s="337"/>
      <c r="E54" s="333">
        <v>2767500</v>
      </c>
      <c r="F54" s="333">
        <v>3375000</v>
      </c>
      <c r="G54" s="333">
        <v>2767500</v>
      </c>
      <c r="H54" s="333">
        <v>3375000</v>
      </c>
      <c r="I54" s="333">
        <v>2767500</v>
      </c>
      <c r="J54" s="333">
        <v>3375000</v>
      </c>
      <c r="K54" s="333">
        <v>2767500</v>
      </c>
      <c r="L54" s="333">
        <v>3375000</v>
      </c>
      <c r="M54" s="333">
        <v>2767500</v>
      </c>
      <c r="N54" s="333">
        <v>3375000</v>
      </c>
      <c r="O54" s="333">
        <v>2767500</v>
      </c>
      <c r="P54" s="333">
        <v>3375000</v>
      </c>
      <c r="Q54" s="333">
        <f t="shared" si="7"/>
        <v>36855000</v>
      </c>
      <c r="R54" s="402"/>
      <c r="S54" s="402"/>
      <c r="T54" s="339"/>
    </row>
    <row r="55" spans="1:20" ht="15.75" customHeight="1" x14ac:dyDescent="0.15">
      <c r="A55" s="335"/>
      <c r="B55" s="407"/>
      <c r="C55" s="357" t="s">
        <v>617</v>
      </c>
      <c r="D55" s="358"/>
      <c r="E55" s="342">
        <f>SUM(E52:E54)</f>
        <v>9871875</v>
      </c>
      <c r="F55" s="342">
        <f t="shared" ref="F55" si="16">SUM(F52:F54)</f>
        <v>12150000</v>
      </c>
      <c r="G55" s="342">
        <f>SUM(G52:G54)</f>
        <v>9871875</v>
      </c>
      <c r="H55" s="342">
        <f t="shared" ref="H55:P55" si="17">SUM(H52:H54)</f>
        <v>12150000</v>
      </c>
      <c r="I55" s="342">
        <f t="shared" si="17"/>
        <v>9871875</v>
      </c>
      <c r="J55" s="342">
        <f t="shared" si="17"/>
        <v>12150000</v>
      </c>
      <c r="K55" s="342">
        <f t="shared" si="17"/>
        <v>9871875</v>
      </c>
      <c r="L55" s="342">
        <f t="shared" si="17"/>
        <v>12150000</v>
      </c>
      <c r="M55" s="342">
        <f t="shared" si="17"/>
        <v>9871875</v>
      </c>
      <c r="N55" s="342">
        <f t="shared" si="17"/>
        <v>12150000</v>
      </c>
      <c r="O55" s="342">
        <f t="shared" si="17"/>
        <v>9871875</v>
      </c>
      <c r="P55" s="342">
        <f t="shared" si="17"/>
        <v>12150000</v>
      </c>
      <c r="Q55" s="342">
        <f>SUM(Q52:Q54)</f>
        <v>132131250</v>
      </c>
      <c r="R55" s="419">
        <f>'RINCIAN B. LANGSUNG USAHA'!Q55</f>
        <v>0</v>
      </c>
      <c r="S55" s="419">
        <f>Q55-R55</f>
        <v>132131250</v>
      </c>
      <c r="T55" s="339"/>
    </row>
    <row r="56" spans="1:20" ht="15.75" customHeight="1" x14ac:dyDescent="0.15">
      <c r="A56" s="335"/>
      <c r="B56" s="407" t="s">
        <v>240</v>
      </c>
      <c r="C56" s="357"/>
      <c r="D56" s="358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402"/>
      <c r="S56" s="402"/>
      <c r="T56" s="339"/>
    </row>
    <row r="57" spans="1:20" ht="15.75" customHeight="1" x14ac:dyDescent="0.15">
      <c r="A57" s="335"/>
      <c r="B57" s="407"/>
      <c r="C57" s="336" t="s">
        <v>612</v>
      </c>
      <c r="D57" s="337"/>
      <c r="E57" s="333">
        <v>1323000</v>
      </c>
      <c r="F57" s="333">
        <v>1764000</v>
      </c>
      <c r="G57" s="333">
        <v>1323000</v>
      </c>
      <c r="H57" s="333">
        <v>1764000</v>
      </c>
      <c r="I57" s="333">
        <v>1323000</v>
      </c>
      <c r="J57" s="333">
        <v>1764000</v>
      </c>
      <c r="K57" s="333">
        <v>1323000</v>
      </c>
      <c r="L57" s="333">
        <v>1764000</v>
      </c>
      <c r="M57" s="333">
        <v>1323000</v>
      </c>
      <c r="N57" s="333">
        <v>1764000</v>
      </c>
      <c r="O57" s="333">
        <v>1323000</v>
      </c>
      <c r="P57" s="333">
        <v>1764000</v>
      </c>
      <c r="Q57" s="333">
        <f t="shared" si="7"/>
        <v>18522000</v>
      </c>
      <c r="R57" s="402"/>
      <c r="S57" s="402"/>
      <c r="T57" s="339"/>
    </row>
    <row r="58" spans="1:20" ht="15.75" customHeight="1" x14ac:dyDescent="0.15">
      <c r="A58" s="335"/>
      <c r="B58" s="407"/>
      <c r="C58" s="336" t="s">
        <v>613</v>
      </c>
      <c r="D58" s="337"/>
      <c r="E58" s="333">
        <v>799680</v>
      </c>
      <c r="F58" s="333">
        <v>1019200</v>
      </c>
      <c r="G58" s="333">
        <v>799680</v>
      </c>
      <c r="H58" s="333">
        <v>1019200</v>
      </c>
      <c r="I58" s="333">
        <v>799680</v>
      </c>
      <c r="J58" s="333">
        <v>1019200</v>
      </c>
      <c r="K58" s="333">
        <v>799680</v>
      </c>
      <c r="L58" s="333">
        <v>1019200</v>
      </c>
      <c r="M58" s="333">
        <v>799680</v>
      </c>
      <c r="N58" s="333">
        <v>1019200</v>
      </c>
      <c r="O58" s="333">
        <v>799680</v>
      </c>
      <c r="P58" s="333">
        <v>1019200</v>
      </c>
      <c r="Q58" s="333">
        <f t="shared" si="7"/>
        <v>10913280</v>
      </c>
      <c r="R58" s="402"/>
      <c r="S58" s="402"/>
      <c r="T58" s="339"/>
    </row>
    <row r="59" spans="1:20" ht="15.75" customHeight="1" x14ac:dyDescent="0.15">
      <c r="A59" s="335"/>
      <c r="B59" s="407"/>
      <c r="C59" s="336" t="s">
        <v>614</v>
      </c>
      <c r="D59" s="337"/>
      <c r="E59" s="333">
        <v>517440</v>
      </c>
      <c r="F59" s="333">
        <v>980000</v>
      </c>
      <c r="G59" s="333">
        <v>517440</v>
      </c>
      <c r="H59" s="333">
        <v>980000</v>
      </c>
      <c r="I59" s="333">
        <v>517440</v>
      </c>
      <c r="J59" s="333">
        <v>980000</v>
      </c>
      <c r="K59" s="333">
        <v>517440</v>
      </c>
      <c r="L59" s="333">
        <v>980000</v>
      </c>
      <c r="M59" s="333">
        <v>517440</v>
      </c>
      <c r="N59" s="333">
        <v>980000</v>
      </c>
      <c r="O59" s="333">
        <v>517440</v>
      </c>
      <c r="P59" s="333">
        <v>980000</v>
      </c>
      <c r="Q59" s="333">
        <f t="shared" si="7"/>
        <v>8984640</v>
      </c>
      <c r="R59" s="402"/>
      <c r="S59" s="402"/>
      <c r="T59" s="339"/>
    </row>
    <row r="60" spans="1:20" ht="15.75" customHeight="1" x14ac:dyDescent="0.15">
      <c r="A60" s="335"/>
      <c r="B60" s="407"/>
      <c r="C60" s="357" t="s">
        <v>618</v>
      </c>
      <c r="D60" s="358"/>
      <c r="E60" s="342">
        <f>SUM(E57:E59)</f>
        <v>2640120</v>
      </c>
      <c r="F60" s="342">
        <f t="shared" ref="F60:P60" si="18">SUM(F57:F59)</f>
        <v>3763200</v>
      </c>
      <c r="G60" s="342">
        <f t="shared" si="18"/>
        <v>2640120</v>
      </c>
      <c r="H60" s="342">
        <f t="shared" si="18"/>
        <v>3763200</v>
      </c>
      <c r="I60" s="342">
        <f t="shared" si="18"/>
        <v>2640120</v>
      </c>
      <c r="J60" s="342">
        <f t="shared" si="18"/>
        <v>3763200</v>
      </c>
      <c r="K60" s="342">
        <f t="shared" si="18"/>
        <v>2640120</v>
      </c>
      <c r="L60" s="342">
        <f t="shared" si="18"/>
        <v>3763200</v>
      </c>
      <c r="M60" s="342">
        <f t="shared" si="18"/>
        <v>2640120</v>
      </c>
      <c r="N60" s="342">
        <f t="shared" si="18"/>
        <v>3763200</v>
      </c>
      <c r="O60" s="342">
        <f t="shared" si="18"/>
        <v>2640120</v>
      </c>
      <c r="P60" s="342">
        <f t="shared" si="18"/>
        <v>3763200</v>
      </c>
      <c r="Q60" s="342">
        <f>SUM(Q57:Q59)</f>
        <v>38419920</v>
      </c>
      <c r="R60" s="419">
        <f>'RINCIAN B. LANGSUNG USAHA'!Q56</f>
        <v>0</v>
      </c>
      <c r="S60" s="419">
        <f>Q60-R60</f>
        <v>38419920</v>
      </c>
      <c r="T60" s="339"/>
    </row>
    <row r="61" spans="1:20" ht="15.75" customHeight="1" x14ac:dyDescent="0.15">
      <c r="A61" s="344"/>
      <c r="B61" s="857" t="s">
        <v>401</v>
      </c>
      <c r="C61" s="858"/>
      <c r="D61" s="859"/>
      <c r="E61" s="345">
        <f>E50+E55+E60</f>
        <v>47413995</v>
      </c>
      <c r="F61" s="345">
        <f>F50+F55+F60</f>
        <v>54028200</v>
      </c>
      <c r="G61" s="345">
        <f t="shared" ref="G61:P61" si="19">G50+G55+G60</f>
        <v>47413995</v>
      </c>
      <c r="H61" s="345">
        <f t="shared" si="19"/>
        <v>54028200</v>
      </c>
      <c r="I61" s="345">
        <f t="shared" si="19"/>
        <v>47413995</v>
      </c>
      <c r="J61" s="345">
        <f t="shared" si="19"/>
        <v>54028200</v>
      </c>
      <c r="K61" s="345">
        <f t="shared" si="19"/>
        <v>47413995</v>
      </c>
      <c r="L61" s="345">
        <f t="shared" si="19"/>
        <v>54028200</v>
      </c>
      <c r="M61" s="345">
        <f t="shared" si="19"/>
        <v>47413995</v>
      </c>
      <c r="N61" s="345">
        <f t="shared" si="19"/>
        <v>54028200</v>
      </c>
      <c r="O61" s="345">
        <f t="shared" si="19"/>
        <v>47413995</v>
      </c>
      <c r="P61" s="345">
        <f t="shared" si="19"/>
        <v>54028200</v>
      </c>
      <c r="Q61" s="345">
        <f>SUM(E61:P61)</f>
        <v>608653170</v>
      </c>
      <c r="R61" s="403">
        <f>SUM(R47:R60)</f>
        <v>0</v>
      </c>
      <c r="S61" s="403">
        <f>SUM(S47:S60)</f>
        <v>608653170</v>
      </c>
      <c r="T61" s="351" t="s">
        <v>400</v>
      </c>
    </row>
    <row r="62" spans="1:20" ht="15.75" customHeight="1" x14ac:dyDescent="0.15">
      <c r="A62" s="335" t="s">
        <v>588</v>
      </c>
      <c r="B62" s="899" t="s">
        <v>598</v>
      </c>
      <c r="C62" s="900"/>
      <c r="D62" s="901"/>
      <c r="E62" s="333">
        <v>1500000</v>
      </c>
      <c r="F62" s="333">
        <v>700000</v>
      </c>
      <c r="G62" s="333">
        <v>700000</v>
      </c>
      <c r="H62" s="333">
        <v>700000</v>
      </c>
      <c r="I62" s="333">
        <v>700000</v>
      </c>
      <c r="J62" s="333">
        <v>700000</v>
      </c>
      <c r="K62" s="333">
        <v>700000</v>
      </c>
      <c r="L62" s="333">
        <v>700000</v>
      </c>
      <c r="M62" s="333">
        <v>700000</v>
      </c>
      <c r="N62" s="333">
        <v>700000</v>
      </c>
      <c r="O62" s="333">
        <v>700000</v>
      </c>
      <c r="P62" s="333">
        <v>700000</v>
      </c>
      <c r="Q62" s="333">
        <f t="shared" ref="Q62" si="20">SUM(E62:P62)</f>
        <v>9200000</v>
      </c>
      <c r="R62" s="402">
        <f>'RINCIAN B. LANGSUNG USAHA'!Q58</f>
        <v>0</v>
      </c>
      <c r="S62" s="419">
        <f>Q62-R62</f>
        <v>9200000</v>
      </c>
      <c r="T62" s="340" t="s">
        <v>368</v>
      </c>
    </row>
    <row r="63" spans="1:20" ht="15.75" customHeight="1" x14ac:dyDescent="0.15">
      <c r="A63" s="335" t="s">
        <v>559</v>
      </c>
      <c r="B63" s="407" t="s">
        <v>599</v>
      </c>
      <c r="C63" s="336"/>
      <c r="D63" s="337"/>
      <c r="E63" s="333">
        <v>13000000</v>
      </c>
      <c r="F63" s="333">
        <v>500000</v>
      </c>
      <c r="G63" s="333">
        <v>3500000</v>
      </c>
      <c r="H63" s="333">
        <v>500000</v>
      </c>
      <c r="I63" s="333">
        <v>500000</v>
      </c>
      <c r="J63" s="333">
        <v>500000</v>
      </c>
      <c r="K63" s="333">
        <v>6500000</v>
      </c>
      <c r="L63" s="333">
        <v>500000</v>
      </c>
      <c r="M63" s="333">
        <v>500000</v>
      </c>
      <c r="N63" s="333">
        <v>500000</v>
      </c>
      <c r="O63" s="333">
        <f>3000000</f>
        <v>3000000</v>
      </c>
      <c r="P63" s="333">
        <v>3500000</v>
      </c>
      <c r="Q63" s="333">
        <f>SUM(E63:P63)</f>
        <v>33000000</v>
      </c>
      <c r="R63" s="402">
        <f>'RINCIAN B. LANGSUNG USAHA'!Q59</f>
        <v>0</v>
      </c>
      <c r="S63" s="419">
        <f t="shared" ref="S63" si="21">Q63-R63</f>
        <v>33000000</v>
      </c>
      <c r="T63" s="347" t="s">
        <v>371</v>
      </c>
    </row>
    <row r="64" spans="1:20" ht="15.75" customHeight="1" x14ac:dyDescent="0.15">
      <c r="A64" s="344"/>
      <c r="B64" s="857" t="s">
        <v>402</v>
      </c>
      <c r="C64" s="858"/>
      <c r="D64" s="859"/>
      <c r="E64" s="345">
        <f t="shared" ref="E64:P64" si="22">+E44+E61+E62+E63</f>
        <v>105863995</v>
      </c>
      <c r="F64" s="345">
        <f t="shared" si="22"/>
        <v>99178200</v>
      </c>
      <c r="G64" s="345">
        <f t="shared" si="22"/>
        <v>95563995</v>
      </c>
      <c r="H64" s="345">
        <f t="shared" si="22"/>
        <v>99178200</v>
      </c>
      <c r="I64" s="345">
        <f t="shared" si="22"/>
        <v>92563995</v>
      </c>
      <c r="J64" s="345">
        <f t="shared" si="22"/>
        <v>99178200</v>
      </c>
      <c r="K64" s="345">
        <f t="shared" si="22"/>
        <v>99063995</v>
      </c>
      <c r="L64" s="345">
        <f t="shared" si="22"/>
        <v>99678200</v>
      </c>
      <c r="M64" s="345">
        <f t="shared" si="22"/>
        <v>93063995</v>
      </c>
      <c r="N64" s="345">
        <f t="shared" si="22"/>
        <v>99678200</v>
      </c>
      <c r="O64" s="345">
        <f t="shared" si="22"/>
        <v>95563995</v>
      </c>
      <c r="P64" s="345">
        <f t="shared" si="22"/>
        <v>103628200</v>
      </c>
      <c r="Q64" s="345">
        <f>SUM(E64:P64)</f>
        <v>1182203170</v>
      </c>
      <c r="R64" s="403">
        <f>SUM(R61:R63)+R44</f>
        <v>0</v>
      </c>
      <c r="S64" s="403">
        <f>SUM(S61:S63)+S44</f>
        <v>1182203170</v>
      </c>
      <c r="T64" s="351"/>
    </row>
    <row r="65" spans="1:20" ht="15.75" customHeight="1" x14ac:dyDescent="0.15">
      <c r="A65" s="335" t="s">
        <v>403</v>
      </c>
      <c r="B65" s="407" t="s">
        <v>404</v>
      </c>
      <c r="C65" s="336"/>
      <c r="D65" s="337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402"/>
      <c r="S65" s="402"/>
      <c r="T65" s="339"/>
    </row>
    <row r="66" spans="1:20" ht="15.75" customHeight="1" x14ac:dyDescent="0.15">
      <c r="A66" s="335" t="s">
        <v>405</v>
      </c>
      <c r="B66" s="407" t="s">
        <v>406</v>
      </c>
      <c r="C66" s="336"/>
      <c r="D66" s="337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>
        <f t="shared" ref="Q66:Q68" si="23">SUM(E66:P66)</f>
        <v>0</v>
      </c>
      <c r="R66" s="402">
        <f>'RINCIAN B. LANGSUNG USAHA'!Q62</f>
        <v>0</v>
      </c>
      <c r="S66" s="419">
        <f t="shared" ref="S66:S72" si="24">Q66-R66</f>
        <v>0</v>
      </c>
      <c r="T66" s="339"/>
    </row>
    <row r="67" spans="1:20" ht="15.75" customHeight="1" x14ac:dyDescent="0.15">
      <c r="A67" s="335" t="s">
        <v>407</v>
      </c>
      <c r="B67" s="407" t="s">
        <v>408</v>
      </c>
      <c r="C67" s="357"/>
      <c r="D67" s="358"/>
      <c r="E67" s="333"/>
      <c r="F67" s="333"/>
      <c r="G67" s="333"/>
      <c r="H67" s="333"/>
      <c r="I67" s="333">
        <v>5000000</v>
      </c>
      <c r="J67" s="333"/>
      <c r="K67" s="333"/>
      <c r="L67" s="333"/>
      <c r="M67" s="333"/>
      <c r="N67" s="333"/>
      <c r="O67" s="333"/>
      <c r="P67" s="333"/>
      <c r="Q67" s="333">
        <f t="shared" si="23"/>
        <v>5000000</v>
      </c>
      <c r="R67" s="402">
        <f>'RINCIAN B. LANGSUNG USAHA'!Q63</f>
        <v>0</v>
      </c>
      <c r="S67" s="419">
        <f t="shared" si="24"/>
        <v>5000000</v>
      </c>
      <c r="T67" s="339"/>
    </row>
    <row r="68" spans="1:20" ht="15.75" customHeight="1" x14ac:dyDescent="0.15">
      <c r="A68" s="335" t="s">
        <v>409</v>
      </c>
      <c r="B68" s="407" t="s">
        <v>410</v>
      </c>
      <c r="C68" s="336"/>
      <c r="D68" s="337"/>
      <c r="E68" s="333"/>
      <c r="F68" s="333">
        <v>1300000</v>
      </c>
      <c r="G68" s="333"/>
      <c r="H68" s="333">
        <v>1300000</v>
      </c>
      <c r="I68" s="333"/>
      <c r="J68" s="333">
        <v>2600000</v>
      </c>
      <c r="K68" s="333"/>
      <c r="L68" s="333">
        <v>1300000</v>
      </c>
      <c r="M68" s="333"/>
      <c r="N68" s="333">
        <v>1300000</v>
      </c>
      <c r="O68" s="333"/>
      <c r="P68" s="333">
        <v>1300000</v>
      </c>
      <c r="Q68" s="333">
        <f t="shared" si="23"/>
        <v>9100000</v>
      </c>
      <c r="R68" s="402">
        <f>'RINCIAN B. LANGSUNG USAHA'!Q64</f>
        <v>0</v>
      </c>
      <c r="S68" s="419">
        <f t="shared" si="24"/>
        <v>9100000</v>
      </c>
      <c r="T68" s="339"/>
    </row>
    <row r="69" spans="1:20" ht="15.75" customHeight="1" x14ac:dyDescent="0.15">
      <c r="A69" s="335" t="s">
        <v>411</v>
      </c>
      <c r="B69" s="407" t="s">
        <v>412</v>
      </c>
      <c r="C69" s="336"/>
      <c r="D69" s="337"/>
      <c r="E69" s="333">
        <v>500000</v>
      </c>
      <c r="F69" s="333">
        <v>3500000</v>
      </c>
      <c r="G69" s="333">
        <v>500000</v>
      </c>
      <c r="H69" s="333">
        <v>500000</v>
      </c>
      <c r="I69" s="333">
        <v>500000</v>
      </c>
      <c r="J69" s="333">
        <v>500000</v>
      </c>
      <c r="K69" s="333">
        <v>500000</v>
      </c>
      <c r="L69" s="333">
        <v>500000</v>
      </c>
      <c r="M69" s="333">
        <v>500000</v>
      </c>
      <c r="N69" s="333">
        <v>500000</v>
      </c>
      <c r="O69" s="333">
        <v>500000</v>
      </c>
      <c r="P69" s="333">
        <v>500000</v>
      </c>
      <c r="Q69" s="333">
        <f>SUM(E69:P69)</f>
        <v>9000000</v>
      </c>
      <c r="R69" s="402">
        <f>'RINCIAN B. LANGSUNG USAHA'!Q65</f>
        <v>0</v>
      </c>
      <c r="S69" s="419">
        <f t="shared" si="24"/>
        <v>9000000</v>
      </c>
      <c r="T69" s="339"/>
    </row>
    <row r="70" spans="1:20" ht="15.75" customHeight="1" x14ac:dyDescent="0.15">
      <c r="A70" s="344"/>
      <c r="B70" s="857" t="s">
        <v>413</v>
      </c>
      <c r="C70" s="858"/>
      <c r="D70" s="859"/>
      <c r="E70" s="345">
        <f>SUM(E66:E69)</f>
        <v>500000</v>
      </c>
      <c r="F70" s="345">
        <f t="shared" ref="F70:P70" si="25">SUM(F66:F69)</f>
        <v>4800000</v>
      </c>
      <c r="G70" s="345">
        <f t="shared" si="25"/>
        <v>500000</v>
      </c>
      <c r="H70" s="345">
        <f t="shared" si="25"/>
        <v>1800000</v>
      </c>
      <c r="I70" s="345">
        <f t="shared" si="25"/>
        <v>5500000</v>
      </c>
      <c r="J70" s="345">
        <f t="shared" si="25"/>
        <v>3100000</v>
      </c>
      <c r="K70" s="345">
        <f t="shared" si="25"/>
        <v>500000</v>
      </c>
      <c r="L70" s="345">
        <f>SUM(L66:L69)</f>
        <v>1800000</v>
      </c>
      <c r="M70" s="345">
        <f t="shared" si="25"/>
        <v>500000</v>
      </c>
      <c r="N70" s="345">
        <f t="shared" si="25"/>
        <v>1800000</v>
      </c>
      <c r="O70" s="345">
        <f t="shared" si="25"/>
        <v>500000</v>
      </c>
      <c r="P70" s="345">
        <f t="shared" si="25"/>
        <v>1800000</v>
      </c>
      <c r="Q70" s="345">
        <f>SUM(Q67:Q69)</f>
        <v>23100000</v>
      </c>
      <c r="R70" s="403">
        <f>SUM(R66:R69)</f>
        <v>0</v>
      </c>
      <c r="S70" s="403">
        <f>SUM(S66:S69)</f>
        <v>23100000</v>
      </c>
      <c r="T70" s="351" t="s">
        <v>377</v>
      </c>
    </row>
    <row r="71" spans="1:20" ht="15.75" customHeight="1" x14ac:dyDescent="0.15">
      <c r="A71" s="344"/>
      <c r="B71" s="417" t="s">
        <v>391</v>
      </c>
      <c r="C71" s="349"/>
      <c r="D71" s="350"/>
      <c r="E71" s="345">
        <f>E70+E64</f>
        <v>106363995</v>
      </c>
      <c r="F71" s="345">
        <f t="shared" ref="F71:P71" si="26">F70+F64</f>
        <v>103978200</v>
      </c>
      <c r="G71" s="345">
        <f t="shared" si="26"/>
        <v>96063995</v>
      </c>
      <c r="H71" s="345">
        <f t="shared" si="26"/>
        <v>100978200</v>
      </c>
      <c r="I71" s="345">
        <f t="shared" si="26"/>
        <v>98063995</v>
      </c>
      <c r="J71" s="345">
        <f t="shared" si="26"/>
        <v>102278200</v>
      </c>
      <c r="K71" s="345">
        <f t="shared" si="26"/>
        <v>99563995</v>
      </c>
      <c r="L71" s="345">
        <f>L70+L64</f>
        <v>101478200</v>
      </c>
      <c r="M71" s="345">
        <f t="shared" si="26"/>
        <v>93563995</v>
      </c>
      <c r="N71" s="345">
        <f t="shared" si="26"/>
        <v>101478200</v>
      </c>
      <c r="O71" s="345">
        <f t="shared" si="26"/>
        <v>96063995</v>
      </c>
      <c r="P71" s="345">
        <f t="shared" si="26"/>
        <v>105428200</v>
      </c>
      <c r="Q71" s="345">
        <f>SUM(E71:P71)</f>
        <v>1205303170</v>
      </c>
      <c r="R71" s="402">
        <f>R70+R64</f>
        <v>0</v>
      </c>
      <c r="S71" s="419">
        <f>Q71-R71</f>
        <v>1205303170</v>
      </c>
      <c r="T71" s="340"/>
    </row>
    <row r="72" spans="1:20" ht="15.75" customHeight="1" x14ac:dyDescent="0.15">
      <c r="A72" s="344" t="s">
        <v>332</v>
      </c>
      <c r="B72" s="417" t="s">
        <v>414</v>
      </c>
      <c r="C72" s="360"/>
      <c r="D72" s="361"/>
      <c r="E72" s="345">
        <v>16200000</v>
      </c>
      <c r="F72" s="345">
        <v>16200000</v>
      </c>
      <c r="G72" s="345">
        <v>16200000</v>
      </c>
      <c r="H72" s="345">
        <v>16200000</v>
      </c>
      <c r="I72" s="345">
        <v>16200000</v>
      </c>
      <c r="J72" s="345">
        <v>16200000</v>
      </c>
      <c r="K72" s="345">
        <v>16200000</v>
      </c>
      <c r="L72" s="345">
        <v>16200000</v>
      </c>
      <c r="M72" s="345">
        <v>16200000</v>
      </c>
      <c r="N72" s="345">
        <v>16200000</v>
      </c>
      <c r="O72" s="345">
        <v>16200000</v>
      </c>
      <c r="P72" s="345">
        <v>16200000</v>
      </c>
      <c r="Q72" s="333">
        <f t="shared" ref="Q72" si="27">SUM(E72:P72)</f>
        <v>194400000</v>
      </c>
      <c r="R72" s="402">
        <f>'RINCIAN B. LANGSUNG USAHA'!Q68</f>
        <v>0</v>
      </c>
      <c r="S72" s="419">
        <f t="shared" si="24"/>
        <v>194400000</v>
      </c>
      <c r="T72" s="340" t="s">
        <v>393</v>
      </c>
    </row>
    <row r="73" spans="1:20" ht="15.75" customHeight="1" x14ac:dyDescent="0.15">
      <c r="A73" s="344"/>
      <c r="B73" s="857" t="s">
        <v>415</v>
      </c>
      <c r="C73" s="858"/>
      <c r="D73" s="859"/>
      <c r="E73" s="345">
        <f>SUM(E71:E72)</f>
        <v>122563995</v>
      </c>
      <c r="F73" s="345">
        <f t="shared" ref="F73:P73" si="28">SUM(F71:F72)</f>
        <v>120178200</v>
      </c>
      <c r="G73" s="345">
        <f t="shared" si="28"/>
        <v>112263995</v>
      </c>
      <c r="H73" s="345">
        <f t="shared" si="28"/>
        <v>117178200</v>
      </c>
      <c r="I73" s="345">
        <f t="shared" si="28"/>
        <v>114263995</v>
      </c>
      <c r="J73" s="345">
        <f t="shared" si="28"/>
        <v>118478200</v>
      </c>
      <c r="K73" s="345">
        <f t="shared" si="28"/>
        <v>115763995</v>
      </c>
      <c r="L73" s="345">
        <f t="shared" si="28"/>
        <v>117678200</v>
      </c>
      <c r="M73" s="345">
        <f t="shared" si="28"/>
        <v>109763995</v>
      </c>
      <c r="N73" s="345">
        <f t="shared" si="28"/>
        <v>117678200</v>
      </c>
      <c r="O73" s="345">
        <f t="shared" si="28"/>
        <v>112263995</v>
      </c>
      <c r="P73" s="345">
        <f t="shared" si="28"/>
        <v>121628200</v>
      </c>
      <c r="Q73" s="345">
        <f>SUM(E73:P73)</f>
        <v>1399703170</v>
      </c>
      <c r="R73" s="403">
        <f>R71+R72</f>
        <v>0</v>
      </c>
      <c r="S73" s="403">
        <f>S71+S72</f>
        <v>1399703170</v>
      </c>
      <c r="T73" s="351"/>
    </row>
    <row r="74" spans="1:20" ht="15.75" customHeight="1" x14ac:dyDescent="0.15">
      <c r="A74" s="362"/>
      <c r="B74" s="363"/>
      <c r="C74" s="336"/>
      <c r="D74" s="337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402"/>
      <c r="S74" s="402"/>
      <c r="T74" s="334"/>
    </row>
    <row r="75" spans="1:20" ht="15.75" customHeight="1" x14ac:dyDescent="0.15">
      <c r="A75" s="335" t="s">
        <v>327</v>
      </c>
      <c r="B75" s="407" t="s">
        <v>416</v>
      </c>
      <c r="C75" s="336"/>
      <c r="D75" s="337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402">
        <f>'RINCIAN B. LANGSUNG USAHA'!Q71</f>
        <v>0</v>
      </c>
      <c r="S75" s="419">
        <f t="shared" ref="S75:S80" si="29">Q75-R75</f>
        <v>0</v>
      </c>
      <c r="T75" s="334"/>
    </row>
    <row r="76" spans="1:20" ht="15.75" customHeight="1" x14ac:dyDescent="0.15">
      <c r="A76" s="335" t="s">
        <v>417</v>
      </c>
      <c r="B76" s="407" t="s">
        <v>418</v>
      </c>
      <c r="C76" s="336"/>
      <c r="D76" s="337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402">
        <f>'RINCIAN B. LANGSUNG USAHA'!Q72</f>
        <v>0</v>
      </c>
      <c r="S76" s="419">
        <f t="shared" si="29"/>
        <v>0</v>
      </c>
      <c r="T76" s="334"/>
    </row>
    <row r="77" spans="1:20" ht="15.75" customHeight="1" x14ac:dyDescent="0.15">
      <c r="A77" s="335" t="s">
        <v>419</v>
      </c>
      <c r="B77" s="407" t="s">
        <v>358</v>
      </c>
      <c r="C77" s="336"/>
      <c r="D77" s="337"/>
      <c r="E77" s="333">
        <v>21000000</v>
      </c>
      <c r="F77" s="333">
        <v>21000000</v>
      </c>
      <c r="G77" s="333">
        <v>21000000</v>
      </c>
      <c r="H77" s="333">
        <v>21000000</v>
      </c>
      <c r="I77" s="333">
        <v>21000000</v>
      </c>
      <c r="J77" s="333">
        <v>21000000</v>
      </c>
      <c r="K77" s="333">
        <v>21000000</v>
      </c>
      <c r="L77" s="333">
        <v>21000000</v>
      </c>
      <c r="M77" s="333">
        <v>21000000</v>
      </c>
      <c r="N77" s="333">
        <v>21000000</v>
      </c>
      <c r="O77" s="333">
        <v>21000000</v>
      </c>
      <c r="P77" s="333">
        <v>21000000</v>
      </c>
      <c r="Q77" s="333">
        <f>SUM(E77:P77)</f>
        <v>252000000</v>
      </c>
      <c r="R77" s="402">
        <f>'RINCIAN B. LANGSUNG USAHA'!Q73</f>
        <v>0</v>
      </c>
      <c r="S77" s="419">
        <f t="shared" si="29"/>
        <v>252000000</v>
      </c>
      <c r="T77" s="334" t="s">
        <v>359</v>
      </c>
    </row>
    <row r="78" spans="1:20" ht="15.75" customHeight="1" x14ac:dyDescent="0.15">
      <c r="A78" s="335" t="s">
        <v>420</v>
      </c>
      <c r="B78" s="407" t="s">
        <v>421</v>
      </c>
      <c r="C78" s="336"/>
      <c r="D78" s="337"/>
      <c r="E78" s="333">
        <v>2500000</v>
      </c>
      <c r="F78" s="333">
        <v>2500000</v>
      </c>
      <c r="G78" s="333">
        <v>2500000</v>
      </c>
      <c r="H78" s="333">
        <v>2500000</v>
      </c>
      <c r="I78" s="333">
        <v>2500000</v>
      </c>
      <c r="J78" s="333">
        <v>2500000</v>
      </c>
      <c r="K78" s="333">
        <v>2500000</v>
      </c>
      <c r="L78" s="333">
        <v>2500000</v>
      </c>
      <c r="M78" s="333">
        <v>2500000</v>
      </c>
      <c r="N78" s="333">
        <v>2500000</v>
      </c>
      <c r="O78" s="333">
        <v>2500000</v>
      </c>
      <c r="P78" s="333">
        <v>2500000</v>
      </c>
      <c r="Q78" s="333">
        <f t="shared" ref="Q78:Q79" si="30">SUM(E78:P78)</f>
        <v>30000000</v>
      </c>
      <c r="R78" s="402">
        <f>'RINCIAN B. LANGSUNG USAHA'!Q86</f>
        <v>0</v>
      </c>
      <c r="S78" s="419">
        <f t="shared" si="29"/>
        <v>30000000</v>
      </c>
      <c r="T78" s="340" t="s">
        <v>368</v>
      </c>
    </row>
    <row r="79" spans="1:20" ht="15.75" customHeight="1" x14ac:dyDescent="0.15">
      <c r="A79" s="335" t="s">
        <v>584</v>
      </c>
      <c r="B79" s="863" t="s">
        <v>585</v>
      </c>
      <c r="C79" s="864"/>
      <c r="D79" s="865"/>
      <c r="E79" s="333">
        <v>1500000</v>
      </c>
      <c r="F79" s="333">
        <v>1500000</v>
      </c>
      <c r="G79" s="333">
        <v>1500000</v>
      </c>
      <c r="H79" s="333">
        <v>1500000</v>
      </c>
      <c r="I79" s="333">
        <v>1500000</v>
      </c>
      <c r="J79" s="333">
        <v>1500000</v>
      </c>
      <c r="K79" s="333">
        <v>1500000</v>
      </c>
      <c r="L79" s="333">
        <v>1500000</v>
      </c>
      <c r="M79" s="333">
        <v>1500000</v>
      </c>
      <c r="N79" s="333">
        <v>1500000</v>
      </c>
      <c r="O79" s="333">
        <v>1500000</v>
      </c>
      <c r="P79" s="333">
        <v>1500000</v>
      </c>
      <c r="Q79" s="333">
        <f t="shared" si="30"/>
        <v>18000000</v>
      </c>
      <c r="R79" s="402">
        <f>'RINCIAN B. LANGSUNG USAHA'!Q87</f>
        <v>0</v>
      </c>
      <c r="S79" s="419">
        <f t="shared" si="29"/>
        <v>18000000</v>
      </c>
      <c r="T79" s="339" t="s">
        <v>362</v>
      </c>
    </row>
    <row r="80" spans="1:20" ht="15.75" customHeight="1" x14ac:dyDescent="0.15">
      <c r="A80" s="335" t="s">
        <v>422</v>
      </c>
      <c r="B80" s="407" t="s">
        <v>370</v>
      </c>
      <c r="C80" s="336"/>
      <c r="D80" s="337"/>
      <c r="E80" s="333">
        <v>500000</v>
      </c>
      <c r="F80" s="333">
        <v>500000</v>
      </c>
      <c r="G80" s="333">
        <v>500000</v>
      </c>
      <c r="H80" s="333">
        <v>500000</v>
      </c>
      <c r="I80" s="333">
        <v>500000</v>
      </c>
      <c r="J80" s="333">
        <v>500000</v>
      </c>
      <c r="K80" s="333">
        <v>500000</v>
      </c>
      <c r="L80" s="333">
        <v>500000</v>
      </c>
      <c r="M80" s="333">
        <v>500000</v>
      </c>
      <c r="N80" s="333">
        <v>500000</v>
      </c>
      <c r="O80" s="333">
        <v>500000</v>
      </c>
      <c r="P80" s="333">
        <v>500000</v>
      </c>
      <c r="Q80" s="333">
        <f>SUM(E80:P80)</f>
        <v>6000000</v>
      </c>
      <c r="R80" s="402">
        <f>'RINCIAN B. LANGSUNG USAHA'!Q88</f>
        <v>0</v>
      </c>
      <c r="S80" s="419">
        <f t="shared" si="29"/>
        <v>6000000</v>
      </c>
      <c r="T80" s="334" t="s">
        <v>371</v>
      </c>
    </row>
    <row r="81" spans="1:20" ht="15.75" customHeight="1" x14ac:dyDescent="0.15">
      <c r="A81" s="344"/>
      <c r="B81" s="857" t="s">
        <v>423</v>
      </c>
      <c r="C81" s="858"/>
      <c r="D81" s="859"/>
      <c r="E81" s="345">
        <f t="shared" ref="E81:P81" si="31">SUM(E77:E80)</f>
        <v>25500000</v>
      </c>
      <c r="F81" s="345">
        <f t="shared" si="31"/>
        <v>25500000</v>
      </c>
      <c r="G81" s="345">
        <f t="shared" si="31"/>
        <v>25500000</v>
      </c>
      <c r="H81" s="345">
        <f t="shared" si="31"/>
        <v>25500000</v>
      </c>
      <c r="I81" s="345">
        <f t="shared" si="31"/>
        <v>25500000</v>
      </c>
      <c r="J81" s="345">
        <f t="shared" si="31"/>
        <v>25500000</v>
      </c>
      <c r="K81" s="345">
        <f t="shared" si="31"/>
        <v>25500000</v>
      </c>
      <c r="L81" s="345">
        <f t="shared" si="31"/>
        <v>25500000</v>
      </c>
      <c r="M81" s="345">
        <f t="shared" si="31"/>
        <v>25500000</v>
      </c>
      <c r="N81" s="345">
        <f t="shared" si="31"/>
        <v>25500000</v>
      </c>
      <c r="O81" s="345">
        <f t="shared" si="31"/>
        <v>25500000</v>
      </c>
      <c r="P81" s="345">
        <f t="shared" si="31"/>
        <v>25500000</v>
      </c>
      <c r="Q81" s="345">
        <f>SUM(E81:P81)</f>
        <v>306000000</v>
      </c>
      <c r="R81" s="403">
        <f>SUM(R75:R80)</f>
        <v>0</v>
      </c>
      <c r="S81" s="403">
        <f>SUM(S75:S80)</f>
        <v>306000000</v>
      </c>
      <c r="T81" s="346"/>
    </row>
    <row r="82" spans="1:20" ht="15.75" customHeight="1" x14ac:dyDescent="0.15">
      <c r="A82" s="335" t="s">
        <v>424</v>
      </c>
      <c r="B82" s="407" t="s">
        <v>425</v>
      </c>
      <c r="C82" s="336"/>
      <c r="D82" s="337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402"/>
      <c r="S82" s="402"/>
      <c r="T82" s="334"/>
    </row>
    <row r="83" spans="1:20" ht="15.75" customHeight="1" x14ac:dyDescent="0.15">
      <c r="A83" s="335" t="s">
        <v>426</v>
      </c>
      <c r="B83" s="407" t="s">
        <v>427</v>
      </c>
      <c r="C83" s="336"/>
      <c r="D83" s="337"/>
      <c r="E83" s="333">
        <v>1500000</v>
      </c>
      <c r="F83" s="333"/>
      <c r="G83" s="333"/>
      <c r="H83" s="333"/>
      <c r="I83" s="333">
        <v>1500000</v>
      </c>
      <c r="J83" s="333"/>
      <c r="K83" s="333"/>
      <c r="L83" s="333"/>
      <c r="M83" s="333"/>
      <c r="N83" s="333">
        <v>1500000</v>
      </c>
      <c r="O83" s="333"/>
      <c r="P83" s="333"/>
      <c r="Q83" s="333">
        <f>SUM(E83:P83)</f>
        <v>4500000</v>
      </c>
      <c r="R83" s="402">
        <f>'RINCIAN B. LANGSUNG USAHA'!Q91</f>
        <v>0</v>
      </c>
      <c r="S83" s="419">
        <f t="shared" ref="S83:S88" si="32">Q83-R83</f>
        <v>4500000</v>
      </c>
      <c r="T83" s="334"/>
    </row>
    <row r="84" spans="1:20" ht="15.75" customHeight="1" x14ac:dyDescent="0.15">
      <c r="A84" s="335" t="s">
        <v>428</v>
      </c>
      <c r="B84" s="407" t="s">
        <v>429</v>
      </c>
      <c r="C84" s="336"/>
      <c r="D84" s="337"/>
      <c r="E84" s="333">
        <v>30000000</v>
      </c>
      <c r="F84" s="333">
        <v>30000000</v>
      </c>
      <c r="G84" s="333">
        <v>30000000</v>
      </c>
      <c r="H84" s="333">
        <v>30000000</v>
      </c>
      <c r="I84" s="333">
        <v>30000000</v>
      </c>
      <c r="J84" s="333">
        <v>30000000</v>
      </c>
      <c r="K84" s="333">
        <v>30000000</v>
      </c>
      <c r="L84" s="333">
        <v>30000000</v>
      </c>
      <c r="M84" s="333">
        <v>30000000</v>
      </c>
      <c r="N84" s="333">
        <v>30000000</v>
      </c>
      <c r="O84" s="333">
        <v>30000000</v>
      </c>
      <c r="P84" s="333">
        <v>30000000</v>
      </c>
      <c r="Q84" s="333">
        <f t="shared" ref="Q84:Q88" si="33">SUM(E84:P84)</f>
        <v>360000000</v>
      </c>
      <c r="R84" s="402">
        <f>'RINCIAN B. LANGSUNG USAHA'!Q92</f>
        <v>0</v>
      </c>
      <c r="S84" s="419">
        <f t="shared" si="32"/>
        <v>360000000</v>
      </c>
      <c r="T84" s="334"/>
    </row>
    <row r="85" spans="1:20" ht="15.75" customHeight="1" x14ac:dyDescent="0.15">
      <c r="A85" s="335" t="s">
        <v>430</v>
      </c>
      <c r="B85" s="407" t="s">
        <v>431</v>
      </c>
      <c r="C85" s="336"/>
      <c r="D85" s="337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>
        <f t="shared" si="33"/>
        <v>0</v>
      </c>
      <c r="R85" s="402">
        <f>'RINCIAN B. LANGSUNG USAHA'!Q93</f>
        <v>0</v>
      </c>
      <c r="S85" s="419">
        <f t="shared" si="32"/>
        <v>0</v>
      </c>
      <c r="T85" s="334"/>
    </row>
    <row r="86" spans="1:20" ht="15.75" customHeight="1" x14ac:dyDescent="0.15">
      <c r="A86" s="335" t="s">
        <v>432</v>
      </c>
      <c r="B86" s="407" t="s">
        <v>410</v>
      </c>
      <c r="C86" s="357"/>
      <c r="D86" s="358"/>
      <c r="E86" s="333">
        <v>2000000</v>
      </c>
      <c r="F86" s="333">
        <v>2000000</v>
      </c>
      <c r="G86" s="333">
        <v>2000000</v>
      </c>
      <c r="H86" s="333">
        <v>2000000</v>
      </c>
      <c r="I86" s="333">
        <v>2000000</v>
      </c>
      <c r="J86" s="333">
        <v>2000000</v>
      </c>
      <c r="K86" s="333">
        <v>2000000</v>
      </c>
      <c r="L86" s="333">
        <v>2000000</v>
      </c>
      <c r="M86" s="333">
        <v>2000000</v>
      </c>
      <c r="N86" s="333">
        <v>2000000</v>
      </c>
      <c r="O86" s="333">
        <v>2000000</v>
      </c>
      <c r="P86" s="333">
        <v>2000000</v>
      </c>
      <c r="Q86" s="333">
        <f t="shared" si="33"/>
        <v>24000000</v>
      </c>
      <c r="R86" s="402">
        <f>'RINCIAN B. LANGSUNG USAHA'!Q94</f>
        <v>0</v>
      </c>
      <c r="S86" s="419">
        <f t="shared" si="32"/>
        <v>24000000</v>
      </c>
      <c r="T86" s="334"/>
    </row>
    <row r="87" spans="1:20" ht="15.75" customHeight="1" x14ac:dyDescent="0.15">
      <c r="A87" s="335" t="s">
        <v>433</v>
      </c>
      <c r="B87" s="407" t="s">
        <v>434</v>
      </c>
      <c r="C87" s="336"/>
      <c r="D87" s="337"/>
      <c r="E87" s="333">
        <v>30000000</v>
      </c>
      <c r="F87" s="333">
        <v>30000000</v>
      </c>
      <c r="G87" s="333">
        <v>30000000</v>
      </c>
      <c r="H87" s="333">
        <v>30000000</v>
      </c>
      <c r="I87" s="333">
        <v>30000000</v>
      </c>
      <c r="J87" s="333">
        <v>30000000</v>
      </c>
      <c r="K87" s="333">
        <v>30000000</v>
      </c>
      <c r="L87" s="333">
        <v>30000000</v>
      </c>
      <c r="M87" s="333">
        <v>30000000</v>
      </c>
      <c r="N87" s="333">
        <v>30000000</v>
      </c>
      <c r="O87" s="333">
        <v>30000000</v>
      </c>
      <c r="P87" s="333">
        <v>30000000</v>
      </c>
      <c r="Q87" s="333">
        <f t="shared" si="33"/>
        <v>360000000</v>
      </c>
      <c r="R87" s="402">
        <f>'RINCIAN B. LANGSUNG USAHA'!Q95</f>
        <v>0</v>
      </c>
      <c r="S87" s="419">
        <f t="shared" si="32"/>
        <v>360000000</v>
      </c>
      <c r="T87" s="334"/>
    </row>
    <row r="88" spans="1:20" ht="15.75" customHeight="1" x14ac:dyDescent="0.15">
      <c r="A88" s="335" t="s">
        <v>435</v>
      </c>
      <c r="B88" s="407" t="s">
        <v>436</v>
      </c>
      <c r="C88" s="336"/>
      <c r="D88" s="337"/>
      <c r="E88" s="333">
        <v>1000000</v>
      </c>
      <c r="F88" s="333">
        <v>1000000</v>
      </c>
      <c r="G88" s="333">
        <v>1000000</v>
      </c>
      <c r="H88" s="333">
        <v>1000000</v>
      </c>
      <c r="I88" s="333">
        <v>1000000</v>
      </c>
      <c r="J88" s="333">
        <v>1000000</v>
      </c>
      <c r="K88" s="333">
        <v>1000000</v>
      </c>
      <c r="L88" s="333">
        <v>1000000</v>
      </c>
      <c r="M88" s="333">
        <v>1000000</v>
      </c>
      <c r="N88" s="333">
        <v>1000000</v>
      </c>
      <c r="O88" s="333">
        <v>1000000</v>
      </c>
      <c r="P88" s="333">
        <v>1000000</v>
      </c>
      <c r="Q88" s="333">
        <f t="shared" si="33"/>
        <v>12000000</v>
      </c>
      <c r="R88" s="402">
        <f>'RINCIAN B. LANGSUNG USAHA'!Q96</f>
        <v>0</v>
      </c>
      <c r="S88" s="419">
        <f t="shared" si="32"/>
        <v>12000000</v>
      </c>
      <c r="T88" s="334"/>
    </row>
    <row r="89" spans="1:20" ht="15.75" customHeight="1" x14ac:dyDescent="0.15">
      <c r="A89" s="344"/>
      <c r="B89" s="857" t="s">
        <v>413</v>
      </c>
      <c r="C89" s="858"/>
      <c r="D89" s="859"/>
      <c r="E89" s="345">
        <f>SUM(E83:E88)</f>
        <v>64500000</v>
      </c>
      <c r="F89" s="345">
        <f t="shared" ref="F89:P89" si="34">SUM(F83:F88)</f>
        <v>63000000</v>
      </c>
      <c r="G89" s="345">
        <f t="shared" si="34"/>
        <v>63000000</v>
      </c>
      <c r="H89" s="345">
        <f t="shared" si="34"/>
        <v>63000000</v>
      </c>
      <c r="I89" s="345">
        <f t="shared" si="34"/>
        <v>64500000</v>
      </c>
      <c r="J89" s="345">
        <f t="shared" si="34"/>
        <v>63000000</v>
      </c>
      <c r="K89" s="345">
        <f t="shared" si="34"/>
        <v>63000000</v>
      </c>
      <c r="L89" s="345">
        <f t="shared" si="34"/>
        <v>63000000</v>
      </c>
      <c r="M89" s="345">
        <f t="shared" si="34"/>
        <v>63000000</v>
      </c>
      <c r="N89" s="345">
        <f t="shared" si="34"/>
        <v>64500000</v>
      </c>
      <c r="O89" s="345">
        <f t="shared" si="34"/>
        <v>63000000</v>
      </c>
      <c r="P89" s="345">
        <f t="shared" si="34"/>
        <v>63000000</v>
      </c>
      <c r="Q89" s="345">
        <f>SUM(E89:P89)</f>
        <v>760500000</v>
      </c>
      <c r="R89" s="403">
        <f>SUM(R83:R88)</f>
        <v>0</v>
      </c>
      <c r="S89" s="403">
        <f>SUM(S83:S88)</f>
        <v>760500000</v>
      </c>
      <c r="T89" s="346" t="s">
        <v>377</v>
      </c>
    </row>
    <row r="90" spans="1:20" ht="15.75" customHeight="1" x14ac:dyDescent="0.15">
      <c r="A90" s="344"/>
      <c r="B90" s="417" t="s">
        <v>391</v>
      </c>
      <c r="C90" s="349"/>
      <c r="D90" s="350"/>
      <c r="E90" s="345">
        <f>E89+E81</f>
        <v>90000000</v>
      </c>
      <c r="F90" s="345">
        <f t="shared" ref="F90:P90" si="35">F89+F81</f>
        <v>88500000</v>
      </c>
      <c r="G90" s="345">
        <f t="shared" si="35"/>
        <v>88500000</v>
      </c>
      <c r="H90" s="345">
        <f t="shared" si="35"/>
        <v>88500000</v>
      </c>
      <c r="I90" s="345">
        <f t="shared" si="35"/>
        <v>90000000</v>
      </c>
      <c r="J90" s="345">
        <f t="shared" si="35"/>
        <v>88500000</v>
      </c>
      <c r="K90" s="345">
        <f t="shared" si="35"/>
        <v>88500000</v>
      </c>
      <c r="L90" s="345">
        <f t="shared" si="35"/>
        <v>88500000</v>
      </c>
      <c r="M90" s="345">
        <f t="shared" si="35"/>
        <v>88500000</v>
      </c>
      <c r="N90" s="345">
        <f t="shared" si="35"/>
        <v>90000000</v>
      </c>
      <c r="O90" s="345">
        <f t="shared" si="35"/>
        <v>88500000</v>
      </c>
      <c r="P90" s="345">
        <f t="shared" si="35"/>
        <v>88500000</v>
      </c>
      <c r="Q90" s="345">
        <f>SUM(E90:P90)</f>
        <v>1066500000</v>
      </c>
      <c r="R90" s="402">
        <f>R81+R89</f>
        <v>0</v>
      </c>
      <c r="S90" s="402">
        <f>Q90-R90</f>
        <v>1066500000</v>
      </c>
      <c r="T90" s="334"/>
    </row>
    <row r="91" spans="1:20" ht="15.75" customHeight="1" x14ac:dyDescent="0.15">
      <c r="A91" s="344" t="s">
        <v>333</v>
      </c>
      <c r="B91" s="417" t="s">
        <v>437</v>
      </c>
      <c r="C91" s="349"/>
      <c r="D91" s="350"/>
      <c r="E91" s="345">
        <v>35700000</v>
      </c>
      <c r="F91" s="345">
        <v>35700000</v>
      </c>
      <c r="G91" s="345">
        <v>35700000</v>
      </c>
      <c r="H91" s="345">
        <v>35700000</v>
      </c>
      <c r="I91" s="345">
        <v>35700000</v>
      </c>
      <c r="J91" s="345">
        <v>35700000</v>
      </c>
      <c r="K91" s="345">
        <v>35700000</v>
      </c>
      <c r="L91" s="345">
        <v>35700000</v>
      </c>
      <c r="M91" s="345">
        <v>35700000</v>
      </c>
      <c r="N91" s="345">
        <v>35700000</v>
      </c>
      <c r="O91" s="345">
        <v>35700000</v>
      </c>
      <c r="P91" s="345">
        <v>35700000</v>
      </c>
      <c r="Q91" s="345">
        <f>SUM(E91:P91)</f>
        <v>428400000</v>
      </c>
      <c r="R91" s="403">
        <f>'RINCIAN B. LANGSUNG USAHA'!Q99</f>
        <v>0</v>
      </c>
      <c r="S91" s="345">
        <f t="shared" ref="S91:S95" si="36">Q91-R91</f>
        <v>428400000</v>
      </c>
      <c r="T91" s="346" t="s">
        <v>393</v>
      </c>
    </row>
    <row r="92" spans="1:20" ht="15.75" customHeight="1" x14ac:dyDescent="0.15">
      <c r="A92" s="344"/>
      <c r="B92" s="866" t="s">
        <v>438</v>
      </c>
      <c r="C92" s="867"/>
      <c r="D92" s="868"/>
      <c r="E92" s="345">
        <f>SUM(E90:E91)</f>
        <v>125700000</v>
      </c>
      <c r="F92" s="345">
        <f t="shared" ref="F92:P92" si="37">SUM(F90:F91)</f>
        <v>124200000</v>
      </c>
      <c r="G92" s="345">
        <f>SUM(G90:G91)</f>
        <v>124200000</v>
      </c>
      <c r="H92" s="345">
        <f t="shared" si="37"/>
        <v>124200000</v>
      </c>
      <c r="I92" s="345">
        <f t="shared" si="37"/>
        <v>125700000</v>
      </c>
      <c r="J92" s="345">
        <f t="shared" si="37"/>
        <v>124200000</v>
      </c>
      <c r="K92" s="345">
        <f t="shared" si="37"/>
        <v>124200000</v>
      </c>
      <c r="L92" s="345">
        <f t="shared" si="37"/>
        <v>124200000</v>
      </c>
      <c r="M92" s="345">
        <f t="shared" si="37"/>
        <v>124200000</v>
      </c>
      <c r="N92" s="345">
        <f t="shared" si="37"/>
        <v>125700000</v>
      </c>
      <c r="O92" s="345">
        <f t="shared" si="37"/>
        <v>124200000</v>
      </c>
      <c r="P92" s="345">
        <f t="shared" si="37"/>
        <v>124200000</v>
      </c>
      <c r="Q92" s="345">
        <f>SUM(Q90:Q91)</f>
        <v>1494900000</v>
      </c>
      <c r="R92" s="402">
        <f>R90+R91</f>
        <v>0</v>
      </c>
      <c r="S92" s="345">
        <f t="shared" si="36"/>
        <v>1494900000</v>
      </c>
      <c r="T92" s="334"/>
    </row>
    <row r="93" spans="1:20" ht="15.75" customHeight="1" x14ac:dyDescent="0.15">
      <c r="A93" s="362"/>
      <c r="B93" s="363" t="s">
        <v>439</v>
      </c>
      <c r="C93" s="336"/>
      <c r="D93" s="337"/>
      <c r="E93" s="345">
        <f t="shared" ref="E93:P94" si="38">E90+E71+E35</f>
        <v>291822150</v>
      </c>
      <c r="F93" s="345">
        <f t="shared" si="38"/>
        <v>307606144</v>
      </c>
      <c r="G93" s="345">
        <f t="shared" si="38"/>
        <v>260481118</v>
      </c>
      <c r="H93" s="345">
        <f t="shared" si="38"/>
        <v>264478200</v>
      </c>
      <c r="I93" s="345">
        <f t="shared" si="38"/>
        <v>263063995</v>
      </c>
      <c r="J93" s="345">
        <f t="shared" si="38"/>
        <v>302278200</v>
      </c>
      <c r="K93" s="345">
        <f t="shared" si="38"/>
        <v>294063995</v>
      </c>
      <c r="L93" s="345">
        <f t="shared" si="38"/>
        <v>284478200</v>
      </c>
      <c r="M93" s="345">
        <f t="shared" si="38"/>
        <v>277063995</v>
      </c>
      <c r="N93" s="345">
        <f t="shared" si="38"/>
        <v>302478200</v>
      </c>
      <c r="O93" s="345">
        <f t="shared" si="38"/>
        <v>261063995</v>
      </c>
      <c r="P93" s="345">
        <f t="shared" si="38"/>
        <v>268928200</v>
      </c>
      <c r="Q93" s="345">
        <f>SUM(E93:P93)</f>
        <v>3377806392</v>
      </c>
      <c r="R93" s="403">
        <f>R35+R71+R90</f>
        <v>0</v>
      </c>
      <c r="S93" s="345">
        <f t="shared" si="36"/>
        <v>3377806392</v>
      </c>
      <c r="T93" s="346"/>
    </row>
    <row r="94" spans="1:20" ht="15.75" customHeight="1" x14ac:dyDescent="0.15">
      <c r="A94" s="344"/>
      <c r="B94" s="417" t="s">
        <v>440</v>
      </c>
      <c r="C94" s="349"/>
      <c r="D94" s="350"/>
      <c r="E94" s="333">
        <f t="shared" si="38"/>
        <v>77600000</v>
      </c>
      <c r="F94" s="333">
        <f t="shared" si="38"/>
        <v>82200000</v>
      </c>
      <c r="G94" s="333">
        <f t="shared" si="38"/>
        <v>82200000</v>
      </c>
      <c r="H94" s="333">
        <f t="shared" si="38"/>
        <v>82200000</v>
      </c>
      <c r="I94" s="333">
        <f t="shared" si="38"/>
        <v>82200000</v>
      </c>
      <c r="J94" s="333">
        <f t="shared" si="38"/>
        <v>82200000</v>
      </c>
      <c r="K94" s="333">
        <f t="shared" si="38"/>
        <v>82200000</v>
      </c>
      <c r="L94" s="333">
        <f t="shared" si="38"/>
        <v>82200000</v>
      </c>
      <c r="M94" s="333">
        <f t="shared" si="38"/>
        <v>82200000</v>
      </c>
      <c r="N94" s="333">
        <f t="shared" si="38"/>
        <v>82200000</v>
      </c>
      <c r="O94" s="333">
        <f t="shared" si="38"/>
        <v>82200000</v>
      </c>
      <c r="P94" s="333">
        <f t="shared" si="38"/>
        <v>82200000</v>
      </c>
      <c r="Q94" s="333">
        <f>SUM(E94:P94)</f>
        <v>981800000</v>
      </c>
      <c r="R94" s="345">
        <f>R36+R72+R91</f>
        <v>0</v>
      </c>
      <c r="S94" s="345">
        <f t="shared" si="36"/>
        <v>981800000</v>
      </c>
      <c r="T94" s="346" t="s">
        <v>393</v>
      </c>
    </row>
    <row r="95" spans="1:20" ht="15.75" customHeight="1" thickBot="1" x14ac:dyDescent="0.2">
      <c r="A95" s="364"/>
      <c r="B95" s="869" t="s">
        <v>441</v>
      </c>
      <c r="C95" s="870"/>
      <c r="D95" s="871"/>
      <c r="E95" s="365">
        <f>SUM(E93:E94)</f>
        <v>369422150</v>
      </c>
      <c r="F95" s="365">
        <f t="shared" ref="F95:Q95" si="39">SUM(F93:F94)</f>
        <v>389806144</v>
      </c>
      <c r="G95" s="365">
        <f t="shared" si="39"/>
        <v>342681118</v>
      </c>
      <c r="H95" s="365">
        <f t="shared" si="39"/>
        <v>346678200</v>
      </c>
      <c r="I95" s="365">
        <f t="shared" si="39"/>
        <v>345263995</v>
      </c>
      <c r="J95" s="365">
        <f t="shared" si="39"/>
        <v>384478200</v>
      </c>
      <c r="K95" s="365">
        <f t="shared" si="39"/>
        <v>376263995</v>
      </c>
      <c r="L95" s="365">
        <f t="shared" si="39"/>
        <v>366678200</v>
      </c>
      <c r="M95" s="365">
        <f t="shared" si="39"/>
        <v>359263995</v>
      </c>
      <c r="N95" s="365">
        <f t="shared" si="39"/>
        <v>384678200</v>
      </c>
      <c r="O95" s="365">
        <f t="shared" si="39"/>
        <v>343263995</v>
      </c>
      <c r="P95" s="365">
        <f t="shared" si="39"/>
        <v>351128200</v>
      </c>
      <c r="Q95" s="365">
        <f t="shared" si="39"/>
        <v>4359606392</v>
      </c>
      <c r="R95" s="405">
        <f>SUM(R93:R94)</f>
        <v>0</v>
      </c>
      <c r="S95" s="345">
        <f t="shared" si="36"/>
        <v>4359606392</v>
      </c>
      <c r="T95" s="366"/>
    </row>
    <row r="96" spans="1:20" ht="12.75" customHeight="1" thickTop="1" x14ac:dyDescent="0.15">
      <c r="A96" s="367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</row>
    <row r="97" spans="1:20" ht="12.75" customHeight="1" x14ac:dyDescent="0.15">
      <c r="A97" s="367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</row>
    <row r="98" spans="1:20" ht="12.75" customHeight="1" x14ac:dyDescent="0.15">
      <c r="A98" s="367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856"/>
      <c r="R98" s="856"/>
      <c r="S98" s="856"/>
      <c r="T98" s="856"/>
    </row>
    <row r="99" spans="1:20" ht="12.75" customHeight="1" x14ac:dyDescent="0.15">
      <c r="A99" s="367"/>
      <c r="K99" s="343"/>
      <c r="Q99" s="343"/>
      <c r="R99" s="343"/>
      <c r="S99" s="343"/>
    </row>
    <row r="100" spans="1:20" ht="12.75" customHeight="1" x14ac:dyDescent="0.15">
      <c r="A100" s="367"/>
      <c r="K100" s="343"/>
    </row>
    <row r="101" spans="1:20" ht="12.75" customHeight="1" x14ac:dyDescent="0.15">
      <c r="A101" s="367"/>
      <c r="K101" s="856"/>
      <c r="L101" s="856"/>
    </row>
    <row r="102" spans="1:20" ht="12.75" customHeight="1" x14ac:dyDescent="0.15">
      <c r="A102" s="367"/>
      <c r="B102" s="323"/>
    </row>
    <row r="103" spans="1:20" ht="12.75" customHeight="1" x14ac:dyDescent="0.15">
      <c r="A103" s="367"/>
      <c r="B103" s="323"/>
    </row>
    <row r="104" spans="1:20" ht="12.75" customHeight="1" x14ac:dyDescent="0.15">
      <c r="A104" s="367"/>
      <c r="B104" s="323"/>
    </row>
    <row r="105" spans="1:20" ht="12.75" customHeight="1" x14ac:dyDescent="0.15">
      <c r="A105" s="367"/>
      <c r="B105" s="323"/>
    </row>
    <row r="106" spans="1:20" ht="12.75" customHeight="1" x14ac:dyDescent="0.15">
      <c r="A106" s="367"/>
      <c r="B106" s="323"/>
    </row>
    <row r="107" spans="1:20" ht="12.75" customHeight="1" x14ac:dyDescent="0.15">
      <c r="A107" s="367"/>
      <c r="B107" s="323"/>
    </row>
    <row r="108" spans="1:20" ht="12.75" customHeight="1" x14ac:dyDescent="0.15">
      <c r="A108" s="367"/>
      <c r="B108" s="323"/>
    </row>
    <row r="109" spans="1:20" ht="12.75" customHeight="1" x14ac:dyDescent="0.15">
      <c r="A109" s="367"/>
      <c r="B109" s="323"/>
    </row>
    <row r="110" spans="1:20" ht="12.75" customHeight="1" x14ac:dyDescent="0.15">
      <c r="A110" s="367"/>
      <c r="B110" s="323"/>
    </row>
    <row r="111" spans="1:20" ht="12.75" customHeight="1" x14ac:dyDescent="0.15">
      <c r="A111" s="367"/>
      <c r="B111" s="323"/>
    </row>
    <row r="112" spans="1:20" ht="12.75" customHeight="1" x14ac:dyDescent="0.15">
      <c r="A112" s="367"/>
      <c r="B112" s="323"/>
    </row>
    <row r="113" spans="1:2" ht="12.75" customHeight="1" x14ac:dyDescent="0.15">
      <c r="A113" s="367"/>
      <c r="B113" s="323"/>
    </row>
    <row r="114" spans="1:2" ht="12.75" customHeight="1" x14ac:dyDescent="0.15">
      <c r="A114" s="367"/>
      <c r="B114" s="323"/>
    </row>
    <row r="115" spans="1:2" ht="12.75" customHeight="1" x14ac:dyDescent="0.15">
      <c r="A115" s="367"/>
      <c r="B115" s="323"/>
    </row>
    <row r="116" spans="1:2" ht="12.75" customHeight="1" x14ac:dyDescent="0.15">
      <c r="A116" s="367"/>
      <c r="B116" s="323"/>
    </row>
    <row r="117" spans="1:2" ht="12.75" customHeight="1" x14ac:dyDescent="0.15">
      <c r="A117" s="367"/>
      <c r="B117" s="323"/>
    </row>
    <row r="118" spans="1:2" ht="12.75" customHeight="1" x14ac:dyDescent="0.15">
      <c r="A118" s="367"/>
      <c r="B118" s="323"/>
    </row>
    <row r="119" spans="1:2" ht="12.75" customHeight="1" x14ac:dyDescent="0.15">
      <c r="A119" s="367"/>
      <c r="B119" s="323"/>
    </row>
    <row r="120" spans="1:2" ht="12.75" customHeight="1" x14ac:dyDescent="0.15">
      <c r="A120" s="367"/>
      <c r="B120" s="323"/>
    </row>
    <row r="121" spans="1:2" ht="12.75" customHeight="1" x14ac:dyDescent="0.15">
      <c r="A121" s="367"/>
      <c r="B121" s="323"/>
    </row>
    <row r="122" spans="1:2" ht="12.75" customHeight="1" x14ac:dyDescent="0.15">
      <c r="A122" s="367"/>
      <c r="B122" s="323"/>
    </row>
    <row r="123" spans="1:2" ht="12.75" customHeight="1" x14ac:dyDescent="0.15">
      <c r="A123" s="367"/>
      <c r="B123" s="323"/>
    </row>
    <row r="124" spans="1:2" ht="12.75" customHeight="1" x14ac:dyDescent="0.15">
      <c r="A124" s="367"/>
      <c r="B124" s="323"/>
    </row>
    <row r="125" spans="1:2" ht="12.75" customHeight="1" x14ac:dyDescent="0.15">
      <c r="A125" s="367"/>
      <c r="B125" s="323"/>
    </row>
    <row r="126" spans="1:2" ht="12.75" customHeight="1" x14ac:dyDescent="0.15">
      <c r="A126" s="367"/>
      <c r="B126" s="323"/>
    </row>
    <row r="127" spans="1:2" ht="12.75" customHeight="1" x14ac:dyDescent="0.15">
      <c r="A127" s="367"/>
      <c r="B127" s="323"/>
    </row>
    <row r="128" spans="1:2" ht="12.75" customHeight="1" x14ac:dyDescent="0.15">
      <c r="A128" s="367"/>
      <c r="B128" s="323"/>
    </row>
    <row r="129" spans="1:2" ht="12.75" customHeight="1" x14ac:dyDescent="0.15">
      <c r="A129" s="367"/>
      <c r="B129" s="323"/>
    </row>
    <row r="130" spans="1:2" ht="12.75" customHeight="1" x14ac:dyDescent="0.15">
      <c r="A130" s="367"/>
      <c r="B130" s="323"/>
    </row>
    <row r="131" spans="1:2" ht="12.75" customHeight="1" x14ac:dyDescent="0.15">
      <c r="A131" s="367"/>
      <c r="B131" s="323"/>
    </row>
    <row r="132" spans="1:2" ht="12.75" customHeight="1" x14ac:dyDescent="0.15">
      <c r="A132" s="367"/>
      <c r="B132" s="323"/>
    </row>
    <row r="133" spans="1:2" ht="12.75" customHeight="1" x14ac:dyDescent="0.15">
      <c r="A133" s="367"/>
      <c r="B133" s="323"/>
    </row>
    <row r="134" spans="1:2" ht="12.75" customHeight="1" x14ac:dyDescent="0.15">
      <c r="A134" s="367"/>
      <c r="B134" s="323"/>
    </row>
    <row r="135" spans="1:2" ht="12.75" customHeight="1" x14ac:dyDescent="0.15">
      <c r="A135" s="367"/>
      <c r="B135" s="323"/>
    </row>
    <row r="136" spans="1:2" ht="12.75" customHeight="1" x14ac:dyDescent="0.15">
      <c r="A136" s="367"/>
      <c r="B136" s="323"/>
    </row>
    <row r="137" spans="1:2" ht="12.75" customHeight="1" x14ac:dyDescent="0.15">
      <c r="A137" s="367"/>
      <c r="B137" s="323"/>
    </row>
    <row r="138" spans="1:2" ht="12.75" customHeight="1" x14ac:dyDescent="0.15">
      <c r="A138" s="367"/>
      <c r="B138" s="323"/>
    </row>
    <row r="139" spans="1:2" ht="12.75" customHeight="1" x14ac:dyDescent="0.15">
      <c r="A139" s="367"/>
      <c r="B139" s="323"/>
    </row>
    <row r="140" spans="1:2" ht="12.75" customHeight="1" x14ac:dyDescent="0.15">
      <c r="A140" s="367"/>
      <c r="B140" s="323"/>
    </row>
    <row r="141" spans="1:2" ht="12.75" customHeight="1" x14ac:dyDescent="0.15">
      <c r="A141" s="367"/>
      <c r="B141" s="323"/>
    </row>
    <row r="142" spans="1:2" ht="12.75" customHeight="1" x14ac:dyDescent="0.15">
      <c r="A142" s="367"/>
      <c r="B142" s="323"/>
    </row>
    <row r="143" spans="1:2" ht="12.75" customHeight="1" x14ac:dyDescent="0.15">
      <c r="A143" s="367"/>
      <c r="B143" s="323"/>
    </row>
    <row r="144" spans="1:2" ht="12.75" customHeight="1" x14ac:dyDescent="0.15">
      <c r="A144" s="367"/>
      <c r="B144" s="323"/>
    </row>
    <row r="145" spans="1:2" ht="12.75" customHeight="1" x14ac:dyDescent="0.15">
      <c r="A145" s="367"/>
      <c r="B145" s="323"/>
    </row>
    <row r="146" spans="1:2" ht="12.75" customHeight="1" x14ac:dyDescent="0.15">
      <c r="A146" s="367"/>
      <c r="B146" s="323"/>
    </row>
    <row r="147" spans="1:2" ht="12.75" customHeight="1" x14ac:dyDescent="0.15">
      <c r="A147" s="367"/>
      <c r="B147" s="323"/>
    </row>
    <row r="148" spans="1:2" ht="12.75" customHeight="1" x14ac:dyDescent="0.15">
      <c r="A148" s="367"/>
      <c r="B148" s="323"/>
    </row>
    <row r="149" spans="1:2" ht="12.75" customHeight="1" x14ac:dyDescent="0.15">
      <c r="A149" s="367"/>
      <c r="B149" s="323"/>
    </row>
  </sheetData>
  <mergeCells count="24">
    <mergeCell ref="B89:D89"/>
    <mergeCell ref="B92:D92"/>
    <mergeCell ref="B95:D95"/>
    <mergeCell ref="Q98:T98"/>
    <mergeCell ref="K101:L101"/>
    <mergeCell ref="B81:D81"/>
    <mergeCell ref="B10:D10"/>
    <mergeCell ref="B25:D25"/>
    <mergeCell ref="B33:D33"/>
    <mergeCell ref="B35:D35"/>
    <mergeCell ref="B37:D37"/>
    <mergeCell ref="B61:D61"/>
    <mergeCell ref="B62:D62"/>
    <mergeCell ref="B64:D64"/>
    <mergeCell ref="B70:D70"/>
    <mergeCell ref="B73:D73"/>
    <mergeCell ref="B79:D79"/>
    <mergeCell ref="K2:L2"/>
    <mergeCell ref="N2:O2"/>
    <mergeCell ref="A4:T4"/>
    <mergeCell ref="A5:T5"/>
    <mergeCell ref="B8:D9"/>
    <mergeCell ref="E8:P8"/>
    <mergeCell ref="T8:T9"/>
  </mergeCells>
  <pageMargins left="0.82677165354330717" right="1.1023622047244095" top="0.55118110236220474" bottom="0.74803149606299213" header="0.31496062992125984" footer="0.31496062992125984"/>
  <pageSetup paperSize="5" scale="92" orientation="landscape" horizontalDpi="4294967293" verticalDpi="300" r:id="rId1"/>
  <rowBreaks count="1" manualBreakCount="1">
    <brk id="44" max="17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B8A0-753C-4E90-B2E1-F24DF457085B}">
  <sheetPr>
    <tabColor rgb="FFFF0000"/>
  </sheetPr>
  <dimension ref="A1:T144"/>
  <sheetViews>
    <sheetView showGridLines="0" showWhiteSpace="0" view="pageBreakPreview" topLeftCell="E1" zoomScale="145" zoomScaleSheetLayoutView="145" zoomScalePageLayoutView="110" workbookViewId="0">
      <pane ySplit="10" topLeftCell="A71" activePane="bottomLeft" state="frozen"/>
      <selection activeCell="B1" sqref="B1"/>
      <selection pane="bottomLeft" activeCell="T70" sqref="T70"/>
    </sheetView>
  </sheetViews>
  <sheetFormatPr defaultColWidth="9.140625" defaultRowHeight="12.75" customHeight="1" x14ac:dyDescent="0.15"/>
  <cols>
    <col min="1" max="1" width="7" style="323" customWidth="1"/>
    <col min="2" max="2" width="2.85546875" style="368" customWidth="1"/>
    <col min="3" max="3" width="3.140625" style="323" customWidth="1"/>
    <col min="4" max="4" width="18.140625" style="323" customWidth="1"/>
    <col min="5" max="11" width="10" style="323" customWidth="1"/>
    <col min="12" max="16" width="10" style="397" customWidth="1"/>
    <col min="17" max="17" width="11.5703125" style="397" bestFit="1" customWidth="1"/>
    <col min="18" max="19" width="11.5703125" style="397" customWidth="1"/>
    <col min="20" max="20" width="20.7109375" style="394" customWidth="1"/>
    <col min="21" max="16384" width="9.140625" style="323"/>
  </cols>
  <sheetData>
    <row r="1" spans="1:20" s="315" customFormat="1" ht="12.75" customHeight="1" x14ac:dyDescent="0.2">
      <c r="A1" s="315" t="s">
        <v>34</v>
      </c>
      <c r="B1" s="316"/>
    </row>
    <row r="2" spans="1:20" s="315" customFormat="1" ht="12.75" customHeight="1" x14ac:dyDescent="0.2">
      <c r="A2" s="315" t="s">
        <v>111</v>
      </c>
      <c r="B2" s="316"/>
      <c r="L2" s="903"/>
      <c r="M2" s="903"/>
      <c r="Q2" s="319" t="s">
        <v>442</v>
      </c>
      <c r="R2" s="320"/>
      <c r="S2" s="320"/>
    </row>
    <row r="3" spans="1:20" s="315" customFormat="1" ht="12.75" customHeight="1" x14ac:dyDescent="0.2">
      <c r="B3" s="316"/>
    </row>
    <row r="4" spans="1:20" s="315" customFormat="1" ht="12.75" customHeight="1" x14ac:dyDescent="0.2">
      <c r="A4" s="895" t="s">
        <v>600</v>
      </c>
      <c r="B4" s="895"/>
      <c r="C4" s="895"/>
      <c r="D4" s="895"/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</row>
    <row r="5" spans="1:20" s="315" customFormat="1" ht="12.75" customHeight="1" x14ac:dyDescent="0.2">
      <c r="A5" s="895" t="s">
        <v>634</v>
      </c>
      <c r="B5" s="895"/>
      <c r="C5" s="895"/>
      <c r="D5" s="895"/>
      <c r="E5" s="895"/>
      <c r="F5" s="895"/>
      <c r="G5" s="895"/>
      <c r="H5" s="895"/>
      <c r="I5" s="895"/>
      <c r="J5" s="895"/>
      <c r="K5" s="895"/>
      <c r="L5" s="895"/>
      <c r="M5" s="895"/>
      <c r="N5" s="895"/>
      <c r="O5" s="895"/>
      <c r="P5" s="895"/>
      <c r="Q5" s="895"/>
      <c r="R5" s="895"/>
      <c r="S5" s="895"/>
      <c r="T5" s="895"/>
    </row>
    <row r="6" spans="1:20" s="315" customFormat="1" ht="3.75" customHeight="1" x14ac:dyDescent="0.2">
      <c r="A6" s="317"/>
      <c r="B6" s="316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72"/>
      <c r="N6" s="317"/>
      <c r="O6" s="317"/>
      <c r="P6" s="317"/>
      <c r="Q6" s="317"/>
      <c r="R6" s="317"/>
      <c r="S6" s="317"/>
    </row>
    <row r="7" spans="1:20" s="315" customFormat="1" ht="12.75" customHeight="1" thickBot="1" x14ac:dyDescent="0.25">
      <c r="A7" s="321" t="s">
        <v>14</v>
      </c>
      <c r="B7" s="316"/>
      <c r="O7" s="373"/>
      <c r="P7" s="373"/>
      <c r="Q7" s="373"/>
      <c r="R7" s="373"/>
      <c r="S7" s="373"/>
    </row>
    <row r="8" spans="1:20" ht="15.75" customHeight="1" thickTop="1" x14ac:dyDescent="0.15">
      <c r="A8" s="322" t="s">
        <v>350</v>
      </c>
      <c r="B8" s="880" t="s">
        <v>30</v>
      </c>
      <c r="C8" s="880"/>
      <c r="D8" s="880"/>
      <c r="E8" s="894" t="s">
        <v>351</v>
      </c>
      <c r="F8" s="894"/>
      <c r="G8" s="894"/>
      <c r="H8" s="894"/>
      <c r="I8" s="894"/>
      <c r="J8" s="894"/>
      <c r="K8" s="894"/>
      <c r="L8" s="894"/>
      <c r="M8" s="894"/>
      <c r="N8" s="894"/>
      <c r="O8" s="894"/>
      <c r="P8" s="894"/>
      <c r="Q8" s="414" t="s">
        <v>12</v>
      </c>
      <c r="R8" s="400" t="s">
        <v>608</v>
      </c>
      <c r="S8" s="400" t="s">
        <v>623</v>
      </c>
      <c r="T8" s="374" t="s">
        <v>443</v>
      </c>
    </row>
    <row r="9" spans="1:20" ht="15.75" customHeight="1" x14ac:dyDescent="0.15">
      <c r="A9" s="324" t="s">
        <v>353</v>
      </c>
      <c r="B9" s="881"/>
      <c r="C9" s="881"/>
      <c r="D9" s="881"/>
      <c r="E9" s="415">
        <v>1</v>
      </c>
      <c r="F9" s="415">
        <v>2</v>
      </c>
      <c r="G9" s="415">
        <v>3</v>
      </c>
      <c r="H9" s="415">
        <v>4</v>
      </c>
      <c r="I9" s="415">
        <v>5</v>
      </c>
      <c r="J9" s="415">
        <v>6</v>
      </c>
      <c r="K9" s="415">
        <v>7</v>
      </c>
      <c r="L9" s="415">
        <v>8</v>
      </c>
      <c r="M9" s="415">
        <v>9</v>
      </c>
      <c r="N9" s="415">
        <v>10</v>
      </c>
      <c r="O9" s="415">
        <v>11</v>
      </c>
      <c r="P9" s="415">
        <v>12</v>
      </c>
      <c r="Q9" s="325">
        <v>2022</v>
      </c>
      <c r="R9" s="401">
        <v>2022</v>
      </c>
      <c r="S9" s="401">
        <v>2022</v>
      </c>
      <c r="T9" s="375" t="s">
        <v>444</v>
      </c>
    </row>
    <row r="10" spans="1:20" ht="15.75" customHeight="1" x14ac:dyDescent="0.15">
      <c r="A10" s="326">
        <v>1</v>
      </c>
      <c r="B10" s="882">
        <v>2</v>
      </c>
      <c r="C10" s="882"/>
      <c r="D10" s="882"/>
      <c r="E10" s="416">
        <v>3</v>
      </c>
      <c r="F10" s="416">
        <v>4</v>
      </c>
      <c r="G10" s="416">
        <v>5</v>
      </c>
      <c r="H10" s="416">
        <v>6</v>
      </c>
      <c r="I10" s="416">
        <v>7</v>
      </c>
      <c r="J10" s="416">
        <v>8</v>
      </c>
      <c r="K10" s="416">
        <v>9</v>
      </c>
      <c r="L10" s="416">
        <v>10</v>
      </c>
      <c r="M10" s="416">
        <v>11</v>
      </c>
      <c r="N10" s="416">
        <v>12</v>
      </c>
      <c r="O10" s="416">
        <v>13</v>
      </c>
      <c r="P10" s="416">
        <v>14</v>
      </c>
      <c r="Q10" s="416">
        <v>15</v>
      </c>
      <c r="R10" s="406">
        <v>16</v>
      </c>
      <c r="S10" s="406">
        <v>17</v>
      </c>
      <c r="T10" s="327">
        <v>18</v>
      </c>
    </row>
    <row r="11" spans="1:20" ht="15.75" customHeight="1" x14ac:dyDescent="0.15">
      <c r="A11" s="328" t="s">
        <v>445</v>
      </c>
      <c r="B11" s="329" t="s">
        <v>446</v>
      </c>
      <c r="C11" s="330"/>
      <c r="D11" s="331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402"/>
      <c r="S11" s="402"/>
      <c r="T11" s="376"/>
    </row>
    <row r="12" spans="1:20" ht="15.75" customHeight="1" x14ac:dyDescent="0.15">
      <c r="A12" s="335" t="s">
        <v>447</v>
      </c>
      <c r="B12" s="407" t="s">
        <v>448</v>
      </c>
      <c r="C12" s="336"/>
      <c r="D12" s="337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402"/>
      <c r="S12" s="402"/>
      <c r="T12" s="376"/>
    </row>
    <row r="13" spans="1:20" ht="15.75" customHeight="1" x14ac:dyDescent="0.15">
      <c r="A13" s="335"/>
      <c r="B13" s="407" t="s">
        <v>601</v>
      </c>
      <c r="C13" s="336"/>
      <c r="D13" s="337"/>
      <c r="E13" s="333">
        <v>17550000</v>
      </c>
      <c r="F13" s="333">
        <v>17550000</v>
      </c>
      <c r="G13" s="333">
        <v>17550000</v>
      </c>
      <c r="H13" s="333">
        <v>17550000</v>
      </c>
      <c r="I13" s="333">
        <v>17550000</v>
      </c>
      <c r="J13" s="333">
        <v>17550000</v>
      </c>
      <c r="K13" s="333">
        <v>17550000</v>
      </c>
      <c r="L13" s="333">
        <v>17550000</v>
      </c>
      <c r="M13" s="333">
        <v>17550000</v>
      </c>
      <c r="N13" s="333">
        <v>17550000</v>
      </c>
      <c r="O13" s="333">
        <v>17550000</v>
      </c>
      <c r="P13" s="333">
        <v>17550000</v>
      </c>
      <c r="Q13" s="333">
        <f t="shared" ref="Q13:Q15" si="0">SUM(E13:P13)</f>
        <v>210600000</v>
      </c>
      <c r="R13" s="402"/>
      <c r="S13" s="402"/>
      <c r="T13" s="334"/>
    </row>
    <row r="14" spans="1:20" ht="15.75" customHeight="1" x14ac:dyDescent="0.15">
      <c r="A14" s="335"/>
      <c r="B14" s="407" t="s">
        <v>619</v>
      </c>
      <c r="C14" s="336"/>
      <c r="D14" s="337"/>
      <c r="E14" s="333">
        <v>83300000</v>
      </c>
      <c r="F14" s="333">
        <v>83300000</v>
      </c>
      <c r="G14" s="333">
        <v>83300000</v>
      </c>
      <c r="H14" s="333">
        <v>83300000</v>
      </c>
      <c r="I14" s="333">
        <v>83300000</v>
      </c>
      <c r="J14" s="333">
        <v>83300000</v>
      </c>
      <c r="K14" s="333">
        <v>90000000</v>
      </c>
      <c r="L14" s="333">
        <v>90000000</v>
      </c>
      <c r="M14" s="333">
        <v>90000000</v>
      </c>
      <c r="N14" s="333">
        <v>90000000</v>
      </c>
      <c r="O14" s="333">
        <v>90000000</v>
      </c>
      <c r="P14" s="333">
        <v>90000000</v>
      </c>
      <c r="Q14" s="333">
        <f t="shared" si="0"/>
        <v>1039800000</v>
      </c>
      <c r="R14" s="402"/>
      <c r="S14" s="402"/>
      <c r="T14" s="334"/>
    </row>
    <row r="15" spans="1:20" ht="15.75" customHeight="1" x14ac:dyDescent="0.15">
      <c r="A15" s="335"/>
      <c r="B15" s="407" t="s">
        <v>620</v>
      </c>
      <c r="C15" s="336"/>
      <c r="D15" s="337"/>
      <c r="E15" s="333">
        <v>10500000</v>
      </c>
      <c r="F15" s="333">
        <v>10500000</v>
      </c>
      <c r="G15" s="333">
        <v>10500000</v>
      </c>
      <c r="H15" s="333">
        <v>10500000</v>
      </c>
      <c r="I15" s="333">
        <v>10500000</v>
      </c>
      <c r="J15" s="333">
        <v>10500000</v>
      </c>
      <c r="K15" s="333">
        <v>11000000</v>
      </c>
      <c r="L15" s="333">
        <v>11000000</v>
      </c>
      <c r="M15" s="333">
        <v>11000000</v>
      </c>
      <c r="N15" s="333">
        <v>11000000</v>
      </c>
      <c r="O15" s="333">
        <v>11000000</v>
      </c>
      <c r="P15" s="333">
        <v>11000000</v>
      </c>
      <c r="Q15" s="333">
        <f t="shared" si="0"/>
        <v>129000000</v>
      </c>
      <c r="R15" s="402"/>
      <c r="S15" s="402"/>
      <c r="T15" s="334"/>
    </row>
    <row r="16" spans="1:20" ht="15.75" customHeight="1" x14ac:dyDescent="0.15">
      <c r="A16" s="335"/>
      <c r="B16" s="407" t="s">
        <v>621</v>
      </c>
      <c r="C16" s="336"/>
      <c r="D16" s="337"/>
      <c r="E16" s="333">
        <v>7000000</v>
      </c>
      <c r="F16" s="333">
        <v>7000000</v>
      </c>
      <c r="G16" s="333">
        <v>7000000</v>
      </c>
      <c r="H16" s="333">
        <v>7000000</v>
      </c>
      <c r="I16" s="333">
        <v>7000000</v>
      </c>
      <c r="J16" s="333">
        <v>7000000</v>
      </c>
      <c r="K16" s="333">
        <v>7000000</v>
      </c>
      <c r="L16" s="333">
        <v>7000000</v>
      </c>
      <c r="M16" s="333">
        <v>7000000</v>
      </c>
      <c r="N16" s="333">
        <v>7000000</v>
      </c>
      <c r="O16" s="333">
        <v>7000000</v>
      </c>
      <c r="P16" s="333">
        <v>7000000</v>
      </c>
      <c r="Q16" s="333">
        <f t="shared" ref="Q16:Q67" si="1">SUM(E16:P16)</f>
        <v>84000000</v>
      </c>
      <c r="R16" s="402"/>
      <c r="S16" s="402"/>
      <c r="T16" s="334"/>
    </row>
    <row r="17" spans="1:20" ht="15.75" customHeight="1" x14ac:dyDescent="0.15">
      <c r="A17" s="344"/>
      <c r="B17" s="857" t="s">
        <v>602</v>
      </c>
      <c r="C17" s="858"/>
      <c r="D17" s="859"/>
      <c r="E17" s="377">
        <f t="shared" ref="E17:O17" si="2">SUM(E13:E16)</f>
        <v>118350000</v>
      </c>
      <c r="F17" s="377">
        <f t="shared" si="2"/>
        <v>118350000</v>
      </c>
      <c r="G17" s="377">
        <f t="shared" si="2"/>
        <v>118350000</v>
      </c>
      <c r="H17" s="377">
        <f t="shared" si="2"/>
        <v>118350000</v>
      </c>
      <c r="I17" s="377">
        <f t="shared" si="2"/>
        <v>118350000</v>
      </c>
      <c r="J17" s="377">
        <f t="shared" si="2"/>
        <v>118350000</v>
      </c>
      <c r="K17" s="377">
        <f t="shared" si="2"/>
        <v>125550000</v>
      </c>
      <c r="L17" s="377">
        <f t="shared" si="2"/>
        <v>125550000</v>
      </c>
      <c r="M17" s="377">
        <f t="shared" si="2"/>
        <v>125550000</v>
      </c>
      <c r="N17" s="377">
        <f t="shared" si="2"/>
        <v>125550000</v>
      </c>
      <c r="O17" s="377">
        <f t="shared" si="2"/>
        <v>125550000</v>
      </c>
      <c r="P17" s="377">
        <f>SUM(P13:P16)</f>
        <v>125550000</v>
      </c>
      <c r="Q17" s="377">
        <f>SUM(Q13:Q16)</f>
        <v>1463400000</v>
      </c>
      <c r="R17" s="420" t="e">
        <f>'RINCIAN B. TDK LANGSUNG'!#REF!</f>
        <v>#REF!</v>
      </c>
      <c r="S17" s="420" t="e">
        <f>Q17-R17</f>
        <v>#REF!</v>
      </c>
      <c r="T17" s="346"/>
    </row>
    <row r="18" spans="1:20" ht="15.75" customHeight="1" x14ac:dyDescent="0.15">
      <c r="A18" s="335" t="s">
        <v>449</v>
      </c>
      <c r="B18" s="407" t="s">
        <v>450</v>
      </c>
      <c r="C18" s="336"/>
      <c r="D18" s="337"/>
      <c r="E18" s="333"/>
      <c r="F18" s="333"/>
      <c r="G18" s="333"/>
      <c r="H18" s="333"/>
      <c r="I18" s="333">
        <f>I17+'[10]P-10. Biaya Operasi'!I44+'[10]P-10. Biaya Operasi'!I79</f>
        <v>183300000</v>
      </c>
      <c r="J18" s="333"/>
      <c r="K18" s="333"/>
      <c r="L18" s="333"/>
      <c r="M18" s="333"/>
      <c r="N18" s="333"/>
      <c r="O18" s="333"/>
      <c r="P18" s="333"/>
      <c r="Q18" s="333">
        <f t="shared" si="1"/>
        <v>183300000</v>
      </c>
      <c r="R18" s="402" t="e">
        <f>'RINCIAN B. TDK LANGSUNG'!#REF!</f>
        <v>#REF!</v>
      </c>
      <c r="S18" s="402" t="e">
        <f>Q18-R18</f>
        <v>#REF!</v>
      </c>
      <c r="T18" s="334"/>
    </row>
    <row r="19" spans="1:20" ht="15.75" customHeight="1" x14ac:dyDescent="0.15">
      <c r="A19" s="335" t="s">
        <v>451</v>
      </c>
      <c r="B19" s="407" t="s">
        <v>452</v>
      </c>
      <c r="C19" s="336"/>
      <c r="D19" s="337"/>
      <c r="E19" s="333">
        <v>45000000</v>
      </c>
      <c r="F19" s="333">
        <v>18500000</v>
      </c>
      <c r="G19" s="333">
        <v>18500000</v>
      </c>
      <c r="H19" s="333">
        <v>18500000</v>
      </c>
      <c r="I19" s="333">
        <v>18500000</v>
      </c>
      <c r="J19" s="333">
        <v>18500000</v>
      </c>
      <c r="K19" s="333">
        <v>18500000</v>
      </c>
      <c r="L19" s="333">
        <v>18500000</v>
      </c>
      <c r="M19" s="333">
        <v>18500000</v>
      </c>
      <c r="N19" s="333">
        <v>18500000</v>
      </c>
      <c r="O19" s="333">
        <v>18500000</v>
      </c>
      <c r="P19" s="333">
        <v>18500000</v>
      </c>
      <c r="Q19" s="333">
        <f t="shared" si="1"/>
        <v>248500000</v>
      </c>
      <c r="R19" s="402" t="e">
        <f>'RINCIAN B. TDK LANGSUNG'!#REF!</f>
        <v>#REF!</v>
      </c>
      <c r="S19" s="402" t="e">
        <f t="shared" ref="S19:S27" si="3">Q19-R19</f>
        <v>#REF!</v>
      </c>
      <c r="T19" s="334"/>
    </row>
    <row r="20" spans="1:20" ht="15.75" customHeight="1" x14ac:dyDescent="0.15">
      <c r="A20" s="335" t="s">
        <v>603</v>
      </c>
      <c r="B20" s="407" t="s">
        <v>453</v>
      </c>
      <c r="C20" s="336"/>
      <c r="D20" s="337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>
        <v>127500000</v>
      </c>
      <c r="Q20" s="333">
        <f t="shared" si="1"/>
        <v>127500000</v>
      </c>
      <c r="R20" s="402" t="e">
        <f>'RINCIAN B. TDK LANGSUNG'!#REF!</f>
        <v>#REF!</v>
      </c>
      <c r="S20" s="402" t="e">
        <f t="shared" si="3"/>
        <v>#REF!</v>
      </c>
      <c r="T20" s="334"/>
    </row>
    <row r="21" spans="1:20" ht="15.75" customHeight="1" x14ac:dyDescent="0.15">
      <c r="A21" s="335" t="s">
        <v>577</v>
      </c>
      <c r="B21" s="407" t="s">
        <v>604</v>
      </c>
      <c r="C21" s="336"/>
      <c r="D21" s="337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>
        <f t="shared" si="1"/>
        <v>0</v>
      </c>
      <c r="R21" s="402"/>
      <c r="S21" s="402">
        <f t="shared" si="3"/>
        <v>0</v>
      </c>
      <c r="T21" s="334"/>
    </row>
    <row r="22" spans="1:20" ht="15.75" customHeight="1" x14ac:dyDescent="0.15">
      <c r="A22" s="335"/>
      <c r="B22" s="407" t="s">
        <v>544</v>
      </c>
      <c r="C22" s="336"/>
      <c r="D22" s="337"/>
      <c r="E22" s="333">
        <v>28200000</v>
      </c>
      <c r="F22" s="333">
        <v>28200000</v>
      </c>
      <c r="G22" s="333">
        <v>28200000</v>
      </c>
      <c r="H22" s="333">
        <v>28200000</v>
      </c>
      <c r="I22" s="333">
        <v>28200000</v>
      </c>
      <c r="J22" s="333">
        <v>28200000</v>
      </c>
      <c r="K22" s="333">
        <v>32000000</v>
      </c>
      <c r="L22" s="333">
        <v>32000000</v>
      </c>
      <c r="M22" s="333">
        <v>32000000</v>
      </c>
      <c r="N22" s="333">
        <v>32000000</v>
      </c>
      <c r="O22" s="333">
        <v>32000000</v>
      </c>
      <c r="P22" s="333">
        <v>32000000</v>
      </c>
      <c r="Q22" s="333">
        <f t="shared" si="1"/>
        <v>361200000</v>
      </c>
      <c r="R22" s="402" t="e">
        <f>'RINCIAN B. TDK LANGSUNG'!#REF!</f>
        <v>#REF!</v>
      </c>
      <c r="S22" s="402" t="e">
        <f t="shared" si="3"/>
        <v>#REF!</v>
      </c>
      <c r="T22" s="334"/>
    </row>
    <row r="23" spans="1:20" ht="15.75" customHeight="1" x14ac:dyDescent="0.15">
      <c r="A23" s="335"/>
      <c r="B23" s="407" t="s">
        <v>638</v>
      </c>
      <c r="C23" s="336"/>
      <c r="D23" s="337"/>
      <c r="E23" s="333"/>
      <c r="F23" s="333">
        <v>50000000</v>
      </c>
      <c r="G23" s="333"/>
      <c r="H23" s="333"/>
      <c r="I23" s="333"/>
      <c r="J23" s="333"/>
      <c r="K23" s="333"/>
      <c r="L23" s="333">
        <v>37500000</v>
      </c>
      <c r="M23" s="333"/>
      <c r="N23" s="333"/>
      <c r="O23" s="333"/>
      <c r="P23" s="333"/>
      <c r="Q23" s="333">
        <f t="shared" si="1"/>
        <v>87500000</v>
      </c>
      <c r="R23" s="402" t="e">
        <f>'RINCIAN B. TDK LANGSUNG'!#REF!</f>
        <v>#REF!</v>
      </c>
      <c r="S23" s="402" t="e">
        <f t="shared" si="3"/>
        <v>#REF!</v>
      </c>
      <c r="T23" s="334"/>
    </row>
    <row r="24" spans="1:20" ht="15.75" customHeight="1" x14ac:dyDescent="0.15">
      <c r="A24" s="335" t="s">
        <v>454</v>
      </c>
      <c r="B24" s="407" t="s">
        <v>455</v>
      </c>
      <c r="C24" s="336"/>
      <c r="D24" s="337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>
        <f t="shared" si="1"/>
        <v>0</v>
      </c>
      <c r="R24" s="402">
        <f>'RINCIAN B. TDK LANGSUNG'!Q24</f>
        <v>0</v>
      </c>
      <c r="S24" s="402">
        <f t="shared" si="3"/>
        <v>0</v>
      </c>
      <c r="T24" s="334"/>
    </row>
    <row r="25" spans="1:20" ht="15.75" customHeight="1" x14ac:dyDescent="0.15">
      <c r="A25" s="335" t="s">
        <v>456</v>
      </c>
      <c r="B25" s="407" t="s">
        <v>457</v>
      </c>
      <c r="C25" s="336"/>
      <c r="D25" s="337"/>
      <c r="E25" s="333">
        <v>15000000</v>
      </c>
      <c r="F25" s="333">
        <v>15000000</v>
      </c>
      <c r="G25" s="333">
        <v>15000000</v>
      </c>
      <c r="H25" s="333">
        <v>15000000</v>
      </c>
      <c r="I25" s="333">
        <v>15000000</v>
      </c>
      <c r="J25" s="333">
        <v>15000000</v>
      </c>
      <c r="K25" s="333">
        <v>15000000</v>
      </c>
      <c r="L25" s="333">
        <v>15000000</v>
      </c>
      <c r="M25" s="333">
        <v>15000000</v>
      </c>
      <c r="N25" s="333">
        <v>15000000</v>
      </c>
      <c r="O25" s="333">
        <v>15000000</v>
      </c>
      <c r="P25" s="333">
        <v>15000000</v>
      </c>
      <c r="Q25" s="333">
        <f t="shared" si="1"/>
        <v>180000000</v>
      </c>
      <c r="R25" s="402">
        <f>'RINCIAN B. TDK LANGSUNG'!Q25</f>
        <v>0</v>
      </c>
      <c r="S25" s="402">
        <f t="shared" si="3"/>
        <v>180000000</v>
      </c>
      <c r="T25" s="334"/>
    </row>
    <row r="26" spans="1:20" ht="15.75" customHeight="1" x14ac:dyDescent="0.15">
      <c r="A26" s="335" t="s">
        <v>458</v>
      </c>
      <c r="B26" s="407" t="s">
        <v>459</v>
      </c>
      <c r="C26" s="336"/>
      <c r="D26" s="337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402"/>
      <c r="S26" s="402"/>
      <c r="T26" s="334"/>
    </row>
    <row r="27" spans="1:20" ht="15.75" customHeight="1" x14ac:dyDescent="0.15">
      <c r="A27" s="335"/>
      <c r="B27" s="407" t="s">
        <v>460</v>
      </c>
      <c r="C27" s="357"/>
      <c r="D27" s="358"/>
      <c r="E27" s="333">
        <v>22500000</v>
      </c>
      <c r="F27" s="333">
        <v>3500000</v>
      </c>
      <c r="G27" s="333">
        <v>3500000</v>
      </c>
      <c r="H27" s="333">
        <v>3500000</v>
      </c>
      <c r="I27" s="333">
        <v>7600000</v>
      </c>
      <c r="J27" s="333">
        <v>3500000</v>
      </c>
      <c r="K27" s="333">
        <v>3500000</v>
      </c>
      <c r="L27" s="333">
        <v>3500000</v>
      </c>
      <c r="M27" s="333">
        <v>3500000</v>
      </c>
      <c r="N27" s="333">
        <v>3500000</v>
      </c>
      <c r="O27" s="333">
        <v>3500000</v>
      </c>
      <c r="P27" s="333">
        <v>7600000</v>
      </c>
      <c r="Q27" s="333">
        <f t="shared" si="1"/>
        <v>69200000</v>
      </c>
      <c r="R27" s="402">
        <f>'RINCIAN B. TDK LANGSUNG'!Q28</f>
        <v>0</v>
      </c>
      <c r="S27" s="402">
        <f t="shared" si="3"/>
        <v>69200000</v>
      </c>
      <c r="T27" s="334"/>
    </row>
    <row r="28" spans="1:20" ht="15.75" customHeight="1" x14ac:dyDescent="0.15">
      <c r="A28" s="344"/>
      <c r="B28" s="857" t="s">
        <v>461</v>
      </c>
      <c r="C28" s="858"/>
      <c r="D28" s="859"/>
      <c r="E28" s="377">
        <f>SUM(E17:E27)</f>
        <v>229050000</v>
      </c>
      <c r="F28" s="377">
        <f t="shared" ref="F28:P28" si="4">SUM(F17:F27)</f>
        <v>233550000</v>
      </c>
      <c r="G28" s="377">
        <f t="shared" si="4"/>
        <v>183550000</v>
      </c>
      <c r="H28" s="377">
        <f t="shared" si="4"/>
        <v>183550000</v>
      </c>
      <c r="I28" s="377">
        <f t="shared" si="4"/>
        <v>370950000</v>
      </c>
      <c r="J28" s="377">
        <f t="shared" si="4"/>
        <v>183550000</v>
      </c>
      <c r="K28" s="377">
        <f t="shared" si="4"/>
        <v>194550000</v>
      </c>
      <c r="L28" s="377">
        <f t="shared" si="4"/>
        <v>232050000</v>
      </c>
      <c r="M28" s="377">
        <f t="shared" si="4"/>
        <v>194550000</v>
      </c>
      <c r="N28" s="377">
        <f t="shared" si="4"/>
        <v>194550000</v>
      </c>
      <c r="O28" s="377">
        <f t="shared" si="4"/>
        <v>194550000</v>
      </c>
      <c r="P28" s="377">
        <f t="shared" si="4"/>
        <v>326150000</v>
      </c>
      <c r="Q28" s="345">
        <f t="shared" si="1"/>
        <v>2720600000</v>
      </c>
      <c r="R28" s="403" t="e">
        <f>SUM(R17:R27)</f>
        <v>#REF!</v>
      </c>
      <c r="S28" s="403" t="e">
        <f>Q28-R28</f>
        <v>#REF!</v>
      </c>
      <c r="T28" s="346" t="s">
        <v>628</v>
      </c>
    </row>
    <row r="29" spans="1:20" ht="15.75" customHeight="1" x14ac:dyDescent="0.15">
      <c r="A29" s="335" t="s">
        <v>462</v>
      </c>
      <c r="B29" s="363" t="s">
        <v>463</v>
      </c>
      <c r="C29" s="336"/>
      <c r="D29" s="337"/>
      <c r="E29" s="378"/>
      <c r="F29" s="378"/>
      <c r="G29" s="378"/>
      <c r="H29" s="378"/>
      <c r="I29" s="378"/>
      <c r="J29" s="378"/>
      <c r="K29" s="378"/>
      <c r="L29" s="333"/>
      <c r="M29" s="333"/>
      <c r="N29" s="333"/>
      <c r="O29" s="333"/>
      <c r="P29" s="333"/>
      <c r="Q29" s="333"/>
      <c r="R29" s="402"/>
      <c r="S29" s="402"/>
      <c r="T29" s="376"/>
    </row>
    <row r="30" spans="1:20" ht="15.75" customHeight="1" x14ac:dyDescent="0.15">
      <c r="A30" s="335" t="s">
        <v>464</v>
      </c>
      <c r="B30" s="863" t="s">
        <v>465</v>
      </c>
      <c r="C30" s="864"/>
      <c r="D30" s="865"/>
      <c r="E30" s="333">
        <v>2200000</v>
      </c>
      <c r="F30" s="333">
        <v>2200000</v>
      </c>
      <c r="G30" s="333">
        <v>2200000</v>
      </c>
      <c r="H30" s="333">
        <v>2200000</v>
      </c>
      <c r="I30" s="333">
        <v>2200000</v>
      </c>
      <c r="J30" s="333">
        <v>2200000</v>
      </c>
      <c r="K30" s="333">
        <v>2200000</v>
      </c>
      <c r="L30" s="333">
        <v>2200000</v>
      </c>
      <c r="M30" s="333">
        <v>2200000</v>
      </c>
      <c r="N30" s="333">
        <v>2200000</v>
      </c>
      <c r="O30" s="333">
        <v>2200000</v>
      </c>
      <c r="P30" s="333">
        <v>2200000</v>
      </c>
      <c r="Q30" s="333">
        <f t="shared" si="1"/>
        <v>26400000</v>
      </c>
      <c r="R30" s="402">
        <f>'RINCIAN B. TDK LANGSUNG'!Q31</f>
        <v>0</v>
      </c>
      <c r="S30" s="402">
        <f>Q30-R30</f>
        <v>26400000</v>
      </c>
      <c r="T30" s="334"/>
    </row>
    <row r="31" spans="1:20" ht="15.75" customHeight="1" x14ac:dyDescent="0.15">
      <c r="A31" s="335" t="s">
        <v>466</v>
      </c>
      <c r="B31" s="337" t="s">
        <v>467</v>
      </c>
      <c r="C31" s="336"/>
      <c r="D31" s="336"/>
      <c r="E31" s="378">
        <v>1500000</v>
      </c>
      <c r="F31" s="378"/>
      <c r="G31" s="378"/>
      <c r="H31" s="378"/>
      <c r="I31" s="378">
        <v>1500000</v>
      </c>
      <c r="J31" s="378"/>
      <c r="K31" s="378"/>
      <c r="L31" s="333"/>
      <c r="M31" s="333"/>
      <c r="N31" s="333">
        <v>1500000</v>
      </c>
      <c r="O31" s="333"/>
      <c r="P31" s="333"/>
      <c r="Q31" s="333">
        <f t="shared" si="1"/>
        <v>4500000</v>
      </c>
      <c r="R31" s="402">
        <f>'RINCIAN B. TDK LANGSUNG'!Q32</f>
        <v>0</v>
      </c>
      <c r="S31" s="402">
        <f t="shared" ref="S31:S44" si="5">Q31-R31</f>
        <v>4500000</v>
      </c>
      <c r="T31" s="334"/>
    </row>
    <row r="32" spans="1:20" ht="15.75" customHeight="1" x14ac:dyDescent="0.15">
      <c r="A32" s="335" t="s">
        <v>468</v>
      </c>
      <c r="B32" s="407" t="s">
        <v>244</v>
      </c>
      <c r="C32" s="336"/>
      <c r="D32" s="337"/>
      <c r="E32" s="378">
        <v>1500000</v>
      </c>
      <c r="F32" s="378">
        <v>500000</v>
      </c>
      <c r="G32" s="378">
        <v>500000</v>
      </c>
      <c r="H32" s="378">
        <v>500000</v>
      </c>
      <c r="I32" s="378">
        <v>500000</v>
      </c>
      <c r="J32" s="378">
        <v>1500000</v>
      </c>
      <c r="K32" s="378">
        <v>500000</v>
      </c>
      <c r="L32" s="378">
        <v>500000</v>
      </c>
      <c r="M32" s="378">
        <v>500000</v>
      </c>
      <c r="N32" s="378">
        <v>500000</v>
      </c>
      <c r="O32" s="378">
        <v>1500000</v>
      </c>
      <c r="P32" s="378">
        <v>500000</v>
      </c>
      <c r="Q32" s="333">
        <f t="shared" si="1"/>
        <v>9000000</v>
      </c>
      <c r="R32" s="402">
        <f>'RINCIAN B. TDK LANGSUNG'!Q33</f>
        <v>0</v>
      </c>
      <c r="S32" s="402">
        <f t="shared" si="5"/>
        <v>9000000</v>
      </c>
      <c r="T32" s="338"/>
    </row>
    <row r="33" spans="1:20" ht="15.75" customHeight="1" x14ac:dyDescent="0.15">
      <c r="A33" s="335" t="s">
        <v>469</v>
      </c>
      <c r="B33" s="407" t="s">
        <v>470</v>
      </c>
      <c r="C33" s="357"/>
      <c r="D33" s="358"/>
      <c r="E33" s="333">
        <v>70000</v>
      </c>
      <c r="F33" s="333">
        <v>70000</v>
      </c>
      <c r="G33" s="333">
        <v>70000</v>
      </c>
      <c r="H33" s="333">
        <v>70000</v>
      </c>
      <c r="I33" s="333">
        <v>70000</v>
      </c>
      <c r="J33" s="333">
        <v>70000</v>
      </c>
      <c r="K33" s="333">
        <v>70000</v>
      </c>
      <c r="L33" s="333">
        <v>70000</v>
      </c>
      <c r="M33" s="333">
        <v>70000</v>
      </c>
      <c r="N33" s="333">
        <v>70000</v>
      </c>
      <c r="O33" s="333">
        <v>70000</v>
      </c>
      <c r="P33" s="333">
        <v>70000</v>
      </c>
      <c r="Q33" s="333">
        <f t="shared" si="1"/>
        <v>840000</v>
      </c>
      <c r="R33" s="402">
        <f>'RINCIAN B. TDK LANGSUNG'!Q34</f>
        <v>0</v>
      </c>
      <c r="S33" s="402">
        <f t="shared" si="5"/>
        <v>840000</v>
      </c>
      <c r="T33" s="334"/>
    </row>
    <row r="34" spans="1:20" ht="15.75" customHeight="1" x14ac:dyDescent="0.15">
      <c r="A34" s="335" t="s">
        <v>472</v>
      </c>
      <c r="B34" s="407" t="s">
        <v>473</v>
      </c>
      <c r="C34" s="336"/>
      <c r="D34" s="337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>
        <f t="shared" si="1"/>
        <v>0</v>
      </c>
      <c r="R34" s="402">
        <f>'RINCIAN B. TDK LANGSUNG'!Q35</f>
        <v>0</v>
      </c>
      <c r="S34" s="402">
        <f t="shared" si="5"/>
        <v>0</v>
      </c>
      <c r="T34" s="334"/>
    </row>
    <row r="35" spans="1:20" ht="15.75" customHeight="1" x14ac:dyDescent="0.15">
      <c r="A35" s="335"/>
      <c r="B35" s="407" t="s">
        <v>539</v>
      </c>
      <c r="C35" s="336"/>
      <c r="D35" s="337"/>
      <c r="E35" s="333">
        <v>8500000</v>
      </c>
      <c r="F35" s="333">
        <v>8500000</v>
      </c>
      <c r="G35" s="333">
        <v>8500000</v>
      </c>
      <c r="H35" s="333">
        <v>8500000</v>
      </c>
      <c r="I35" s="333">
        <v>8500000</v>
      </c>
      <c r="J35" s="333">
        <v>8500000</v>
      </c>
      <c r="K35" s="333">
        <v>8500000</v>
      </c>
      <c r="L35" s="333">
        <v>8500000</v>
      </c>
      <c r="M35" s="333">
        <v>8500000</v>
      </c>
      <c r="N35" s="333">
        <v>8500000</v>
      </c>
      <c r="O35" s="333">
        <v>8500000</v>
      </c>
      <c r="P35" s="333">
        <v>8500000</v>
      </c>
      <c r="Q35" s="333">
        <f t="shared" ref="Q35:Q44" si="6">SUM(E35:P35)</f>
        <v>102000000</v>
      </c>
      <c r="R35" s="402">
        <f>'RINCIAN B. TDK LANGSUNG'!Q36</f>
        <v>0</v>
      </c>
      <c r="S35" s="402"/>
      <c r="T35" s="334"/>
    </row>
    <row r="36" spans="1:20" ht="15.75" customHeight="1" x14ac:dyDescent="0.15">
      <c r="A36" s="335"/>
      <c r="B36" s="407" t="s">
        <v>639</v>
      </c>
      <c r="C36" s="336"/>
      <c r="D36" s="337"/>
      <c r="E36" s="333">
        <v>4000000</v>
      </c>
      <c r="F36" s="333"/>
      <c r="G36" s="333"/>
      <c r="H36" s="333"/>
      <c r="I36" s="333">
        <v>4000000</v>
      </c>
      <c r="J36" s="333"/>
      <c r="K36" s="333"/>
      <c r="L36" s="333">
        <v>4000000</v>
      </c>
      <c r="M36" s="333"/>
      <c r="N36" s="333"/>
      <c r="O36" s="333">
        <v>4000000</v>
      </c>
      <c r="P36" s="333"/>
      <c r="Q36" s="333">
        <f t="shared" si="6"/>
        <v>16000000</v>
      </c>
      <c r="R36" s="402">
        <f>'RINCIAN B. TDK LANGSUNG'!Q37</f>
        <v>0</v>
      </c>
      <c r="S36" s="402"/>
      <c r="T36" s="334"/>
    </row>
    <row r="37" spans="1:20" ht="15.75" customHeight="1" x14ac:dyDescent="0.15">
      <c r="A37" s="335" t="s">
        <v>474</v>
      </c>
      <c r="B37" s="407" t="s">
        <v>475</v>
      </c>
      <c r="C37" s="336"/>
      <c r="D37" s="337"/>
      <c r="E37" s="333">
        <v>550000</v>
      </c>
      <c r="F37" s="333">
        <v>550000</v>
      </c>
      <c r="G37" s="333">
        <v>550000</v>
      </c>
      <c r="H37" s="333">
        <v>550000</v>
      </c>
      <c r="I37" s="333">
        <v>550000</v>
      </c>
      <c r="J37" s="333">
        <v>550000</v>
      </c>
      <c r="K37" s="333">
        <v>550000</v>
      </c>
      <c r="L37" s="333">
        <v>550000</v>
      </c>
      <c r="M37" s="333">
        <v>550000</v>
      </c>
      <c r="N37" s="333">
        <v>550000</v>
      </c>
      <c r="O37" s="333">
        <v>550000</v>
      </c>
      <c r="P37" s="333">
        <v>550000</v>
      </c>
      <c r="Q37" s="333">
        <f t="shared" si="6"/>
        <v>6600000</v>
      </c>
      <c r="R37" s="402">
        <f>'RINCIAN B. TDK LANGSUNG'!Q38</f>
        <v>0</v>
      </c>
      <c r="S37" s="402">
        <f t="shared" si="5"/>
        <v>6600000</v>
      </c>
      <c r="T37" s="334"/>
    </row>
    <row r="38" spans="1:20" ht="15.75" customHeight="1" x14ac:dyDescent="0.15">
      <c r="A38" s="335" t="s">
        <v>476</v>
      </c>
      <c r="B38" s="863" t="s">
        <v>477</v>
      </c>
      <c r="C38" s="864"/>
      <c r="D38" s="865"/>
      <c r="E38" s="333">
        <v>3250000</v>
      </c>
      <c r="F38" s="333">
        <v>3250000</v>
      </c>
      <c r="G38" s="333">
        <v>3250000</v>
      </c>
      <c r="H38" s="333">
        <v>3250000</v>
      </c>
      <c r="I38" s="333">
        <v>3250000</v>
      </c>
      <c r="J38" s="333">
        <v>3250000</v>
      </c>
      <c r="K38" s="333">
        <v>3250000</v>
      </c>
      <c r="L38" s="333">
        <v>3250000</v>
      </c>
      <c r="M38" s="333">
        <v>3250000</v>
      </c>
      <c r="N38" s="333">
        <v>3250000</v>
      </c>
      <c r="O38" s="333">
        <v>3250000</v>
      </c>
      <c r="P38" s="333">
        <v>3250000</v>
      </c>
      <c r="Q38" s="333">
        <f t="shared" si="6"/>
        <v>39000000</v>
      </c>
      <c r="R38" s="402">
        <f>'RINCIAN B. TDK LANGSUNG'!Q39</f>
        <v>0</v>
      </c>
      <c r="S38" s="402">
        <f t="shared" si="5"/>
        <v>39000000</v>
      </c>
      <c r="T38" s="334"/>
    </row>
    <row r="39" spans="1:20" ht="15.75" customHeight="1" x14ac:dyDescent="0.15">
      <c r="A39" s="335" t="s">
        <v>478</v>
      </c>
      <c r="B39" s="863" t="s">
        <v>479</v>
      </c>
      <c r="C39" s="864"/>
      <c r="D39" s="865"/>
      <c r="E39" s="386">
        <v>2300000</v>
      </c>
      <c r="F39" s="386">
        <v>2300000</v>
      </c>
      <c r="G39" s="386">
        <v>2300000</v>
      </c>
      <c r="H39" s="386">
        <v>2300000</v>
      </c>
      <c r="I39" s="386">
        <v>2300000</v>
      </c>
      <c r="J39" s="386">
        <v>2300000</v>
      </c>
      <c r="K39" s="386">
        <v>2300000</v>
      </c>
      <c r="L39" s="386">
        <v>2300000</v>
      </c>
      <c r="M39" s="386">
        <v>2300000</v>
      </c>
      <c r="N39" s="386">
        <v>2300000</v>
      </c>
      <c r="O39" s="386">
        <v>2300000</v>
      </c>
      <c r="P39" s="386">
        <v>2300000</v>
      </c>
      <c r="Q39" s="333">
        <f t="shared" si="6"/>
        <v>27600000</v>
      </c>
      <c r="R39" s="402">
        <f>'RINCIAN B. TDK LANGSUNG'!Q40</f>
        <v>0</v>
      </c>
      <c r="S39" s="402">
        <f t="shared" si="5"/>
        <v>27600000</v>
      </c>
      <c r="T39" s="334"/>
    </row>
    <row r="40" spans="1:20" ht="15.75" customHeight="1" x14ac:dyDescent="0.15">
      <c r="A40" s="335" t="s">
        <v>480</v>
      </c>
      <c r="B40" s="407" t="s">
        <v>481</v>
      </c>
      <c r="C40" s="336"/>
      <c r="D40" s="337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3">
        <f t="shared" si="6"/>
        <v>0</v>
      </c>
      <c r="R40" s="402">
        <f>'RINCIAN B. TDK LANGSUNG'!Q41</f>
        <v>0</v>
      </c>
      <c r="S40" s="402"/>
      <c r="T40" s="338"/>
    </row>
    <row r="41" spans="1:20" ht="15.75" customHeight="1" x14ac:dyDescent="0.15">
      <c r="A41" s="335"/>
      <c r="B41" s="407" t="s">
        <v>622</v>
      </c>
      <c r="C41" s="336"/>
      <c r="D41" s="337"/>
      <c r="E41" s="333">
        <v>1100000</v>
      </c>
      <c r="F41" s="333">
        <v>1100000</v>
      </c>
      <c r="G41" s="333">
        <v>1100000</v>
      </c>
      <c r="H41" s="333">
        <v>1100000</v>
      </c>
      <c r="I41" s="333">
        <v>1100000</v>
      </c>
      <c r="J41" s="333">
        <v>1100000</v>
      </c>
      <c r="K41" s="333">
        <v>1100000</v>
      </c>
      <c r="L41" s="333">
        <v>1100000</v>
      </c>
      <c r="M41" s="333">
        <v>1100000</v>
      </c>
      <c r="N41" s="333">
        <v>1100000</v>
      </c>
      <c r="O41" s="333">
        <v>1100000</v>
      </c>
      <c r="P41" s="333">
        <v>1100000</v>
      </c>
      <c r="Q41" s="333">
        <f t="shared" si="6"/>
        <v>13200000</v>
      </c>
      <c r="R41" s="402" t="e">
        <f>'RINCIAN B. TDK LANGSUNG'!#REF!</f>
        <v>#REF!</v>
      </c>
      <c r="S41" s="402" t="e">
        <f t="shared" si="5"/>
        <v>#REF!</v>
      </c>
      <c r="T41" s="338"/>
    </row>
    <row r="42" spans="1:20" ht="15.75" customHeight="1" x14ac:dyDescent="0.15">
      <c r="A42" s="335"/>
      <c r="B42" s="863" t="s">
        <v>482</v>
      </c>
      <c r="C42" s="864"/>
      <c r="D42" s="865"/>
      <c r="E42" s="333">
        <v>1000000</v>
      </c>
      <c r="F42" s="333"/>
      <c r="G42" s="333"/>
      <c r="H42" s="333">
        <v>3700000</v>
      </c>
      <c r="I42" s="333"/>
      <c r="J42" s="333"/>
      <c r="K42" s="333"/>
      <c r="L42" s="333">
        <v>300000</v>
      </c>
      <c r="M42" s="333"/>
      <c r="N42" s="333"/>
      <c r="O42" s="333">
        <v>3000000</v>
      </c>
      <c r="P42" s="359"/>
      <c r="Q42" s="333">
        <f t="shared" si="6"/>
        <v>8000000</v>
      </c>
      <c r="R42" s="402" t="e">
        <f>'RINCIAN B. TDK LANGSUNG'!#REF!</f>
        <v>#REF!</v>
      </c>
      <c r="S42" s="402" t="e">
        <f t="shared" si="5"/>
        <v>#REF!</v>
      </c>
      <c r="T42" s="334"/>
    </row>
    <row r="43" spans="1:20" ht="15.75" customHeight="1" x14ac:dyDescent="0.15">
      <c r="A43" s="362"/>
      <c r="B43" s="407" t="s">
        <v>483</v>
      </c>
      <c r="C43" s="336"/>
      <c r="D43" s="337"/>
      <c r="E43" s="333">
        <v>1750000</v>
      </c>
      <c r="F43" s="333">
        <v>1750000</v>
      </c>
      <c r="G43" s="333">
        <f>1750000+1500000</f>
        <v>3250000</v>
      </c>
      <c r="H43" s="333">
        <v>1750000</v>
      </c>
      <c r="I43" s="333">
        <v>1750000</v>
      </c>
      <c r="J43" s="333">
        <v>1750000</v>
      </c>
      <c r="K43" s="333">
        <v>1750000</v>
      </c>
      <c r="L43" s="333">
        <v>1750000</v>
      </c>
      <c r="M43" s="333">
        <v>1750000</v>
      </c>
      <c r="N43" s="333">
        <v>1750000</v>
      </c>
      <c r="O43" s="333">
        <f>1750000+1500000</f>
        <v>3250000</v>
      </c>
      <c r="P43" s="333">
        <v>1750000</v>
      </c>
      <c r="Q43" s="333">
        <f t="shared" si="6"/>
        <v>24000000</v>
      </c>
      <c r="R43" s="402">
        <f>'RINCIAN B. TDK LANGSUNG'!Q42</f>
        <v>0</v>
      </c>
      <c r="S43" s="402">
        <f t="shared" si="5"/>
        <v>24000000</v>
      </c>
      <c r="T43" s="334"/>
    </row>
    <row r="44" spans="1:20" ht="15.75" customHeight="1" x14ac:dyDescent="0.15">
      <c r="A44" s="362"/>
      <c r="B44" s="407" t="s">
        <v>484</v>
      </c>
      <c r="C44" s="336"/>
      <c r="D44" s="337"/>
      <c r="E44" s="333">
        <v>1000000</v>
      </c>
      <c r="F44" s="333">
        <v>1000000</v>
      </c>
      <c r="G44" s="333">
        <v>1000000</v>
      </c>
      <c r="H44" s="333">
        <v>1000000</v>
      </c>
      <c r="I44" s="333">
        <v>1000000</v>
      </c>
      <c r="J44" s="333">
        <v>1000000</v>
      </c>
      <c r="K44" s="333">
        <v>1000000</v>
      </c>
      <c r="L44" s="333">
        <v>1000000</v>
      </c>
      <c r="M44" s="333">
        <v>1000000</v>
      </c>
      <c r="N44" s="333">
        <v>1000000</v>
      </c>
      <c r="O44" s="333">
        <v>1000000</v>
      </c>
      <c r="P44" s="333">
        <v>1000000</v>
      </c>
      <c r="Q44" s="333">
        <f t="shared" si="6"/>
        <v>12000000</v>
      </c>
      <c r="R44" s="402">
        <f>'RINCIAN B. TDK LANGSUNG'!Q43</f>
        <v>0</v>
      </c>
      <c r="S44" s="402">
        <f t="shared" si="5"/>
        <v>12000000</v>
      </c>
      <c r="T44" s="334"/>
    </row>
    <row r="45" spans="1:20" ht="15.75" customHeight="1" x14ac:dyDescent="0.15">
      <c r="A45" s="326"/>
      <c r="B45" s="857" t="s">
        <v>485</v>
      </c>
      <c r="C45" s="858"/>
      <c r="D45" s="859"/>
      <c r="E45" s="379">
        <f>SUM(E30:E44)</f>
        <v>28720000</v>
      </c>
      <c r="F45" s="379">
        <f t="shared" ref="F45:P45" si="7">SUM(F30:F44)</f>
        <v>21220000</v>
      </c>
      <c r="G45" s="379">
        <f t="shared" si="7"/>
        <v>22720000</v>
      </c>
      <c r="H45" s="379">
        <f t="shared" si="7"/>
        <v>24920000</v>
      </c>
      <c r="I45" s="379">
        <f t="shared" si="7"/>
        <v>26720000</v>
      </c>
      <c r="J45" s="379">
        <f t="shared" si="7"/>
        <v>22220000</v>
      </c>
      <c r="K45" s="379">
        <f t="shared" si="7"/>
        <v>21220000</v>
      </c>
      <c r="L45" s="377">
        <f t="shared" si="7"/>
        <v>25520000</v>
      </c>
      <c r="M45" s="377">
        <f t="shared" si="7"/>
        <v>21220000</v>
      </c>
      <c r="N45" s="377">
        <f t="shared" si="7"/>
        <v>22720000</v>
      </c>
      <c r="O45" s="377">
        <f t="shared" si="7"/>
        <v>30720000</v>
      </c>
      <c r="P45" s="377">
        <f t="shared" si="7"/>
        <v>21220000</v>
      </c>
      <c r="Q45" s="377">
        <f>SUM(E45:P45)</f>
        <v>289140000</v>
      </c>
      <c r="R45" s="420" t="e">
        <f>SUM(R30:R44)</f>
        <v>#REF!</v>
      </c>
      <c r="S45" s="420" t="e">
        <f>Q45-R45</f>
        <v>#REF!</v>
      </c>
      <c r="T45" s="346" t="s">
        <v>629</v>
      </c>
    </row>
    <row r="46" spans="1:20" ht="15.75" customHeight="1" x14ac:dyDescent="0.15">
      <c r="A46" s="335" t="s">
        <v>486</v>
      </c>
      <c r="B46" s="407" t="s">
        <v>487</v>
      </c>
      <c r="C46" s="336"/>
      <c r="D46" s="337"/>
      <c r="E46" s="378"/>
      <c r="F46" s="378"/>
      <c r="G46" s="378"/>
      <c r="H46" s="378"/>
      <c r="I46" s="378"/>
      <c r="J46" s="378"/>
      <c r="K46" s="378"/>
      <c r="L46" s="333"/>
      <c r="M46" s="333"/>
      <c r="N46" s="333"/>
      <c r="O46" s="333"/>
      <c r="P46" s="333"/>
      <c r="Q46" s="333">
        <f t="shared" si="1"/>
        <v>0</v>
      </c>
      <c r="R46" s="402"/>
      <c r="S46" s="402"/>
      <c r="T46" s="334"/>
    </row>
    <row r="47" spans="1:20" ht="15.75" customHeight="1" x14ac:dyDescent="0.15">
      <c r="A47" s="335" t="s">
        <v>605</v>
      </c>
      <c r="B47" s="407" t="s">
        <v>606</v>
      </c>
      <c r="C47" s="336"/>
      <c r="D47" s="337"/>
      <c r="E47" s="378"/>
      <c r="F47" s="378"/>
      <c r="G47" s="378"/>
      <c r="H47" s="378"/>
      <c r="I47" s="378"/>
      <c r="J47" s="378"/>
      <c r="K47" s="378"/>
      <c r="L47" s="333"/>
      <c r="M47" s="333"/>
      <c r="N47" s="333"/>
      <c r="O47" s="333"/>
      <c r="P47" s="333">
        <v>20000000</v>
      </c>
      <c r="Q47" s="333">
        <f t="shared" si="1"/>
        <v>20000000</v>
      </c>
      <c r="R47" s="402">
        <f>'RINCIAN B. TDK LANGSUNG'!Q46</f>
        <v>0</v>
      </c>
      <c r="S47" s="402">
        <f>Q47-R47</f>
        <v>20000000</v>
      </c>
      <c r="T47" s="334"/>
    </row>
    <row r="48" spans="1:20" ht="15.75" customHeight="1" x14ac:dyDescent="0.15">
      <c r="A48" s="335" t="s">
        <v>489</v>
      </c>
      <c r="B48" s="407" t="s">
        <v>490</v>
      </c>
      <c r="C48" s="336"/>
      <c r="D48" s="337"/>
      <c r="E48" s="378">
        <v>2000000</v>
      </c>
      <c r="F48" s="378">
        <v>200000</v>
      </c>
      <c r="G48" s="378">
        <v>200000</v>
      </c>
      <c r="H48" s="378">
        <v>200000</v>
      </c>
      <c r="I48" s="378">
        <v>2000000</v>
      </c>
      <c r="J48" s="378">
        <v>200000</v>
      </c>
      <c r="K48" s="378">
        <v>2000000</v>
      </c>
      <c r="L48" s="378">
        <v>2000000</v>
      </c>
      <c r="M48" s="378">
        <v>200000</v>
      </c>
      <c r="N48" s="378">
        <v>200000</v>
      </c>
      <c r="O48" s="378">
        <v>200000</v>
      </c>
      <c r="P48" s="378">
        <v>1000000</v>
      </c>
      <c r="Q48" s="333">
        <f t="shared" si="1"/>
        <v>10400000</v>
      </c>
      <c r="R48" s="402">
        <f>'RINCIAN B. TDK LANGSUNG'!Q47</f>
        <v>0</v>
      </c>
      <c r="S48" s="402">
        <f t="shared" ref="S48:S49" si="8">Q48-R48</f>
        <v>10400000</v>
      </c>
      <c r="T48" s="334"/>
    </row>
    <row r="49" spans="1:20" ht="15.75" customHeight="1" x14ac:dyDescent="0.15">
      <c r="A49" s="335" t="s">
        <v>491</v>
      </c>
      <c r="B49" s="407" t="s">
        <v>492</v>
      </c>
      <c r="C49" s="336"/>
      <c r="D49" s="337"/>
      <c r="E49" s="333">
        <v>5000000</v>
      </c>
      <c r="F49" s="333"/>
      <c r="G49" s="333"/>
      <c r="H49" s="333"/>
      <c r="I49" s="333">
        <v>3000000</v>
      </c>
      <c r="J49" s="333"/>
      <c r="K49" s="333"/>
      <c r="L49" s="333"/>
      <c r="M49" s="333"/>
      <c r="N49" s="333">
        <v>3000000</v>
      </c>
      <c r="O49" s="333"/>
      <c r="P49" s="333">
        <v>1500000</v>
      </c>
      <c r="Q49" s="333">
        <f t="shared" si="1"/>
        <v>12500000</v>
      </c>
      <c r="R49" s="402">
        <f>'RINCIAN B. TDK LANGSUNG'!Q48</f>
        <v>0</v>
      </c>
      <c r="S49" s="402">
        <f t="shared" si="8"/>
        <v>12500000</v>
      </c>
      <c r="T49" s="334"/>
    </row>
    <row r="50" spans="1:20" ht="15.75" customHeight="1" x14ac:dyDescent="0.15">
      <c r="A50" s="326"/>
      <c r="B50" s="866" t="s">
        <v>493</v>
      </c>
      <c r="C50" s="867"/>
      <c r="D50" s="868"/>
      <c r="E50" s="379">
        <f>SUM(E47:E49)</f>
        <v>7000000</v>
      </c>
      <c r="F50" s="379">
        <f t="shared" ref="F50:P50" si="9">SUM(F47:F49)</f>
        <v>200000</v>
      </c>
      <c r="G50" s="379">
        <f t="shared" si="9"/>
        <v>200000</v>
      </c>
      <c r="H50" s="379">
        <f t="shared" si="9"/>
        <v>200000</v>
      </c>
      <c r="I50" s="379">
        <f t="shared" si="9"/>
        <v>5000000</v>
      </c>
      <c r="J50" s="379">
        <f t="shared" si="9"/>
        <v>200000</v>
      </c>
      <c r="K50" s="379">
        <f t="shared" si="9"/>
        <v>2000000</v>
      </c>
      <c r="L50" s="377">
        <f t="shared" si="9"/>
        <v>2000000</v>
      </c>
      <c r="M50" s="377">
        <f t="shared" si="9"/>
        <v>200000</v>
      </c>
      <c r="N50" s="377">
        <f t="shared" si="9"/>
        <v>3200000</v>
      </c>
      <c r="O50" s="377">
        <f t="shared" si="9"/>
        <v>200000</v>
      </c>
      <c r="P50" s="377">
        <f t="shared" si="9"/>
        <v>22500000</v>
      </c>
      <c r="Q50" s="377">
        <f t="shared" si="1"/>
        <v>42900000</v>
      </c>
      <c r="R50" s="420">
        <f>SUM(R47:R49)</f>
        <v>0</v>
      </c>
      <c r="S50" s="420">
        <f>Q50-R50</f>
        <v>42900000</v>
      </c>
      <c r="T50" s="346" t="s">
        <v>630</v>
      </c>
    </row>
    <row r="51" spans="1:20" ht="15.75" customHeight="1" x14ac:dyDescent="0.15">
      <c r="A51" s="335" t="s">
        <v>494</v>
      </c>
      <c r="B51" s="863" t="s">
        <v>495</v>
      </c>
      <c r="C51" s="864"/>
      <c r="D51" s="865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402"/>
      <c r="S51" s="402"/>
      <c r="T51" s="334"/>
    </row>
    <row r="52" spans="1:20" ht="15.75" customHeight="1" x14ac:dyDescent="0.15">
      <c r="A52" s="335"/>
      <c r="B52" s="407" t="s">
        <v>607</v>
      </c>
      <c r="C52" s="336"/>
      <c r="D52" s="337"/>
      <c r="E52" s="378"/>
      <c r="F52" s="333"/>
      <c r="G52" s="333"/>
      <c r="H52" s="333">
        <v>75000000</v>
      </c>
      <c r="I52" s="333"/>
      <c r="J52" s="333"/>
      <c r="K52" s="333"/>
      <c r="L52" s="333"/>
      <c r="M52" s="333"/>
      <c r="N52" s="333"/>
      <c r="O52" s="333"/>
      <c r="P52" s="333"/>
      <c r="Q52" s="333">
        <f t="shared" si="1"/>
        <v>75000000</v>
      </c>
      <c r="R52" s="402">
        <f>'RINCIAN B. TDK LANGSUNG'!Q51</f>
        <v>0</v>
      </c>
      <c r="S52" s="402">
        <f t="shared" ref="S52" si="10">Q52-R52</f>
        <v>75000000</v>
      </c>
      <c r="T52" s="339"/>
    </row>
    <row r="53" spans="1:20" ht="15.75" customHeight="1" x14ac:dyDescent="0.15">
      <c r="A53" s="344"/>
      <c r="B53" s="857" t="s">
        <v>497</v>
      </c>
      <c r="C53" s="858"/>
      <c r="D53" s="859"/>
      <c r="E53" s="345">
        <f t="shared" ref="E53:P53" si="11">SUM(E52:E52)</f>
        <v>0</v>
      </c>
      <c r="F53" s="345">
        <f t="shared" si="11"/>
        <v>0</v>
      </c>
      <c r="G53" s="345">
        <f t="shared" si="11"/>
        <v>0</v>
      </c>
      <c r="H53" s="345">
        <f t="shared" si="11"/>
        <v>75000000</v>
      </c>
      <c r="I53" s="345">
        <f t="shared" si="11"/>
        <v>0</v>
      </c>
      <c r="J53" s="345">
        <f t="shared" si="11"/>
        <v>0</v>
      </c>
      <c r="K53" s="345">
        <f t="shared" si="11"/>
        <v>0</v>
      </c>
      <c r="L53" s="345">
        <f t="shared" si="11"/>
        <v>0</v>
      </c>
      <c r="M53" s="345">
        <f t="shared" si="11"/>
        <v>0</v>
      </c>
      <c r="N53" s="345">
        <f t="shared" si="11"/>
        <v>0</v>
      </c>
      <c r="O53" s="345">
        <f t="shared" si="11"/>
        <v>0</v>
      </c>
      <c r="P53" s="345">
        <f t="shared" si="11"/>
        <v>0</v>
      </c>
      <c r="Q53" s="345">
        <f>SUM(E53:P53)</f>
        <v>75000000</v>
      </c>
      <c r="R53" s="403">
        <f>SUM(R52:R52)</f>
        <v>0</v>
      </c>
      <c r="S53" s="403">
        <f>Q53-R53</f>
        <v>75000000</v>
      </c>
      <c r="T53" s="346" t="s">
        <v>631</v>
      </c>
    </row>
    <row r="54" spans="1:20" ht="15.75" customHeight="1" x14ac:dyDescent="0.15">
      <c r="A54" s="335" t="s">
        <v>498</v>
      </c>
      <c r="B54" s="863" t="s">
        <v>499</v>
      </c>
      <c r="C54" s="864"/>
      <c r="D54" s="865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>
        <f t="shared" si="1"/>
        <v>0</v>
      </c>
      <c r="R54" s="402"/>
      <c r="S54" s="402"/>
      <c r="T54" s="334"/>
    </row>
    <row r="55" spans="1:20" ht="15.75" customHeight="1" x14ac:dyDescent="0.15">
      <c r="A55" s="335" t="s">
        <v>500</v>
      </c>
      <c r="B55" s="407" t="s">
        <v>501</v>
      </c>
      <c r="C55" s="336"/>
      <c r="D55" s="337"/>
      <c r="E55" s="333">
        <v>500000</v>
      </c>
      <c r="F55" s="333">
        <v>500000</v>
      </c>
      <c r="G55" s="333">
        <v>500000</v>
      </c>
      <c r="H55" s="333">
        <v>500000</v>
      </c>
      <c r="I55" s="333">
        <v>3500000</v>
      </c>
      <c r="J55" s="333">
        <v>500000</v>
      </c>
      <c r="K55" s="333">
        <v>500000</v>
      </c>
      <c r="L55" s="333">
        <v>500000</v>
      </c>
      <c r="M55" s="333">
        <v>500000</v>
      </c>
      <c r="N55" s="333">
        <v>500000</v>
      </c>
      <c r="O55" s="333">
        <v>3500000</v>
      </c>
      <c r="P55" s="333">
        <v>500000</v>
      </c>
      <c r="Q55" s="333">
        <f t="shared" si="1"/>
        <v>12000000</v>
      </c>
      <c r="R55" s="402">
        <f>'RINCIAN B. TDK LANGSUNG'!Q54</f>
        <v>0</v>
      </c>
      <c r="S55" s="402">
        <f>Q55-R55</f>
        <v>12000000</v>
      </c>
      <c r="T55" s="334"/>
    </row>
    <row r="56" spans="1:20" ht="15.75" customHeight="1" x14ac:dyDescent="0.15">
      <c r="A56" s="335" t="s">
        <v>502</v>
      </c>
      <c r="B56" s="407" t="s">
        <v>503</v>
      </c>
      <c r="C56" s="357"/>
      <c r="D56" s="358"/>
      <c r="E56" s="378">
        <v>3000000</v>
      </c>
      <c r="F56" s="378">
        <v>3000000</v>
      </c>
      <c r="G56" s="378">
        <v>3000000</v>
      </c>
      <c r="H56" s="378">
        <v>3000000</v>
      </c>
      <c r="I56" s="378">
        <v>3000000</v>
      </c>
      <c r="J56" s="378">
        <v>3000000</v>
      </c>
      <c r="K56" s="378">
        <v>3000000</v>
      </c>
      <c r="L56" s="378">
        <v>3000000</v>
      </c>
      <c r="M56" s="378">
        <v>3000000</v>
      </c>
      <c r="N56" s="378">
        <v>3000000</v>
      </c>
      <c r="O56" s="378">
        <v>3000000</v>
      </c>
      <c r="P56" s="378">
        <v>3000000</v>
      </c>
      <c r="Q56" s="333">
        <f t="shared" si="1"/>
        <v>36000000</v>
      </c>
      <c r="R56" s="402">
        <f>'RINCIAN B. TDK LANGSUNG'!Q55</f>
        <v>0</v>
      </c>
      <c r="S56" s="402">
        <f>Q56-R56</f>
        <v>36000000</v>
      </c>
      <c r="T56" s="334"/>
    </row>
    <row r="57" spans="1:20" ht="15.75" customHeight="1" x14ac:dyDescent="0.15">
      <c r="A57" s="335" t="s">
        <v>504</v>
      </c>
      <c r="B57" s="407" t="s">
        <v>505</v>
      </c>
      <c r="C57" s="336"/>
      <c r="D57" s="337"/>
      <c r="E57" s="378">
        <v>500000</v>
      </c>
      <c r="F57" s="378">
        <v>5000000</v>
      </c>
      <c r="G57" s="378">
        <v>10000000</v>
      </c>
      <c r="H57" s="378">
        <v>500000</v>
      </c>
      <c r="I57" s="378">
        <v>500000</v>
      </c>
      <c r="J57" s="378">
        <v>500000</v>
      </c>
      <c r="K57" s="378">
        <v>500000</v>
      </c>
      <c r="L57" s="378">
        <v>500000</v>
      </c>
      <c r="M57" s="378">
        <v>500000</v>
      </c>
      <c r="N57" s="378">
        <v>500000</v>
      </c>
      <c r="O57" s="378">
        <v>500000</v>
      </c>
      <c r="P57" s="378">
        <v>500000</v>
      </c>
      <c r="Q57" s="333">
        <f t="shared" si="1"/>
        <v>20000000</v>
      </c>
      <c r="R57" s="402">
        <f>'RINCIAN B. TDK LANGSUNG'!Q56</f>
        <v>0</v>
      </c>
      <c r="S57" s="402">
        <f t="shared" ref="S57:S59" si="12">Q57-R57</f>
        <v>20000000</v>
      </c>
      <c r="T57" s="334"/>
    </row>
    <row r="58" spans="1:20" ht="15.75" customHeight="1" x14ac:dyDescent="0.15">
      <c r="A58" s="335" t="s">
        <v>586</v>
      </c>
      <c r="B58" s="863" t="s">
        <v>587</v>
      </c>
      <c r="C58" s="864"/>
      <c r="D58" s="865"/>
      <c r="E58" s="333">
        <v>1500000</v>
      </c>
      <c r="F58" s="333">
        <v>1500000</v>
      </c>
      <c r="G58" s="333">
        <v>1500000</v>
      </c>
      <c r="H58" s="333">
        <v>1500000</v>
      </c>
      <c r="I58" s="333">
        <v>1500000</v>
      </c>
      <c r="J58" s="333">
        <v>1500000</v>
      </c>
      <c r="K58" s="333">
        <v>1500000</v>
      </c>
      <c r="L58" s="333">
        <v>1500000</v>
      </c>
      <c r="M58" s="333">
        <v>1500000</v>
      </c>
      <c r="N58" s="333">
        <v>1500000</v>
      </c>
      <c r="O58" s="333">
        <v>1500000</v>
      </c>
      <c r="P58" s="333">
        <v>1500000</v>
      </c>
      <c r="Q58" s="333">
        <f t="shared" si="1"/>
        <v>18000000</v>
      </c>
      <c r="R58" s="402">
        <f>'RINCIAN B. TDK LANGSUNG'!Q57</f>
        <v>0</v>
      </c>
      <c r="S58" s="402">
        <f t="shared" si="12"/>
        <v>18000000</v>
      </c>
      <c r="T58" s="334"/>
    </row>
    <row r="59" spans="1:20" ht="15.75" customHeight="1" x14ac:dyDescent="0.15">
      <c r="A59" s="335" t="s">
        <v>506</v>
      </c>
      <c r="B59" s="863" t="s">
        <v>507</v>
      </c>
      <c r="C59" s="864"/>
      <c r="D59" s="865"/>
      <c r="E59" s="333">
        <v>300000</v>
      </c>
      <c r="F59" s="333">
        <v>300000</v>
      </c>
      <c r="G59" s="333">
        <v>300000</v>
      </c>
      <c r="H59" s="333">
        <v>300000</v>
      </c>
      <c r="I59" s="333">
        <v>300000</v>
      </c>
      <c r="J59" s="333">
        <v>300000</v>
      </c>
      <c r="K59" s="333">
        <v>300000</v>
      </c>
      <c r="L59" s="333">
        <v>300000</v>
      </c>
      <c r="M59" s="333">
        <v>300000</v>
      </c>
      <c r="N59" s="333">
        <v>300000</v>
      </c>
      <c r="O59" s="333">
        <v>300000</v>
      </c>
      <c r="P59" s="333">
        <v>300000</v>
      </c>
      <c r="Q59" s="333">
        <f t="shared" si="1"/>
        <v>3600000</v>
      </c>
      <c r="R59" s="402">
        <f>'RINCIAN B. TDK LANGSUNG'!Q58</f>
        <v>0</v>
      </c>
      <c r="S59" s="402">
        <f t="shared" si="12"/>
        <v>3600000</v>
      </c>
      <c r="T59" s="334"/>
    </row>
    <row r="60" spans="1:20" ht="15.75" customHeight="1" x14ac:dyDescent="0.15">
      <c r="A60" s="344"/>
      <c r="B60" s="857" t="s">
        <v>413</v>
      </c>
      <c r="C60" s="858"/>
      <c r="D60" s="859"/>
      <c r="E60" s="345">
        <f>SUM(E55:E59)</f>
        <v>5800000</v>
      </c>
      <c r="F60" s="345">
        <f t="shared" ref="F60:P60" si="13">SUM(F55:F59)</f>
        <v>10300000</v>
      </c>
      <c r="G60" s="345">
        <f t="shared" si="13"/>
        <v>15300000</v>
      </c>
      <c r="H60" s="345">
        <f t="shared" si="13"/>
        <v>5800000</v>
      </c>
      <c r="I60" s="345">
        <f t="shared" si="13"/>
        <v>8800000</v>
      </c>
      <c r="J60" s="345">
        <f t="shared" si="13"/>
        <v>5800000</v>
      </c>
      <c r="K60" s="345">
        <f t="shared" si="13"/>
        <v>5800000</v>
      </c>
      <c r="L60" s="345">
        <f t="shared" si="13"/>
        <v>5800000</v>
      </c>
      <c r="M60" s="345">
        <f t="shared" si="13"/>
        <v>5800000</v>
      </c>
      <c r="N60" s="345">
        <f t="shared" si="13"/>
        <v>5800000</v>
      </c>
      <c r="O60" s="345">
        <f t="shared" si="13"/>
        <v>8800000</v>
      </c>
      <c r="P60" s="345">
        <f t="shared" si="13"/>
        <v>5800000</v>
      </c>
      <c r="Q60" s="345">
        <f t="shared" si="1"/>
        <v>89600000</v>
      </c>
      <c r="R60" s="403">
        <f>SUM(R55:R59)</f>
        <v>0</v>
      </c>
      <c r="S60" s="403">
        <f>Q60-R60</f>
        <v>89600000</v>
      </c>
      <c r="T60" s="346" t="s">
        <v>632</v>
      </c>
    </row>
    <row r="61" spans="1:20" ht="15.75" customHeight="1" x14ac:dyDescent="0.15">
      <c r="A61" s="335" t="s">
        <v>339</v>
      </c>
      <c r="B61" s="863" t="s">
        <v>508</v>
      </c>
      <c r="C61" s="864"/>
      <c r="D61" s="865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402"/>
      <c r="S61" s="402"/>
      <c r="T61" s="334"/>
    </row>
    <row r="62" spans="1:20" ht="15.75" customHeight="1" x14ac:dyDescent="0.15">
      <c r="A62" s="335" t="s">
        <v>509</v>
      </c>
      <c r="B62" s="863" t="s">
        <v>510</v>
      </c>
      <c r="C62" s="864"/>
      <c r="D62" s="865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>
        <v>50000000</v>
      </c>
      <c r="Q62" s="333">
        <f t="shared" si="1"/>
        <v>50000000</v>
      </c>
      <c r="R62" s="402" t="e">
        <f>'RINCIAN B. TDK LANGSUNG'!#REF!</f>
        <v>#REF!</v>
      </c>
      <c r="S62" s="402" t="e">
        <f t="shared" ref="S62:S63" si="14">Q62-R62</f>
        <v>#REF!</v>
      </c>
      <c r="T62" s="339"/>
    </row>
    <row r="63" spans="1:20" ht="15.75" customHeight="1" x14ac:dyDescent="0.15">
      <c r="A63" s="335" t="s">
        <v>511</v>
      </c>
      <c r="B63" s="407" t="s">
        <v>512</v>
      </c>
      <c r="C63" s="408"/>
      <c r="D63" s="409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>
        <f t="shared" si="1"/>
        <v>0</v>
      </c>
      <c r="R63" s="402" t="e">
        <f>'RINCIAN B. TDK LANGSUNG'!#REF!</f>
        <v>#REF!</v>
      </c>
      <c r="S63" s="402" t="e">
        <f t="shared" si="14"/>
        <v>#REF!</v>
      </c>
      <c r="T63" s="339"/>
    </row>
    <row r="64" spans="1:20" ht="15.75" customHeight="1" x14ac:dyDescent="0.15">
      <c r="A64" s="344"/>
      <c r="B64" s="857" t="s">
        <v>513</v>
      </c>
      <c r="C64" s="858"/>
      <c r="D64" s="859"/>
      <c r="E64" s="345">
        <f t="shared" ref="E64:O64" si="15">SUM(E61:E63)</f>
        <v>0</v>
      </c>
      <c r="F64" s="345">
        <f t="shared" si="15"/>
        <v>0</v>
      </c>
      <c r="G64" s="345">
        <f t="shared" si="15"/>
        <v>0</v>
      </c>
      <c r="H64" s="345">
        <f t="shared" si="15"/>
        <v>0</v>
      </c>
      <c r="I64" s="345">
        <f t="shared" si="15"/>
        <v>0</v>
      </c>
      <c r="J64" s="345">
        <f t="shared" si="15"/>
        <v>0</v>
      </c>
      <c r="K64" s="345">
        <f t="shared" si="15"/>
        <v>0</v>
      </c>
      <c r="L64" s="345">
        <f t="shared" si="15"/>
        <v>0</v>
      </c>
      <c r="M64" s="345">
        <f t="shared" si="15"/>
        <v>0</v>
      </c>
      <c r="N64" s="345">
        <f t="shared" si="15"/>
        <v>0</v>
      </c>
      <c r="O64" s="345">
        <f t="shared" si="15"/>
        <v>0</v>
      </c>
      <c r="P64" s="345">
        <f>SUM(P61:P63)</f>
        <v>50000000</v>
      </c>
      <c r="Q64" s="345">
        <f t="shared" si="1"/>
        <v>50000000</v>
      </c>
      <c r="R64" s="403" t="e">
        <f>SUM(R62:R63)</f>
        <v>#REF!</v>
      </c>
      <c r="S64" s="403" t="e">
        <f>Q64-R64</f>
        <v>#REF!</v>
      </c>
      <c r="T64" s="346" t="s">
        <v>633</v>
      </c>
    </row>
    <row r="65" spans="1:20" ht="15.75" customHeight="1" x14ac:dyDescent="0.15">
      <c r="A65" s="335" t="s">
        <v>514</v>
      </c>
      <c r="B65" s="407" t="s">
        <v>515</v>
      </c>
      <c r="C65" s="380"/>
      <c r="D65" s="381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>
        <f t="shared" si="1"/>
        <v>0</v>
      </c>
      <c r="R65" s="402"/>
      <c r="S65" s="402"/>
      <c r="T65" s="334"/>
    </row>
    <row r="66" spans="1:20" ht="15.75" customHeight="1" x14ac:dyDescent="0.15">
      <c r="A66" s="335" t="s">
        <v>516</v>
      </c>
      <c r="B66" s="407" t="s">
        <v>517</v>
      </c>
      <c r="C66" s="380"/>
      <c r="D66" s="381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402">
        <f>'RINCIAN B. TDK LANGSUNG'!Q61</f>
        <v>0</v>
      </c>
      <c r="S66" s="402">
        <f t="shared" ref="S66:S86" si="16">Q66-R66</f>
        <v>0</v>
      </c>
      <c r="T66" s="334"/>
    </row>
    <row r="67" spans="1:20" ht="15.75" customHeight="1" x14ac:dyDescent="0.15">
      <c r="A67" s="335"/>
      <c r="B67" s="407" t="s">
        <v>518</v>
      </c>
      <c r="C67" s="380"/>
      <c r="D67" s="381"/>
      <c r="E67" s="333">
        <v>1850000</v>
      </c>
      <c r="F67" s="333">
        <v>1850000</v>
      </c>
      <c r="G67" s="333">
        <v>1850000</v>
      </c>
      <c r="H67" s="333">
        <v>1850000</v>
      </c>
      <c r="I67" s="333">
        <v>1850000</v>
      </c>
      <c r="J67" s="333">
        <v>1850000</v>
      </c>
      <c r="K67" s="333">
        <v>1850000</v>
      </c>
      <c r="L67" s="333">
        <v>1850000</v>
      </c>
      <c r="M67" s="333">
        <v>1850000</v>
      </c>
      <c r="N67" s="333">
        <v>1850000</v>
      </c>
      <c r="O67" s="333">
        <v>1850000</v>
      </c>
      <c r="P67" s="333">
        <v>1850000</v>
      </c>
      <c r="Q67" s="333">
        <f t="shared" si="1"/>
        <v>22200000</v>
      </c>
      <c r="R67" s="402" t="e">
        <f>'RINCIAN B. TDK LANGSUNG'!#REF!</f>
        <v>#REF!</v>
      </c>
      <c r="S67" s="402" t="e">
        <f t="shared" si="16"/>
        <v>#REF!</v>
      </c>
      <c r="T67" s="334"/>
    </row>
    <row r="68" spans="1:20" ht="15.75" customHeight="1" x14ac:dyDescent="0.15">
      <c r="A68" s="335"/>
      <c r="B68" s="407" t="s">
        <v>519</v>
      </c>
      <c r="C68" s="408"/>
      <c r="D68" s="409"/>
      <c r="E68" s="333">
        <v>700000</v>
      </c>
      <c r="F68" s="333">
        <v>700000</v>
      </c>
      <c r="G68" s="333">
        <v>700000</v>
      </c>
      <c r="H68" s="333">
        <v>700000</v>
      </c>
      <c r="I68" s="333">
        <v>700000</v>
      </c>
      <c r="J68" s="333">
        <v>700000</v>
      </c>
      <c r="K68" s="333">
        <v>700000</v>
      </c>
      <c r="L68" s="333">
        <v>700000</v>
      </c>
      <c r="M68" s="333">
        <v>700000</v>
      </c>
      <c r="N68" s="333">
        <v>700000</v>
      </c>
      <c r="O68" s="333">
        <v>700000</v>
      </c>
      <c r="P68" s="333">
        <v>700000</v>
      </c>
      <c r="Q68" s="333">
        <f t="shared" ref="Q68:Q89" si="17">SUM(E68:P68)</f>
        <v>8400000</v>
      </c>
      <c r="R68" s="402" t="e">
        <f>'RINCIAN B. TDK LANGSUNG'!#REF!</f>
        <v>#REF!</v>
      </c>
      <c r="S68" s="402" t="e">
        <f t="shared" si="16"/>
        <v>#REF!</v>
      </c>
      <c r="T68" s="334"/>
    </row>
    <row r="69" spans="1:20" ht="15.75" customHeight="1" x14ac:dyDescent="0.15">
      <c r="A69" s="335" t="s">
        <v>520</v>
      </c>
      <c r="B69" s="407" t="s">
        <v>521</v>
      </c>
      <c r="C69" s="408"/>
      <c r="D69" s="409"/>
      <c r="E69" s="333">
        <v>18500000</v>
      </c>
      <c r="F69" s="333">
        <v>18500000</v>
      </c>
      <c r="G69" s="333">
        <v>18500000</v>
      </c>
      <c r="H69" s="333">
        <v>18500000</v>
      </c>
      <c r="I69" s="333">
        <v>18500000</v>
      </c>
      <c r="J69" s="333">
        <v>18500000</v>
      </c>
      <c r="K69" s="333">
        <v>18500000</v>
      </c>
      <c r="L69" s="333">
        <v>18500000</v>
      </c>
      <c r="M69" s="333">
        <v>18500000</v>
      </c>
      <c r="N69" s="333">
        <v>18500000</v>
      </c>
      <c r="O69" s="333">
        <v>18500000</v>
      </c>
      <c r="P69" s="333">
        <v>18500000</v>
      </c>
      <c r="Q69" s="333">
        <f t="shared" si="17"/>
        <v>222000000</v>
      </c>
      <c r="R69" s="402">
        <f>'RINCIAN B. TDK LANGSUNG'!Q63</f>
        <v>0</v>
      </c>
      <c r="S69" s="402">
        <f t="shared" si="16"/>
        <v>222000000</v>
      </c>
      <c r="T69" s="334" t="s">
        <v>641</v>
      </c>
    </row>
    <row r="70" spans="1:20" ht="15.75" customHeight="1" x14ac:dyDescent="0.15">
      <c r="A70" s="335" t="s">
        <v>522</v>
      </c>
      <c r="B70" s="407" t="s">
        <v>523</v>
      </c>
      <c r="C70" s="408"/>
      <c r="D70" s="409"/>
      <c r="E70" s="333">
        <v>125000000</v>
      </c>
      <c r="F70" s="333">
        <v>25000000</v>
      </c>
      <c r="G70" s="333">
        <v>25000000</v>
      </c>
      <c r="H70" s="333">
        <v>25000000</v>
      </c>
      <c r="I70" s="333">
        <v>25000000</v>
      </c>
      <c r="J70" s="333">
        <v>25000000</v>
      </c>
      <c r="K70" s="333">
        <v>25000000</v>
      </c>
      <c r="L70" s="333">
        <v>25000000</v>
      </c>
      <c r="M70" s="333">
        <v>25000000</v>
      </c>
      <c r="N70" s="333">
        <v>25000000</v>
      </c>
      <c r="O70" s="333">
        <v>25000000</v>
      </c>
      <c r="P70" s="333">
        <v>25000000</v>
      </c>
      <c r="Q70" s="333">
        <f t="shared" si="17"/>
        <v>400000000</v>
      </c>
      <c r="R70" s="402">
        <f>'RINCIAN B. TDK LANGSUNG'!Q64</f>
        <v>0</v>
      </c>
      <c r="S70" s="402">
        <f t="shared" si="16"/>
        <v>400000000</v>
      </c>
      <c r="T70" s="334"/>
    </row>
    <row r="71" spans="1:20" ht="15.75" customHeight="1" x14ac:dyDescent="0.15">
      <c r="A71" s="335" t="s">
        <v>524</v>
      </c>
      <c r="B71" s="407" t="s">
        <v>525</v>
      </c>
      <c r="C71" s="408"/>
      <c r="D71" s="409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>
        <f t="shared" si="17"/>
        <v>0</v>
      </c>
      <c r="R71" s="402">
        <f>'RINCIAN B. TDK LANGSUNG'!Q65</f>
        <v>0</v>
      </c>
      <c r="S71" s="402">
        <f t="shared" si="16"/>
        <v>0</v>
      </c>
      <c r="T71" s="334"/>
    </row>
    <row r="72" spans="1:20" ht="15.75" customHeight="1" x14ac:dyDescent="0.15">
      <c r="A72" s="335"/>
      <c r="B72" s="407" t="s">
        <v>526</v>
      </c>
      <c r="C72" s="408"/>
      <c r="D72" s="409"/>
      <c r="E72" s="333">
        <v>25000000</v>
      </c>
      <c r="F72" s="333"/>
      <c r="G72" s="333">
        <v>25000000</v>
      </c>
      <c r="H72" s="333"/>
      <c r="I72" s="333"/>
      <c r="J72" s="333"/>
      <c r="K72" s="333"/>
      <c r="L72" s="333"/>
      <c r="M72" s="333"/>
      <c r="N72" s="333"/>
      <c r="O72" s="333"/>
      <c r="P72" s="333"/>
      <c r="Q72" s="333">
        <f t="shared" si="17"/>
        <v>50000000</v>
      </c>
      <c r="R72" s="402">
        <f>'RINCIAN B. TDK LANGSUNG'!Q66</f>
        <v>0</v>
      </c>
      <c r="S72" s="402">
        <f t="shared" si="16"/>
        <v>50000000</v>
      </c>
      <c r="T72" s="334"/>
    </row>
    <row r="73" spans="1:20" ht="15.75" customHeight="1" x14ac:dyDescent="0.15">
      <c r="A73" s="382"/>
      <c r="B73" s="383" t="s">
        <v>527</v>
      </c>
      <c r="C73" s="384"/>
      <c r="D73" s="385"/>
      <c r="E73" s="386"/>
      <c r="F73" s="386"/>
      <c r="G73" s="386"/>
      <c r="H73" s="386"/>
      <c r="I73" s="386"/>
      <c r="J73" s="386"/>
      <c r="K73" s="386"/>
      <c r="L73" s="386"/>
      <c r="M73" s="386"/>
      <c r="N73" s="386"/>
      <c r="O73" s="386"/>
      <c r="P73" s="386"/>
      <c r="Q73" s="386">
        <f t="shared" si="17"/>
        <v>0</v>
      </c>
      <c r="R73" s="402">
        <f>'RINCIAN B. TDK LANGSUNG'!Q67</f>
        <v>0</v>
      </c>
      <c r="S73" s="402">
        <f t="shared" si="16"/>
        <v>0</v>
      </c>
      <c r="T73" s="387"/>
    </row>
    <row r="74" spans="1:20" ht="15.75" customHeight="1" x14ac:dyDescent="0.15">
      <c r="A74" s="355" t="s">
        <v>528</v>
      </c>
      <c r="B74" s="410" t="s">
        <v>529</v>
      </c>
      <c r="C74" s="411"/>
      <c r="D74" s="41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>
        <f t="shared" si="17"/>
        <v>0</v>
      </c>
      <c r="R74" s="402">
        <f>'RINCIAN B. TDK LANGSUNG'!Q68</f>
        <v>0</v>
      </c>
      <c r="S74" s="402">
        <f t="shared" si="16"/>
        <v>0</v>
      </c>
      <c r="T74" s="388"/>
    </row>
    <row r="75" spans="1:20" ht="15.75" customHeight="1" x14ac:dyDescent="0.15">
      <c r="A75" s="335" t="s">
        <v>530</v>
      </c>
      <c r="B75" s="407" t="s">
        <v>531</v>
      </c>
      <c r="C75" s="408"/>
      <c r="D75" s="409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>
        <f t="shared" si="17"/>
        <v>0</v>
      </c>
      <c r="R75" s="402">
        <f>'RINCIAN B. TDK LANGSUNG'!Q69</f>
        <v>0</v>
      </c>
      <c r="S75" s="402">
        <f t="shared" si="16"/>
        <v>0</v>
      </c>
      <c r="T75" s="334"/>
    </row>
    <row r="76" spans="1:20" ht="15.75" customHeight="1" x14ac:dyDescent="0.15">
      <c r="A76" s="335"/>
      <c r="B76" s="407" t="s">
        <v>532</v>
      </c>
      <c r="C76" s="408"/>
      <c r="D76" s="409"/>
      <c r="E76" s="333">
        <v>15000000</v>
      </c>
      <c r="F76" s="333">
        <v>15000000</v>
      </c>
      <c r="G76" s="333">
        <v>15000000</v>
      </c>
      <c r="H76" s="333">
        <v>15000000</v>
      </c>
      <c r="I76" s="333">
        <v>15000000</v>
      </c>
      <c r="J76" s="333">
        <v>15000000</v>
      </c>
      <c r="K76" s="333">
        <v>15000000</v>
      </c>
      <c r="L76" s="333">
        <v>15000000</v>
      </c>
      <c r="M76" s="333">
        <v>15000000</v>
      </c>
      <c r="N76" s="333">
        <v>15000000</v>
      </c>
      <c r="O76" s="333">
        <v>15000000</v>
      </c>
      <c r="P76" s="333">
        <v>15000000</v>
      </c>
      <c r="Q76" s="333">
        <f t="shared" si="17"/>
        <v>180000000</v>
      </c>
      <c r="R76" s="402" t="e">
        <f>'RINCIAN B. TDK LANGSUNG'!#REF!</f>
        <v>#REF!</v>
      </c>
      <c r="S76" s="402" t="e">
        <f t="shared" si="16"/>
        <v>#REF!</v>
      </c>
      <c r="T76" s="334"/>
    </row>
    <row r="77" spans="1:20" ht="15.75" customHeight="1" x14ac:dyDescent="0.15">
      <c r="A77" s="335"/>
      <c r="B77" s="407" t="s">
        <v>533</v>
      </c>
      <c r="C77" s="408"/>
      <c r="D77" s="409"/>
      <c r="E77" s="333">
        <v>1750000</v>
      </c>
      <c r="F77" s="333">
        <v>1750000</v>
      </c>
      <c r="G77" s="333">
        <v>1750000</v>
      </c>
      <c r="H77" s="333">
        <v>1750000</v>
      </c>
      <c r="I77" s="333">
        <v>1750000</v>
      </c>
      <c r="J77" s="333">
        <v>1750000</v>
      </c>
      <c r="K77" s="333">
        <v>1750000</v>
      </c>
      <c r="L77" s="333">
        <v>1750000</v>
      </c>
      <c r="M77" s="333">
        <v>1750000</v>
      </c>
      <c r="N77" s="333">
        <v>1750000</v>
      </c>
      <c r="O77" s="333">
        <v>1750000</v>
      </c>
      <c r="P77" s="333">
        <v>1750000</v>
      </c>
      <c r="Q77" s="333">
        <f t="shared" si="17"/>
        <v>21000000</v>
      </c>
      <c r="R77" s="402" t="e">
        <f>'RINCIAN B. TDK LANGSUNG'!#REF!</f>
        <v>#REF!</v>
      </c>
      <c r="S77" s="402" t="e">
        <f t="shared" si="16"/>
        <v>#REF!</v>
      </c>
      <c r="T77" s="334"/>
    </row>
    <row r="78" spans="1:20" ht="15.75" customHeight="1" x14ac:dyDescent="0.15">
      <c r="A78" s="335" t="s">
        <v>534</v>
      </c>
      <c r="B78" s="407" t="s">
        <v>535</v>
      </c>
      <c r="C78" s="408"/>
      <c r="D78" s="409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>
        <f t="shared" si="17"/>
        <v>0</v>
      </c>
      <c r="R78" s="402">
        <f>'RINCIAN B. TDK LANGSUNG'!Q70</f>
        <v>0</v>
      </c>
      <c r="S78" s="402">
        <f t="shared" si="16"/>
        <v>0</v>
      </c>
      <c r="T78" s="334"/>
    </row>
    <row r="79" spans="1:20" ht="15.75" customHeight="1" x14ac:dyDescent="0.15">
      <c r="A79" s="335"/>
      <c r="B79" s="407" t="s">
        <v>536</v>
      </c>
      <c r="C79" s="408"/>
      <c r="D79" s="409"/>
      <c r="E79" s="378"/>
      <c r="F79" s="378"/>
      <c r="G79" s="378"/>
      <c r="H79" s="378"/>
      <c r="I79" s="378"/>
      <c r="J79" s="378"/>
      <c r="K79" s="333"/>
      <c r="L79" s="333"/>
      <c r="M79" s="333">
        <v>1500000</v>
      </c>
      <c r="N79" s="333"/>
      <c r="O79" s="333"/>
      <c r="P79" s="333"/>
      <c r="Q79" s="333">
        <f t="shared" si="17"/>
        <v>1500000</v>
      </c>
      <c r="R79" s="402">
        <f>'RINCIAN B. TDK LANGSUNG'!Q71</f>
        <v>0</v>
      </c>
      <c r="S79" s="402">
        <f t="shared" si="16"/>
        <v>1500000</v>
      </c>
      <c r="T79" s="334"/>
    </row>
    <row r="80" spans="1:20" ht="15.75" customHeight="1" x14ac:dyDescent="0.15">
      <c r="A80" s="335" t="s">
        <v>537</v>
      </c>
      <c r="B80" s="407" t="s">
        <v>538</v>
      </c>
      <c r="C80" s="408"/>
      <c r="D80" s="409"/>
      <c r="E80" s="378"/>
      <c r="F80" s="378"/>
      <c r="G80" s="378"/>
      <c r="H80" s="378"/>
      <c r="I80" s="378"/>
      <c r="J80" s="378"/>
      <c r="K80" s="378"/>
      <c r="L80" s="333"/>
      <c r="M80" s="333"/>
      <c r="N80" s="333"/>
      <c r="O80" s="333"/>
      <c r="P80" s="333"/>
      <c r="Q80" s="333">
        <f t="shared" si="17"/>
        <v>0</v>
      </c>
      <c r="R80" s="402">
        <f>'RINCIAN B. TDK LANGSUNG'!Q72</f>
        <v>0</v>
      </c>
      <c r="S80" s="402">
        <f t="shared" si="16"/>
        <v>0</v>
      </c>
      <c r="T80" s="334"/>
    </row>
    <row r="81" spans="1:20" ht="15.75" customHeight="1" x14ac:dyDescent="0.15">
      <c r="A81" s="335"/>
      <c r="B81" s="423" t="s">
        <v>540</v>
      </c>
      <c r="C81" s="424"/>
      <c r="D81" s="425"/>
      <c r="E81" s="333">
        <v>3000000</v>
      </c>
      <c r="F81" s="333">
        <v>6000000</v>
      </c>
      <c r="G81" s="333">
        <v>3000000</v>
      </c>
      <c r="H81" s="333"/>
      <c r="I81" s="333"/>
      <c r="J81" s="333"/>
      <c r="K81" s="333">
        <v>6000000</v>
      </c>
      <c r="L81" s="333"/>
      <c r="M81" s="333"/>
      <c r="N81" s="333">
        <v>3000000</v>
      </c>
      <c r="O81" s="333">
        <v>3000000</v>
      </c>
      <c r="P81" s="333"/>
      <c r="Q81" s="333">
        <f t="shared" si="17"/>
        <v>24000000</v>
      </c>
      <c r="R81" s="402" t="e">
        <f>'RINCIAN B. TDK LANGSUNG'!#REF!</f>
        <v>#REF!</v>
      </c>
      <c r="S81" s="402" t="e">
        <f t="shared" si="16"/>
        <v>#REF!</v>
      </c>
      <c r="T81" s="334"/>
    </row>
    <row r="82" spans="1:20" ht="15.75" customHeight="1" x14ac:dyDescent="0.15">
      <c r="A82" s="335"/>
      <c r="B82" s="904" t="s">
        <v>541</v>
      </c>
      <c r="C82" s="905"/>
      <c r="D82" s="906"/>
      <c r="E82" s="333"/>
      <c r="F82" s="333">
        <v>7000000</v>
      </c>
      <c r="G82" s="333"/>
      <c r="H82" s="333">
        <v>11000000</v>
      </c>
      <c r="I82" s="333"/>
      <c r="J82" s="333"/>
      <c r="K82" s="333"/>
      <c r="L82" s="333"/>
      <c r="M82" s="333"/>
      <c r="N82" s="333"/>
      <c r="O82" s="333"/>
      <c r="P82" s="333">
        <v>12000000</v>
      </c>
      <c r="Q82" s="333">
        <f t="shared" si="17"/>
        <v>30000000</v>
      </c>
      <c r="R82" s="402" t="e">
        <f>'RINCIAN B. TDK LANGSUNG'!#REF!</f>
        <v>#REF!</v>
      </c>
      <c r="S82" s="402" t="e">
        <f t="shared" si="16"/>
        <v>#REF!</v>
      </c>
      <c r="T82" s="334"/>
    </row>
    <row r="83" spans="1:20" ht="15.75" customHeight="1" x14ac:dyDescent="0.15">
      <c r="A83" s="335"/>
      <c r="B83" s="423" t="s">
        <v>542</v>
      </c>
      <c r="C83" s="424"/>
      <c r="D83" s="425"/>
      <c r="E83" s="333">
        <v>51500000</v>
      </c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>
        <f t="shared" si="17"/>
        <v>51500000</v>
      </c>
      <c r="R83" s="402" t="e">
        <f>'RINCIAN B. TDK LANGSUNG'!#REF!</f>
        <v>#REF!</v>
      </c>
      <c r="S83" s="402" t="e">
        <f t="shared" si="16"/>
        <v>#REF!</v>
      </c>
      <c r="T83" s="334"/>
    </row>
    <row r="84" spans="1:20" ht="15.75" customHeight="1" x14ac:dyDescent="0.15">
      <c r="A84" s="335"/>
      <c r="B84" s="904" t="s">
        <v>543</v>
      </c>
      <c r="C84" s="905"/>
      <c r="D84" s="906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>
        <f t="shared" ref="Q84:Q85" si="18">SUM(E84:P84)</f>
        <v>0</v>
      </c>
      <c r="R84" s="402" t="e">
        <f>'RINCIAN B. TDK LANGSUNG'!#REF!</f>
        <v>#REF!</v>
      </c>
      <c r="S84" s="402" t="e">
        <f t="shared" si="16"/>
        <v>#REF!</v>
      </c>
      <c r="T84" s="334"/>
    </row>
    <row r="85" spans="1:20" ht="15.75" customHeight="1" x14ac:dyDescent="0.15">
      <c r="A85" s="335"/>
      <c r="B85" s="423" t="s">
        <v>640</v>
      </c>
      <c r="C85" s="426"/>
      <c r="D85" s="427"/>
      <c r="E85" s="333"/>
      <c r="F85" s="333"/>
      <c r="G85" s="333"/>
      <c r="H85" s="333"/>
      <c r="I85" s="333"/>
      <c r="J85" s="333"/>
      <c r="K85" s="333"/>
      <c r="L85" s="333">
        <v>70000000</v>
      </c>
      <c r="M85" s="333"/>
      <c r="N85" s="333"/>
      <c r="O85" s="333"/>
      <c r="P85" s="333"/>
      <c r="Q85" s="333">
        <f t="shared" si="18"/>
        <v>70000000</v>
      </c>
      <c r="R85" s="402">
        <f>'RINCIAN B. TDK LANGSUNG'!Q73</f>
        <v>0</v>
      </c>
      <c r="S85" s="402">
        <f t="shared" si="16"/>
        <v>70000000</v>
      </c>
      <c r="T85" s="334"/>
    </row>
    <row r="86" spans="1:20" ht="15.75" customHeight="1" x14ac:dyDescent="0.15">
      <c r="A86" s="335"/>
      <c r="B86" s="423" t="s">
        <v>545</v>
      </c>
      <c r="C86" s="426"/>
      <c r="D86" s="427"/>
      <c r="E86" s="378">
        <v>1500000</v>
      </c>
      <c r="F86" s="378">
        <v>1500000</v>
      </c>
      <c r="G86" s="378">
        <v>1500000</v>
      </c>
      <c r="H86" s="378">
        <v>1500000</v>
      </c>
      <c r="I86" s="378">
        <v>1500000</v>
      </c>
      <c r="J86" s="378">
        <v>1500000</v>
      </c>
      <c r="K86" s="378">
        <v>1500000</v>
      </c>
      <c r="L86" s="378">
        <v>1500000</v>
      </c>
      <c r="M86" s="378">
        <v>1500000</v>
      </c>
      <c r="N86" s="378">
        <v>1500000</v>
      </c>
      <c r="O86" s="378">
        <v>1500000</v>
      </c>
      <c r="P86" s="378">
        <v>1500000</v>
      </c>
      <c r="Q86" s="333">
        <f t="shared" si="17"/>
        <v>18000000</v>
      </c>
      <c r="R86" s="402">
        <f>'RINCIAN B. TDK LANGSUNG'!Q74</f>
        <v>0</v>
      </c>
      <c r="S86" s="402">
        <f t="shared" si="16"/>
        <v>18000000</v>
      </c>
      <c r="T86" s="334"/>
    </row>
    <row r="87" spans="1:20" ht="15.75" customHeight="1" x14ac:dyDescent="0.15">
      <c r="A87" s="344"/>
      <c r="B87" s="857" t="s">
        <v>546</v>
      </c>
      <c r="C87" s="858"/>
      <c r="D87" s="859"/>
      <c r="E87" s="345">
        <f t="shared" ref="E87:P87" si="19">SUM(E65:E86)</f>
        <v>243800000</v>
      </c>
      <c r="F87" s="345">
        <f t="shared" si="19"/>
        <v>77300000</v>
      </c>
      <c r="G87" s="345">
        <f t="shared" si="19"/>
        <v>92300000</v>
      </c>
      <c r="H87" s="345">
        <f t="shared" si="19"/>
        <v>75300000</v>
      </c>
      <c r="I87" s="345">
        <f t="shared" si="19"/>
        <v>64300000</v>
      </c>
      <c r="J87" s="345">
        <f t="shared" si="19"/>
        <v>64300000</v>
      </c>
      <c r="K87" s="345">
        <f t="shared" si="19"/>
        <v>70300000</v>
      </c>
      <c r="L87" s="345">
        <f t="shared" si="19"/>
        <v>134300000</v>
      </c>
      <c r="M87" s="345">
        <f t="shared" si="19"/>
        <v>65800000</v>
      </c>
      <c r="N87" s="345">
        <f t="shared" si="19"/>
        <v>67300000</v>
      </c>
      <c r="O87" s="345">
        <f t="shared" si="19"/>
        <v>67300000</v>
      </c>
      <c r="P87" s="345">
        <f t="shared" si="19"/>
        <v>76300000</v>
      </c>
      <c r="Q87" s="345">
        <f>SUM(E87:P87)</f>
        <v>1098600000</v>
      </c>
      <c r="R87" s="403" t="e">
        <f>SUM(R66:R86)</f>
        <v>#REF!</v>
      </c>
      <c r="S87" s="403" t="e">
        <f>Q87-R87</f>
        <v>#REF!</v>
      </c>
      <c r="T87" s="346" t="s">
        <v>371</v>
      </c>
    </row>
    <row r="88" spans="1:20" ht="15.75" customHeight="1" x14ac:dyDescent="0.15">
      <c r="A88" s="344"/>
      <c r="B88" s="857" t="s">
        <v>547</v>
      </c>
      <c r="C88" s="858"/>
      <c r="D88" s="859"/>
      <c r="E88" s="386">
        <f t="shared" ref="E88:P88" si="20">E87+E60+E50+E45+E28+E53</f>
        <v>514370000</v>
      </c>
      <c r="F88" s="386">
        <f t="shared" si="20"/>
        <v>342570000</v>
      </c>
      <c r="G88" s="386">
        <f t="shared" si="20"/>
        <v>314070000</v>
      </c>
      <c r="H88" s="386">
        <f t="shared" si="20"/>
        <v>364770000</v>
      </c>
      <c r="I88" s="386">
        <f t="shared" si="20"/>
        <v>475770000</v>
      </c>
      <c r="J88" s="386">
        <f t="shared" si="20"/>
        <v>276070000</v>
      </c>
      <c r="K88" s="386">
        <f t="shared" si="20"/>
        <v>293870000</v>
      </c>
      <c r="L88" s="386">
        <f t="shared" si="20"/>
        <v>399670000</v>
      </c>
      <c r="M88" s="386">
        <f t="shared" si="20"/>
        <v>287570000</v>
      </c>
      <c r="N88" s="386">
        <f t="shared" si="20"/>
        <v>293570000</v>
      </c>
      <c r="O88" s="386">
        <f t="shared" si="20"/>
        <v>301570000</v>
      </c>
      <c r="P88" s="386">
        <f t="shared" si="20"/>
        <v>451970000</v>
      </c>
      <c r="Q88" s="345">
        <f>SUM(E88:P88)</f>
        <v>4315840000</v>
      </c>
      <c r="R88" s="402" t="e">
        <f>R28+R45+R50+R53+R60+R64+R87</f>
        <v>#REF!</v>
      </c>
      <c r="S88" s="403" t="e">
        <f t="shared" ref="S88:S90" si="21">Q88-R88</f>
        <v>#REF!</v>
      </c>
      <c r="T88" s="334"/>
    </row>
    <row r="89" spans="1:20" ht="15.75" customHeight="1" x14ac:dyDescent="0.15">
      <c r="A89" s="335" t="s">
        <v>341</v>
      </c>
      <c r="B89" s="885" t="s">
        <v>548</v>
      </c>
      <c r="C89" s="886"/>
      <c r="D89" s="887"/>
      <c r="E89" s="389">
        <v>42100000</v>
      </c>
      <c r="F89" s="389">
        <f>42100000+625000</f>
        <v>42725000</v>
      </c>
      <c r="G89" s="389">
        <f>42100000+625000+420000</f>
        <v>43145000</v>
      </c>
      <c r="H89" s="389">
        <f t="shared" ref="H89:J89" si="22">42100000+625000+420000</f>
        <v>43145000</v>
      </c>
      <c r="I89" s="389">
        <f t="shared" si="22"/>
        <v>43145000</v>
      </c>
      <c r="J89" s="389">
        <f t="shared" si="22"/>
        <v>43145000</v>
      </c>
      <c r="K89" s="389">
        <f>42100000+625000+420000+420000</f>
        <v>43565000</v>
      </c>
      <c r="L89" s="389">
        <f t="shared" ref="L89:N89" si="23">42100000+625000+420000+420000</f>
        <v>43565000</v>
      </c>
      <c r="M89" s="389">
        <f t="shared" si="23"/>
        <v>43565000</v>
      </c>
      <c r="N89" s="389">
        <f t="shared" si="23"/>
        <v>43565000</v>
      </c>
      <c r="O89" s="389">
        <f>42100000+625000+420000+420000+420000</f>
        <v>43985000</v>
      </c>
      <c r="P89" s="389">
        <f>42100000+625000+420000+420000+420000</f>
        <v>43985000</v>
      </c>
      <c r="Q89" s="333">
        <f t="shared" si="17"/>
        <v>519635000</v>
      </c>
      <c r="R89" s="345">
        <f>'RINCIAN B. TDK LANGSUNG'!Q78+'RINCIAN B. TDK LANGSUNG'!Q79</f>
        <v>0</v>
      </c>
      <c r="S89" s="403">
        <f t="shared" si="21"/>
        <v>519635000</v>
      </c>
      <c r="T89" s="346" t="s">
        <v>549</v>
      </c>
    </row>
    <row r="90" spans="1:20" ht="15.75" customHeight="1" thickBot="1" x14ac:dyDescent="0.2">
      <c r="A90" s="364"/>
      <c r="B90" s="869" t="s">
        <v>550</v>
      </c>
      <c r="C90" s="870"/>
      <c r="D90" s="871"/>
      <c r="E90" s="390">
        <f>SUM(E88:E89)</f>
        <v>556470000</v>
      </c>
      <c r="F90" s="390">
        <f t="shared" ref="F90:Q90" si="24">SUM(F88:F89)</f>
        <v>385295000</v>
      </c>
      <c r="G90" s="390">
        <f t="shared" si="24"/>
        <v>357215000</v>
      </c>
      <c r="H90" s="390">
        <f t="shared" si="24"/>
        <v>407915000</v>
      </c>
      <c r="I90" s="390">
        <f t="shared" si="24"/>
        <v>518915000</v>
      </c>
      <c r="J90" s="390">
        <f t="shared" si="24"/>
        <v>319215000</v>
      </c>
      <c r="K90" s="390">
        <f t="shared" si="24"/>
        <v>337435000</v>
      </c>
      <c r="L90" s="390">
        <f t="shared" si="24"/>
        <v>443235000</v>
      </c>
      <c r="M90" s="390">
        <f t="shared" si="24"/>
        <v>331135000</v>
      </c>
      <c r="N90" s="390">
        <f t="shared" si="24"/>
        <v>337135000</v>
      </c>
      <c r="O90" s="390">
        <f t="shared" si="24"/>
        <v>345555000</v>
      </c>
      <c r="P90" s="390">
        <f t="shared" si="24"/>
        <v>495955000</v>
      </c>
      <c r="Q90" s="390">
        <f t="shared" si="24"/>
        <v>4835475000</v>
      </c>
      <c r="R90" s="421" t="e">
        <f>SUM(R88:R89)</f>
        <v>#REF!</v>
      </c>
      <c r="S90" s="403" t="e">
        <f t="shared" si="21"/>
        <v>#REF!</v>
      </c>
      <c r="T90" s="391"/>
    </row>
    <row r="91" spans="1:20" ht="12.75" customHeight="1" thickTop="1" x14ac:dyDescent="0.15">
      <c r="A91" s="367"/>
      <c r="E91" s="392"/>
      <c r="F91" s="392"/>
      <c r="G91" s="392"/>
      <c r="H91" s="392"/>
      <c r="I91" s="392"/>
      <c r="J91" s="392"/>
      <c r="K91" s="392"/>
      <c r="L91" s="393"/>
      <c r="M91" s="393"/>
      <c r="N91" s="393"/>
      <c r="O91" s="393"/>
      <c r="P91" s="393"/>
      <c r="Q91" s="393"/>
      <c r="R91" s="393"/>
      <c r="S91" s="393"/>
    </row>
    <row r="92" spans="1:20" ht="12.75" customHeight="1" x14ac:dyDescent="0.15">
      <c r="A92" s="367"/>
      <c r="E92" s="392"/>
      <c r="F92" s="392"/>
      <c r="G92" s="392"/>
      <c r="H92" s="392"/>
      <c r="I92" s="392"/>
      <c r="J92" s="392"/>
      <c r="K92" s="392"/>
      <c r="L92" s="393"/>
      <c r="M92" s="393"/>
      <c r="N92" s="393"/>
      <c r="O92" s="393"/>
      <c r="P92" s="393"/>
      <c r="Q92" s="393"/>
      <c r="R92" s="393"/>
      <c r="S92" s="393"/>
      <c r="T92" s="395"/>
    </row>
    <row r="93" spans="1:20" ht="12.75" customHeight="1" x14ac:dyDescent="0.15">
      <c r="A93" s="367"/>
      <c r="L93" s="396"/>
      <c r="M93" s="396"/>
      <c r="P93" s="398"/>
      <c r="Q93" s="396"/>
      <c r="R93" s="396"/>
      <c r="S93" s="396"/>
      <c r="T93" s="399"/>
    </row>
    <row r="94" spans="1:20" ht="12.75" customHeight="1" x14ac:dyDescent="0.15">
      <c r="A94" s="367"/>
      <c r="Q94" s="396"/>
      <c r="R94" s="396"/>
      <c r="S94" s="396"/>
      <c r="T94" s="399"/>
    </row>
    <row r="95" spans="1:20" ht="12.75" customHeight="1" x14ac:dyDescent="0.15">
      <c r="A95" s="367"/>
      <c r="M95" s="396"/>
      <c r="Q95" s="396"/>
    </row>
    <row r="96" spans="1:20" ht="12.75" customHeight="1" x14ac:dyDescent="0.15">
      <c r="A96" s="367"/>
    </row>
    <row r="97" spans="1:20" ht="12.75" customHeight="1" x14ac:dyDescent="0.15">
      <c r="A97" s="367"/>
      <c r="Q97" s="396"/>
      <c r="R97" s="396"/>
      <c r="S97" s="396"/>
    </row>
    <row r="98" spans="1:20" ht="12.75" customHeight="1" x14ac:dyDescent="0.15">
      <c r="A98" s="367"/>
    </row>
    <row r="99" spans="1:20" s="368" customFormat="1" ht="12.75" customHeight="1" x14ac:dyDescent="0.15">
      <c r="A99" s="367"/>
      <c r="C99" s="323"/>
      <c r="D99" s="323"/>
      <c r="E99" s="323"/>
      <c r="F99" s="323"/>
      <c r="G99" s="323"/>
      <c r="H99" s="323"/>
      <c r="I99" s="323"/>
      <c r="J99" s="323"/>
      <c r="K99" s="323"/>
      <c r="L99" s="397"/>
      <c r="M99" s="397"/>
      <c r="N99" s="397"/>
      <c r="O99" s="397"/>
      <c r="P99" s="397"/>
      <c r="Q99" s="396"/>
      <c r="R99" s="396"/>
      <c r="S99" s="396"/>
      <c r="T99" s="394"/>
    </row>
    <row r="100" spans="1:20" s="368" customFormat="1" ht="12.75" customHeight="1" x14ac:dyDescent="0.15">
      <c r="A100" s="367"/>
      <c r="C100" s="323"/>
      <c r="D100" s="323"/>
      <c r="E100" s="323"/>
      <c r="F100" s="323"/>
      <c r="G100" s="323"/>
      <c r="H100" s="323"/>
      <c r="I100" s="323"/>
      <c r="J100" s="323"/>
      <c r="K100" s="323"/>
      <c r="L100" s="397"/>
      <c r="M100" s="397"/>
      <c r="N100" s="397"/>
      <c r="O100" s="397"/>
      <c r="P100" s="397"/>
      <c r="Q100" s="396"/>
      <c r="R100" s="396"/>
      <c r="S100" s="396"/>
      <c r="T100" s="394"/>
    </row>
    <row r="101" spans="1:20" s="368" customFormat="1" ht="12.75" customHeight="1" x14ac:dyDescent="0.15">
      <c r="A101" s="367"/>
      <c r="C101" s="323"/>
      <c r="D101" s="323"/>
      <c r="E101" s="323"/>
      <c r="F101" s="323"/>
      <c r="G101" s="323"/>
      <c r="H101" s="323"/>
      <c r="I101" s="323"/>
      <c r="J101" s="323"/>
      <c r="K101" s="323"/>
      <c r="L101" s="397"/>
      <c r="M101" s="397"/>
      <c r="N101" s="397"/>
      <c r="O101" s="397"/>
      <c r="P101" s="397"/>
      <c r="Q101" s="397"/>
      <c r="R101" s="397"/>
      <c r="S101" s="397"/>
      <c r="T101" s="394"/>
    </row>
    <row r="102" spans="1:20" s="368" customFormat="1" ht="12.75" customHeight="1" x14ac:dyDescent="0.15">
      <c r="A102" s="367"/>
      <c r="C102" s="323"/>
      <c r="D102" s="323"/>
      <c r="E102" s="323"/>
      <c r="F102" s="323"/>
      <c r="G102" s="323"/>
      <c r="H102" s="323"/>
      <c r="I102" s="323"/>
      <c r="J102" s="323"/>
      <c r="K102" s="323"/>
      <c r="L102" s="397"/>
      <c r="M102" s="397"/>
      <c r="N102" s="397"/>
      <c r="O102" s="397"/>
      <c r="P102" s="397"/>
      <c r="Q102" s="397"/>
      <c r="R102" s="397"/>
      <c r="S102" s="397"/>
      <c r="T102" s="394"/>
    </row>
    <row r="103" spans="1:20" s="368" customFormat="1" ht="12.75" customHeight="1" x14ac:dyDescent="0.15">
      <c r="A103" s="367"/>
      <c r="C103" s="323"/>
      <c r="D103" s="323"/>
      <c r="E103" s="323"/>
      <c r="F103" s="323"/>
      <c r="G103" s="323"/>
      <c r="H103" s="323"/>
      <c r="I103" s="323"/>
      <c r="J103" s="323"/>
      <c r="K103" s="323"/>
      <c r="L103" s="397"/>
      <c r="M103" s="397">
        <f>30000/12</f>
        <v>2500</v>
      </c>
      <c r="N103" s="397"/>
      <c r="O103" s="397"/>
      <c r="P103" s="397"/>
      <c r="Q103" s="397"/>
      <c r="R103" s="397"/>
      <c r="S103" s="397"/>
      <c r="T103" s="394"/>
    </row>
    <row r="104" spans="1:20" s="368" customFormat="1" ht="12.75" customHeight="1" x14ac:dyDescent="0.15">
      <c r="A104" s="367"/>
      <c r="C104" s="323"/>
      <c r="D104" s="323"/>
      <c r="E104" s="323"/>
      <c r="F104" s="323"/>
      <c r="G104" s="323"/>
      <c r="H104" s="323"/>
      <c r="I104" s="323"/>
      <c r="J104" s="323"/>
      <c r="K104" s="323"/>
      <c r="L104" s="397"/>
      <c r="M104" s="397">
        <f>15000/12</f>
        <v>1250</v>
      </c>
      <c r="N104" s="397"/>
      <c r="O104" s="397"/>
      <c r="P104" s="397"/>
      <c r="Q104" s="397"/>
      <c r="R104" s="397"/>
      <c r="S104" s="397"/>
      <c r="T104" s="394"/>
    </row>
    <row r="105" spans="1:20" s="368" customFormat="1" ht="12.75" customHeight="1" x14ac:dyDescent="0.15">
      <c r="A105" s="367"/>
      <c r="C105" s="323"/>
      <c r="D105" s="323"/>
      <c r="E105" s="323"/>
      <c r="F105" s="323"/>
      <c r="G105" s="323"/>
      <c r="H105" s="323"/>
      <c r="I105" s="323"/>
      <c r="J105" s="323"/>
      <c r="K105" s="323"/>
      <c r="L105" s="397"/>
      <c r="M105" s="397"/>
      <c r="N105" s="397"/>
      <c r="O105" s="397"/>
      <c r="P105" s="397"/>
      <c r="Q105" s="397"/>
      <c r="R105" s="397"/>
      <c r="S105" s="397"/>
      <c r="T105" s="394"/>
    </row>
    <row r="106" spans="1:20" s="368" customFormat="1" ht="12.75" customHeight="1" x14ac:dyDescent="0.15">
      <c r="A106" s="367"/>
      <c r="C106" s="323"/>
      <c r="D106" s="323"/>
      <c r="E106" s="323"/>
      <c r="F106" s="323"/>
      <c r="G106" s="323"/>
      <c r="H106" s="323"/>
      <c r="I106" s="323"/>
      <c r="J106" s="323"/>
      <c r="K106" s="323"/>
      <c r="L106" s="397"/>
      <c r="M106" s="397"/>
      <c r="N106" s="397"/>
      <c r="O106" s="397"/>
      <c r="P106" s="397"/>
      <c r="Q106" s="397"/>
      <c r="R106" s="397"/>
      <c r="S106" s="397"/>
      <c r="T106" s="394"/>
    </row>
    <row r="107" spans="1:20" s="368" customFormat="1" ht="12.75" customHeight="1" x14ac:dyDescent="0.15">
      <c r="A107" s="367"/>
      <c r="C107" s="323"/>
      <c r="D107" s="323"/>
      <c r="E107" s="323"/>
      <c r="F107" s="323"/>
      <c r="G107" s="323"/>
      <c r="H107" s="323"/>
      <c r="I107" s="323"/>
      <c r="J107" s="323"/>
      <c r="K107" s="323"/>
      <c r="L107" s="397"/>
      <c r="M107" s="397"/>
      <c r="N107" s="397"/>
      <c r="O107" s="397"/>
      <c r="P107" s="397"/>
      <c r="Q107" s="397"/>
      <c r="R107" s="397"/>
      <c r="S107" s="397"/>
      <c r="T107" s="394"/>
    </row>
    <row r="108" spans="1:20" s="368" customFormat="1" ht="12.75" customHeight="1" x14ac:dyDescent="0.15">
      <c r="A108" s="367"/>
      <c r="C108" s="323"/>
      <c r="D108" s="323"/>
      <c r="E108" s="323"/>
      <c r="F108" s="323"/>
      <c r="G108" s="323"/>
      <c r="H108" s="323"/>
      <c r="I108" s="323"/>
      <c r="J108" s="323"/>
      <c r="K108" s="323"/>
      <c r="L108" s="397"/>
      <c r="M108" s="397"/>
      <c r="N108" s="397"/>
      <c r="O108" s="397"/>
      <c r="P108" s="397"/>
      <c r="Q108" s="397"/>
      <c r="R108" s="397"/>
      <c r="S108" s="397"/>
      <c r="T108" s="394"/>
    </row>
    <row r="109" spans="1:20" s="368" customFormat="1" ht="12.75" customHeight="1" x14ac:dyDescent="0.15">
      <c r="A109" s="367"/>
      <c r="C109" s="323"/>
      <c r="D109" s="323"/>
      <c r="E109" s="323"/>
      <c r="F109" s="323"/>
      <c r="G109" s="323"/>
      <c r="H109" s="323"/>
      <c r="I109" s="323"/>
      <c r="J109" s="323"/>
      <c r="K109" s="323"/>
      <c r="L109" s="397"/>
      <c r="M109" s="397"/>
      <c r="N109" s="397"/>
      <c r="O109" s="397"/>
      <c r="P109" s="397"/>
      <c r="Q109" s="397"/>
      <c r="R109" s="397"/>
      <c r="S109" s="397"/>
      <c r="T109" s="394"/>
    </row>
    <row r="110" spans="1:20" s="368" customFormat="1" ht="12.75" customHeight="1" x14ac:dyDescent="0.15">
      <c r="A110" s="367"/>
      <c r="C110" s="323"/>
      <c r="D110" s="323"/>
      <c r="E110" s="323"/>
      <c r="F110" s="323"/>
      <c r="G110" s="323"/>
      <c r="H110" s="323"/>
      <c r="I110" s="323"/>
      <c r="J110" s="323"/>
      <c r="K110" s="323"/>
      <c r="L110" s="397"/>
      <c r="M110" s="397"/>
      <c r="N110" s="397"/>
      <c r="O110" s="397"/>
      <c r="P110" s="397"/>
      <c r="Q110" s="397"/>
      <c r="R110" s="397"/>
      <c r="S110" s="397"/>
      <c r="T110" s="394"/>
    </row>
    <row r="111" spans="1:20" s="368" customFormat="1" ht="12.75" customHeight="1" x14ac:dyDescent="0.15">
      <c r="A111" s="367"/>
      <c r="C111" s="323"/>
      <c r="D111" s="323"/>
      <c r="E111" s="323"/>
      <c r="F111" s="323"/>
      <c r="G111" s="323"/>
      <c r="H111" s="323"/>
      <c r="I111" s="323"/>
      <c r="J111" s="323"/>
      <c r="K111" s="323"/>
      <c r="L111" s="397"/>
      <c r="M111" s="397"/>
      <c r="N111" s="397"/>
      <c r="O111" s="397"/>
      <c r="P111" s="397"/>
      <c r="Q111" s="397"/>
      <c r="R111" s="397"/>
      <c r="S111" s="397"/>
      <c r="T111" s="394"/>
    </row>
    <row r="112" spans="1:20" s="368" customFormat="1" ht="12.75" customHeight="1" x14ac:dyDescent="0.15">
      <c r="A112" s="367"/>
      <c r="C112" s="323"/>
      <c r="D112" s="323"/>
      <c r="E112" s="323"/>
      <c r="F112" s="323"/>
      <c r="G112" s="323"/>
      <c r="H112" s="323"/>
      <c r="I112" s="323"/>
      <c r="J112" s="323"/>
      <c r="K112" s="323"/>
      <c r="L112" s="397"/>
      <c r="M112" s="397"/>
      <c r="N112" s="397"/>
      <c r="O112" s="397"/>
      <c r="P112" s="397"/>
      <c r="Q112" s="397"/>
      <c r="R112" s="397"/>
      <c r="S112" s="397"/>
      <c r="T112" s="394"/>
    </row>
    <row r="113" spans="1:20" s="368" customFormat="1" ht="12.75" customHeight="1" x14ac:dyDescent="0.15">
      <c r="A113" s="367"/>
      <c r="C113" s="323"/>
      <c r="D113" s="323"/>
      <c r="E113" s="323"/>
      <c r="F113" s="323"/>
      <c r="G113" s="323"/>
      <c r="H113" s="323"/>
      <c r="I113" s="323"/>
      <c r="J113" s="323"/>
      <c r="K113" s="323"/>
      <c r="L113" s="397"/>
      <c r="M113" s="397"/>
      <c r="N113" s="397"/>
      <c r="O113" s="397"/>
      <c r="P113" s="397"/>
      <c r="Q113" s="397"/>
      <c r="R113" s="397"/>
      <c r="S113" s="397"/>
      <c r="T113" s="394"/>
    </row>
    <row r="114" spans="1:20" s="368" customFormat="1" ht="12.75" customHeight="1" x14ac:dyDescent="0.15">
      <c r="A114" s="367"/>
      <c r="C114" s="323"/>
      <c r="D114" s="323"/>
      <c r="E114" s="323"/>
      <c r="F114" s="323"/>
      <c r="G114" s="323"/>
      <c r="H114" s="323"/>
      <c r="I114" s="323"/>
      <c r="J114" s="323"/>
      <c r="K114" s="323"/>
      <c r="L114" s="397"/>
      <c r="M114" s="397"/>
      <c r="N114" s="397"/>
      <c r="O114" s="397"/>
      <c r="P114" s="397"/>
      <c r="Q114" s="397"/>
      <c r="R114" s="397"/>
      <c r="S114" s="397"/>
      <c r="T114" s="394"/>
    </row>
    <row r="115" spans="1:20" s="368" customFormat="1" ht="12.75" customHeight="1" x14ac:dyDescent="0.15">
      <c r="A115" s="367"/>
      <c r="C115" s="323"/>
      <c r="D115" s="323"/>
      <c r="E115" s="323"/>
      <c r="F115" s="323"/>
      <c r="G115" s="323"/>
      <c r="H115" s="323"/>
      <c r="I115" s="323"/>
      <c r="J115" s="323"/>
      <c r="K115" s="323"/>
      <c r="L115" s="397"/>
      <c r="M115" s="397"/>
      <c r="N115" s="397"/>
      <c r="O115" s="397"/>
      <c r="P115" s="397"/>
      <c r="Q115" s="397"/>
      <c r="R115" s="397"/>
      <c r="S115" s="397"/>
      <c r="T115" s="394"/>
    </row>
    <row r="116" spans="1:20" s="368" customFormat="1" ht="12.75" customHeight="1" x14ac:dyDescent="0.15">
      <c r="A116" s="367"/>
      <c r="C116" s="323"/>
      <c r="D116" s="323"/>
      <c r="E116" s="323"/>
      <c r="F116" s="323"/>
      <c r="G116" s="323"/>
      <c r="H116" s="323"/>
      <c r="I116" s="323"/>
      <c r="J116" s="323"/>
      <c r="K116" s="323"/>
      <c r="L116" s="397"/>
      <c r="M116" s="397"/>
      <c r="N116" s="397"/>
      <c r="O116" s="397"/>
      <c r="P116" s="397"/>
      <c r="Q116" s="397"/>
      <c r="R116" s="397"/>
      <c r="S116" s="397"/>
      <c r="T116" s="394"/>
    </row>
    <row r="117" spans="1:20" s="368" customFormat="1" ht="12.75" customHeight="1" x14ac:dyDescent="0.15">
      <c r="A117" s="367"/>
      <c r="C117" s="323"/>
      <c r="D117" s="323"/>
      <c r="E117" s="323"/>
      <c r="F117" s="323"/>
      <c r="G117" s="323"/>
      <c r="H117" s="323"/>
      <c r="I117" s="323"/>
      <c r="J117" s="323"/>
      <c r="K117" s="323"/>
      <c r="L117" s="397"/>
      <c r="M117" s="397"/>
      <c r="N117" s="397"/>
      <c r="O117" s="397"/>
      <c r="P117" s="397"/>
      <c r="Q117" s="397"/>
      <c r="R117" s="397"/>
      <c r="S117" s="397"/>
      <c r="T117" s="394"/>
    </row>
    <row r="118" spans="1:20" s="368" customFormat="1" ht="12.75" customHeight="1" x14ac:dyDescent="0.15">
      <c r="A118" s="367"/>
      <c r="C118" s="323"/>
      <c r="D118" s="323"/>
      <c r="E118" s="323"/>
      <c r="F118" s="323"/>
      <c r="G118" s="323"/>
      <c r="H118" s="323"/>
      <c r="I118" s="323"/>
      <c r="J118" s="323"/>
      <c r="K118" s="323"/>
      <c r="L118" s="397"/>
      <c r="M118" s="397"/>
      <c r="N118" s="397"/>
      <c r="O118" s="397"/>
      <c r="P118" s="397"/>
      <c r="Q118" s="397"/>
      <c r="R118" s="397"/>
      <c r="S118" s="397"/>
      <c r="T118" s="394"/>
    </row>
    <row r="119" spans="1:20" s="368" customFormat="1" ht="12.75" customHeight="1" x14ac:dyDescent="0.15">
      <c r="A119" s="367"/>
      <c r="C119" s="323"/>
      <c r="D119" s="323"/>
      <c r="E119" s="323"/>
      <c r="F119" s="323"/>
      <c r="G119" s="323"/>
      <c r="H119" s="323"/>
      <c r="I119" s="323"/>
      <c r="J119" s="323"/>
      <c r="K119" s="323"/>
      <c r="L119" s="397"/>
      <c r="M119" s="397"/>
      <c r="N119" s="397"/>
      <c r="O119" s="397"/>
      <c r="P119" s="397"/>
      <c r="Q119" s="397"/>
      <c r="R119" s="397"/>
      <c r="S119" s="397"/>
      <c r="T119" s="394"/>
    </row>
    <row r="120" spans="1:20" s="368" customFormat="1" ht="12.75" customHeight="1" x14ac:dyDescent="0.15">
      <c r="A120" s="367"/>
      <c r="C120" s="323"/>
      <c r="D120" s="323"/>
      <c r="E120" s="323"/>
      <c r="F120" s="323"/>
      <c r="G120" s="323"/>
      <c r="H120" s="323"/>
      <c r="I120" s="323"/>
      <c r="J120" s="323"/>
      <c r="K120" s="323"/>
      <c r="L120" s="397"/>
      <c r="M120" s="397"/>
      <c r="N120" s="397"/>
      <c r="O120" s="397"/>
      <c r="P120" s="397"/>
      <c r="Q120" s="397"/>
      <c r="R120" s="397"/>
      <c r="S120" s="397"/>
      <c r="T120" s="394"/>
    </row>
    <row r="121" spans="1:20" s="368" customFormat="1" ht="12.75" customHeight="1" x14ac:dyDescent="0.15">
      <c r="A121" s="367"/>
      <c r="C121" s="323"/>
      <c r="D121" s="323"/>
      <c r="E121" s="323"/>
      <c r="F121" s="323"/>
      <c r="G121" s="323"/>
      <c r="H121" s="323"/>
      <c r="I121" s="323"/>
      <c r="J121" s="323"/>
      <c r="K121" s="323"/>
      <c r="L121" s="397"/>
      <c r="M121" s="397"/>
      <c r="N121" s="397"/>
      <c r="O121" s="397"/>
      <c r="P121" s="397"/>
      <c r="Q121" s="397"/>
      <c r="R121" s="397"/>
      <c r="S121" s="397"/>
      <c r="T121" s="394"/>
    </row>
    <row r="122" spans="1:20" s="368" customFormat="1" ht="12.75" customHeight="1" x14ac:dyDescent="0.15">
      <c r="A122" s="367"/>
      <c r="C122" s="323"/>
      <c r="D122" s="323"/>
      <c r="E122" s="323"/>
      <c r="F122" s="323"/>
      <c r="G122" s="323"/>
      <c r="H122" s="323"/>
      <c r="I122" s="323"/>
      <c r="J122" s="323"/>
      <c r="K122" s="323"/>
      <c r="L122" s="397"/>
      <c r="M122" s="397"/>
      <c r="N122" s="397"/>
      <c r="O122" s="397"/>
      <c r="P122" s="397"/>
      <c r="Q122" s="397"/>
      <c r="R122" s="397"/>
      <c r="S122" s="397"/>
      <c r="T122" s="394"/>
    </row>
    <row r="123" spans="1:20" s="368" customFormat="1" ht="12.75" customHeight="1" x14ac:dyDescent="0.15">
      <c r="A123" s="367"/>
      <c r="C123" s="323"/>
      <c r="D123" s="323"/>
      <c r="E123" s="323"/>
      <c r="F123" s="323"/>
      <c r="G123" s="323"/>
      <c r="H123" s="323"/>
      <c r="I123" s="323"/>
      <c r="J123" s="323"/>
      <c r="K123" s="323"/>
      <c r="L123" s="397"/>
      <c r="M123" s="397"/>
      <c r="N123" s="397"/>
      <c r="O123" s="397"/>
      <c r="P123" s="397"/>
      <c r="Q123" s="397"/>
      <c r="R123" s="397"/>
      <c r="S123" s="397"/>
      <c r="T123" s="394"/>
    </row>
    <row r="124" spans="1:20" s="368" customFormat="1" ht="12.75" customHeight="1" x14ac:dyDescent="0.15">
      <c r="A124" s="367"/>
      <c r="C124" s="323"/>
      <c r="D124" s="323"/>
      <c r="E124" s="323"/>
      <c r="F124" s="323"/>
      <c r="G124" s="323"/>
      <c r="H124" s="323"/>
      <c r="I124" s="323"/>
      <c r="J124" s="323"/>
      <c r="K124" s="323"/>
      <c r="L124" s="397"/>
      <c r="M124" s="397"/>
      <c r="N124" s="397"/>
      <c r="O124" s="397"/>
      <c r="P124" s="397"/>
      <c r="Q124" s="397"/>
      <c r="R124" s="397"/>
      <c r="S124" s="397"/>
      <c r="T124" s="394"/>
    </row>
    <row r="125" spans="1:20" s="368" customFormat="1" ht="12.75" customHeight="1" x14ac:dyDescent="0.15">
      <c r="A125" s="367"/>
      <c r="C125" s="323"/>
      <c r="D125" s="323"/>
      <c r="E125" s="323"/>
      <c r="F125" s="323"/>
      <c r="G125" s="323"/>
      <c r="H125" s="323"/>
      <c r="I125" s="323"/>
      <c r="J125" s="323"/>
      <c r="K125" s="323"/>
      <c r="L125" s="397"/>
      <c r="M125" s="397"/>
      <c r="N125" s="397"/>
      <c r="O125" s="397"/>
      <c r="P125" s="397"/>
      <c r="Q125" s="397"/>
      <c r="R125" s="397"/>
      <c r="S125" s="397"/>
      <c r="T125" s="394"/>
    </row>
    <row r="126" spans="1:20" s="368" customFormat="1" ht="12.75" customHeight="1" x14ac:dyDescent="0.15">
      <c r="A126" s="367"/>
      <c r="C126" s="323"/>
      <c r="D126" s="323"/>
      <c r="E126" s="323"/>
      <c r="F126" s="323"/>
      <c r="G126" s="323"/>
      <c r="H126" s="323"/>
      <c r="I126" s="323"/>
      <c r="J126" s="323"/>
      <c r="K126" s="323"/>
      <c r="L126" s="397"/>
      <c r="M126" s="397"/>
      <c r="N126" s="397"/>
      <c r="O126" s="397"/>
      <c r="P126" s="397"/>
      <c r="Q126" s="397"/>
      <c r="R126" s="397"/>
      <c r="S126" s="397"/>
      <c r="T126" s="394"/>
    </row>
    <row r="127" spans="1:20" s="368" customFormat="1" ht="12.75" customHeight="1" x14ac:dyDescent="0.15">
      <c r="A127" s="367"/>
      <c r="C127" s="323"/>
      <c r="D127" s="323"/>
      <c r="E127" s="323"/>
      <c r="F127" s="323"/>
      <c r="G127" s="323"/>
      <c r="H127" s="323"/>
      <c r="I127" s="323"/>
      <c r="J127" s="323"/>
      <c r="K127" s="323"/>
      <c r="L127" s="397"/>
      <c r="M127" s="397"/>
      <c r="N127" s="397"/>
      <c r="O127" s="397"/>
      <c r="P127" s="397"/>
      <c r="Q127" s="397"/>
      <c r="R127" s="397"/>
      <c r="S127" s="397"/>
      <c r="T127" s="394"/>
    </row>
    <row r="128" spans="1:20" s="368" customFormat="1" ht="12.75" customHeight="1" x14ac:dyDescent="0.15">
      <c r="A128" s="367"/>
      <c r="C128" s="323"/>
      <c r="D128" s="323"/>
      <c r="E128" s="323"/>
      <c r="F128" s="323"/>
      <c r="G128" s="323"/>
      <c r="H128" s="323"/>
      <c r="I128" s="323"/>
      <c r="J128" s="323"/>
      <c r="K128" s="323"/>
      <c r="L128" s="397"/>
      <c r="M128" s="397"/>
      <c r="N128" s="397"/>
      <c r="O128" s="397"/>
      <c r="P128" s="397"/>
      <c r="Q128" s="397"/>
      <c r="R128" s="397"/>
      <c r="S128" s="397"/>
      <c r="T128" s="394"/>
    </row>
    <row r="129" spans="1:20" s="368" customFormat="1" ht="12.75" customHeight="1" x14ac:dyDescent="0.15">
      <c r="A129" s="367"/>
      <c r="C129" s="323"/>
      <c r="D129" s="323"/>
      <c r="E129" s="323"/>
      <c r="F129" s="323"/>
      <c r="G129" s="323"/>
      <c r="H129" s="323"/>
      <c r="I129" s="323"/>
      <c r="J129" s="323"/>
      <c r="K129" s="323"/>
      <c r="L129" s="397"/>
      <c r="M129" s="397"/>
      <c r="N129" s="397"/>
      <c r="O129" s="397"/>
      <c r="P129" s="397"/>
      <c r="Q129" s="397"/>
      <c r="R129" s="397"/>
      <c r="S129" s="397"/>
      <c r="T129" s="394"/>
    </row>
    <row r="130" spans="1:20" s="368" customFormat="1" ht="12.75" customHeight="1" x14ac:dyDescent="0.15">
      <c r="A130" s="367"/>
      <c r="C130" s="323"/>
      <c r="D130" s="323"/>
      <c r="E130" s="323"/>
      <c r="F130" s="323"/>
      <c r="G130" s="323"/>
      <c r="H130" s="323"/>
      <c r="I130" s="323"/>
      <c r="J130" s="323"/>
      <c r="K130" s="323"/>
      <c r="L130" s="397"/>
      <c r="M130" s="397"/>
      <c r="N130" s="397"/>
      <c r="O130" s="397"/>
      <c r="P130" s="397"/>
      <c r="Q130" s="397"/>
      <c r="R130" s="397"/>
      <c r="S130" s="397"/>
      <c r="T130" s="394"/>
    </row>
    <row r="131" spans="1:20" s="368" customFormat="1" ht="12.75" customHeight="1" x14ac:dyDescent="0.15">
      <c r="A131" s="367"/>
      <c r="C131" s="323"/>
      <c r="D131" s="323"/>
      <c r="E131" s="323"/>
      <c r="F131" s="323"/>
      <c r="G131" s="323"/>
      <c r="H131" s="323"/>
      <c r="I131" s="323"/>
      <c r="J131" s="323"/>
      <c r="K131" s="323"/>
      <c r="L131" s="397"/>
      <c r="M131" s="397"/>
      <c r="N131" s="397"/>
      <c r="O131" s="397"/>
      <c r="P131" s="397"/>
      <c r="Q131" s="397"/>
      <c r="R131" s="397"/>
      <c r="S131" s="397"/>
      <c r="T131" s="394"/>
    </row>
    <row r="132" spans="1:20" s="368" customFormat="1" ht="12.75" customHeight="1" x14ac:dyDescent="0.15">
      <c r="A132" s="367"/>
      <c r="C132" s="323"/>
      <c r="D132" s="323"/>
      <c r="E132" s="323"/>
      <c r="F132" s="323"/>
      <c r="G132" s="323"/>
      <c r="H132" s="323"/>
      <c r="I132" s="323"/>
      <c r="J132" s="323"/>
      <c r="K132" s="323"/>
      <c r="L132" s="397"/>
      <c r="M132" s="397"/>
      <c r="N132" s="397"/>
      <c r="O132" s="397"/>
      <c r="P132" s="397"/>
      <c r="Q132" s="397"/>
      <c r="R132" s="397"/>
      <c r="S132" s="397"/>
      <c r="T132" s="394"/>
    </row>
    <row r="133" spans="1:20" s="368" customFormat="1" ht="12.75" customHeight="1" x14ac:dyDescent="0.15">
      <c r="A133" s="367"/>
      <c r="C133" s="323"/>
      <c r="D133" s="323"/>
      <c r="E133" s="323"/>
      <c r="F133" s="323"/>
      <c r="G133" s="323"/>
      <c r="H133" s="323"/>
      <c r="I133" s="323"/>
      <c r="J133" s="323"/>
      <c r="K133" s="323"/>
      <c r="L133" s="397"/>
      <c r="M133" s="397"/>
      <c r="N133" s="397"/>
      <c r="O133" s="397"/>
      <c r="P133" s="397"/>
      <c r="Q133" s="397"/>
      <c r="R133" s="397"/>
      <c r="S133" s="397"/>
      <c r="T133" s="394"/>
    </row>
    <row r="134" spans="1:20" s="368" customFormat="1" ht="12.75" customHeight="1" x14ac:dyDescent="0.15">
      <c r="A134" s="367"/>
      <c r="C134" s="323"/>
      <c r="D134" s="323"/>
      <c r="E134" s="323"/>
      <c r="F134" s="323"/>
      <c r="G134" s="323"/>
      <c r="H134" s="323"/>
      <c r="I134" s="323"/>
      <c r="J134" s="323"/>
      <c r="K134" s="323"/>
      <c r="L134" s="397"/>
      <c r="M134" s="397"/>
      <c r="N134" s="397"/>
      <c r="O134" s="397"/>
      <c r="P134" s="397"/>
      <c r="Q134" s="397"/>
      <c r="R134" s="397"/>
      <c r="S134" s="397"/>
      <c r="T134" s="394"/>
    </row>
    <row r="135" spans="1:20" s="368" customFormat="1" ht="12.75" customHeight="1" x14ac:dyDescent="0.15">
      <c r="A135" s="367"/>
      <c r="C135" s="323"/>
      <c r="D135" s="323"/>
      <c r="E135" s="323"/>
      <c r="F135" s="323"/>
      <c r="G135" s="323"/>
      <c r="H135" s="323"/>
      <c r="I135" s="323"/>
      <c r="J135" s="323"/>
      <c r="K135" s="323"/>
      <c r="L135" s="397"/>
      <c r="M135" s="397"/>
      <c r="N135" s="397"/>
      <c r="O135" s="397"/>
      <c r="P135" s="397"/>
      <c r="Q135" s="397"/>
      <c r="R135" s="397"/>
      <c r="S135" s="397"/>
      <c r="T135" s="394"/>
    </row>
    <row r="136" spans="1:20" s="368" customFormat="1" ht="12.75" customHeight="1" x14ac:dyDescent="0.15">
      <c r="A136" s="367"/>
      <c r="C136" s="323"/>
      <c r="D136" s="323"/>
      <c r="E136" s="323"/>
      <c r="F136" s="323"/>
      <c r="G136" s="323"/>
      <c r="H136" s="323"/>
      <c r="I136" s="323"/>
      <c r="J136" s="323"/>
      <c r="K136" s="323"/>
      <c r="L136" s="397"/>
      <c r="M136" s="397"/>
      <c r="N136" s="397"/>
      <c r="O136" s="397"/>
      <c r="P136" s="397"/>
      <c r="Q136" s="397"/>
      <c r="R136" s="397"/>
      <c r="S136" s="397"/>
      <c r="T136" s="394"/>
    </row>
    <row r="137" spans="1:20" s="368" customFormat="1" ht="12.75" customHeight="1" x14ac:dyDescent="0.15">
      <c r="A137" s="367"/>
      <c r="C137" s="323"/>
      <c r="D137" s="323"/>
      <c r="E137" s="323"/>
      <c r="F137" s="323"/>
      <c r="G137" s="323"/>
      <c r="H137" s="323"/>
      <c r="I137" s="323"/>
      <c r="J137" s="323"/>
      <c r="K137" s="323"/>
      <c r="L137" s="397"/>
      <c r="M137" s="397"/>
      <c r="N137" s="397"/>
      <c r="O137" s="397"/>
      <c r="P137" s="397"/>
      <c r="Q137" s="397"/>
      <c r="R137" s="397"/>
      <c r="S137" s="397"/>
      <c r="T137" s="394"/>
    </row>
    <row r="138" spans="1:20" s="368" customFormat="1" ht="12.75" customHeight="1" x14ac:dyDescent="0.15">
      <c r="A138" s="367"/>
      <c r="C138" s="323"/>
      <c r="D138" s="323"/>
      <c r="E138" s="323"/>
      <c r="F138" s="323"/>
      <c r="G138" s="323"/>
      <c r="H138" s="323"/>
      <c r="I138" s="323"/>
      <c r="J138" s="323"/>
      <c r="K138" s="323"/>
      <c r="L138" s="397"/>
      <c r="M138" s="397"/>
      <c r="N138" s="397"/>
      <c r="O138" s="397"/>
      <c r="P138" s="397"/>
      <c r="Q138" s="397"/>
      <c r="R138" s="397"/>
      <c r="S138" s="397"/>
      <c r="T138" s="394"/>
    </row>
    <row r="139" spans="1:20" s="368" customFormat="1" ht="12.75" customHeight="1" x14ac:dyDescent="0.15">
      <c r="A139" s="367"/>
      <c r="C139" s="323"/>
      <c r="D139" s="323"/>
      <c r="E139" s="323"/>
      <c r="F139" s="323"/>
      <c r="G139" s="323"/>
      <c r="H139" s="323"/>
      <c r="I139" s="323"/>
      <c r="J139" s="323"/>
      <c r="K139" s="323"/>
      <c r="L139" s="397"/>
      <c r="M139" s="397"/>
      <c r="N139" s="397"/>
      <c r="O139" s="397"/>
      <c r="P139" s="397"/>
      <c r="Q139" s="397"/>
      <c r="R139" s="397"/>
      <c r="S139" s="397"/>
      <c r="T139" s="394"/>
    </row>
    <row r="140" spans="1:20" s="368" customFormat="1" ht="12.75" customHeight="1" x14ac:dyDescent="0.15">
      <c r="A140" s="367"/>
      <c r="C140" s="323"/>
      <c r="D140" s="323"/>
      <c r="E140" s="323"/>
      <c r="F140" s="323"/>
      <c r="G140" s="323"/>
      <c r="H140" s="323"/>
      <c r="I140" s="323"/>
      <c r="J140" s="323"/>
      <c r="K140" s="323"/>
      <c r="L140" s="397"/>
      <c r="M140" s="397"/>
      <c r="N140" s="397"/>
      <c r="O140" s="397"/>
      <c r="P140" s="397"/>
      <c r="Q140" s="397"/>
      <c r="R140" s="397"/>
      <c r="S140" s="397"/>
      <c r="T140" s="394"/>
    </row>
    <row r="141" spans="1:20" s="368" customFormat="1" ht="12.75" customHeight="1" x14ac:dyDescent="0.15">
      <c r="A141" s="367"/>
      <c r="C141" s="323"/>
      <c r="D141" s="323"/>
      <c r="E141" s="323"/>
      <c r="F141" s="323"/>
      <c r="G141" s="323"/>
      <c r="H141" s="323"/>
      <c r="I141" s="323"/>
      <c r="J141" s="323"/>
      <c r="K141" s="323"/>
      <c r="L141" s="397"/>
      <c r="M141" s="397"/>
      <c r="N141" s="397"/>
      <c r="O141" s="397"/>
      <c r="P141" s="397"/>
      <c r="Q141" s="397"/>
      <c r="R141" s="397"/>
      <c r="S141" s="397"/>
      <c r="T141" s="394"/>
    </row>
    <row r="142" spans="1:20" s="368" customFormat="1" ht="12.75" customHeight="1" x14ac:dyDescent="0.15">
      <c r="A142" s="367"/>
      <c r="C142" s="323"/>
      <c r="D142" s="323"/>
      <c r="E142" s="323"/>
      <c r="F142" s="323"/>
      <c r="G142" s="323"/>
      <c r="H142" s="323"/>
      <c r="I142" s="323"/>
      <c r="J142" s="323"/>
      <c r="K142" s="323"/>
      <c r="L142" s="397"/>
      <c r="M142" s="397"/>
      <c r="N142" s="397"/>
      <c r="O142" s="397"/>
      <c r="P142" s="397"/>
      <c r="Q142" s="397"/>
      <c r="R142" s="397"/>
      <c r="S142" s="397"/>
      <c r="T142" s="394"/>
    </row>
    <row r="143" spans="1:20" s="368" customFormat="1" ht="12.75" customHeight="1" x14ac:dyDescent="0.15">
      <c r="A143" s="367"/>
      <c r="C143" s="323"/>
      <c r="D143" s="323"/>
      <c r="E143" s="323"/>
      <c r="F143" s="323"/>
      <c r="G143" s="323"/>
      <c r="H143" s="323"/>
      <c r="I143" s="323"/>
      <c r="J143" s="323"/>
      <c r="K143" s="323"/>
      <c r="L143" s="397"/>
      <c r="M143" s="397"/>
      <c r="N143" s="397"/>
      <c r="O143" s="397"/>
      <c r="P143" s="397"/>
      <c r="Q143" s="397"/>
      <c r="R143" s="397"/>
      <c r="S143" s="397"/>
      <c r="T143" s="394"/>
    </row>
    <row r="144" spans="1:20" s="368" customFormat="1" ht="12.75" customHeight="1" x14ac:dyDescent="0.15">
      <c r="A144" s="367"/>
      <c r="C144" s="323"/>
      <c r="D144" s="323"/>
      <c r="E144" s="323"/>
      <c r="F144" s="323"/>
      <c r="G144" s="323"/>
      <c r="H144" s="323"/>
      <c r="I144" s="323"/>
      <c r="J144" s="323"/>
      <c r="K144" s="323"/>
      <c r="L144" s="397"/>
      <c r="M144" s="397"/>
      <c r="N144" s="397"/>
      <c r="O144" s="397"/>
      <c r="P144" s="397"/>
      <c r="Q144" s="397"/>
      <c r="R144" s="397"/>
      <c r="S144" s="397"/>
      <c r="T144" s="394"/>
    </row>
  </sheetData>
  <mergeCells count="29">
    <mergeCell ref="B88:D88"/>
    <mergeCell ref="B89:D89"/>
    <mergeCell ref="B90:D90"/>
    <mergeCell ref="B61:D61"/>
    <mergeCell ref="B62:D62"/>
    <mergeCell ref="B64:D64"/>
    <mergeCell ref="B82:D82"/>
    <mergeCell ref="B87:D87"/>
    <mergeCell ref="B84:D84"/>
    <mergeCell ref="B53:D53"/>
    <mergeCell ref="B54:D54"/>
    <mergeCell ref="B58:D58"/>
    <mergeCell ref="B59:D59"/>
    <mergeCell ref="B60:D60"/>
    <mergeCell ref="B45:D45"/>
    <mergeCell ref="B50:D50"/>
    <mergeCell ref="B51:D51"/>
    <mergeCell ref="B42:D42"/>
    <mergeCell ref="L2:M2"/>
    <mergeCell ref="A4:T4"/>
    <mergeCell ref="A5:T5"/>
    <mergeCell ref="B8:D9"/>
    <mergeCell ref="E8:P8"/>
    <mergeCell ref="B10:D10"/>
    <mergeCell ref="B17:D17"/>
    <mergeCell ref="B28:D28"/>
    <mergeCell ref="B30:D30"/>
    <mergeCell ref="B38:D38"/>
    <mergeCell ref="B39:D39"/>
  </mergeCells>
  <pageMargins left="0.43307086614173229" right="0.9055118110236221" top="0.55118110236220474" bottom="0.74803149606299213" header="0.31496062992125984" footer="0.31496062992125984"/>
  <pageSetup paperSize="5" scale="9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7</vt:i4>
      </vt:variant>
    </vt:vector>
  </HeadingPairs>
  <TitlesOfParts>
    <vt:vector size="27" baseType="lpstr">
      <vt:lpstr>Laba-ETAP </vt:lpstr>
      <vt:lpstr>Laba-OTDA</vt:lpstr>
      <vt:lpstr>Neraca </vt:lpstr>
      <vt:lpstr>ARUS KAS</vt:lpstr>
      <vt:lpstr>LAP ARUS KAS</vt:lpstr>
      <vt:lpstr>LAP ARUS KAS (2)</vt:lpstr>
      <vt:lpstr>Lap. Perputaran Uang </vt:lpstr>
      <vt:lpstr>Ekuitas</vt:lpstr>
      <vt:lpstr>NERACA KOMPARATIF</vt:lpstr>
      <vt:lpstr>RL KOMPARATIF</vt:lpstr>
      <vt:lpstr>RINCIAN B. LANGSUNG USAHA</vt:lpstr>
      <vt:lpstr>RINCIAN B. TDK LANGSUNG</vt:lpstr>
      <vt:lpstr>B. NON OPERASIONAL</vt:lpstr>
      <vt:lpstr>P-9. Beban Operasi</vt:lpstr>
      <vt:lpstr>P-10. Beban Umum &amp; Adm</vt:lpstr>
      <vt:lpstr>Sheet1</vt:lpstr>
      <vt:lpstr>P-10. Biaya Operasi</vt:lpstr>
      <vt:lpstr>P-11. Biaya UMUM &amp; ADM</vt:lpstr>
      <vt:lpstr>lama</vt:lpstr>
      <vt:lpstr>lama2</vt:lpstr>
      <vt:lpstr>'Laba-ETAP '!Print_Area</vt:lpstr>
      <vt:lpstr>lama!Print_Area</vt:lpstr>
      <vt:lpstr>lama2!Print_Area</vt:lpstr>
      <vt:lpstr>'P-10. Beban Umum &amp; Adm'!Print_Area</vt:lpstr>
      <vt:lpstr>'P-10. Biaya Operasi'!Print_Area</vt:lpstr>
      <vt:lpstr>'P-11. Biaya UMUM &amp; ADM'!Print_Area</vt:lpstr>
      <vt:lpstr>'P-9. Beban Operasi'!Print_Area</vt:lpstr>
    </vt:vector>
  </TitlesOfParts>
  <Company>Al_Ahsan_Computer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Umeko</dc:creator>
  <cp:lastModifiedBy>PC</cp:lastModifiedBy>
  <cp:lastPrinted>2026-05-18T04:05:45Z</cp:lastPrinted>
  <dcterms:created xsi:type="dcterms:W3CDTF">2011-04-26T01:13:32Z</dcterms:created>
  <dcterms:modified xsi:type="dcterms:W3CDTF">2026-05-19T04:54:30Z</dcterms:modified>
</cp:coreProperties>
</file>